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97A52619-EBC7-4391-A885-DA6E45F81A6D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9" l="1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Q269" i="1"/>
  <c r="U269" i="1"/>
  <c r="W269" i="1"/>
  <c r="X269" i="1"/>
  <c r="Y269" i="1"/>
  <c r="Z269" i="1"/>
  <c r="B268" i="1"/>
  <c r="Q268" i="1"/>
  <c r="U268" i="1"/>
  <c r="W268" i="1"/>
  <c r="X268" i="1"/>
  <c r="Y268" i="1"/>
  <c r="Z268" i="1"/>
  <c r="B267" i="1"/>
  <c r="Q267" i="1"/>
  <c r="U267" i="1"/>
  <c r="W267" i="1"/>
  <c r="X267" i="1"/>
  <c r="Y267" i="1"/>
  <c r="Z267" i="1"/>
  <c r="B266" i="1"/>
  <c r="Q266" i="1"/>
  <c r="U266" i="1"/>
  <c r="W266" i="1"/>
  <c r="X266" i="1"/>
  <c r="Y266" i="1"/>
  <c r="Z266" i="1"/>
  <c r="B264" i="1"/>
  <c r="Q264" i="1"/>
  <c r="U264" i="1"/>
  <c r="W264" i="1"/>
  <c r="X264" i="1"/>
  <c r="Y264" i="1"/>
  <c r="Z264" i="1"/>
  <c r="B265" i="1"/>
  <c r="Q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Q263" i="1"/>
  <c r="U263" i="1"/>
  <c r="W263" i="1"/>
  <c r="X263" i="1"/>
  <c r="Y263" i="1"/>
  <c r="Z263" i="1"/>
  <c r="B262" i="1"/>
  <c r="Q262" i="1"/>
  <c r="U262" i="1"/>
  <c r="W262" i="1"/>
  <c r="X262" i="1"/>
  <c r="Y262" i="1"/>
  <c r="Z262" i="1"/>
  <c r="B261" i="1"/>
  <c r="Q261" i="1"/>
  <c r="U261" i="1"/>
  <c r="W261" i="1"/>
  <c r="X261" i="1"/>
  <c r="Y261" i="1"/>
  <c r="Z261" i="1"/>
  <c r="B260" i="1"/>
  <c r="Q260" i="1"/>
  <c r="U260" i="1"/>
  <c r="W260" i="1"/>
  <c r="X260" i="1"/>
  <c r="Y260" i="1"/>
  <c r="Z260" i="1"/>
  <c r="B259" i="1"/>
  <c r="Q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Q258" i="1"/>
  <c r="U258" i="1"/>
  <c r="W258" i="1"/>
  <c r="X258" i="1"/>
  <c r="Y258" i="1"/>
  <c r="Z258" i="1"/>
  <c r="B257" i="1"/>
  <c r="V257" i="1" s="1"/>
  <c r="Q257" i="1"/>
  <c r="U257" i="1"/>
  <c r="W257" i="1"/>
  <c r="X257" i="1"/>
  <c r="Y257" i="1"/>
  <c r="Z257" i="1"/>
  <c r="B256" i="1"/>
  <c r="Q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5" i="9"/>
  <c r="G48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5" i="9"/>
  <c r="G88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29" i="9"/>
  <c r="G130" i="9"/>
  <c r="G132" i="9"/>
  <c r="G133" i="9"/>
  <c r="G134" i="9"/>
  <c r="G135" i="9"/>
  <c r="G136" i="9"/>
  <c r="G137" i="9"/>
  <c r="G138" i="9"/>
  <c r="G139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0" i="9"/>
  <c r="G181" i="9"/>
  <c r="G182" i="9"/>
  <c r="G184" i="9"/>
  <c r="G185" i="9"/>
  <c r="G187" i="9"/>
  <c r="G188" i="9"/>
  <c r="G189" i="9"/>
  <c r="G190" i="9"/>
  <c r="G194" i="9"/>
  <c r="G196" i="9"/>
  <c r="G197" i="9"/>
  <c r="G198" i="9"/>
  <c r="G199" i="9"/>
  <c r="G200" i="9"/>
  <c r="G202" i="9"/>
  <c r="G203" i="9"/>
  <c r="G204" i="9"/>
  <c r="G205" i="9"/>
  <c r="G206" i="9"/>
  <c r="G209" i="9"/>
  <c r="G211" i="9"/>
  <c r="G212" i="9"/>
  <c r="G213" i="9"/>
  <c r="G214" i="9"/>
  <c r="G215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Q255" i="1"/>
  <c r="U255" i="1"/>
  <c r="W255" i="1"/>
  <c r="X255" i="1"/>
  <c r="Y255" i="1"/>
  <c r="Z255" i="1"/>
  <c r="B254" i="1"/>
  <c r="V254" i="1" s="1"/>
  <c r="Q254" i="1"/>
  <c r="U254" i="1"/>
  <c r="W254" i="1"/>
  <c r="X254" i="1"/>
  <c r="Y254" i="1"/>
  <c r="Z254" i="1"/>
  <c r="B253" i="1"/>
  <c r="Q253" i="1"/>
  <c r="U253" i="1"/>
  <c r="W253" i="1"/>
  <c r="X253" i="1"/>
  <c r="Y253" i="1"/>
  <c r="Z253" i="1"/>
  <c r="B252" i="1"/>
  <c r="Q252" i="1"/>
  <c r="U252" i="1"/>
  <c r="W252" i="1"/>
  <c r="X252" i="1"/>
  <c r="Y252" i="1"/>
  <c r="Z252" i="1"/>
  <c r="B251" i="1"/>
  <c r="V251" i="1" s="1"/>
  <c r="Q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Q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Q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Q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Q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Q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Q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Q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Q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Q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Q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Q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B233" i="1"/>
  <c r="Q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Q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Q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Q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Q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Q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115" i="1"/>
  <c r="G143" i="1"/>
  <c r="G149" i="1"/>
  <c r="G89" i="9" s="1"/>
  <c r="G160" i="1"/>
  <c r="G162" i="1"/>
  <c r="G44" i="9" s="1"/>
  <c r="G166" i="1"/>
  <c r="G179" i="1"/>
  <c r="G228" i="9" s="1"/>
  <c r="G207" i="1"/>
  <c r="G208" i="1"/>
  <c r="G124" i="9" s="1"/>
  <c r="G210" i="1"/>
  <c r="G258" i="9" s="1"/>
  <c r="G223" i="1"/>
  <c r="Q227" i="1"/>
  <c r="U227" i="1"/>
  <c r="W227" i="1"/>
  <c r="X227" i="1"/>
  <c r="Y227" i="1"/>
  <c r="Q226" i="1"/>
  <c r="U226" i="1"/>
  <c r="W226" i="1"/>
  <c r="X226" i="1"/>
  <c r="Y226" i="1"/>
  <c r="Q225" i="1"/>
  <c r="U225" i="1"/>
  <c r="W225" i="1"/>
  <c r="X225" i="1"/>
  <c r="Y225" i="1"/>
  <c r="Q224" i="1"/>
  <c r="U224" i="1"/>
  <c r="W224" i="1"/>
  <c r="X224" i="1"/>
  <c r="Y224" i="1"/>
  <c r="Q223" i="1"/>
  <c r="U223" i="1"/>
  <c r="W223" i="1"/>
  <c r="X223" i="1"/>
  <c r="Y223" i="1"/>
  <c r="Q222" i="1"/>
  <c r="U222" i="1"/>
  <c r="W222" i="1"/>
  <c r="X222" i="1"/>
  <c r="Y222" i="1"/>
  <c r="Q221" i="1"/>
  <c r="U221" i="1"/>
  <c r="W221" i="1"/>
  <c r="X221" i="1"/>
  <c r="Y221" i="1"/>
  <c r="Q220" i="1"/>
  <c r="U220" i="1"/>
  <c r="W220" i="1"/>
  <c r="X220" i="1"/>
  <c r="Y220" i="1"/>
  <c r="Q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Q218" i="1"/>
  <c r="U218" i="1"/>
  <c r="Q217" i="1"/>
  <c r="U217" i="1"/>
  <c r="Q215" i="1"/>
  <c r="U215" i="1"/>
  <c r="Q214" i="1"/>
  <c r="U214" i="1"/>
  <c r="Q213" i="1"/>
  <c r="U213" i="1"/>
  <c r="Q212" i="1"/>
  <c r="U212" i="1"/>
  <c r="Q211" i="1"/>
  <c r="U211" i="1"/>
  <c r="B17" i="6"/>
  <c r="Q202" i="1"/>
  <c r="U202" i="1"/>
  <c r="Q205" i="1"/>
  <c r="U205" i="1"/>
  <c r="Q210" i="1"/>
  <c r="U210" i="1"/>
  <c r="Q203" i="1"/>
  <c r="U203" i="1"/>
  <c r="Q207" i="1"/>
  <c r="U207" i="1"/>
  <c r="Q208" i="1"/>
  <c r="U208" i="1"/>
  <c r="Q204" i="1"/>
  <c r="U204" i="1"/>
  <c r="Q183" i="1"/>
  <c r="U183" i="1"/>
  <c r="Q206" i="1"/>
  <c r="U206" i="1"/>
  <c r="Q165" i="1"/>
  <c r="U165" i="1"/>
  <c r="Q150" i="1"/>
  <c r="U150" i="1"/>
  <c r="Q177" i="1"/>
  <c r="U177" i="1"/>
  <c r="Q188" i="1"/>
  <c r="U188" i="1"/>
  <c r="Q174" i="1"/>
  <c r="U174" i="1"/>
  <c r="S13" i="1"/>
  <c r="S17" i="1"/>
  <c r="S18" i="1"/>
  <c r="S86" i="1"/>
  <c r="S106" i="1"/>
  <c r="S95" i="1"/>
  <c r="S96" i="1"/>
  <c r="S40" i="1"/>
  <c r="S61" i="1"/>
  <c r="S80" i="1"/>
  <c r="S94" i="1"/>
  <c r="S199" i="1"/>
  <c r="S78" i="1"/>
  <c r="S89" i="1"/>
  <c r="S147" i="1"/>
  <c r="S139" i="1"/>
  <c r="S184" i="1"/>
  <c r="S19" i="1"/>
  <c r="S75" i="1"/>
  <c r="S155" i="1"/>
  <c r="S58" i="1"/>
  <c r="S59" i="1"/>
  <c r="S69" i="1"/>
  <c r="S114" i="1"/>
  <c r="S118" i="1"/>
  <c r="S120" i="1"/>
  <c r="S123" i="1"/>
  <c r="S128" i="1"/>
  <c r="S129" i="1"/>
  <c r="S209" i="1"/>
  <c r="S189" i="1"/>
  <c r="S193" i="1"/>
  <c r="S140" i="1"/>
  <c r="S195" i="1"/>
  <c r="S161" i="1"/>
  <c r="S198" i="1"/>
  <c r="S145" i="1"/>
  <c r="S186" i="1"/>
  <c r="S178" i="1"/>
  <c r="S152" i="1"/>
  <c r="S115" i="1"/>
  <c r="S141" i="1"/>
  <c r="S143" i="1"/>
  <c r="S28" i="1"/>
  <c r="S34" i="1"/>
  <c r="S144" i="1"/>
  <c r="S175" i="1"/>
  <c r="S157" i="1"/>
  <c r="S185" i="1"/>
  <c r="S22" i="1"/>
  <c r="S112" i="1"/>
  <c r="S54" i="1"/>
  <c r="S103" i="1"/>
  <c r="S64" i="1"/>
  <c r="S44" i="1"/>
  <c r="S66" i="1"/>
  <c r="S4" i="1"/>
  <c r="S113" i="1"/>
  <c r="S117" i="1"/>
  <c r="S171" i="1"/>
  <c r="S119" i="1"/>
  <c r="S159" i="1"/>
  <c r="S191" i="1"/>
  <c r="S46" i="1"/>
  <c r="S93" i="1"/>
  <c r="S37" i="1"/>
  <c r="S16" i="1"/>
  <c r="S65" i="1"/>
  <c r="S11" i="1"/>
  <c r="S148" i="1"/>
  <c r="S138" i="1"/>
  <c r="S26" i="1"/>
  <c r="S27" i="1"/>
  <c r="S201" i="1"/>
  <c r="S153" i="1"/>
  <c r="S146" i="1"/>
  <c r="S29" i="1"/>
  <c r="S30" i="1"/>
  <c r="S130" i="1"/>
  <c r="S156" i="1"/>
  <c r="S43" i="1"/>
  <c r="S55" i="1"/>
  <c r="S110" i="1"/>
  <c r="S20" i="1"/>
  <c r="S21" i="1"/>
  <c r="S41" i="1"/>
  <c r="S7" i="1"/>
  <c r="S131" i="1"/>
  <c r="S23" i="1"/>
  <c r="S42" i="1"/>
  <c r="S63" i="1"/>
  <c r="S74" i="1"/>
  <c r="S85" i="1"/>
  <c r="S3" i="1"/>
  <c r="S50" i="1"/>
  <c r="S192" i="1"/>
  <c r="S180" i="1"/>
  <c r="S81" i="1"/>
  <c r="S154" i="1"/>
  <c r="S108" i="1"/>
  <c r="S125" i="1"/>
  <c r="S197" i="1"/>
  <c r="S121" i="1"/>
  <c r="S196" i="1"/>
  <c r="S5" i="1"/>
  <c r="S127" i="1"/>
  <c r="S57" i="1"/>
  <c r="S2" i="1"/>
  <c r="S25" i="1"/>
  <c r="S102" i="1"/>
  <c r="S194" i="1"/>
  <c r="S47" i="1"/>
  <c r="S68" i="1"/>
  <c r="S173" i="1"/>
  <c r="S169" i="1"/>
  <c r="S105" i="1"/>
  <c r="S124" i="1"/>
  <c r="S134" i="1"/>
  <c r="S49" i="1"/>
  <c r="S116" i="1"/>
  <c r="S163" i="1"/>
  <c r="S38" i="1"/>
  <c r="S48" i="1"/>
  <c r="S53" i="1"/>
  <c r="S97" i="1"/>
  <c r="S107" i="1"/>
  <c r="S33" i="1"/>
  <c r="S36" i="1"/>
  <c r="S82" i="1"/>
  <c r="S91" i="1"/>
  <c r="S92" i="1"/>
  <c r="S158" i="1"/>
  <c r="S60" i="1"/>
  <c r="S132" i="1"/>
  <c r="S135" i="1"/>
  <c r="S167" i="1"/>
  <c r="S62" i="1"/>
  <c r="S79" i="1"/>
  <c r="S10" i="1"/>
  <c r="S8" i="1"/>
  <c r="S24" i="1"/>
  <c r="S32" i="1"/>
  <c r="S76" i="1"/>
  <c r="S87" i="1"/>
  <c r="S88" i="1"/>
  <c r="S109" i="1"/>
  <c r="S187" i="1"/>
  <c r="S56" i="1"/>
  <c r="S126" i="1"/>
  <c r="S136" i="1"/>
  <c r="S172" i="1"/>
  <c r="S142" i="1"/>
  <c r="S14" i="1"/>
  <c r="S39" i="1"/>
  <c r="S72" i="1"/>
  <c r="S73" i="1"/>
  <c r="S133" i="1"/>
  <c r="S137" i="1"/>
  <c r="S83" i="1"/>
  <c r="S84" i="1"/>
  <c r="S162" i="1"/>
  <c r="S6" i="1"/>
  <c r="S15" i="1"/>
  <c r="S12" i="1"/>
  <c r="S104" i="1"/>
  <c r="S52" i="1"/>
  <c r="S111" i="1"/>
  <c r="S90" i="1"/>
  <c r="S31" i="1"/>
  <c r="S35" i="1"/>
  <c r="S9" i="1"/>
  <c r="S101" i="1"/>
  <c r="S45" i="1"/>
  <c r="S99" i="1"/>
  <c r="S100" i="1"/>
  <c r="S51" i="1"/>
  <c r="S70" i="1"/>
  <c r="S77" i="1"/>
  <c r="S160" i="1"/>
  <c r="S179" i="1"/>
  <c r="S98" i="1"/>
  <c r="S166" i="1"/>
  <c r="S67" i="1"/>
  <c r="S71" i="1"/>
  <c r="S122" i="1"/>
  <c r="S151" i="1"/>
  <c r="Q182" i="1"/>
  <c r="U182" i="1"/>
  <c r="Q13" i="1"/>
  <c r="Q17" i="1"/>
  <c r="Q18" i="1"/>
  <c r="Q86" i="1"/>
  <c r="Q106" i="1"/>
  <c r="Q95" i="1"/>
  <c r="Q96" i="1"/>
  <c r="Q40" i="1"/>
  <c r="Q61" i="1"/>
  <c r="Q80" i="1"/>
  <c r="Q94" i="1"/>
  <c r="Q199" i="1"/>
  <c r="Q78" i="1"/>
  <c r="Q89" i="1"/>
  <c r="Q147" i="1"/>
  <c r="Q139" i="1"/>
  <c r="Q184" i="1"/>
  <c r="Q19" i="1"/>
  <c r="Q75" i="1"/>
  <c r="Q155" i="1"/>
  <c r="Q58" i="1"/>
  <c r="Q59" i="1"/>
  <c r="Q69" i="1"/>
  <c r="Q114" i="1"/>
  <c r="Q118" i="1"/>
  <c r="Q120" i="1"/>
  <c r="Q123" i="1"/>
  <c r="Q128" i="1"/>
  <c r="Q129" i="1"/>
  <c r="Q209" i="1"/>
  <c r="Q189" i="1"/>
  <c r="Q193" i="1"/>
  <c r="Q140" i="1"/>
  <c r="Q195" i="1"/>
  <c r="Q161" i="1"/>
  <c r="Q198" i="1"/>
  <c r="Q145" i="1"/>
  <c r="Q186" i="1"/>
  <c r="Q178" i="1"/>
  <c r="Q152" i="1"/>
  <c r="Q176" i="1"/>
  <c r="Q115" i="1"/>
  <c r="Q141" i="1"/>
  <c r="Q143" i="1"/>
  <c r="Q28" i="1"/>
  <c r="Q34" i="1"/>
  <c r="Q144" i="1"/>
  <c r="Q175" i="1"/>
  <c r="Q157" i="1"/>
  <c r="Q216" i="1"/>
  <c r="Q185" i="1"/>
  <c r="Q22" i="1"/>
  <c r="Q112" i="1"/>
  <c r="Q54" i="1"/>
  <c r="Q103" i="1"/>
  <c r="Q64" i="1"/>
  <c r="Q44" i="1"/>
  <c r="Q66" i="1"/>
  <c r="Q4" i="1"/>
  <c r="Q113" i="1"/>
  <c r="Q117" i="1"/>
  <c r="Q171" i="1"/>
  <c r="Q149" i="1"/>
  <c r="Q119" i="1"/>
  <c r="Q159" i="1"/>
  <c r="Q191" i="1"/>
  <c r="Q190" i="1"/>
  <c r="Q46" i="1"/>
  <c r="Q93" i="1"/>
  <c r="Q37" i="1"/>
  <c r="Q16" i="1"/>
  <c r="Q65" i="1"/>
  <c r="Q11" i="1"/>
  <c r="Q148" i="1"/>
  <c r="Q138" i="1"/>
  <c r="Q164" i="1"/>
  <c r="Q26" i="1"/>
  <c r="Q27" i="1"/>
  <c r="Q201" i="1"/>
  <c r="Q170" i="1"/>
  <c r="Q153" i="1"/>
  <c r="Q146" i="1"/>
  <c r="Q29" i="1"/>
  <c r="Q30" i="1"/>
  <c r="Q130" i="1"/>
  <c r="Q156" i="1"/>
  <c r="Q43" i="1"/>
  <c r="Q55" i="1"/>
  <c r="Q110" i="1"/>
  <c r="Q20" i="1"/>
  <c r="Q21" i="1"/>
  <c r="Q41" i="1"/>
  <c r="Q7" i="1"/>
  <c r="Q131" i="1"/>
  <c r="Q23" i="1"/>
  <c r="Q42" i="1"/>
  <c r="Q63" i="1"/>
  <c r="Q234" i="1"/>
  <c r="Q235" i="1"/>
  <c r="Q237" i="1"/>
  <c r="Q238" i="1"/>
  <c r="Q239" i="1"/>
  <c r="Q240" i="1"/>
  <c r="Q74" i="1"/>
  <c r="Q85" i="1"/>
  <c r="Q3" i="1"/>
  <c r="Q50" i="1"/>
  <c r="Q192" i="1"/>
  <c r="Q180" i="1"/>
  <c r="Q81" i="1"/>
  <c r="Q181" i="1"/>
  <c r="Q154" i="1"/>
  <c r="Q168" i="1"/>
  <c r="Q108" i="1"/>
  <c r="Q125" i="1"/>
  <c r="Q197" i="1"/>
  <c r="Q121" i="1"/>
  <c r="Q196" i="1"/>
  <c r="Q5" i="1"/>
  <c r="Q127" i="1"/>
  <c r="Q57" i="1"/>
  <c r="Q2" i="1"/>
  <c r="Q25" i="1"/>
  <c r="Q102" i="1"/>
  <c r="Q194" i="1"/>
  <c r="Q47" i="1"/>
  <c r="Q68" i="1"/>
  <c r="Q173" i="1"/>
  <c r="Q169" i="1"/>
  <c r="Q105" i="1"/>
  <c r="Q124" i="1"/>
  <c r="Q134" i="1"/>
  <c r="Q49" i="1"/>
  <c r="Q116" i="1"/>
  <c r="Q163" i="1"/>
  <c r="Q38" i="1"/>
  <c r="Q48" i="1"/>
  <c r="Q53" i="1"/>
  <c r="Q97" i="1"/>
  <c r="Q107" i="1"/>
  <c r="Q33" i="1"/>
  <c r="Q36" i="1"/>
  <c r="Q82" i="1"/>
  <c r="Q91" i="1"/>
  <c r="Q92" i="1"/>
  <c r="Q158" i="1"/>
  <c r="Q60" i="1"/>
  <c r="Q132" i="1"/>
  <c r="Q135" i="1"/>
  <c r="Q167" i="1"/>
  <c r="Q62" i="1"/>
  <c r="Q79" i="1"/>
  <c r="Q10" i="1"/>
  <c r="Q8" i="1"/>
  <c r="Q24" i="1"/>
  <c r="Q32" i="1"/>
  <c r="Q76" i="1"/>
  <c r="Q87" i="1"/>
  <c r="Q88" i="1"/>
  <c r="Q109" i="1"/>
  <c r="Q187" i="1"/>
  <c r="Q56" i="1"/>
  <c r="Q126" i="1"/>
  <c r="Q136" i="1"/>
  <c r="Q172" i="1"/>
  <c r="Q142" i="1"/>
  <c r="Q14" i="1"/>
  <c r="Q39" i="1"/>
  <c r="Q72" i="1"/>
  <c r="Q73" i="1"/>
  <c r="Q133" i="1"/>
  <c r="Q137" i="1"/>
  <c r="Q83" i="1"/>
  <c r="Q84" i="1"/>
  <c r="Q162" i="1"/>
  <c r="Q6" i="1"/>
  <c r="Q15" i="1"/>
  <c r="Q12" i="1"/>
  <c r="Q104" i="1"/>
  <c r="Q52" i="1"/>
  <c r="Q111" i="1"/>
  <c r="Q90" i="1"/>
  <c r="Q31" i="1"/>
  <c r="Q35" i="1"/>
  <c r="Q9" i="1"/>
  <c r="Q101" i="1"/>
  <c r="Q45" i="1"/>
  <c r="Q99" i="1"/>
  <c r="Q100" i="1"/>
  <c r="Q51" i="1"/>
  <c r="Q70" i="1"/>
  <c r="Q77" i="1"/>
  <c r="Q160" i="1"/>
  <c r="Q179" i="1"/>
  <c r="Q98" i="1"/>
  <c r="Q166" i="1"/>
  <c r="Q67" i="1"/>
  <c r="Q71" i="1"/>
  <c r="Q200" i="1"/>
  <c r="Q122" i="1"/>
  <c r="Q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S227" i="1"/>
  <c r="S226" i="1"/>
  <c r="S225" i="1"/>
  <c r="S224" i="1"/>
  <c r="S223" i="1"/>
  <c r="S222" i="1"/>
  <c r="S221" i="1"/>
  <c r="S220" i="1"/>
  <c r="S219" i="1"/>
  <c r="S218" i="1"/>
  <c r="S217" i="1"/>
  <c r="S215" i="1"/>
  <c r="S214" i="1"/>
  <c r="S211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200" i="1"/>
  <c r="S181" i="1"/>
  <c r="S176" i="1"/>
  <c r="S149" i="1"/>
  <c r="S170" i="1"/>
  <c r="S164" i="1"/>
  <c r="S190" i="1"/>
  <c r="S216" i="1"/>
  <c r="S168" i="1"/>
  <c r="E269" i="9" l="1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R269" i="1"/>
  <c r="S269" i="1" s="1"/>
  <c r="R268" i="1"/>
  <c r="S268" i="1" s="1"/>
  <c r="R267" i="1"/>
  <c r="S267" i="1" s="1"/>
  <c r="R266" i="1"/>
  <c r="S266" i="1" s="1"/>
  <c r="E263" i="9"/>
  <c r="V263" i="1"/>
  <c r="R264" i="1"/>
  <c r="S264" i="1" s="1"/>
  <c r="R265" i="1"/>
  <c r="S265" i="1" s="1"/>
  <c r="E259" i="9"/>
  <c r="V259" i="1"/>
  <c r="E262" i="9"/>
  <c r="V262" i="1"/>
  <c r="E261" i="9"/>
  <c r="V261" i="1"/>
  <c r="V260" i="1"/>
  <c r="E260" i="9"/>
  <c r="G219" i="9"/>
  <c r="G222" i="9"/>
  <c r="R263" i="1"/>
  <c r="S263" i="1" s="1"/>
  <c r="R262" i="1"/>
  <c r="S262" i="1" s="1"/>
  <c r="R260" i="1"/>
  <c r="S260" i="1" s="1"/>
  <c r="R261" i="1"/>
  <c r="S261" i="1" s="1"/>
  <c r="G192" i="9"/>
  <c r="G193" i="9"/>
  <c r="G149" i="9"/>
  <c r="G87" i="9"/>
  <c r="R259" i="1"/>
  <c r="S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R258" i="1"/>
  <c r="S258" i="1" s="1"/>
  <c r="R257" i="1"/>
  <c r="S257" i="1" s="1"/>
  <c r="R256" i="1"/>
  <c r="S256" i="1" s="1"/>
  <c r="E251" i="9"/>
  <c r="E252" i="9"/>
  <c r="E253" i="9"/>
  <c r="E254" i="9"/>
  <c r="R255" i="1"/>
  <c r="S255" i="1" s="1"/>
  <c r="R254" i="1"/>
  <c r="S254" i="1" s="1"/>
  <c r="V253" i="1"/>
  <c r="V252" i="1"/>
  <c r="V248" i="1"/>
  <c r="R253" i="1"/>
  <c r="S253" i="1" s="1"/>
  <c r="R252" i="1"/>
  <c r="S252" i="1" s="1"/>
  <c r="R251" i="1"/>
  <c r="S251" i="1" s="1"/>
  <c r="E250" i="9"/>
  <c r="R250" i="1"/>
  <c r="S250" i="1" s="1"/>
  <c r="E249" i="9"/>
  <c r="R249" i="1"/>
  <c r="S249" i="1" s="1"/>
  <c r="E248" i="9"/>
  <c r="V246" i="1"/>
  <c r="V247" i="1"/>
  <c r="R248" i="1"/>
  <c r="S248" i="1" s="1"/>
  <c r="E247" i="9"/>
  <c r="R247" i="1"/>
  <c r="S247" i="1" s="1"/>
  <c r="V245" i="1"/>
  <c r="E246" i="9"/>
  <c r="R246" i="1"/>
  <c r="S246" i="1" s="1"/>
  <c r="E245" i="9"/>
  <c r="R245" i="1"/>
  <c r="S245" i="1" s="1"/>
  <c r="E244" i="9"/>
  <c r="V242" i="1"/>
  <c r="V243" i="1"/>
  <c r="V244" i="1"/>
  <c r="R244" i="1"/>
  <c r="S244" i="1" s="1"/>
  <c r="E243" i="9"/>
  <c r="R243" i="1"/>
  <c r="S243" i="1" s="1"/>
  <c r="E242" i="9"/>
  <c r="R242" i="1"/>
  <c r="S242" i="1" s="1"/>
  <c r="E238" i="9"/>
  <c r="E239" i="9"/>
  <c r="E240" i="9"/>
  <c r="E241" i="9"/>
  <c r="V241" i="1"/>
  <c r="R241" i="1"/>
  <c r="S241" i="1" s="1"/>
  <c r="V236" i="1"/>
  <c r="E237" i="9"/>
  <c r="E236" i="9"/>
  <c r="R236" i="1"/>
  <c r="S236" i="1" s="1"/>
  <c r="E235" i="9"/>
  <c r="V233" i="1"/>
  <c r="E234" i="9"/>
  <c r="E233" i="9"/>
  <c r="R233" i="1"/>
  <c r="S233" i="1" s="1"/>
  <c r="V232" i="1"/>
  <c r="V231" i="1"/>
  <c r="E232" i="9"/>
  <c r="R232" i="1"/>
  <c r="S232" i="1" s="1"/>
  <c r="R93" i="1"/>
  <c r="R156" i="1"/>
  <c r="R172" i="1"/>
  <c r="R21" i="1"/>
  <c r="R107" i="1"/>
  <c r="R16" i="1"/>
  <c r="R35" i="1"/>
  <c r="R106" i="1"/>
  <c r="R55" i="1"/>
  <c r="R90" i="1"/>
  <c r="R25" i="1"/>
  <c r="R137" i="1"/>
  <c r="R154" i="1"/>
  <c r="R101" i="1"/>
  <c r="R22" i="1"/>
  <c r="R89" i="1"/>
  <c r="R112" i="1"/>
  <c r="R240" i="1"/>
  <c r="R195" i="1"/>
  <c r="R9" i="1"/>
  <c r="R108" i="1"/>
  <c r="R62" i="1"/>
  <c r="R193" i="1"/>
  <c r="R168" i="1"/>
  <c r="R86" i="1"/>
  <c r="R126" i="1"/>
  <c r="R235" i="1"/>
  <c r="R129" i="1"/>
  <c r="R117" i="1"/>
  <c r="R125" i="1"/>
  <c r="R113" i="1"/>
  <c r="R20" i="1"/>
  <c r="R53" i="1"/>
  <c r="R157" i="1"/>
  <c r="R209" i="1"/>
  <c r="R141" i="1"/>
  <c r="R33" i="1"/>
  <c r="R65" i="1"/>
  <c r="R194" i="1"/>
  <c r="R4" i="1"/>
  <c r="R110" i="1"/>
  <c r="R31" i="1"/>
  <c r="R237" i="1"/>
  <c r="R128" i="1"/>
  <c r="R48" i="1"/>
  <c r="R37" i="1"/>
  <c r="R111" i="1"/>
  <c r="R185" i="1"/>
  <c r="R97" i="1"/>
  <c r="R136" i="1"/>
  <c r="R18" i="1"/>
  <c r="R161" i="1"/>
  <c r="R79" i="1"/>
  <c r="R140" i="1"/>
  <c r="R102" i="1"/>
  <c r="R191" i="1"/>
  <c r="R78" i="1"/>
  <c r="R43" i="1"/>
  <c r="R175" i="1"/>
  <c r="R38" i="1"/>
  <c r="R143" i="1"/>
  <c r="R190" i="1"/>
  <c r="R239" i="1"/>
  <c r="R238" i="1"/>
  <c r="R216" i="1"/>
  <c r="R166" i="1"/>
  <c r="R167" i="1"/>
  <c r="R189" i="1"/>
  <c r="E231" i="9"/>
  <c r="R231" i="1"/>
  <c r="S231" i="1" s="1"/>
  <c r="E230" i="9"/>
  <c r="R36" i="1"/>
  <c r="R47" i="1"/>
  <c r="R41" i="1"/>
  <c r="R11" i="1"/>
  <c r="R19" i="1"/>
  <c r="R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R83" i="1"/>
  <c r="R142" i="1"/>
  <c r="R10" i="1"/>
  <c r="R230" i="1"/>
  <c r="S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R68" i="1"/>
  <c r="R197" i="1"/>
  <c r="R74" i="1"/>
  <c r="R148" i="1"/>
  <c r="R171" i="1"/>
  <c r="R198" i="1"/>
  <c r="R147" i="1"/>
  <c r="R95" i="1"/>
  <c r="R45" i="1"/>
  <c r="R229" i="1"/>
  <c r="S229" i="1" s="1"/>
  <c r="R227" i="1"/>
  <c r="R226" i="1"/>
  <c r="R225" i="1"/>
  <c r="R224" i="1"/>
  <c r="R223" i="1"/>
  <c r="R186" i="1"/>
  <c r="R59" i="1"/>
  <c r="R151" i="1"/>
  <c r="R71" i="1"/>
  <c r="R100" i="1"/>
  <c r="R24" i="1"/>
  <c r="R91" i="1"/>
  <c r="R173" i="1"/>
  <c r="R85" i="1"/>
  <c r="R138" i="1"/>
  <c r="R119" i="1"/>
  <c r="R28" i="1"/>
  <c r="R145" i="1"/>
  <c r="R58" i="1"/>
  <c r="R96" i="1"/>
  <c r="R234" i="1"/>
  <c r="R122" i="1"/>
  <c r="R67" i="1"/>
  <c r="R99" i="1"/>
  <c r="R84" i="1"/>
  <c r="R8" i="1"/>
  <c r="R82" i="1"/>
  <c r="R222" i="1"/>
  <c r="R221" i="1"/>
  <c r="R220" i="1"/>
  <c r="R219" i="1"/>
  <c r="R196" i="1"/>
  <c r="R50" i="1"/>
  <c r="R131" i="1"/>
  <c r="R26" i="1"/>
  <c r="R178" i="1"/>
  <c r="R69" i="1"/>
  <c r="R139" i="1"/>
  <c r="R40" i="1"/>
  <c r="R51" i="1"/>
  <c r="R32" i="1"/>
  <c r="R92" i="1"/>
  <c r="R169" i="1"/>
  <c r="R121" i="1"/>
  <c r="R3" i="1"/>
  <c r="R7" i="1"/>
  <c r="R170" i="1"/>
  <c r="R164" i="1"/>
  <c r="R34" i="1"/>
  <c r="R228" i="1"/>
  <c r="S228" i="1" s="1"/>
  <c r="R213" i="1"/>
  <c r="R212" i="1"/>
  <c r="R211" i="1"/>
  <c r="R70" i="1"/>
  <c r="R162" i="1"/>
  <c r="R76" i="1"/>
  <c r="R158" i="1"/>
  <c r="R105" i="1"/>
  <c r="E57" i="9"/>
  <c r="E65" i="9"/>
  <c r="E67" i="9"/>
  <c r="E64" i="9"/>
  <c r="E68" i="9"/>
  <c r="E4" i="9"/>
  <c r="E60" i="9"/>
  <c r="E66" i="9"/>
  <c r="E63" i="9"/>
  <c r="E69" i="9"/>
  <c r="R214" i="1"/>
  <c r="R215" i="1"/>
  <c r="R218" i="1"/>
  <c r="R217" i="1"/>
  <c r="R202" i="1"/>
  <c r="R205" i="1"/>
  <c r="R210" i="1"/>
  <c r="R203" i="1"/>
  <c r="R207" i="1"/>
  <c r="R208" i="1"/>
  <c r="R204" i="1"/>
  <c r="R206" i="1"/>
  <c r="R183" i="1"/>
  <c r="R165" i="1"/>
  <c r="R150" i="1"/>
  <c r="R177" i="1"/>
  <c r="R174" i="1"/>
  <c r="R188" i="1"/>
  <c r="R182" i="1"/>
  <c r="R56" i="1"/>
  <c r="R133" i="1"/>
  <c r="R130" i="1"/>
  <c r="R135" i="1"/>
  <c r="R163" i="1"/>
  <c r="R13" i="1"/>
  <c r="R200" i="1"/>
  <c r="R17" i="1"/>
  <c r="R52" i="1"/>
  <c r="R98" i="1"/>
  <c r="R104" i="1"/>
  <c r="R15" i="1"/>
  <c r="R73" i="1"/>
  <c r="R187" i="1"/>
  <c r="R116" i="1"/>
  <c r="R2" i="1"/>
  <c r="R181" i="1"/>
  <c r="R63" i="1"/>
  <c r="R30" i="1"/>
  <c r="R44" i="1"/>
  <c r="R176" i="1"/>
  <c r="R123" i="1"/>
  <c r="R155" i="1"/>
  <c r="R199" i="1"/>
  <c r="R179" i="1"/>
  <c r="R87" i="1"/>
  <c r="R60" i="1"/>
  <c r="R124" i="1"/>
  <c r="R5" i="1"/>
  <c r="R192" i="1"/>
  <c r="R153" i="1"/>
  <c r="R27" i="1"/>
  <c r="R46" i="1"/>
  <c r="R159" i="1"/>
  <c r="R149" i="1"/>
  <c r="R54" i="1"/>
  <c r="R144" i="1"/>
  <c r="R152" i="1"/>
  <c r="R114" i="1"/>
  <c r="R184" i="1"/>
  <c r="R61" i="1"/>
  <c r="C12" i="6"/>
  <c r="R12" i="1"/>
  <c r="R6" i="1"/>
  <c r="R72" i="1"/>
  <c r="R109" i="1"/>
  <c r="R49" i="1"/>
  <c r="R57" i="1"/>
  <c r="R81" i="1"/>
  <c r="R42" i="1"/>
  <c r="R29" i="1"/>
  <c r="R64" i="1"/>
  <c r="R120" i="1"/>
  <c r="R94" i="1"/>
  <c r="R160" i="1"/>
  <c r="R39" i="1"/>
  <c r="R88" i="1"/>
  <c r="R132" i="1"/>
  <c r="R118" i="1"/>
  <c r="R75" i="1"/>
  <c r="R80" i="1"/>
  <c r="R66" i="1"/>
  <c r="R77" i="1"/>
  <c r="R14" i="1"/>
  <c r="R134" i="1"/>
  <c r="R127" i="1"/>
  <c r="R180" i="1"/>
  <c r="R23" i="1"/>
  <c r="R146" i="1"/>
  <c r="R201" i="1"/>
  <c r="R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S235" i="1" l="1"/>
  <c r="S239" i="1"/>
  <c r="S238" i="1"/>
  <c r="S240" i="1"/>
  <c r="S237" i="1"/>
  <c r="S234" i="1"/>
  <c r="S213" i="1"/>
  <c r="S212" i="1"/>
  <c r="C17" i="6"/>
  <c r="C11" i="6"/>
  <c r="B18" i="6"/>
  <c r="C5" i="6" l="1"/>
  <c r="C4" i="6" s="1"/>
  <c r="C6" i="6"/>
</calcChain>
</file>

<file path=xl/sharedStrings.xml><?xml version="1.0" encoding="utf-8"?>
<sst xmlns="http://schemas.openxmlformats.org/spreadsheetml/2006/main" count="2661" uniqueCount="1317">
  <si>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</si>
  <si>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</si>
  <si>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</si>
  <si>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</si>
  <si>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</si>
  <si>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</si>
  <si>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</si>
  <si>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</si>
  <si>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</si>
  <si>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</si>
  <si>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</si>
  <si>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</si>
  <si>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</si>
  <si>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</si>
  <si>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</si>
  <si>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</si>
  <si>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</si>
  <si>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</si>
  <si>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</si>
  <si>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</si>
  <si>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</si>
  <si>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</si>
  <si>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</si>
  <si>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</si>
  <si>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</si>
  <si>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</si>
  <si>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</si>
  <si>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</si>
  <si>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</si>
  <si>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</si>
  <si>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</si>
  <si>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</si>
  <si>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</si>
  <si>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</si>
  <si>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</si>
  <si>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</si>
  <si>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</si>
  <si>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</si>
  <si>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</si>
  <si>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</si>
  <si>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</si>
  <si>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</si>
  <si>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</si>
  <si>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</si>
  <si>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</si>
  <si>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</si>
  <si>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</si>
  <si>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</si>
  <si>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</si>
  <si>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</si>
  <si>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</si>
  <si>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</si>
  <si>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</si>
  <si>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</si>
  <si>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</si>
  <si>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</si>
  <si>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</si>
  <si>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</si>
  <si>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</si>
  <si>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</si>
  <si>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</si>
  <si>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</si>
  <si>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</si>
  <si>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</si>
  <si>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</si>
  <si>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</si>
  <si>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</si>
  <si>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</si>
  <si>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</si>
  <si>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</si>
  <si>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</si>
  <si>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</si>
  <si>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</si>
  <si>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</si>
  <si>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</si>
  <si>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</si>
  <si>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</si>
  <si>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</si>
  <si>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</si>
  <si>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</si>
  <si>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</si>
  <si>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</si>
  <si>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</si>
  <si>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</si>
  <si>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</si>
  <si>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</si>
  <si>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</si>
  <si>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</si>
  <si>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</si>
  <si>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</si>
  <si>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</si>
  <si>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</si>
  <si>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</si>
  <si>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</si>
  <si>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</si>
  <si>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</si>
  <si>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</si>
  <si>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</si>
  <si>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</si>
  <si>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</si>
  <si>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</si>
  <si>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</si>
  <si>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</si>
  <si>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</si>
  <si>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</si>
  <si>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</si>
  <si>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</si>
  <si>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</si>
  <si>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</si>
  <si>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</si>
  <si>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</si>
  <si>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</si>
  <si>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</si>
  <si>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</si>
  <si>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</si>
  <si>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</si>
  <si>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</si>
  <si>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</si>
  <si>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</si>
  <si>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</si>
  <si>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</si>
  <si>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</si>
  <si>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</si>
  <si>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</si>
  <si>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</si>
  <si>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</si>
  <si>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</si>
  <si>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</si>
  <si>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</si>
  <si>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https://lit.link/sereinrain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</si>
  <si>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</si>
  <si>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</si>
  <si>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</si>
  <si>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</si>
  <si>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</si>
  <si>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</si>
  <si>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</si>
  <si>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</si>
  <si>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</si>
  <si>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</si>
  <si>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</si>
  <si>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</si>
  <si>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</si>
  <si>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</si>
  <si>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</si>
  <si>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</si>
  <si>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</si>
  <si>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</si>
  <si>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</si>
  <si>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</si>
  <si>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</si>
  <si>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</si>
  <si>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</si>
  <si>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</si>
  <si>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</si>
  <si>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</si>
  <si>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</si>
  <si>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</si>
  <si>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</si>
  <si>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</si>
  <si>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</si>
  <si>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</si>
  <si>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</si>
  <si>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</si>
  <si>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</si>
  <si>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</si>
  <si>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</si>
  <si>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</si>
  <si>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</si>
  <si>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</si>
  <si>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</si>
  <si>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</si>
  <si>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</si>
  <si>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</si>
  <si>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</si>
  <si>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</si>
  <si>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</si>
  <si>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</si>
  <si>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</si>
  <si>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</si>
  <si>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</si>
  <si>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</si>
  <si>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</si>
  <si>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</si>
  <si>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</si>
  <si>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</si>
  <si>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</si>
  <si>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</si>
  <si>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</si>
  <si>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</si>
  <si>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</si>
  <si>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</si>
  <si>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</si>
  <si>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</si>
  <si>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</si>
  <si>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</si>
  <si>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</si>
  <si>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</si>
  <si>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</si>
  <si>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</si>
  <si>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</si>
  <si>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</si>
  <si>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</si>
  <si>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</si>
  <si>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</si>
  <si>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</si>
  <si>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</si>
  <si>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</si>
  <si>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</si>
  <si>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</si>
  <si>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</si>
  <si>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</si>
  <si>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</si>
  <si>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</si>
  <si>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</si>
  <si>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</si>
  <si>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</si>
  <si>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</si>
  <si>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</si>
  <si>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</si>
  <si>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</si>
  <si>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</si>
  <si>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</si>
  <si>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</si>
  <si>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</si>
  <si>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</si>
  <si>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</si>
  <si>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</si>
  <si>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</si>
  <si>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</si>
  <si>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</si>
  <si>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</si>
  <si>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</si>
  <si>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</si>
  <si>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</si>
  <si>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</si>
  <si>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</si>
  <si>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</si>
  <si>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</si>
  <si>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</si>
  <si>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</si>
  <si>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</si>
  <si>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</si>
  <si>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</si>
  <si>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</si>
  <si>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</si>
  <si>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</si>
  <si>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</si>
  <si>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</si>
  <si>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</si>
  <si>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</si>
  <si>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</si>
  <si>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</si>
  <si>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</si>
  <si>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</si>
  <si>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</si>
  <si>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</si>
  <si>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</si>
  <si>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</si>
  <si>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</si>
  <si>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</si>
  <si>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</si>
  <si>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</si>
  <si>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</si>
  <si>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</si>
  <si>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</si>
  <si>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</si>
  <si>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</si>
  <si>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</si>
  <si>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</si>
  <si>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</si>
  <si>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</si>
  <si>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</si>
  <si>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</si>
  <si>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</si>
  <si>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</si>
  <si>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</si>
  <si>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</si>
  <si>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</si>
  <si>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</si>
  <si>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</si>
  <si>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</si>
  <si>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</si>
  <si>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</si>
  <si>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</si>
  <si>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</si>
  <si>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</si>
  <si>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</si>
  <si>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</si>
  <si>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</si>
  <si>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</si>
  <si>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</si>
  <si>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</si>
  <si>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</si>
  <si>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</si>
  <si>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</si>
  <si>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</si>
  <si>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</si>
  <si>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</si>
  <si>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</si>
  <si>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</si>
  <si>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</si>
  <si>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</si>
  <si>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</si>
  <si>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</si>
  <si>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</si>
  <si>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</si>
  <si>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</si>
  <si>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</si>
  <si>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</si>
  <si>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</si>
  <si>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</si>
  <si>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</si>
  <si>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</si>
  <si>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</si>
  <si>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</si>
  <si>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</si>
  <si>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</si>
  <si>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</si>
  <si>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</si>
  <si>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</si>
  <si>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</si>
  <si>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</si>
  <si>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</si>
  <si>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</si>
  <si>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</si>
  <si>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</si>
  <si>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</si>
  <si>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</si>
  <si>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</si>
  <si>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</si>
  <si>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</si>
  <si>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</si>
  <si>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</si>
  <si>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</si>
  <si>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</si>
  <si>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</si>
  <si>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</si>
  <si>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</si>
  <si>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</si>
  <si>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</si>
  <si>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</si>
  <si>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</si>
  <si>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</si>
  <si>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</si>
  <si>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</si>
  <si>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</si>
  <si>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</si>
  <si>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</si>
  <si>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</si>
  <si>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</si>
  <si>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</si>
  <si>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</si>
  <si>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</si>
  <si>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</si>
  <si>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</si>
  <si>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</si>
  <si>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</si>
  <si>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</si>
  <si>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</si>
  <si>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</si>
  <si>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</si>
  <si>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</si>
  <si>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</si>
  <si>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</si>
  <si>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</si>
  <si>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</si>
  <si>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</si>
  <si>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</si>
  <si>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</si>
  <si>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</si>
  <si>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</si>
  <si>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</si>
  <si>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</si>
  <si>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</si>
  <si>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</si>
  <si>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</si>
  <si>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</si>
  <si>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https://mashimo0330.wixsite.com/awaka-utau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</si>
  <si>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</si>
  <si>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</si>
  <si>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</si>
  <si>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</si>
  <si>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</si>
  <si>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</si>
  <si>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</si>
  <si>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</si>
  <si>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</si>
  <si>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</si>
  <si>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</si>
  <si>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</si>
  <si>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</si>
  <si>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</si>
  <si>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</si>
  <si>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</si>
  <si>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</si>
  <si>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</si>
  <si>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</si>
  <si>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</si>
  <si>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</si>
  <si>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</si>
  <si>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</si>
  <si>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</si>
  <si>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</si>
  <si>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</si>
  <si>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</si>
  <si>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</si>
  <si>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</si>
  <si>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</si>
  <si>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</si>
  <si>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</si>
  <si>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</si>
  <si>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</si>
  <si>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</si>
  <si>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</si>
  <si>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</si>
  <si>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</si>
  <si>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</si>
  <si>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</si>
  <si>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</si>
  <si>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</si>
  <si>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</si>
  <si>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</si>
  <si>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</si>
  <si>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</si>
  <si>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</si>
  <si>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</si>
  <si>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</si>
  <si>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</si>
  <si>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</si>
  <si>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</si>
  <si>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</si>
  <si>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</si>
  <si>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</si>
  <si>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</si>
  <si>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</si>
  <si>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</si>
  <si>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</si>
  <si>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</si>
  <si>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</si>
  <si>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</si>
  <si>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</si>
  <si>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</si>
  <si>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</si>
  <si>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</si>
  <si>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</si>
  <si>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</si>
  <si>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</si>
  <si>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</si>
  <si>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</si>
  <si>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</si>
  <si>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</si>
  <si>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</si>
  <si>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</si>
  <si>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</si>
  <si>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</si>
  <si>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</si>
  <si>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</si>
  <si>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</si>
  <si>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</si>
  <si>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</si>
  <si>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</si>
  <si>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</si>
  <si>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</si>
  <si>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</si>
  <si>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</si>
  <si>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</si>
  <si>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</si>
  <si>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</si>
  <si>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</si>
  <si>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</si>
  <si>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</si>
  <si>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</si>
  <si>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</si>
  <si>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</si>
  <si>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</si>
  <si>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</si>
  <si>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</si>
  <si>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</si>
  <si>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</si>
  <si>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</si>
  <si>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</si>
  <si>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</si>
  <si>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</si>
  <si>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</si>
  <si>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</si>
  <si>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</si>
  <si>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</si>
  <si>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</si>
  <si>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</si>
  <si>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</si>
  <si>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</si>
  <si>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</si>
  <si>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</si>
  <si>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</si>
  <si>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</si>
  <si>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</si>
  <si>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</si>
  <si>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</si>
  <si>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</si>
  <si>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</si>
  <si>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</si>
  <si>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</si>
  <si>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</si>
  <si>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</si>
  <si>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</si>
  <si>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</si>
  <si>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</si>
  <si>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</si>
  <si>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</si>
  <si>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</si>
  <si>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</si>
  <si>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</si>
  <si>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</si>
  <si>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</si>
  <si>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</si>
  <si>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</si>
  <si>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</si>
  <si>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</si>
  <si>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</si>
  <si>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</si>
  <si>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</si>
  <si>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</si>
  <si>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</si>
  <si>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</si>
  <si>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</si>
  <si>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</si>
  <si>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</si>
  <si>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</si>
  <si>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</si>
  <si>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</si>
  <si>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</si>
  <si>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</si>
  <si>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</si>
  <si>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</si>
  <si>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</si>
  <si>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</si>
  <si>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</si>
  <si>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</si>
  <si>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</si>
  <si>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</si>
  <si>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</si>
  <si>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</si>
  <si>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</si>
  <si>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</si>
  <si>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</si>
  <si>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</si>
  <si>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</si>
  <si>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</si>
  <si>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</si>
  <si>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</si>
  <si>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</si>
  <si>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</si>
  <si>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</si>
  <si>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</si>
  <si>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</si>
  <si>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</si>
  <si>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</si>
  <si>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</si>
  <si>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</si>
  <si>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</si>
  <si>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</si>
  <si>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</si>
  <si>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</si>
  <si>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</si>
  <si>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</si>
  <si>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</si>
  <si>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</si>
  <si>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</si>
  <si>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</si>
  <si>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</si>
  <si>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</si>
  <si>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</si>
  <si>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</si>
  <si>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</si>
  <si>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</si>
  <si>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</si>
  <si>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</si>
  <si>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</si>
  <si>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</si>
  <si>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</si>
  <si>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</si>
  <si>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</si>
  <si>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</si>
  <si>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</si>
  <si>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</si>
  <si>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</si>
  <si>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</si>
  <si>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</si>
  <si>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</si>
  <si>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</si>
  <si>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</si>
  <si>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</si>
  <si>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</si>
  <si>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</si>
  <si>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</si>
  <si>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</si>
  <si>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</si>
  <si>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</si>
  <si>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</si>
  <si>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</si>
  <si>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</si>
  <si>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</si>
  <si>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</si>
  <si>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</si>
  <si>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</si>
  <si>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</si>
  <si>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</si>
  <si>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</si>
  <si>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</si>
  <si>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</si>
  <si>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</si>
  <si>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</si>
  <si>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</si>
  <si>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</si>
  <si>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</si>
  <si>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</si>
  <si>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</si>
  <si>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</si>
  <si>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</si>
  <si>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</si>
  <si>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</si>
  <si>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</si>
  <si>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</si>
  <si>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</si>
  <si>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</si>
  <si>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</si>
  <si>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</si>
  <si>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</si>
  <si>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</si>
  <si>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</si>
  <si>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</si>
  <si>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</si>
  <si>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</si>
  <si>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</si>
  <si>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</si>
  <si>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</si>
  <si>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</si>
  <si>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</si>
  <si>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</si>
  <si>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</si>
  <si>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</si>
  <si>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</si>
  <si>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</si>
  <si>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</si>
  <si>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</si>
  <si>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</si>
  <si>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</si>
  <si>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</si>
  <si>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</si>
  <si>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</si>
  <si>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</si>
  <si>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</si>
  <si>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</si>
  <si>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</si>
  <si>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</si>
  <si>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</si>
  <si>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</si>
  <si>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</si>
  <si>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</si>
  <si>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</si>
  <si>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</si>
  <si>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</si>
  <si>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</si>
  <si>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</si>
  <si>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</si>
  <si>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</si>
  <si>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</si>
  <si>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</si>
  <si>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</si>
  <si>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</si>
  <si>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</si>
  <si>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</si>
  <si>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</si>
  <si>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</si>
  <si>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</si>
  <si>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</si>
  <si>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</si>
  <si>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</si>
  <si>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</si>
  <si>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</si>
  <si>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</si>
  <si>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</si>
  <si>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</si>
  <si>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</si>
  <si>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</si>
  <si>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</si>
  <si>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</si>
  <si>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</si>
  <si>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</si>
  <si>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</si>
  <si>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</si>
  <si>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</si>
  <si>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</si>
  <si>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</si>
  <si>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</si>
  <si>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</si>
  <si>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</si>
  <si>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</si>
  <si>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</si>
  <si>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</si>
  <si>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</si>
  <si>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</si>
  <si>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</si>
  <si>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</si>
  <si>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</si>
  <si>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</si>
  <si>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</si>
  <si>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</si>
  <si>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</si>
  <si>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</si>
  <si>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</si>
  <si>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</si>
  <si>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故人、幽霊</t>
    <rPh sb="0" eb="2">
      <t>コジン</t>
    </rPh>
    <rPh sb="3" eb="5">
      <t>ユウレイ</t>
    </rPh>
    <phoneticPr fontId="1"/>
  </si>
  <si>
    <t>人間、人形</t>
    <rPh sb="0" eb="2">
      <t>ニンゲン</t>
    </rPh>
    <rPh sb="3" eb="5">
      <t>ニンギョウ</t>
    </rPh>
    <phoneticPr fontId="1"/>
  </si>
  <si>
    <t>バーチャル、キメラ</t>
  </si>
  <si>
    <t>人間、双子</t>
    <rPh sb="0" eb="2">
      <t>ニンゲン</t>
    </rPh>
    <phoneticPr fontId="1"/>
  </si>
  <si>
    <t>妖精、双子</t>
    <rPh sb="0" eb="2">
      <t>ヨウセイ</t>
    </rPh>
    <rPh sb="3" eb="5">
      <t>フタゴ</t>
    </rPh>
    <phoneticPr fontId="1"/>
  </si>
  <si>
    <t>妖怪、長寿</t>
    <rPh sb="0" eb="2">
      <t>ヨウカイ</t>
    </rPh>
    <rPh sb="3" eb="5">
      <t>チョウジュ</t>
    </rPh>
    <phoneticPr fontId="1"/>
  </si>
  <si>
    <t>人間、長寿</t>
    <rPh sb="0" eb="2">
      <t>ニンゲン</t>
    </rPh>
    <rPh sb="3" eb="5">
      <t>チョウジュ</t>
    </rPh>
    <phoneticPr fontId="1"/>
  </si>
  <si>
    <t>天使、長寿</t>
    <rPh sb="0" eb="2">
      <t>テンシ</t>
    </rPh>
    <rPh sb="3" eb="5">
      <t>チョウジュ</t>
    </rPh>
    <phoneticPr fontId="1"/>
  </si>
  <si>
    <t>故人、ゾンビ</t>
    <rPh sb="0" eb="2">
      <t>コジン</t>
    </rPh>
    <phoneticPr fontId="1"/>
  </si>
  <si>
    <t>人間、不老、不死、長寿</t>
    <rPh sb="0" eb="2">
      <t>ニンゲン</t>
    </rPh>
    <rPh sb="3" eb="5">
      <t>フロウ</t>
    </rPh>
    <rPh sb="6" eb="8">
      <t>フシ</t>
    </rPh>
    <rPh sb="9" eb="11">
      <t>チョウジュ</t>
    </rPh>
    <phoneticPr fontId="1"/>
  </si>
  <si>
    <t>人間、双子、故人</t>
    <rPh sb="0" eb="2">
      <t>ニンゲン</t>
    </rPh>
    <rPh sb="6" eb="8">
      <t>コジン</t>
    </rPh>
    <phoneticPr fontId="1"/>
  </si>
  <si>
    <t>灰咲囁</t>
    <phoneticPr fontId="1"/>
  </si>
  <si>
    <t>神</t>
    <rPh sb="0" eb="1">
      <t>カミ</t>
    </rPh>
    <phoneticPr fontId="1"/>
  </si>
  <si>
    <t>神、不老、不死、長寿</t>
    <rPh sb="0" eb="1">
      <t>カミ</t>
    </rPh>
    <rPh sb="2" eb="4">
      <t>フロウ</t>
    </rPh>
    <rPh sb="5" eb="7">
      <t>フシ</t>
    </rPh>
    <rPh sb="8" eb="10">
      <t>チョウジュ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</si>
  <si>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</si>
  <si>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</si>
  <si>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</si>
  <si>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</si>
  <si>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</si>
  <si>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バーチャル、双子</t>
    <rPh sb="6" eb="8">
      <t>フタゴ</t>
    </rPh>
    <phoneticPr fontId="1"/>
  </si>
  <si>
    <t>怪異</t>
  </si>
  <si>
    <t>白石朔汰</t>
    <phoneticPr fontId="1"/>
  </si>
  <si>
    <t>人間、不老、不死</t>
    <rPh sb="0" eb="2">
      <t>ニンゲン</t>
    </rPh>
    <rPh sb="3" eb="5">
      <t>フロウ</t>
    </rPh>
    <rPh sb="6" eb="8">
      <t>フシ</t>
    </rPh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</si>
  <si>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</si>
  <si>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</si>
  <si>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</si>
  <si>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</si>
  <si>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</si>
  <si>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</si>
  <si>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</si>
  <si>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</si>
  <si>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</si>
  <si>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</si>
  <si>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</si>
  <si>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</si>
  <si>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</si>
  <si>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</si>
  <si>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</si>
  <si>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</si>
  <si>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</si>
  <si>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</si>
  <si>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</si>
  <si>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</si>
  <si>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</si>
  <si>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</si>
  <si>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</si>
  <si>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</si>
  <si>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</si>
  <si>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</si>
  <si>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</si>
  <si>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</si>
  <si>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</si>
  <si>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</si>
  <si>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</si>
  <si>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機械、長寿</t>
    <rPh sb="0" eb="2">
      <t>キカイ</t>
    </rPh>
    <rPh sb="3" eb="5">
      <t>チョウジュ</t>
    </rPh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</si>
  <si>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</si>
  <si>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</si>
  <si>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</si>
  <si>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</si>
  <si>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https://rapo080302.wixsite.com/twosibi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</si>
  <si>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</si>
  <si>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</si>
  <si>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</si>
  <si>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</si>
  <si>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</si>
  <si>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</si>
  <si>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</si>
  <si>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</si>
  <si>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</si>
  <si>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</si>
  <si>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</si>
  <si>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</si>
  <si>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</si>
  <si>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</si>
  <si>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</si>
  <si>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</si>
  <si>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</si>
  <si>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</si>
  <si>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</si>
  <si>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</si>
  <si>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</si>
  <si>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</si>
  <si>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</si>
  <si>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</si>
  <si>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</si>
  <si>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</si>
  <si>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</si>
  <si>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</si>
  <si>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</si>
  <si>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</si>
  <si>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</si>
  <si>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</si>
  <si>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</si>
  <si>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</si>
  <si>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</si>
  <si>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</si>
  <si>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</si>
  <si>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</si>
  <si>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</si>
  <si>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</si>
  <si>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</si>
  <si>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</si>
  <si>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</si>
  <si>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</si>
  <si>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</si>
  <si>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</si>
  <si>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</si>
  <si>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</si>
  <si>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</si>
  <si>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</si>
  <si>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</si>
  <si>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</si>
  <si>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</si>
  <si>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</si>
  <si>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</si>
  <si>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</si>
  <si>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</si>
  <si>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</si>
  <si>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</si>
  <si>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</si>
  <si>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</si>
  <si>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</si>
  <si>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</si>
  <si>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</si>
  <si>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</si>
  <si>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</si>
  <si>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</si>
  <si>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</si>
  <si>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</si>
  <si>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</si>
  <si>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</si>
  <si>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</si>
  <si>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</si>
  <si>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</si>
  <si>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</si>
  <si>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</si>
  <si>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</si>
  <si>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</si>
  <si>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</si>
  <si>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</si>
  <si>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</si>
  <si>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</si>
  <si>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</si>
  <si>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</si>
  <si>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</si>
  <si>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</si>
  <si>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</si>
  <si>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</si>
  <si>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</si>
  <si>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</si>
  <si>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</si>
  <si>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</si>
  <si>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</si>
  <si>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</si>
  <si>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</si>
  <si>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</si>
  <si>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</si>
  <si>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</si>
  <si>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</si>
  <si>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</si>
  <si>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</si>
  <si>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</si>
  <si>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</si>
  <si>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</si>
  <si>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</si>
  <si>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</si>
  <si>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</si>
  <si>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</si>
  <si>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</si>
  <si>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</si>
  <si>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</si>
  <si>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</si>
  <si>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</si>
  <si>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</si>
  <si>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</si>
  <si>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</si>
  <si>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</si>
  <si>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</si>
  <si>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</si>
  <si>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</si>
  <si>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</si>
  <si>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</si>
  <si>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</si>
  <si>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</si>
  <si>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</si>
  <si>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</si>
  <si>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</si>
  <si>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</si>
  <si>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</si>
  <si>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</si>
  <si>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</si>
  <si>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</si>
  <si>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</si>
  <si>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</si>
  <si>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</si>
  <si>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</si>
  <si>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</si>
  <si>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</si>
  <si>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</si>
  <si>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</si>
  <si>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</si>
  <si>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</si>
  <si>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</si>
  <si>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</si>
  <si>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</si>
  <si>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</si>
  <si>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</si>
  <si>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</si>
  <si>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</si>
  <si>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</si>
  <si>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</si>
  <si>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</si>
  <si>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</si>
  <si>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</si>
  <si>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</si>
  <si>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</si>
  <si>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</si>
  <si>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</si>
  <si>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</si>
  <si>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</si>
  <si>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</si>
  <si>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</si>
  <si>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</si>
  <si>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</si>
  <si>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</si>
  <si>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</si>
  <si>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</si>
  <si>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</si>
  <si>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</si>
  <si>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</si>
  <si>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</si>
  <si>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</si>
  <si>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</si>
  <si>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</si>
  <si>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</si>
  <si>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</si>
  <si>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</si>
  <si>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</si>
  <si>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</si>
  <si>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</si>
  <si>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</si>
  <si>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</si>
  <si>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</si>
  <si>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</si>
  <si>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</si>
  <si>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</si>
  <si>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</si>
  <si>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</si>
  <si>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</si>
  <si>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</si>
  <si>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</si>
  <si>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</si>
  <si>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</si>
  <si>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</si>
  <si>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</si>
  <si>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</si>
  <si>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</si>
  <si>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</si>
  <si>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</si>
  <si>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</si>
  <si>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</si>
  <si>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</si>
  <si>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</si>
  <si>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</si>
  <si>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</si>
  <si>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</si>
  <si>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</si>
  <si>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</si>
  <si>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</si>
  <si>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</si>
  <si>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</si>
  <si>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</si>
  <si>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</si>
  <si>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</si>
  <si>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</si>
  <si>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</si>
  <si>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</si>
  <si>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</si>
  <si>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</si>
  <si>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</si>
  <si>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</si>
  <si>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</si>
  <si>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</si>
  <si>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</si>
  <si>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</si>
  <si>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</si>
  <si>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</si>
  <si>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</si>
  <si>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</si>
  <si>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</si>
  <si>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</si>
  <si>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</si>
  <si>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</si>
  <si>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</si>
  <si>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</si>
  <si>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</si>
  <si>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</si>
  <si>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</si>
  <si>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</si>
  <si>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</si>
  <si>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</si>
  <si>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</si>
  <si>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</si>
  <si>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</si>
  <si>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</si>
  <si>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</si>
  <si>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</si>
  <si>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</si>
  <si>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</si>
  <si>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</si>
  <si>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</si>
  <si>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</si>
  <si>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</si>
  <si>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</si>
  <si>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</si>
  <si>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</si>
  <si>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</si>
  <si>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</si>
  <si>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</si>
  <si>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</si>
  <si>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</si>
  <si>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</si>
  <si>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</si>
  <si>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</si>
  <si>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</si>
  <si>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</si>
  <si>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</si>
  <si>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</si>
  <si>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</si>
  <si>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</si>
  <si>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</si>
  <si>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</si>
  <si>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</si>
  <si>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</si>
  <si>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</si>
  <si>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</si>
  <si>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</si>
  <si>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</si>
  <si>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</si>
  <si>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</si>
  <si>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</si>
  <si>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</si>
  <si>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</si>
  <si>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</si>
  <si>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</si>
  <si>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</si>
  <si>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</si>
  <si>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</si>
  <si>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</si>
  <si>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</si>
  <si>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</si>
  <si>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</si>
  <si>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</si>
  <si>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</si>
  <si>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</si>
  <si>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</si>
  <si>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</si>
  <si>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</si>
  <si>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</si>
  <si>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</si>
  <si>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</si>
  <si>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</si>
  <si>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</si>
  <si>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</si>
  <si>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</si>
  <si>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</si>
  <si>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</si>
  <si>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</si>
  <si>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</si>
  <si>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</si>
  <si>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</si>
  <si>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</si>
  <si>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</si>
  <si>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</si>
  <si>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</si>
  <si>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</si>
  <si>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</si>
  <si>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</si>
  <si>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</si>
  <si>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</si>
  <si>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</si>
  <si>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</si>
  <si>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</si>
  <si>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</si>
  <si>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</si>
  <si>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</si>
  <si>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</si>
  <si>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</si>
  <si>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</si>
  <si>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</si>
  <si>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</si>
  <si>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</si>
  <si>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</si>
  <si>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</si>
  <si>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</si>
  <si>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</si>
  <si>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</si>
  <si>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</si>
  <si>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</si>
  <si>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</si>
  <si>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</si>
  <si>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</si>
  <si>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</si>
  <si>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</si>
  <si>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</si>
  <si>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</si>
  <si>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</si>
  <si>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</si>
  <si>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</si>
  <si>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</si>
  <si>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</si>
  <si>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</si>
  <si>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</si>
  <si>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</si>
  <si>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</si>
  <si>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</si>
  <si>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</si>
  <si>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</si>
  <si>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</si>
  <si>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</si>
  <si>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</si>
  <si>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</si>
  <si>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</si>
  <si>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</si>
  <si>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</si>
  <si>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</si>
  <si>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</si>
  <si>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</si>
  <si>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</si>
  <si>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</si>
  <si>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</si>
  <si>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</si>
  <si>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</si>
  <si>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</si>
  <si>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</si>
  <si>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</si>
  <si>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</si>
  <si>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</si>
  <si>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</si>
  <si>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</si>
  <si>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</si>
  <si>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</si>
  <si>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</si>
  <si>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</si>
  <si>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</si>
  <si>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</si>
  <si>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</si>
  <si>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</si>
  <si>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</si>
  <si>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</si>
  <si>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</si>
  <si>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</si>
  <si>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</si>
  <si>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</si>
  <si>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</si>
  <si>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</si>
  <si>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</si>
  <si>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</si>
  <si>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</si>
  <si>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</si>
  <si>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</si>
  <si>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</si>
  <si>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</si>
  <si>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</si>
  <si>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</si>
  <si>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</si>
  <si>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</si>
  <si>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</si>
  <si>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</si>
  <si>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</si>
  <si>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</si>
  <si>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</si>
  <si>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</si>
  <si>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</si>
  <si>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</si>
  <si>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</si>
  <si>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</si>
  <si>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</si>
  <si>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</si>
  <si>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</si>
  <si>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</si>
  <si>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</si>
  <si>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</si>
  <si>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</si>
  <si>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</si>
  <si>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</si>
  <si>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</si>
  <si>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</si>
  <si>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</si>
  <si>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</si>
  <si>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</si>
  <si>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</si>
  <si>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</si>
  <si>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</si>
  <si>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</si>
  <si>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</si>
  <si>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</si>
  <si>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</si>
  <si>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</si>
  <si>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</si>
  <si>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</si>
  <si>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</si>
  <si>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</si>
  <si>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</si>
  <si>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</si>
  <si>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</si>
  <si>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</si>
  <si>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</si>
  <si>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</si>
  <si>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</si>
  <si>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</si>
  <si>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</si>
  <si>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</si>
  <si>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</si>
  <si>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</si>
  <si>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</si>
  <si>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</si>
  <si>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</si>
  <si>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</si>
  <si>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</si>
  <si>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</si>
  <si>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</si>
  <si>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宇宙・天体、哺乳類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</si>
  <si>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</si>
  <si>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</si>
  <si>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</si>
  <si>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</si>
  <si>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</si>
  <si>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</si>
  <si>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</si>
  <si>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</si>
  <si>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</si>
  <si>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</si>
  <si>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</si>
  <si>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</si>
  <si>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</si>
  <si>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</si>
  <si>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</si>
  <si>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</si>
  <si>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</si>
  <si>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</si>
  <si>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</si>
  <si>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</si>
  <si>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</si>
  <si>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</si>
  <si>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</si>
  <si>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</si>
  <si>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</si>
  <si>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</si>
  <si>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</si>
  <si>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</si>
  <si>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</si>
  <si>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</si>
  <si>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</si>
  <si>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</si>
  <si>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</si>
  <si>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</si>
  <si>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</si>
  <si>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</si>
  <si>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</si>
  <si>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</si>
  <si>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</si>
  <si>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</si>
  <si>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</si>
  <si>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</si>
  <si>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</si>
  <si>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</si>
  <si>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</si>
  <si>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</si>
  <si>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</si>
  <si>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</si>
  <si>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</si>
  <si>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</si>
  <si>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</si>
  <si>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</si>
  <si>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</si>
  <si>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</si>
  <si>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</si>
  <si>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</si>
  <si>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</si>
  <si>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</si>
  <si>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</si>
  <si>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</si>
  <si>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</si>
  <si>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</si>
  <si>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</si>
  <si>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</si>
  <si>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</si>
  <si>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</si>
  <si>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</si>
  <si>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</si>
  <si>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</si>
  <si>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</si>
  <si>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</si>
  <si>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</si>
  <si>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</si>
  <si>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元ヤン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</si>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</sst>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69" headerRowDxfId="68" dataDxfId="67" tableBorderDxfId="66">
  <autoFilter ref="A1:Z269" xr:uid="{AFDEA6E0-6891-40ED-8736-87CEEF9CED2F}"/>
  <sortState xmlns:xlrd2="http://schemas.microsoft.com/office/spreadsheetml/2017/richdata2" ref="A2:Z269">
    <sortCondition ref="A1:A269"/>
  </sortState>
  <tableColumns count="26">
    <tableColumn id="7" xr3:uid="{9D671CE8-205F-4EC4-AF57-C49043815D5D}" name="番号" totalsRowLabel="集計" dataDxfId="65" totalsRowDxfId="64"/>
    <tableColumn id="1" xr3:uid="{BC0E7496-4241-40F3-92D1-BFEC8E2F21B0}" name="画像" dataDxfId="63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2" totalsRowDxfId="61"/>
    <tableColumn id="3" xr3:uid="{1CD1AB40-A0B3-43E1-8992-FB5152113AF0}" name="なまえ" dataDxfId="60" totalsRowDxfId="59"/>
    <tableColumn id="4" xr3:uid="{3A18F89A-C86D-435E-8081-BFA7EDB53407}" name="Name" dataDxfId="58" totalsRowDxfId="57"/>
    <tableColumn id="5" xr3:uid="{465CE434-66FF-4581-97B6-92FB1196AA88}" name="リンク" dataDxfId="56" totalsRowDxfId="55"/>
    <tableColumn id="6" xr3:uid="{C8A231EF-CEE1-4EDF-9F79-E20B4EE26A3B}" name="作品タグ" dataDxfId="54" totalsRowDxfId="53"/>
    <tableColumn id="21" xr3:uid="{A3F04976-FEAF-4AB6-883A-CBF50885B75B}" name="性別" dataDxfId="52" totalsRowDxfId="51"/>
    <tableColumn id="20" xr3:uid="{1BC45536-DCFC-46D8-8A1D-7CA1DB3A4086}" name="種族タグ" dataDxfId="50" totalsRowDxfId="49"/>
    <tableColumn id="22" xr3:uid="{A500EE07-F0A6-4CFF-83B6-145BEF44F05E}" name="モチーフタグ" dataDxfId="48" totalsRowDxfId="47"/>
    <tableColumn id="26" xr3:uid="{2B96D442-9F1D-4AD2-BE19-F53862387B36}" name="属性タグ" dataDxfId="46" totalsRowDxfId="45"/>
    <tableColumn id="23" xr3:uid="{C7A460FE-A76F-44CC-BA42-F2EDCB5166B0}" name="職業タグ" dataDxfId="44" totalsRowDxfId="43"/>
    <tableColumn id="24" xr3:uid="{13CD4112-798D-4D06-B448-3A060DFAF850}" name="小物タグ" dataDxfId="42" totalsRowDxfId="41"/>
    <tableColumn id="25" xr3:uid="{BB31FC48-2C53-4F77-9754-878F1123A640}" name="身体的特徴タグ" dataDxfId="40" totalsRowDxfId="39"/>
    <tableColumn id="14" xr3:uid="{419D2296-96F6-49B6-A101-8BE8083A1FF8}" name="グッズ許可・許可" dataDxfId="38" totalsRowDxfId="37"/>
    <tableColumn id="10" xr3:uid="{A3DF9BE0-B684-4FD2-9C65-44C5CE7A0DC3}" name="描画状況" totalsRowFunction="count" dataDxfId="36" totalsRowDxfId="35"/>
    <tableColumn id="9" xr3:uid="{02AE6379-3B3C-4BB2-A47F-0A695072C3A9}" name="列1" dataDxfId="34" totalsRowDxfId="33">
      <calculatedColumnFormula>テーブル1[[#This Row],[リンク]]&amp;テーブル1[[#This Row],[描画状況]]</calculatedColumnFormula>
    </tableColumn>
    <tableColumn id="13" xr3:uid="{823DB8CC-CE55-4F0C-AE72-2EE293521925}" name="列2" dataDxfId="32" dataCellStyle="パーセント">
      <calculatedColumnFormula>1-(COUNTIF(Q:Q,_xlfn.TEXTJOIN(",",TRUE,テーブル1[[#This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31" totalsRowDxfId="30" dataCellStyle="パーセント">
      <calculatedColumnFormula>IFERROR(IF(テーブル1[[#This Row],[描画状況]]="",RAND()+(テーブル1[[#This Row],[列2]]*100),""),RAND())</calculatedColumnFormula>
    </tableColumn>
    <tableColumn id="8" xr3:uid="{757FA2CC-BDF6-4D0F-991C-824CC2AFBB2A}" name="投稿状況" totalsRowFunction="custom" dataDxfId="29" totalsRowDxfId="28">
      <totalsRowFormula>COUNTIF(テーブル1[投稿状況],"")</totalsRowFormula>
    </tableColumn>
    <tableColumn id="11" xr3:uid="{81D4E3E6-4E02-4A2D-B6F1-0BB82B392F85}" name="乱数B" dataDxfId="27" totalsRowDxfId="26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25" totalsRowDxfId="24">
      <calculatedColumnFormula>"|&amp;image("&amp;テーブル1[[#This Row],[画像]]&amp;".png,width=100,height=100)"</calculatedColumnFormula>
    </tableColumn>
    <tableColumn id="16" xr3:uid="{AC31EEC7-EDA4-4933-B34D-6F013BAC07AB}" name="|名前" dataDxfId="23" totalsRowDxfId="22">
      <calculatedColumnFormula>"|MIDDLE:​"&amp;テーブル1[[#This Row],[名前]]</calculatedColumnFormula>
    </tableColumn>
    <tableColumn id="17" xr3:uid="{5631FE5D-E14B-45F0-9DC6-C07DDBCF063D}" name="|なまえ" dataDxfId="21" totalsRowDxfId="20">
      <calculatedColumnFormula>"|MIDDLE:​"&amp;テーブル1[[#This Row],[なまえ]]</calculatedColumnFormula>
    </tableColumn>
    <tableColumn id="18" xr3:uid="{1D34E550-311D-4181-9DE5-9513280D0029}" name="|Name" dataDxfId="19" totalsRowDxfId="18">
      <calculatedColumnFormula>"|MIDDLE:​"&amp;テーブル1[[#This Row],[Name]]</calculatedColumnFormula>
    </tableColumn>
    <tableColumn id="19" xr3:uid="{742CFAB1-9F2D-444A-A881-F762695DCCB1}" name="|キャラクター情報リンク|" dataDxfId="17" totalsRowDxfId="16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69" totalsRowShown="0" headerRowDxfId="15" dataDxfId="14">
  <autoFilter ref="A1:N269" xr:uid="{E4C87AB3-D453-4364-A868-37CD257B126C}"/>
  <tableColumns count="14">
    <tableColumn id="1" xr3:uid="{1E92C13E-0744-4588-9D96-A833A7BD4B23}" name="id" dataDxfId="13">
      <calculatedColumnFormula>テーブル1[[#This Row],[番号]]</calculatedColumnFormula>
    </tableColumn>
    <tableColumn id="2" xr3:uid="{BFFC27FC-5A70-42B5-935F-18B299D9A450}" name="name" dataDxfId="12">
      <calculatedColumnFormula>テーブル1[[#This Row],[名前]]</calculatedColumnFormula>
    </tableColumn>
    <tableColumn id="3" xr3:uid="{376B9D63-7024-4C39-A1F3-F8A88D986D2E}" name="kana" dataDxfId="11">
      <calculatedColumnFormula>テーブル1[[#This Row],[なまえ]]</calculatedColumnFormula>
    </tableColumn>
    <tableColumn id="4" xr3:uid="{3A4FC950-495C-4C11-B6DB-96CE6A55121C}" name="romaji" dataDxfId="10">
      <calculatedColumnFormula>テーブル1[[#This Row],[Name]]</calculatedColumnFormula>
    </tableColumn>
    <tableColumn id="5" xr3:uid="{B264791E-28AE-437A-AA33-4258BDE55BAA}" name="icon" dataDxfId="9">
      <calculatedColumnFormula>"image/"&amp;テーブル1[[#This Row],[画像]]&amp;".png"</calculatedColumnFormula>
    </tableColumn>
    <tableColumn id="6" xr3:uid="{857A780E-B021-402A-872A-1CBFFEF7F813}" name="url" dataDxfId="8">
      <calculatedColumnFormula>テーブル1[[#This Row],[リンク]]</calculatedColumnFormula>
    </tableColumn>
    <tableColumn id="7" xr3:uid="{54796813-8C4A-4907-9B54-8EC5819BC55C}" name="workTags" dataDxfId="7">
      <calculatedColumnFormula>SUBSTITUTE(テーブル1[[#This Row],[作品タグ]],"、","|")</calculatedColumnFormula>
    </tableColumn>
    <tableColumn id="8" xr3:uid="{C71938D1-4F25-43A4-AC89-6B4F6A5026A2}" name="gender" dataDxfId="6">
      <calculatedColumnFormula>テーブル1[[#This Row],[性別]]&amp;""</calculatedColumnFormula>
    </tableColumn>
    <tableColumn id="9" xr3:uid="{39305227-2E4A-4CF9-88DD-B221FEC21124}" name="種族タグ" dataDxfId="5">
      <calculatedColumnFormula>SUBSTITUTE(テーブル1[[#This Row],[種族タグ]],"、","|")</calculatedColumnFormula>
    </tableColumn>
    <tableColumn id="13" xr3:uid="{B62C6CC3-DFD5-40D0-9E39-6AE6C719FF5E}" name="モチーフタグ" dataDxfId="4">
      <calculatedColumnFormula>SUBSTITUTE(テーブル1[[#This Row],[モチーフタグ]],"、","|")</calculatedColumnFormula>
    </tableColumn>
    <tableColumn id="14" xr3:uid="{F7330F03-94E9-4728-B627-57B809D1D253}" name="属性タグ" dataDxfId="3">
      <calculatedColumnFormula>SUBSTITUTE(テーブル1[[#This Row],[属性タグ]],"、","|")</calculatedColumnFormula>
    </tableColumn>
    <tableColumn id="10" xr3:uid="{4C1B4E5B-0816-4E7B-B94D-DABFCF9BB4A5}" name="職業タグ" dataDxfId="2">
      <calculatedColumnFormula>SUBSTITUTE(テーブル1[[#This Row],[職業タグ]],"、","|")</calculatedColumnFormula>
    </tableColumn>
    <tableColumn id="11" xr3:uid="{C1145559-52E6-4141-BB43-03D7F9D319F4}" name="小物タグ" dataDxfId="1">
      <calculatedColumnFormula>SUBSTITUTE(テーブル1[[#This Row],[小物タグ]],"、","|")</calculatedColumnFormula>
    </tableColumn>
    <tableColumn id="12" xr3:uid="{1869C5D2-E7D3-4710-BDB3-B35F4A761BEE}" name="身体的特徴タグ" dataDxfId="0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shimo0330.wixsite.com/awaka-utau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abschandayo.wixsite.com/abschan" TargetMode="External"/><Relationship Id="rId84" Type="http://schemas.openxmlformats.org/officeDocument/2006/relationships/hyperlink" Target="https://mechanicalgirl.jp/" TargetMode="External"/><Relationship Id="rId138" Type="http://schemas.openxmlformats.org/officeDocument/2006/relationships/hyperlink" Target="https://www.canon-voice.com/" TargetMode="External"/><Relationship Id="rId159" Type="http://schemas.openxmlformats.org/officeDocument/2006/relationships/hyperlink" Target="https://m.blog.naver.com/string_legacy/224045016399" TargetMode="External"/><Relationship Id="rId170" Type="http://schemas.openxmlformats.org/officeDocument/2006/relationships/hyperlink" Target="https://komagatabone.fc2.page/" TargetMode="External"/><Relationship Id="rId191" Type="http://schemas.openxmlformats.org/officeDocument/2006/relationships/hyperlink" Target="https://bowlroll.net/user/980255" TargetMode="External"/><Relationship Id="rId205" Type="http://schemas.openxmlformats.org/officeDocument/2006/relationships/hyperlink" Target="https://nyaruru.wixsite.com/s-p-w" TargetMode="External"/><Relationship Id="rId226" Type="http://schemas.openxmlformats.org/officeDocument/2006/relationships/hyperlink" Target="https://uu.getuploader.com/mirakibonoutau" TargetMode="External"/><Relationship Id="rId107" Type="http://schemas.openxmlformats.org/officeDocument/2006/relationships/hyperlink" Target="https://bowlroll.net/file/336695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uta-tsunagi.jimdofree.com/" TargetMode="External"/><Relationship Id="rId128" Type="http://schemas.openxmlformats.org/officeDocument/2006/relationships/hyperlink" Target="http://shadeofgreen.web.fc2.com/" TargetMode="External"/><Relationship Id="rId149" Type="http://schemas.openxmlformats.org/officeDocument/2006/relationships/hyperlink" Target="https://kakokyu102krbs.wixsite.com/greenmilky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lit.link/sereinrain" TargetMode="External"/><Relationship Id="rId160" Type="http://schemas.openxmlformats.org/officeDocument/2006/relationships/hyperlink" Target="https://askdance.wixsite.com/monitor-room/monitor-room" TargetMode="External"/><Relationship Id="rId181" Type="http://schemas.openxmlformats.org/officeDocument/2006/relationships/hyperlink" Target="https://magnawitch.wixsite.com/seong-ah" TargetMode="External"/><Relationship Id="rId216" Type="http://schemas.openxmlformats.org/officeDocument/2006/relationships/hyperlink" Target="https://tourist100f.wixsite.com/utakata-kosyo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mareffys.wixsite.com/lalo" TargetMode="External"/><Relationship Id="rId118" Type="http://schemas.openxmlformats.org/officeDocument/2006/relationships/hyperlink" Target="https://mikawayanerutoko.jimdofree.com/" TargetMode="External"/><Relationship Id="rId139" Type="http://schemas.openxmlformats.org/officeDocument/2006/relationships/hyperlink" Target="https://makaron3264.wixsite.com/utauotoohana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ropicalsamejima.wixsite.com/oyutau" TargetMode="External"/><Relationship Id="rId171" Type="http://schemas.openxmlformats.org/officeDocument/2006/relationships/hyperlink" Target="https://vividseekers.utau.sorairomarch.com/" TargetMode="External"/><Relationship Id="rId192" Type="http://schemas.openxmlformats.org/officeDocument/2006/relationships/hyperlink" Target="https://lclcofficial6565.wixsite.com/lclc" TargetMode="External"/><Relationship Id="rId206" Type="http://schemas.openxmlformats.org/officeDocument/2006/relationships/hyperlink" Target="https://nyaruru.wixsite.com/s-p-w" TargetMode="External"/><Relationship Id="rId227" Type="http://schemas.openxmlformats.org/officeDocument/2006/relationships/hyperlink" Target="https://sikiori.wepage.com/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bowlroll.net/user/700434" TargetMode="External"/><Relationship Id="rId129" Type="http://schemas.openxmlformats.org/officeDocument/2006/relationships/hyperlink" Target="https://ma2bana7.wixsite.com/sssr" TargetMode="External"/><Relationship Id="rId54" Type="http://schemas.openxmlformats.org/officeDocument/2006/relationships/hyperlink" Target="https://lit.link/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nanarabo626.studio.site/" TargetMode="External"/><Relationship Id="rId140" Type="http://schemas.openxmlformats.org/officeDocument/2006/relationships/hyperlink" Target="https://maybeanglo0mochi.wixsite.com/mochiyanosouko" TargetMode="External"/><Relationship Id="rId161" Type="http://schemas.openxmlformats.org/officeDocument/2006/relationships/hyperlink" Target="https://chaka000.wixsite.com/chaka" TargetMode="External"/><Relationship Id="rId182" Type="http://schemas.openxmlformats.org/officeDocument/2006/relationships/hyperlink" Target="https://toooru421.booth.pm/items/8151791" TargetMode="External"/><Relationship Id="rId217" Type="http://schemas.openxmlformats.org/officeDocument/2006/relationships/hyperlink" Target="https://haingyoi.wixsite.com/utau" TargetMode="External"/><Relationship Id="rId6" Type="http://schemas.openxmlformats.org/officeDocument/2006/relationships/hyperlink" Target="https://seirentoybox.jimdofree.com/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teapartyandmugshelf.wixsite.com/my-site-1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sabaneko.amebaownd.com/" TargetMode="External"/><Relationship Id="rId86" Type="http://schemas.openxmlformats.org/officeDocument/2006/relationships/hyperlink" Target="https://utausuzuminnya.jimdofree.com/" TargetMode="External"/><Relationship Id="rId130" Type="http://schemas.openxmlformats.org/officeDocument/2006/relationships/hyperlink" Target="https://suukedayo.wixsite.com/shiawasefairu" TargetMode="External"/><Relationship Id="rId151" Type="http://schemas.openxmlformats.org/officeDocument/2006/relationships/hyperlink" Target="https://hinoyuzirenraku.wixsite.com/mu-neneo" TargetMode="External"/><Relationship Id="rId172" Type="http://schemas.openxmlformats.org/officeDocument/2006/relationships/hyperlink" Target="https://vividseekers.utau.sorairomarch.com/" TargetMode="External"/><Relationship Id="rId193" Type="http://schemas.openxmlformats.org/officeDocument/2006/relationships/hyperlink" Target="https://kagerou009.hatenablog.com/" TargetMode="External"/><Relationship Id="rId207" Type="http://schemas.openxmlformats.org/officeDocument/2006/relationships/hyperlink" Target="https://kakokyu102krbs.wixsite.com/greenmilky" TargetMode="External"/><Relationship Id="rId228" Type="http://schemas.openxmlformats.org/officeDocument/2006/relationships/hyperlink" Target="https://sikiori.wepage.com/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inudanuki.wixsite.com/gottaniomotyabako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lit.link/sereinrain" TargetMode="External"/><Relationship Id="rId76" Type="http://schemas.openxmlformats.org/officeDocument/2006/relationships/hyperlink" Target="https://kasaneteto.jp/" TargetMode="External"/><Relationship Id="rId97" Type="http://schemas.openxmlformats.org/officeDocument/2006/relationships/hyperlink" Target="https://nanarabo626.studio.site/" TargetMode="External"/><Relationship Id="rId120" Type="http://schemas.openxmlformats.org/officeDocument/2006/relationships/hyperlink" Target="https://okome32500.wixsite.com/onekomochi" TargetMode="External"/><Relationship Id="rId141" Type="http://schemas.openxmlformats.org/officeDocument/2006/relationships/hyperlink" Target="https://ameutaulii.wixsite.com/telepathycapsul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chunyinhui021.wixsite.com/mutyuusaisei" TargetMode="External"/><Relationship Id="rId183" Type="http://schemas.openxmlformats.org/officeDocument/2006/relationships/hyperlink" Target="https://strife-horizon.weebly.com/" TargetMode="External"/><Relationship Id="rId218" Type="http://schemas.openxmlformats.org/officeDocument/2006/relationships/hyperlink" Target="https://lit.link/nemukoneko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666not.wixsite.com/partition-voyage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inudanuki.wixsite.com/gottaniomotyabako" TargetMode="External"/><Relationship Id="rId131" Type="http://schemas.openxmlformats.org/officeDocument/2006/relationships/hyperlink" Target="https://ameutaulii.wixsite.com/telepathycapsule" TargetMode="External"/><Relationship Id="rId152" Type="http://schemas.openxmlformats.org/officeDocument/2006/relationships/hyperlink" Target="https://zaregotohitori.wixsite.com/ritsudokishidoku" TargetMode="External"/><Relationship Id="rId173" Type="http://schemas.openxmlformats.org/officeDocument/2006/relationships/hyperlink" Target="https://bowlroll.net/user/946776" TargetMode="External"/><Relationship Id="rId194" Type="http://schemas.openxmlformats.org/officeDocument/2006/relationships/hyperlink" Target="https://pessieuph.wixsite.com/meusycaseuphoria" TargetMode="External"/><Relationship Id="rId208" Type="http://schemas.openxmlformats.org/officeDocument/2006/relationships/hyperlink" Target="https://kakokyu102krbs.wixsite.com/greenmilky" TargetMode="External"/><Relationship Id="rId229" Type="http://schemas.openxmlformats.org/officeDocument/2006/relationships/hyperlink" Target="https://mohumohuton.web.fc2.com/makimiya/index.html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chunyinhui021.wixsite.com/mutyuusaisei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bowlroll.net/user/97368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sites.google.com/view/fukuma-utau/top" TargetMode="External"/><Relationship Id="rId121" Type="http://schemas.openxmlformats.org/officeDocument/2006/relationships/hyperlink" Target="https://zakrotsukumo.wixsite.com/utau-zerozero" TargetMode="External"/><Relationship Id="rId142" Type="http://schemas.openxmlformats.org/officeDocument/2006/relationships/hyperlink" Target="https://cloudcatch1224.wixsite.com/godsfoot" TargetMode="External"/><Relationship Id="rId163" Type="http://schemas.openxmlformats.org/officeDocument/2006/relationships/hyperlink" Target="https://cmamizki.wixsite.com/edelstein" TargetMode="External"/><Relationship Id="rId184" Type="http://schemas.openxmlformats.org/officeDocument/2006/relationships/hyperlink" Target="https://bowlroll.net/user/946776" TargetMode="External"/><Relationship Id="rId219" Type="http://schemas.openxmlformats.org/officeDocument/2006/relationships/hyperlink" Target="https://lit.link/nemukoneko" TargetMode="External"/><Relationship Id="rId230" Type="http://schemas.openxmlformats.org/officeDocument/2006/relationships/hyperlink" Target="https://bowlroll.net/user/946776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inudanuki.wixsite.com/gottaniomotyabako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minazukiringo.wixsite.com/amatsubu" TargetMode="External"/><Relationship Id="rId83" Type="http://schemas.openxmlformats.org/officeDocument/2006/relationships/hyperlink" Target="https://subarumusicstore.studio.site/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kairi0utau.wixsite.com/arugamamanouta" TargetMode="External"/><Relationship Id="rId132" Type="http://schemas.openxmlformats.org/officeDocument/2006/relationships/hyperlink" Target="https://bowlroll.net/user/980255/files" TargetMode="External"/><Relationship Id="rId153" Type="http://schemas.openxmlformats.org/officeDocument/2006/relationships/hyperlink" Target="https://long-sleeper.net/" TargetMode="External"/><Relationship Id="rId174" Type="http://schemas.openxmlformats.org/officeDocument/2006/relationships/hyperlink" Target="https://piku.page/@toitoitoi23" TargetMode="External"/><Relationship Id="rId179" Type="http://schemas.openxmlformats.org/officeDocument/2006/relationships/hyperlink" Target="https://magnawitch.wixsite.com/seong-ah" TargetMode="External"/><Relationship Id="rId195" Type="http://schemas.openxmlformats.org/officeDocument/2006/relationships/hyperlink" Target="https://arujinesarasa.wixsite.com/official" TargetMode="External"/><Relationship Id="rId209" Type="http://schemas.openxmlformats.org/officeDocument/2006/relationships/hyperlink" Target="https://lenskkpb.wixsite.com/len-sakaki-official" TargetMode="External"/><Relationship Id="rId190" Type="http://schemas.openxmlformats.org/officeDocument/2006/relationships/hyperlink" Target="https://bowlroll.net/user/980255" TargetMode="External"/><Relationship Id="rId204" Type="http://schemas.openxmlformats.org/officeDocument/2006/relationships/hyperlink" Target="https://nyaruru.wixsite.com/s-p-w" TargetMode="External"/><Relationship Id="rId220" Type="http://schemas.openxmlformats.org/officeDocument/2006/relationships/hyperlink" Target="https://note.com/lycopema/n/n7abddbef7b6e" TargetMode="External"/><Relationship Id="rId225" Type="http://schemas.openxmlformats.org/officeDocument/2006/relationships/hyperlink" Target="https://mitamayade.wixsite.com/mitama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106" Type="http://schemas.openxmlformats.org/officeDocument/2006/relationships/hyperlink" Target="https://ne510channel.wixsite.com/website" TargetMode="External"/><Relationship Id="rId127" Type="http://schemas.openxmlformats.org/officeDocument/2006/relationships/hyperlink" Target="https://bowlroll.net/file/333777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nanyuanxiaojieji.wixsite.com/yuragine-kannsokujo" TargetMode="External"/><Relationship Id="rId78" Type="http://schemas.openxmlformats.org/officeDocument/2006/relationships/hyperlink" Target="http://lllll17.web.fc2.com/index.html" TargetMode="External"/><Relationship Id="rId94" Type="http://schemas.openxmlformats.org/officeDocument/2006/relationships/hyperlink" Target="https://lit.link/sereinrain" TargetMode="External"/><Relationship Id="rId99" Type="http://schemas.openxmlformats.org/officeDocument/2006/relationships/hyperlink" Target="https://bowlroll.net/user/973681" TargetMode="External"/><Relationship Id="rId101" Type="http://schemas.openxmlformats.org/officeDocument/2006/relationships/hyperlink" Target="https://moqujc.wixsite.com/mqtop" TargetMode="External"/><Relationship Id="rId122" Type="http://schemas.openxmlformats.org/officeDocument/2006/relationships/hyperlink" Target="https://zakrotsukumo.wixsite.com/utau-zerozero" TargetMode="External"/><Relationship Id="rId143" Type="http://schemas.openxmlformats.org/officeDocument/2006/relationships/hyperlink" Target="https://grskmot8.wixsite.com/kdarock" TargetMode="External"/><Relationship Id="rId148" Type="http://schemas.openxmlformats.org/officeDocument/2006/relationships/hyperlink" Target="https://kaitoramma.chu.jp/" TargetMode="External"/><Relationship Id="rId164" Type="http://schemas.openxmlformats.org/officeDocument/2006/relationships/hyperlink" Target="https://flowerrocklove.wixsite.com/twilight-crisis" TargetMode="External"/><Relationship Id="rId169" Type="http://schemas.openxmlformats.org/officeDocument/2006/relationships/hyperlink" Target="https://cgamy40.wixsite.com/tsuraiuroyoi" TargetMode="External"/><Relationship Id="rId185" Type="http://schemas.openxmlformats.org/officeDocument/2006/relationships/hyperlink" Target="https://bowlroll.net/user/946776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magnawitch.wixsite.com/seong-ah" TargetMode="External"/><Relationship Id="rId210" Type="http://schemas.openxmlformats.org/officeDocument/2006/relationships/hyperlink" Target="https://vividseekers.utau.sorairomarch.com/" TargetMode="External"/><Relationship Id="rId215" Type="http://schemas.openxmlformats.org/officeDocument/2006/relationships/hyperlink" Target="https://tourist100f.wixsite.com/utakata-kosyo" TargetMode="External"/><Relationship Id="rId236" Type="http://schemas.openxmlformats.org/officeDocument/2006/relationships/table" Target="../tables/table1.xm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suukedayo.wixsite.com/shiawasefairu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lonelyapple011.wixsite.com/nadenade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kuroi9603.wixsite.com/delu-lab-south" TargetMode="External"/><Relationship Id="rId133" Type="http://schemas.openxmlformats.org/officeDocument/2006/relationships/hyperlink" Target="https://yukimiyashimusho.jimdofree.com/" TargetMode="External"/><Relationship Id="rId154" Type="http://schemas.openxmlformats.org/officeDocument/2006/relationships/hyperlink" Target="https://todosho1192.wixsite.com/my-site-3" TargetMode="External"/><Relationship Id="rId175" Type="http://schemas.openxmlformats.org/officeDocument/2006/relationships/hyperlink" Target="https://seirentoybox.jimdofree.com/" TargetMode="External"/><Relationship Id="rId196" Type="http://schemas.openxmlformats.org/officeDocument/2006/relationships/hyperlink" Target="https://www.mizuiro.info/amagaelu" TargetMode="External"/><Relationship Id="rId200" Type="http://schemas.openxmlformats.org/officeDocument/2006/relationships/hyperlink" Target="https://kinomihautaimas.wixsite.com/dongurihiroba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sites.google.com/view/ronku99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nananasyrup.wixsite.com/13kka" TargetMode="External"/><Relationship Id="rId79" Type="http://schemas.openxmlformats.org/officeDocument/2006/relationships/hyperlink" Target="https://keineron.wixsite.com/index" TargetMode="External"/><Relationship Id="rId102" Type="http://schemas.openxmlformats.org/officeDocument/2006/relationships/hyperlink" Target="https://suihankinonaka.wixsite.com/my-site-1" TargetMode="External"/><Relationship Id="rId123" Type="http://schemas.openxmlformats.org/officeDocument/2006/relationships/hyperlink" Target="https://www.mackhouse-soft.com/" TargetMode="External"/><Relationship Id="rId144" Type="http://schemas.openxmlformats.org/officeDocument/2006/relationships/hyperlink" Target="https://hinagitsune-utau.wixsite.com/utaukokorone" TargetMode="External"/><Relationship Id="rId90" Type="http://schemas.openxmlformats.org/officeDocument/2006/relationships/hyperlink" Target="https://bellsworks.wixsite.com/bellsworks" TargetMode="External"/><Relationship Id="rId165" Type="http://schemas.openxmlformats.org/officeDocument/2006/relationships/hyperlink" Target="https://flowerrocklove.wixsite.com/twilight-crisis" TargetMode="External"/><Relationship Id="rId186" Type="http://schemas.openxmlformats.org/officeDocument/2006/relationships/hyperlink" Target="https://utau.kurotsuka.xyz/" TargetMode="External"/><Relationship Id="rId211" Type="http://schemas.openxmlformats.org/officeDocument/2006/relationships/hyperlink" Target="https://mitamayade.wixsite.com/mitama" TargetMode="External"/><Relationship Id="rId232" Type="http://schemas.openxmlformats.org/officeDocument/2006/relationships/hyperlink" Target="https://aisupiku.wixsite.com/tsuginesaiko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amiseniamnu.wixsite.com/amisenia" TargetMode="External"/><Relationship Id="rId113" Type="http://schemas.openxmlformats.org/officeDocument/2006/relationships/hyperlink" Target="https://sites.google.com/view/qsuke-garden/home" TargetMode="External"/><Relationship Id="rId134" Type="http://schemas.openxmlformats.org/officeDocument/2006/relationships/hyperlink" Target="https://yautau.wixsite.com/0909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utau.fandom.com/wiki/Shizuruu" TargetMode="External"/><Relationship Id="rId176" Type="http://schemas.openxmlformats.org/officeDocument/2006/relationships/hyperlink" Target="https://mitoristu.wixsite.com/kousaibako" TargetMode="External"/><Relationship Id="rId197" Type="http://schemas.openxmlformats.org/officeDocument/2006/relationships/hyperlink" Target="https://sites.google.com/view/arcobaleno-utau/home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hatonosuke5.booth.pm/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kuroi9603.wixsite.com/delu-lab-south" TargetMode="External"/><Relationship Id="rId103" Type="http://schemas.openxmlformats.org/officeDocument/2006/relationships/hyperlink" Target="https://suihankinonaka.wixsite.com/my-site-1" TargetMode="External"/><Relationship Id="rId124" Type="http://schemas.openxmlformats.org/officeDocument/2006/relationships/hyperlink" Target="https://www.mackhouse-soft.com/" TargetMode="External"/><Relationship Id="rId70" Type="http://schemas.openxmlformats.org/officeDocument/2006/relationships/hyperlink" Target="https://shinri517.wixsite.com/shinri0517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hznonoka.wixsite.com/utau" TargetMode="External"/><Relationship Id="rId166" Type="http://schemas.openxmlformats.org/officeDocument/2006/relationships/hyperlink" Target="https://hznonoka.wixsite.com/utau" TargetMode="External"/><Relationship Id="rId187" Type="http://schemas.openxmlformats.org/officeDocument/2006/relationships/hyperlink" Target="https://utau.kurotsuka.xyz/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lit.link/4ATEPQoK7bZP3auccNvRi28UQdf1" TargetMode="External"/><Relationship Id="rId233" Type="http://schemas.openxmlformats.org/officeDocument/2006/relationships/hyperlink" Target="http://utau.wikidot.com/utau:isshiki-suu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sites.google.com/view/qsuke-garden/home" TargetMode="External"/><Relationship Id="rId60" Type="http://schemas.openxmlformats.org/officeDocument/2006/relationships/hyperlink" Target="https://sites.google.com/view/tokakobo" TargetMode="External"/><Relationship Id="rId81" Type="http://schemas.openxmlformats.org/officeDocument/2006/relationships/hyperlink" Target="https://kurukuru2suuzi.wixsite.com/kuzutokaze" TargetMode="External"/><Relationship Id="rId135" Type="http://schemas.openxmlformats.org/officeDocument/2006/relationships/hyperlink" Target="https://osomatsu-poid.wixsite.com/konari-san-chi" TargetMode="External"/><Relationship Id="rId156" Type="http://schemas.openxmlformats.org/officeDocument/2006/relationships/hyperlink" Target="https://sites.google.com/view/ronku99" TargetMode="External"/><Relationship Id="rId177" Type="http://schemas.openxmlformats.org/officeDocument/2006/relationships/hyperlink" Target="https://vividseekers.utau.sorairomarch.com/" TargetMode="External"/><Relationship Id="rId198" Type="http://schemas.openxmlformats.org/officeDocument/2006/relationships/hyperlink" Target="https://kinomihautaimas.wixsite.com/dongurihiroba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rapo080302.wixsite.com/twosibi" TargetMode="Externa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user/980255" TargetMode="External"/><Relationship Id="rId125" Type="http://schemas.openxmlformats.org/officeDocument/2006/relationships/hyperlink" Target="https://grskmot8.wixsite.com/kdarock" TargetMode="External"/><Relationship Id="rId146" Type="http://schemas.openxmlformats.org/officeDocument/2006/relationships/hyperlink" Target="https://jiwajiwakirinn.wixsite.com/sakurada" TargetMode="External"/><Relationship Id="rId167" Type="http://schemas.openxmlformats.org/officeDocument/2006/relationships/hyperlink" Target="https://mackerel178.wixsite.com/yuusensuizokukan" TargetMode="External"/><Relationship Id="rId188" Type="http://schemas.openxmlformats.org/officeDocument/2006/relationships/hyperlink" Target="https://ameutaulii.wixsite.com/telepathycapsule" TargetMode="External"/><Relationship Id="rId71" Type="http://schemas.openxmlformats.org/officeDocument/2006/relationships/hyperlink" Target="https://hosiyomi.jimdofree.com/" TargetMode="External"/><Relationship Id="rId92" Type="http://schemas.openxmlformats.org/officeDocument/2006/relationships/hyperlink" Target="https://nanyuanxiaojieji.wixsite.com/yuragine-kannsokujo" TargetMode="External"/><Relationship Id="rId213" Type="http://schemas.openxmlformats.org/officeDocument/2006/relationships/hyperlink" Target="https://xi-voice.carrd.co/" TargetMode="External"/><Relationship Id="rId234" Type="http://schemas.openxmlformats.org/officeDocument/2006/relationships/hyperlink" Target="https://nagimachi.wixsite.com/kairikonomachi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ebisnori.wixsite.com/nori-mebis" TargetMode="External"/><Relationship Id="rId136" Type="http://schemas.openxmlformats.org/officeDocument/2006/relationships/hyperlink" Target="https://hakutoujelly.booth.pm/items/6496885" TargetMode="External"/><Relationship Id="rId157" Type="http://schemas.openxmlformats.org/officeDocument/2006/relationships/hyperlink" Target="https://abiencearray.carrd.co/" TargetMode="External"/><Relationship Id="rId178" Type="http://schemas.openxmlformats.org/officeDocument/2006/relationships/hyperlink" Target="https://vividseekers.utau.sorairomarch.com/" TargetMode="External"/><Relationship Id="rId61" Type="http://schemas.openxmlformats.org/officeDocument/2006/relationships/hyperlink" Target="https://ne510channel.wixsite.com/website" TargetMode="External"/><Relationship Id="rId82" Type="http://schemas.openxmlformats.org/officeDocument/2006/relationships/hyperlink" Target="https://www.krnr.top/" TargetMode="External"/><Relationship Id="rId199" Type="http://schemas.openxmlformats.org/officeDocument/2006/relationships/hyperlink" Target="https://kinomihautaimas.wixsite.com/dongurihiroba" TargetMode="External"/><Relationship Id="rId203" Type="http://schemas.openxmlformats.org/officeDocument/2006/relationships/hyperlink" Target="https://nyaruru.wixsite.com/s-p-w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uu.getuploader.com/mirakibonoutau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ne510channel.wixsite.com/website" TargetMode="External"/><Relationship Id="rId126" Type="http://schemas.openxmlformats.org/officeDocument/2006/relationships/hyperlink" Target="https://shiromeneko162.wixsite.com/shiromean-official" TargetMode="External"/><Relationship Id="rId147" Type="http://schemas.openxmlformats.org/officeDocument/2006/relationships/hyperlink" Target="https://kairi0utau.wixsite.com/arugamamanouta" TargetMode="External"/><Relationship Id="rId168" Type="http://schemas.openxmlformats.org/officeDocument/2006/relationships/hyperlink" Target="https://mackerel178.wixsite.com/yuusensuizokukan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mitoristu.wixsite.com/kousaibako" TargetMode="External"/><Relationship Id="rId93" Type="http://schemas.openxmlformats.org/officeDocument/2006/relationships/hyperlink" Target="https://seirentoybox.jimdofree.com/" TargetMode="External"/><Relationship Id="rId189" Type="http://schemas.openxmlformats.org/officeDocument/2006/relationships/hyperlink" Target="https://bowlroll.net/user/980255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utau.fandom.com/wiki/Aisu_Kurimu" TargetMode="External"/><Relationship Id="rId235" Type="http://schemas.openxmlformats.org/officeDocument/2006/relationships/hyperlink" Target="https://nagimachi.wixsite.com/kairikonomachi" TargetMode="External"/><Relationship Id="rId116" Type="http://schemas.openxmlformats.org/officeDocument/2006/relationships/hyperlink" Target="https://mebisnori.wixsite.com/nori-mebis" TargetMode="External"/><Relationship Id="rId137" Type="http://schemas.openxmlformats.org/officeDocument/2006/relationships/hyperlink" Target="https://inumokoco.wixsite.com/sleep-church" TargetMode="External"/><Relationship Id="rId158" Type="http://schemas.openxmlformats.org/officeDocument/2006/relationships/hyperlink" Target="https://sites.google.com/view/ronku99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0"/>
  <sheetViews>
    <sheetView tabSelected="1" zoomScale="115" zoomScaleNormal="115" workbookViewId="0">
      <pane xSplit="1" ySplit="1" topLeftCell="I255" activePane="bottomRight" state="frozen"/>
      <selection pane="topRight" activeCell="B1" sqref="B1"/>
      <selection pane="bottomLeft" activeCell="A2" sqref="A2"/>
      <selection pane="bottomRight" activeCell="M270" sqref="M270"/>
    </sheetView>
  </sheetViews>
  <sheetFormatPr defaultColWidth="8.6640625" defaultRowHeight="20.149999999999999" customHeight="1" x14ac:dyDescent="0.35"/>
  <cols>
    <col min="1" max="1" width="6.86328125" style="20" bestFit="1" customWidth="1"/>
    <col min="2" max="2" width="23.86328125" style="23" bestFit="1" customWidth="1"/>
    <col min="3" max="3" width="15.265625" style="24" bestFit="1" customWidth="1"/>
    <col min="4" max="4" width="18.19921875" style="23" bestFit="1" customWidth="1"/>
    <col min="5" max="5" width="18.46484375" style="23" bestFit="1" customWidth="1"/>
    <col min="6" max="6" width="45.46484375" style="23" bestFit="1" customWidth="1"/>
    <col min="7" max="7" width="17.06640625" style="23" bestFit="1" customWidth="1"/>
    <col min="8" max="13" width="17.06640625" style="23" customWidth="1"/>
    <col min="14" max="14" width="22.265625" style="23" bestFit="1" customWidth="1"/>
    <col min="15" max="15" width="13.59765625" style="1" bestFit="1" customWidth="1"/>
    <col min="16" max="16" width="9.46484375" style="1" bestFit="1" customWidth="1"/>
    <col min="17" max="17" width="42.86328125" style="24" hidden="1" customWidth="1"/>
    <col min="18" max="18" width="6.86328125" style="17" hidden="1" customWidth="1"/>
    <col min="19" max="19" width="10.46484375" style="16" hidden="1" customWidth="1"/>
    <col min="20" max="20" width="9.46484375" style="1" bestFit="1" customWidth="1"/>
    <col min="21" max="21" width="9.46484375" style="24" hidden="1" customWidth="1"/>
    <col min="22" max="22" width="42.46484375" style="23" bestFit="1" customWidth="1"/>
    <col min="23" max="23" width="22.6640625" style="23" bestFit="1" customWidth="1"/>
    <col min="24" max="24" width="24.86328125" style="23" bestFit="1" customWidth="1"/>
    <col min="25" max="25" width="25.265625" style="23" bestFit="1" customWidth="1"/>
    <col min="26" max="26" width="52.59765625" style="23" bestFit="1" customWidth="1"/>
    <col min="27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659</v>
      </c>
      <c r="H1" s="1" t="s">
        <v>658</v>
      </c>
      <c r="I1" s="1" t="s">
        <v>663</v>
      </c>
      <c r="J1" s="1" t="s">
        <v>703</v>
      </c>
      <c r="K1" s="1" t="s">
        <v>1247</v>
      </c>
      <c r="L1" s="1" t="s">
        <v>664</v>
      </c>
      <c r="M1" s="1" t="s">
        <v>665</v>
      </c>
      <c r="N1" s="1" t="s">
        <v>1305</v>
      </c>
      <c r="O1" s="1" t="s">
        <v>596</v>
      </c>
      <c r="P1" s="1" t="s">
        <v>406</v>
      </c>
      <c r="Q1" s="1" t="s">
        <v>488</v>
      </c>
      <c r="R1" s="17" t="s">
        <v>489</v>
      </c>
      <c r="S1" s="22" t="s">
        <v>424</v>
      </c>
      <c r="T1" s="1" t="s">
        <v>6</v>
      </c>
      <c r="U1" s="1" t="s">
        <v>425</v>
      </c>
      <c r="V1" s="1" t="s">
        <v>620</v>
      </c>
      <c r="W1" s="1" t="s">
        <v>621</v>
      </c>
      <c r="X1" s="1" t="s">
        <v>622</v>
      </c>
      <c r="Y1" s="1" t="s">
        <v>623</v>
      </c>
      <c r="Z1" s="1" t="s">
        <v>624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460</v>
      </c>
      <c r="D2" s="23" t="s">
        <v>774</v>
      </c>
      <c r="E2" s="23" t="s">
        <v>942</v>
      </c>
      <c r="F2" s="2" t="s">
        <v>149</v>
      </c>
      <c r="G2" s="23" t="s">
        <v>150</v>
      </c>
      <c r="H2" s="23" t="s">
        <v>660</v>
      </c>
      <c r="I2" s="23" t="s">
        <v>666</v>
      </c>
      <c r="N2" s="23" t="s">
        <v>1197</v>
      </c>
      <c r="O2" s="1" t="s">
        <v>594</v>
      </c>
      <c r="P2" s="1" t="s">
        <v>549</v>
      </c>
      <c r="Q2" s="24" t="str">
        <f>テーブル1[[#This Row],[リンク]]&amp;テーブル1[[#This Row],[描画状況]]</f>
        <v>https://mitoristu.wixsite.com/kousaibako済</v>
      </c>
      <c r="R2" s="17">
        <f>1-(COUNTIF(Q:Q,_xlfn.TEXTJOIN(",",TRUE,テーブル1[[#This Row],[リンク]],テーブル1[[#This Row],[描画状況]]))/COUNTIF(F:F,テーブル1[[#This Row],[リンク]]))</f>
        <v>1</v>
      </c>
      <c r="S2" s="16" t="str">
        <f ca="1">IFERROR(IF(テーブル1[[#This Row],[描画状況]]="",RAND()+(テーブル1[[#This Row],[列2]]*100),""),RAND())</f>
        <v/>
      </c>
      <c r="T2" s="1" t="s">
        <v>12</v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461</v>
      </c>
      <c r="D3" s="23" t="s">
        <v>775</v>
      </c>
      <c r="E3" s="23" t="s">
        <v>943</v>
      </c>
      <c r="F3" s="2" t="s">
        <v>129</v>
      </c>
      <c r="G3" s="23" t="s">
        <v>130</v>
      </c>
      <c r="H3" s="23" t="s">
        <v>661</v>
      </c>
      <c r="I3" s="23" t="s">
        <v>667</v>
      </c>
      <c r="L3" s="23" t="s">
        <v>1198</v>
      </c>
      <c r="M3" s="23" t="s">
        <v>1178</v>
      </c>
      <c r="N3" s="23" t="s">
        <v>1293</v>
      </c>
      <c r="P3" s="1" t="s">
        <v>549</v>
      </c>
      <c r="Q3" s="24" t="str">
        <f>テーブル1[[#This Row],[リンク]]&amp;テーブル1[[#This Row],[描画状況]]</f>
        <v>https://lit.link/sereinrain済</v>
      </c>
      <c r="R3" s="17">
        <f>1-(COUNTIF(Q:Q,_xlfn.TEXTJOIN(",",TRUE,テーブル1[[#This Row],[リンク]],テーブル1[[#This Row],[描画状況]]))/COUNTIF(F:F,テーブル1[[#This Row],[リンク]]))</f>
        <v>1</v>
      </c>
      <c r="S3" s="16" t="str">
        <f ca="1">IFERROR(IF(テーブル1[[#This Row],[描画状況]]="",RAND()+(テーブル1[[#This Row],[列2]]*100),""),RAND())</f>
        <v/>
      </c>
      <c r="T3" s="1" t="s">
        <v>12</v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|MIDDLE:​&amp;link(配布所はこちら){​https://lit.link/sereinrain}|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462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661</v>
      </c>
      <c r="I4" s="23" t="s">
        <v>711</v>
      </c>
      <c r="J4" s="23" t="s">
        <v>1199</v>
      </c>
      <c r="L4" s="23" t="s">
        <v>1198</v>
      </c>
      <c r="N4" s="23" t="s">
        <v>1226</v>
      </c>
      <c r="O4" s="1" t="s">
        <v>595</v>
      </c>
      <c r="P4" s="1" t="s">
        <v>549</v>
      </c>
      <c r="Q4" s="24" t="str">
        <f>テーブル1[[#This Row],[リンク]]&amp;テーブル1[[#This Row],[描画状況]]</f>
        <v>https://cloudcatch1224.wixsite.com/godsfoot済</v>
      </c>
      <c r="R4" s="17">
        <f>1-(COUNTIF(Q:Q,_xlfn.TEXTJOIN(",",TRUE,テーブル1[[#This Row],[リンク]],テーブル1[[#This Row],[描画状況]]))/COUNTIF(F:F,テーブル1[[#This Row],[リンク]]))</f>
        <v>1</v>
      </c>
      <c r="S4" s="16" t="str">
        <f ca="1">IFERROR(IF(テーブル1[[#This Row],[描画状況]]="",RAND()+(テーブル1[[#This Row],[列2]]*100),""),RAND())</f>
        <v/>
      </c>
      <c r="T4" s="1" t="s">
        <v>12</v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142</v>
      </c>
      <c r="D5" s="23" t="s">
        <v>776</v>
      </c>
      <c r="E5" s="23" t="s">
        <v>944</v>
      </c>
      <c r="F5" s="2" t="s">
        <v>143</v>
      </c>
      <c r="G5" s="23" t="s">
        <v>144</v>
      </c>
      <c r="H5" s="23" t="s">
        <v>660</v>
      </c>
      <c r="I5" s="23" t="s">
        <v>670</v>
      </c>
      <c r="M5" s="23" t="s">
        <v>1180</v>
      </c>
      <c r="P5" s="1" t="s">
        <v>549</v>
      </c>
      <c r="Q5" s="24" t="str">
        <f>テーブル1[[#This Row],[リンク]]&amp;テーブル1[[#This Row],[描画状況]]</f>
        <v>https://mechanicalgirl.jp済</v>
      </c>
      <c r="R5" s="17">
        <f>1-(COUNTIF(Q:Q,_xlfn.TEXTJOIN(",",TRUE,テーブル1[[#This Row],[リンク]],テーブル1[[#This Row],[描画状況]]))/COUNTIF(F:F,テーブル1[[#This Row],[リンク]]))</f>
        <v>1</v>
      </c>
      <c r="S5" s="16" t="str">
        <f ca="1">IFERROR(IF(テーブル1[[#This Row],[描画状況]]="",RAND()+(テーブル1[[#This Row],[列2]]*100),""),RAND())</f>
        <v/>
      </c>
      <c r="T5" s="1" t="s">
        <v>12</v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230</v>
      </c>
      <c r="D6" s="23" t="s">
        <v>777</v>
      </c>
      <c r="E6" s="23" t="s">
        <v>945</v>
      </c>
      <c r="F6" s="2" t="s">
        <v>231</v>
      </c>
      <c r="G6" s="23" t="s">
        <v>232</v>
      </c>
      <c r="H6" s="23" t="s">
        <v>660</v>
      </c>
      <c r="I6" s="23" t="s">
        <v>1125</v>
      </c>
      <c r="J6" s="23" t="s">
        <v>1189</v>
      </c>
      <c r="M6" s="23" t="s">
        <v>1179</v>
      </c>
      <c r="N6" s="23" t="s">
        <v>1200</v>
      </c>
      <c r="P6" s="1" t="s">
        <v>549</v>
      </c>
      <c r="Q6" s="24" t="str">
        <f>テーブル1[[#This Row],[リンク]]&amp;テーブル1[[#This Row],[描画状況]]</f>
        <v>https://torinosu-hikikomori.jimdofree.com済</v>
      </c>
      <c r="R6" s="17">
        <f>1-(COUNTIF(Q:Q,_xlfn.TEXTJOIN(",",TRUE,テーブル1[[#This Row],[リンク]],テーブル1[[#This Row],[描画状況]]))/COUNTIF(F:F,テーブル1[[#This Row],[リンク]]))</f>
        <v>1</v>
      </c>
      <c r="S6" s="16" t="str">
        <f ca="1">IFERROR(IF(テーブル1[[#This Row],[描画状況]]="",RAND()+(テーブル1[[#This Row],[列2]]*100),""),RAND())</f>
        <v/>
      </c>
      <c r="T6" s="1" t="s">
        <v>12</v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671</v>
      </c>
      <c r="I7" s="23" t="s">
        <v>667</v>
      </c>
      <c r="P7" s="1" t="s">
        <v>549</v>
      </c>
      <c r="Q7" s="24" t="str">
        <f>テーブル1[[#This Row],[リンク]]&amp;テーブル1[[#This Row],[描画状況]]</f>
        <v>https://kuroi9603.wixsite.com/delu-lab-south済</v>
      </c>
      <c r="R7" s="17">
        <f>1-(COUNTIF(Q:Q,_xlfn.TEXTJOIN(",",TRUE,テーブル1[[#This Row],[リンク]],テーブル1[[#This Row],[描画状況]]))/COUNTIF(F:F,テーブル1[[#This Row],[リンク]]))</f>
        <v>1</v>
      </c>
      <c r="S7" s="16" t="str">
        <f ca="1">IFERROR(IF(テーブル1[[#This Row],[描画状況]]="",RAND()+(テーブル1[[#This Row],[列2]]*100),""),RAND())</f>
        <v/>
      </c>
      <c r="T7" s="1" t="s">
        <v>12</v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197</v>
      </c>
      <c r="D8" s="23" t="s">
        <v>778</v>
      </c>
      <c r="E8" s="23" t="s">
        <v>946</v>
      </c>
      <c r="F8" s="2" t="s">
        <v>198</v>
      </c>
      <c r="G8" s="23" t="s">
        <v>199</v>
      </c>
      <c r="H8" s="23" t="s">
        <v>673</v>
      </c>
      <c r="I8" s="23" t="s">
        <v>668</v>
      </c>
      <c r="M8" s="23" t="s">
        <v>1178</v>
      </c>
      <c r="N8" s="23" t="s">
        <v>1201</v>
      </c>
      <c r="O8" s="1" t="s">
        <v>594</v>
      </c>
      <c r="P8" s="1" t="s">
        <v>549</v>
      </c>
      <c r="Q8" s="24" t="str">
        <f>テーブル1[[#This Row],[リンク]]&amp;テーブル1[[#This Row],[描画状況]]</f>
        <v>https://seirentoybox.jimdofree.com済</v>
      </c>
      <c r="R8" s="17">
        <f>1-(COUNTIF(Q:Q,_xlfn.TEXTJOIN(",",TRUE,テーブル1[[#This Row],[リンク]],テーブル1[[#This Row],[描画状況]]))/COUNTIF(F:F,テーブル1[[#This Row],[リンク]]))</f>
        <v>1</v>
      </c>
      <c r="S8" s="16" t="str">
        <f ca="1">IFERROR(IF(テーブル1[[#This Row],[描画状況]]="",RAND()+(テーブル1[[#This Row],[列2]]*100),""),RAND())</f>
        <v/>
      </c>
      <c r="T8" s="1" t="s">
        <v>12</v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248</v>
      </c>
      <c r="D9" s="23" t="s">
        <v>779</v>
      </c>
      <c r="E9" s="23" t="s">
        <v>947</v>
      </c>
      <c r="F9" s="2" t="s">
        <v>249</v>
      </c>
      <c r="G9" s="23" t="s">
        <v>250</v>
      </c>
      <c r="H9" s="23" t="s">
        <v>660</v>
      </c>
      <c r="I9" s="23" t="s">
        <v>712</v>
      </c>
      <c r="N9" s="23" t="s">
        <v>1200</v>
      </c>
      <c r="P9" s="1" t="s">
        <v>549</v>
      </c>
      <c r="Q9" s="24" t="str">
        <f>テーブル1[[#This Row],[リンク]]&amp;テーブル1[[#This Row],[描画状況]]</f>
        <v>https://utausuzuminnya.jimdofree.com済</v>
      </c>
      <c r="R9" s="17">
        <f>1-(COUNTIF(Q:Q,_xlfn.TEXTJOIN(",",TRUE,テーブル1[[#This Row],[リンク]],テーブル1[[#This Row],[描画状況]]))/COUNTIF(F:F,テーブル1[[#This Row],[リンク]]))</f>
        <v>1</v>
      </c>
      <c r="S9" s="16" t="str">
        <f ca="1">IFERROR(IF(テーブル1[[#This Row],[描画状況]]="",RAND()+(テーブル1[[#This Row],[列2]]*100),""),RAND())</f>
        <v/>
      </c>
      <c r="T9" s="1" t="s">
        <v>12</v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194</v>
      </c>
      <c r="D10" s="23" t="s">
        <v>780</v>
      </c>
      <c r="E10" s="23" t="s">
        <v>948</v>
      </c>
      <c r="F10" s="2" t="s">
        <v>195</v>
      </c>
      <c r="G10" s="23" t="s">
        <v>196</v>
      </c>
      <c r="H10" s="23" t="s">
        <v>660</v>
      </c>
      <c r="I10" s="23" t="s">
        <v>667</v>
      </c>
      <c r="J10" s="23" t="s">
        <v>1188</v>
      </c>
      <c r="M10" s="23" t="s">
        <v>1177</v>
      </c>
      <c r="N10" s="23" t="s">
        <v>1288</v>
      </c>
      <c r="P10" s="1" t="s">
        <v>549</v>
      </c>
      <c r="Q10" s="24" t="str">
        <f>テーブル1[[#This Row],[リンク]]&amp;テーブル1[[#This Row],[描画状況]]</f>
        <v>https://sabaneko.amebaownd.com済</v>
      </c>
      <c r="R10" s="17">
        <f>1-(COUNTIF(Q:Q,_xlfn.TEXTJOIN(",",TRUE,テーブル1[[#This Row],[リンク]],テーブル1[[#This Row],[描画状況]]))/COUNTIF(F:F,テーブル1[[#This Row],[リンク]]))</f>
        <v>1</v>
      </c>
      <c r="S10" s="16" t="str">
        <f ca="1">IFERROR(IF(テーブル1[[#This Row],[描画状況]]="",RAND()+(テーブル1[[#This Row],[列2]]*100),""),RAND())</f>
        <v/>
      </c>
      <c r="T10" s="1" t="s">
        <v>12</v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661</v>
      </c>
      <c r="I11" s="23" t="s">
        <v>713</v>
      </c>
      <c r="N11" s="23" t="s">
        <v>1294</v>
      </c>
      <c r="P11" s="1" t="s">
        <v>549</v>
      </c>
      <c r="Q11" s="24" t="str">
        <f>テーブル1[[#This Row],[リンク]]&amp;テーブル1[[#This Row],[描画状況]]</f>
        <v>https://inudanuki.wixsite.com/gottaniomotyabako済</v>
      </c>
      <c r="R11" s="17">
        <f>1-(COUNTIF(Q:Q,_xlfn.TEXTJOIN(",",TRUE,テーブル1[[#This Row],[リンク]],テーブル1[[#This Row],[描画状況]]))/COUNTIF(F:F,テーブル1[[#This Row],[リンク]]))</f>
        <v>1</v>
      </c>
      <c r="S11" s="16" t="str">
        <f ca="1">IFERROR(IF(テーブル1[[#This Row],[描画状況]]="",RAND()+(テーブル1[[#This Row],[列2]]*100),""),RAND())</f>
        <v/>
      </c>
      <c r="T11" s="1" t="s">
        <v>12</v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234</v>
      </c>
      <c r="D12" s="23" t="s">
        <v>781</v>
      </c>
      <c r="E12" s="23" t="s">
        <v>949</v>
      </c>
      <c r="F12" s="2" t="s">
        <v>235</v>
      </c>
      <c r="G12" s="23" t="s">
        <v>236</v>
      </c>
      <c r="H12" s="23" t="s">
        <v>660</v>
      </c>
      <c r="I12" s="23" t="s">
        <v>667</v>
      </c>
      <c r="L12" s="23" t="s">
        <v>1202</v>
      </c>
      <c r="M12" s="23" t="s">
        <v>1178</v>
      </c>
      <c r="O12" s="1" t="s">
        <v>631</v>
      </c>
      <c r="P12" s="1" t="s">
        <v>549</v>
      </c>
      <c r="Q12" s="24" t="str">
        <f>テーブル1[[#This Row],[リンク]]&amp;テーブル1[[#This Row],[描画状況]]</f>
        <v>https://tourist100f.wixsite.com/utakata-kosyo済</v>
      </c>
      <c r="R12" s="17">
        <f>1-(COUNTIF(Q:Q,_xlfn.TEXTJOIN(",",TRUE,テーブル1[[#This Row],[リンク]],テーブル1[[#This Row],[描画状況]]))/COUNTIF(F:F,テーブル1[[#This Row],[リンク]]))</f>
        <v>1</v>
      </c>
      <c r="S12" s="16" t="str">
        <f ca="1">IFERROR(IF(テーブル1[[#This Row],[描画状況]]="",RAND()+(テーブル1[[#This Row],[列2]]*100),""),RAND())</f>
        <v/>
      </c>
      <c r="T12" s="1" t="s">
        <v>12</v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274</v>
      </c>
      <c r="D13" s="23" t="s">
        <v>782</v>
      </c>
      <c r="E13" s="23" t="s">
        <v>950</v>
      </c>
      <c r="F13" s="23" t="s">
        <v>279</v>
      </c>
      <c r="G13" s="23" t="s">
        <v>275</v>
      </c>
      <c r="H13" s="23" t="s">
        <v>660</v>
      </c>
      <c r="M13" s="23" t="s">
        <v>1180</v>
      </c>
      <c r="O13" s="1" t="s">
        <v>592</v>
      </c>
      <c r="P13" s="1" t="s">
        <v>549</v>
      </c>
      <c r="Q13" s="24" t="str">
        <f>テーブル1[[#This Row],[リンク]]&amp;テーブル1[[#This Row],[描画状況]]</f>
        <v>-済</v>
      </c>
      <c r="R13" s="17">
        <f>1-(COUNTIF(Q:Q,_xlfn.TEXTJOIN(",",TRUE,テーブル1[[#This Row],[リンク]],テーブル1[[#This Row],[描画状況]]))/COUNTIF(F:F,テーブル1[[#This Row],[リンク]]))</f>
        <v>1</v>
      </c>
      <c r="S13" s="16" t="str">
        <f ca="1">IFERROR(IF(テーブル1[[#This Row],[描画状況]]="",RAND()+(テーブル1[[#This Row],[列2]]*100),""),RAND())</f>
        <v/>
      </c>
      <c r="T13" s="1" t="s">
        <v>12</v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214</v>
      </c>
      <c r="D14" s="23" t="s">
        <v>215</v>
      </c>
      <c r="E14" s="23" t="s">
        <v>216</v>
      </c>
      <c r="F14" s="2" t="s">
        <v>217</v>
      </c>
      <c r="G14" s="23" t="s">
        <v>218</v>
      </c>
      <c r="H14" s="23" t="s">
        <v>660</v>
      </c>
      <c r="I14" s="23" t="s">
        <v>676</v>
      </c>
      <c r="J14" s="23" t="s">
        <v>1188</v>
      </c>
      <c r="N14" s="23" t="s">
        <v>1203</v>
      </c>
      <c r="P14" s="1" t="s">
        <v>549</v>
      </c>
      <c r="Q14" s="24" t="str">
        <f>テーブル1[[#This Row],[リンク]]&amp;テーブル1[[#This Row],[描画状況]]</f>
        <v>https://sites.google.com/view/tokakobo済</v>
      </c>
      <c r="R14" s="17">
        <f>1-(COUNTIF(Q:Q,_xlfn.TEXTJOIN(",",TRUE,テーブル1[[#This Row],[リンク]],テーブル1[[#This Row],[描画状況]]))/COUNTIF(F:F,テーブル1[[#This Row],[リンク]]))</f>
        <v>1</v>
      </c>
      <c r="S14" s="16" t="str">
        <f ca="1">IFERROR(IF(テーブル1[[#This Row],[描画状況]]="",RAND()+(テーブル1[[#This Row],[列2]]*100),""),RAND())</f>
        <v/>
      </c>
      <c r="T14" s="1" t="s">
        <v>12</v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233</v>
      </c>
      <c r="D15" s="23" t="s">
        <v>783</v>
      </c>
      <c r="E15" s="23" t="s">
        <v>951</v>
      </c>
      <c r="F15" s="2" t="s">
        <v>231</v>
      </c>
      <c r="G15" s="23" t="s">
        <v>232</v>
      </c>
      <c r="H15" s="23" t="s">
        <v>661</v>
      </c>
      <c r="I15" s="23" t="s">
        <v>714</v>
      </c>
      <c r="L15" s="23" t="s">
        <v>1204</v>
      </c>
      <c r="N15" s="23" t="s">
        <v>1205</v>
      </c>
      <c r="P15" s="1" t="s">
        <v>549</v>
      </c>
      <c r="Q15" s="24" t="str">
        <f>テーブル1[[#This Row],[リンク]]&amp;テーブル1[[#This Row],[描画状況]]</f>
        <v>https://torinosu-hikikomori.jimdofree.com済</v>
      </c>
      <c r="R15" s="17">
        <f>1-(COUNTIF(Q:Q,_xlfn.TEXTJOIN(",",TRUE,テーブル1[[#This Row],[リンク]],テーブル1[[#This Row],[描画状況]]))/COUNTIF(F:F,テーブル1[[#This Row],[リンク]]))</f>
        <v>1</v>
      </c>
      <c r="S15" s="16" t="str">
        <f ca="1">IFERROR(IF(テーブル1[[#This Row],[描画状況]]="",RAND()+(テーブル1[[#This Row],[列2]]*100),""),RAND())</f>
        <v/>
      </c>
      <c r="T15" s="1" t="s">
        <v>12</v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660</v>
      </c>
      <c r="I16" s="23" t="s">
        <v>677</v>
      </c>
      <c r="L16" s="23" t="s">
        <v>1206</v>
      </c>
      <c r="N16" s="23" t="s">
        <v>1294</v>
      </c>
      <c r="O16" s="1" t="s">
        <v>594</v>
      </c>
      <c r="P16" s="1" t="s">
        <v>549</v>
      </c>
      <c r="Q16" s="24" t="str">
        <f>テーブル1[[#This Row],[リンク]]&amp;テーブル1[[#This Row],[描画状況]]</f>
        <v>https://ichistart.wixsite.com/official/respiaker済</v>
      </c>
      <c r="R16" s="17">
        <f>1-(COUNTIF(Q:Q,_xlfn.TEXTJOIN(",",TRUE,テーブル1[[#This Row],[リンク]],テーブル1[[#This Row],[描画状況]]))/COUNTIF(F:F,テーブル1[[#This Row],[リンク]]))</f>
        <v>1</v>
      </c>
      <c r="S16" s="16" t="str">
        <f ca="1">IFERROR(IF(テーブル1[[#This Row],[描画状況]]="",RAND()+(テーブル1[[#This Row],[列2]]*100),""),RAND())</f>
        <v/>
      </c>
      <c r="T16" s="1" t="s">
        <v>12</v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593</v>
      </c>
      <c r="D17" s="23" t="s">
        <v>784</v>
      </c>
      <c r="E17" s="23" t="s">
        <v>952</v>
      </c>
      <c r="F17" s="15" t="s">
        <v>611</v>
      </c>
      <c r="G17" s="23" t="s">
        <v>276</v>
      </c>
      <c r="H17" s="23" t="s">
        <v>673</v>
      </c>
      <c r="I17" s="23" t="s">
        <v>732</v>
      </c>
      <c r="M17" s="23" t="s">
        <v>1186</v>
      </c>
      <c r="O17" s="1" t="s">
        <v>594</v>
      </c>
      <c r="P17" s="1" t="s">
        <v>549</v>
      </c>
      <c r="Q17" s="24" t="str">
        <f>テーブル1[[#This Row],[リンク]]&amp;テーブル1[[#This Row],[描画状況]]</f>
        <v>https://vividseekers.utau.sorairomarch.com済</v>
      </c>
      <c r="R17" s="17">
        <f>1-(COUNTIF(Q:Q,_xlfn.TEXTJOIN(",",TRUE,テーブル1[[#This Row],[リンク]],テーブル1[[#This Row],[描画状況]]))/COUNTIF(F:F,テーブル1[[#This Row],[リンク]]))</f>
        <v>1</v>
      </c>
      <c r="S17" s="16" t="str">
        <f ca="1">IFERROR(IF(テーブル1[[#This Row],[描画状況]]="",RAND()+(テーブル1[[#This Row],[列2]]*100),""),RAND())</f>
        <v/>
      </c>
      <c r="T17" s="1" t="s">
        <v>12</v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277</v>
      </c>
      <c r="D18" s="23" t="s">
        <v>785</v>
      </c>
      <c r="E18" s="23" t="s">
        <v>953</v>
      </c>
      <c r="F18" s="2" t="s">
        <v>611</v>
      </c>
      <c r="G18" s="23" t="s">
        <v>276</v>
      </c>
      <c r="H18" s="23" t="s">
        <v>673</v>
      </c>
      <c r="I18" s="23" t="s">
        <v>732</v>
      </c>
      <c r="K18" s="23" t="s">
        <v>1207</v>
      </c>
      <c r="M18" s="23" t="s">
        <v>1186</v>
      </c>
      <c r="O18" s="1" t="s">
        <v>594</v>
      </c>
      <c r="P18" s="1" t="s">
        <v>549</v>
      </c>
      <c r="Q18" s="24" t="str">
        <f>テーブル1[[#This Row],[リンク]]&amp;テーブル1[[#This Row],[描画状況]]</f>
        <v>https://vividseekers.utau.sorairomarch.com済</v>
      </c>
      <c r="R18" s="17">
        <f>1-(COUNTIF(Q:Q,_xlfn.TEXTJOIN(",",TRUE,テーブル1[[#This Row],[リンク]],テーブル1[[#This Row],[描画状況]]))/COUNTIF(F:F,テーブル1[[#This Row],[リンク]]))</f>
        <v>1</v>
      </c>
      <c r="S18" s="16" t="str">
        <f ca="1">IFERROR(IF(テーブル1[[#This Row],[描画状況]]="",RAND()+(テーブル1[[#This Row],[列2]]*100),""),RAND())</f>
        <v/>
      </c>
      <c r="T18" s="1" t="s">
        <v>12</v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954</v>
      </c>
      <c r="F19" s="15" t="s">
        <v>678</v>
      </c>
      <c r="G19" s="23" t="s">
        <v>39</v>
      </c>
      <c r="H19" s="23" t="s">
        <v>660</v>
      </c>
      <c r="M19" s="23" t="s">
        <v>1227</v>
      </c>
      <c r="O19" s="1" t="s">
        <v>595</v>
      </c>
      <c r="P19" s="1" t="s">
        <v>549</v>
      </c>
      <c r="Q19" s="24" t="str">
        <f>テーブル1[[#This Row],[リンク]]&amp;テーブル1[[#This Row],[描画状況]]</f>
        <v>https://ameutaulii.wixsite.com/telepathycapsule済</v>
      </c>
      <c r="R19" s="17">
        <f>1-(COUNTIF(Q:Q,_xlfn.TEXTJOIN(",",TRUE,テーブル1[[#This Row],[リンク]],テーブル1[[#This Row],[描画状況]]))/COUNTIF(F:F,テーブル1[[#This Row],[リンク]]))</f>
        <v>1</v>
      </c>
      <c r="S19" s="16" t="str">
        <f ca="1">IFERROR(IF(テーブル1[[#This Row],[描画状況]]="",RAND()+(テーブル1[[#This Row],[列2]]*100),""),RAND())</f>
        <v/>
      </c>
      <c r="T19" s="1" t="s">
        <v>12</v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786</v>
      </c>
      <c r="E20" s="23" t="s">
        <v>955</v>
      </c>
      <c r="F20" s="2" t="s">
        <v>103</v>
      </c>
      <c r="G20" s="23" t="s">
        <v>104</v>
      </c>
      <c r="H20" s="23" t="s">
        <v>672</v>
      </c>
      <c r="I20" s="23" t="s">
        <v>715</v>
      </c>
      <c r="M20" s="23" t="s">
        <v>1180</v>
      </c>
      <c r="P20" s="1" t="s">
        <v>549</v>
      </c>
      <c r="Q20" s="24" t="str">
        <f>テーブル1[[#This Row],[リンク]]&amp;テーブル1[[#This Row],[描画状況]]</f>
        <v>https://kasaneteto.jp済</v>
      </c>
      <c r="R20" s="17">
        <f>1-(COUNTIF(Q:Q,_xlfn.TEXTJOIN(",",TRUE,テーブル1[[#This Row],[リンク]],テーブル1[[#This Row],[描画状況]]))/COUNTIF(F:F,テーブル1[[#This Row],[リンク]]))</f>
        <v>1</v>
      </c>
      <c r="S20" s="16" t="str">
        <f ca="1">IFERROR(IF(テーブル1[[#This Row],[描画状況]]="",RAND()+(テーブル1[[#This Row],[列2]]*100),""),RAND())</f>
        <v/>
      </c>
      <c r="T20" s="1" t="s">
        <v>12</v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787</v>
      </c>
      <c r="E21" s="23" t="s">
        <v>956</v>
      </c>
      <c r="F21" s="2" t="s">
        <v>103</v>
      </c>
      <c r="G21" s="23" t="s">
        <v>106</v>
      </c>
      <c r="H21" s="23" t="s">
        <v>672</v>
      </c>
      <c r="I21" s="23" t="s">
        <v>715</v>
      </c>
      <c r="P21" s="1" t="s">
        <v>549</v>
      </c>
      <c r="Q21" s="24" t="str">
        <f>テーブル1[[#This Row],[リンク]]&amp;テーブル1[[#This Row],[描画状況]]</f>
        <v>https://kasaneteto.jp済</v>
      </c>
      <c r="R21" s="17">
        <f>1-(COUNTIF(Q:Q,_xlfn.TEXTJOIN(",",TRUE,テーブル1[[#This Row],[リンク]],テーブル1[[#This Row],[描画状況]]))/COUNTIF(F:F,テーブル1[[#This Row],[リンク]]))</f>
        <v>1</v>
      </c>
      <c r="S21" s="16" t="str">
        <f ca="1">IFERROR(IF(テーブル1[[#This Row],[描画状況]]="",RAND()+(テーブル1[[#This Row],[列2]]*100),""),RAND())</f>
        <v/>
      </c>
      <c r="T21" s="1" t="s">
        <v>12</v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517</v>
      </c>
      <c r="D22" s="23" t="s">
        <v>788</v>
      </c>
      <c r="E22" s="23" t="s">
        <v>957</v>
      </c>
      <c r="F22" s="2" t="s">
        <v>329</v>
      </c>
      <c r="G22" s="23" t="s">
        <v>49</v>
      </c>
      <c r="H22" s="23" t="s">
        <v>660</v>
      </c>
      <c r="I22" s="23" t="s">
        <v>680</v>
      </c>
      <c r="N22" s="23" t="s">
        <v>1228</v>
      </c>
      <c r="O22" s="1" t="s">
        <v>594</v>
      </c>
      <c r="P22" s="1" t="s">
        <v>549</v>
      </c>
      <c r="Q22" s="24" t="str">
        <f>テーブル1[[#This Row],[リンク]]&amp;テーブル1[[#This Row],[描画状況]]</f>
        <v>https://bowlroll.net/user/980255済</v>
      </c>
      <c r="R22" s="17">
        <f>1-(COUNTIF(Q:Q,_xlfn.TEXTJOIN(",",TRUE,テーブル1[[#This Row],[リンク]],テーブル1[[#This Row],[描画状況]]))/COUNTIF(F:F,テーブル1[[#This Row],[リンク]]))</f>
        <v>1</v>
      </c>
      <c r="S22" s="16" t="str">
        <f ca="1">IFERROR(IF(テーブル1[[#This Row],[描画状況]]="",RAND()+(テーブル1[[#This Row],[列2]]*100),""),RAND())</f>
        <v/>
      </c>
      <c r="T22" s="1" t="s">
        <v>12</v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661</v>
      </c>
      <c r="I23" s="23" t="s">
        <v>667</v>
      </c>
      <c r="L23" s="23" t="s">
        <v>1208</v>
      </c>
      <c r="M23" s="23" t="s">
        <v>1229</v>
      </c>
      <c r="N23" s="23" t="s">
        <v>1205</v>
      </c>
      <c r="O23" s="1" t="s">
        <v>631</v>
      </c>
      <c r="P23" s="1" t="s">
        <v>549</v>
      </c>
      <c r="Q23" s="24" t="str">
        <f>テーブル1[[#This Row],[リンク]]&amp;テーブル1[[#This Row],[描画状況]]</f>
        <v>https://kurukuru2suuzi.wixsite.com/kuzutokaze済</v>
      </c>
      <c r="R23" s="17">
        <f>1-(COUNTIF(Q:Q,_xlfn.TEXTJOIN(",",TRUE,テーブル1[[#This Row],[リンク]],テーブル1[[#This Row],[描画状況]]))/COUNTIF(F:F,テーブル1[[#This Row],[リンク]]))</f>
        <v>1</v>
      </c>
      <c r="S23" s="16" t="str">
        <f ca="1">IFERROR(IF(テーブル1[[#This Row],[描画状況]]="",RAND()+(テーブル1[[#This Row],[列2]]*100),""),RAND())</f>
        <v/>
      </c>
      <c r="T23" s="1" t="s">
        <v>12</v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518</v>
      </c>
      <c r="D24" s="23" t="s">
        <v>200</v>
      </c>
      <c r="E24" s="23" t="s">
        <v>201</v>
      </c>
      <c r="F24" s="2" t="s">
        <v>198</v>
      </c>
      <c r="G24" s="23" t="s">
        <v>199</v>
      </c>
      <c r="H24" s="23" t="s">
        <v>672</v>
      </c>
      <c r="I24" s="23" t="s">
        <v>716</v>
      </c>
      <c r="M24" s="23" t="s">
        <v>1178</v>
      </c>
      <c r="O24" s="1" t="s">
        <v>594</v>
      </c>
      <c r="P24" s="1" t="s">
        <v>549</v>
      </c>
      <c r="Q24" s="24" t="str">
        <f>テーブル1[[#This Row],[リンク]]&amp;テーブル1[[#This Row],[描画状況]]</f>
        <v>https://seirentoybox.jimdofree.com済</v>
      </c>
      <c r="R24" s="17">
        <f>1-(COUNTIF(Q:Q,_xlfn.TEXTJOIN(",",TRUE,テーブル1[[#This Row],[リンク]],テーブル1[[#This Row],[描画状況]]))/COUNTIF(F:F,テーブル1[[#This Row],[リンク]]))</f>
        <v>1</v>
      </c>
      <c r="S24" s="16" t="str">
        <f ca="1">IFERROR(IF(テーブル1[[#This Row],[描画状況]]="",RAND()+(テーブル1[[#This Row],[列2]]*100),""),RAND())</f>
        <v/>
      </c>
      <c r="T24" s="1" t="s">
        <v>12</v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519</v>
      </c>
      <c r="D25" s="23" t="s">
        <v>151</v>
      </c>
      <c r="E25" s="23" t="s">
        <v>152</v>
      </c>
      <c r="F25" s="2" t="s">
        <v>153</v>
      </c>
      <c r="G25" s="23" t="s">
        <v>154</v>
      </c>
      <c r="H25" s="23" t="s">
        <v>661</v>
      </c>
      <c r="I25" s="23" t="s">
        <v>670</v>
      </c>
      <c r="M25" s="23" t="s">
        <v>1181</v>
      </c>
      <c r="N25" s="23" t="s">
        <v>1205</v>
      </c>
      <c r="O25" s="1" t="s">
        <v>631</v>
      </c>
      <c r="P25" s="1" t="s">
        <v>549</v>
      </c>
      <c r="Q25" s="24" t="str">
        <f>テーブル1[[#This Row],[リンク]]&amp;テーブル1[[#This Row],[描画状況]]</f>
        <v>https://moqujc.wixsite.com/mqtop済</v>
      </c>
      <c r="R25" s="17">
        <f>1-(COUNTIF(Q:Q,_xlfn.TEXTJOIN(",",TRUE,テーブル1[[#This Row],[リンク]],テーブル1[[#This Row],[描画状況]]))/COUNTIF(F:F,テーブル1[[#This Row],[リンク]]))</f>
        <v>1</v>
      </c>
      <c r="S25" s="16" t="str">
        <f ca="1">IFERROR(IF(テーブル1[[#This Row],[描画状況]]="",RAND()+(テーブル1[[#This Row],[列2]]*100),""),RAND())</f>
        <v/>
      </c>
      <c r="T25" s="1" t="s">
        <v>12</v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789</v>
      </c>
      <c r="E26" s="23" t="s">
        <v>958</v>
      </c>
      <c r="F26" s="2" t="s">
        <v>86</v>
      </c>
      <c r="G26" s="23" t="s">
        <v>87</v>
      </c>
      <c r="H26" s="23" t="s">
        <v>660</v>
      </c>
      <c r="I26" s="23" t="s">
        <v>667</v>
      </c>
      <c r="L26" s="23" t="s">
        <v>1209</v>
      </c>
      <c r="N26" s="23" t="s">
        <v>1230</v>
      </c>
      <c r="O26" s="1" t="s">
        <v>631</v>
      </c>
      <c r="P26" s="1" t="s">
        <v>549</v>
      </c>
      <c r="Q26" s="24" t="str">
        <f>テーブル1[[#This Row],[リンク]]&amp;テーブル1[[#This Row],[描画状況]]</f>
        <v>https://itsuriutau.wixsite.com/kanadeshia済</v>
      </c>
      <c r="R26" s="17">
        <f>1-(COUNTIF(Q:Q,_xlfn.TEXTJOIN(",",TRUE,テーブル1[[#This Row],[リンク]],テーブル1[[#This Row],[描画状況]]))/COUNTIF(F:F,テーブル1[[#This Row],[リンク]]))</f>
        <v>1</v>
      </c>
      <c r="S26" s="16" t="str">
        <f ca="1">IFERROR(IF(テーブル1[[#This Row],[描画状況]]="",RAND()+(テーブル1[[#This Row],[列2]]*100),""),RAND())</f>
        <v/>
      </c>
      <c r="T26" s="1" t="s">
        <v>12</v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790</v>
      </c>
      <c r="E27" s="23" t="s">
        <v>959</v>
      </c>
      <c r="F27" s="2" t="s">
        <v>86</v>
      </c>
      <c r="G27" s="23" t="s">
        <v>89</v>
      </c>
      <c r="H27" s="23" t="s">
        <v>661</v>
      </c>
      <c r="I27" s="23" t="s">
        <v>667</v>
      </c>
      <c r="L27" s="23" t="s">
        <v>1209</v>
      </c>
      <c r="N27" s="23" t="s">
        <v>1210</v>
      </c>
      <c r="O27" s="1" t="s">
        <v>631</v>
      </c>
      <c r="P27" s="1" t="s">
        <v>549</v>
      </c>
      <c r="Q27" s="24" t="str">
        <f>テーブル1[[#This Row],[リンク]]&amp;テーブル1[[#This Row],[描画状況]]</f>
        <v>https://itsuriutau.wixsite.com/kanadeshia済</v>
      </c>
      <c r="R27" s="17">
        <f>1-(COUNTIF(Q:Q,_xlfn.TEXTJOIN(",",TRUE,テーブル1[[#This Row],[リンク]],テーブル1[[#This Row],[描画状況]]))/COUNTIF(F:F,テーブル1[[#This Row],[リンク]]))</f>
        <v>1</v>
      </c>
      <c r="S27" s="16" t="str">
        <f ca="1">IFERROR(IF(テーブル1[[#This Row],[描画状況]]="",RAND()+(テーブル1[[#This Row],[列2]]*100),""),RAND())</f>
        <v/>
      </c>
      <c r="T27" s="1" t="s">
        <v>12</v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791</v>
      </c>
      <c r="E28" s="23" t="s">
        <v>960</v>
      </c>
      <c r="F28" s="15" t="s">
        <v>705</v>
      </c>
      <c r="G28" s="23" t="s">
        <v>47</v>
      </c>
      <c r="H28" s="23" t="s">
        <v>672</v>
      </c>
      <c r="I28" s="23" t="s">
        <v>667</v>
      </c>
      <c r="J28" s="23" t="s">
        <v>1211</v>
      </c>
      <c r="K28" s="23" t="s">
        <v>1212</v>
      </c>
      <c r="O28" s="1" t="s">
        <v>594</v>
      </c>
      <c r="P28" s="1" t="s">
        <v>549</v>
      </c>
      <c r="Q28" s="24" t="str">
        <f>テーブル1[[#This Row],[リンク]]&amp;テーブル1[[#This Row],[描画状況]]</f>
        <v>https://kinomihautaimas.wixsite.com/dongurihiroba済</v>
      </c>
      <c r="R28" s="17">
        <f>1-(COUNTIF(Q:Q,_xlfn.TEXTJOIN(",",TRUE,テーブル1[[#This Row],[リンク]],テーブル1[[#This Row],[描画状況]]))/COUNTIF(F:F,テーブル1[[#This Row],[リンク]]))</f>
        <v>1</v>
      </c>
      <c r="S28" s="16" t="str">
        <f ca="1">IFERROR(IF(テーブル1[[#This Row],[描画状況]]="",RAND()+(テーブル1[[#This Row],[列2]]*100),""),RAND())</f>
        <v/>
      </c>
      <c r="T28" s="1" t="s">
        <v>12</v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520</v>
      </c>
      <c r="D29" s="23" t="s">
        <v>792</v>
      </c>
      <c r="E29" s="23" t="s">
        <v>961</v>
      </c>
      <c r="F29" s="2" t="s">
        <v>90</v>
      </c>
      <c r="G29" s="23" t="s">
        <v>91</v>
      </c>
      <c r="H29" s="23" t="s">
        <v>660</v>
      </c>
      <c r="I29" s="23" t="s">
        <v>667</v>
      </c>
      <c r="P29" s="1" t="s">
        <v>549</v>
      </c>
      <c r="Q29" s="24" t="str">
        <f>テーブル1[[#This Row],[リンク]]&amp;テーブル1[[#This Row],[描画状況]]</f>
        <v>https://kaitoramma.chu.jp済</v>
      </c>
      <c r="R29" s="17">
        <f>1-(COUNTIF(Q:Q,_xlfn.TEXTJOIN(",",TRUE,テーブル1[[#This Row],[リンク]],テーブル1[[#This Row],[描画状況]]))/COUNTIF(F:F,テーブル1[[#This Row],[リンク]]))</f>
        <v>1</v>
      </c>
      <c r="S29" s="16" t="str">
        <f ca="1">IFERROR(IF(テーブル1[[#This Row],[描画状況]]="",RAND()+(テーブル1[[#This Row],[列2]]*100),""),RAND())</f>
        <v/>
      </c>
      <c r="T29" s="1" t="s">
        <v>12</v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521</v>
      </c>
      <c r="D30" s="23" t="s">
        <v>793</v>
      </c>
      <c r="E30" s="23" t="s">
        <v>962</v>
      </c>
      <c r="F30" s="2" t="s">
        <v>90</v>
      </c>
      <c r="G30" s="23" t="s">
        <v>91</v>
      </c>
      <c r="H30" s="23" t="s">
        <v>673</v>
      </c>
      <c r="I30" s="23" t="s">
        <v>667</v>
      </c>
      <c r="M30" s="23" t="s">
        <v>1185</v>
      </c>
      <c r="P30" s="1" t="s">
        <v>549</v>
      </c>
      <c r="Q30" s="24" t="str">
        <f>テーブル1[[#This Row],[リンク]]&amp;テーブル1[[#This Row],[描画状況]]</f>
        <v>https://kaitoramma.chu.jp済</v>
      </c>
      <c r="R30" s="17">
        <f>1-(COUNTIF(Q:Q,_xlfn.TEXTJOIN(",",TRUE,テーブル1[[#This Row],[リンク]],テーブル1[[#This Row],[描画状況]]))/COUNTIF(F:F,テーブル1[[#This Row],[リンク]]))</f>
        <v>1</v>
      </c>
      <c r="S30" s="16" t="str">
        <f ca="1">IFERROR(IF(テーブル1[[#This Row],[描画状況]]="",RAND()+(テーブル1[[#This Row],[列2]]*100),""),RAND())</f>
        <v/>
      </c>
      <c r="T30" s="1" t="s">
        <v>12</v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522</v>
      </c>
      <c r="D31" s="23" t="s">
        <v>244</v>
      </c>
      <c r="E31" s="23" t="s">
        <v>245</v>
      </c>
      <c r="F31" s="2" t="s">
        <v>246</v>
      </c>
      <c r="G31" s="23" t="s">
        <v>247</v>
      </c>
      <c r="H31" s="23" t="s">
        <v>660</v>
      </c>
      <c r="I31" s="23" t="s">
        <v>679</v>
      </c>
      <c r="P31" s="1" t="s">
        <v>549</v>
      </c>
      <c r="Q31" s="24" t="str">
        <f>テーブル1[[#This Row],[リンク]]&amp;テーブル1[[#This Row],[描画状況]]</f>
        <v>https://utaunanaproplus.wixsite.com/of-web済</v>
      </c>
      <c r="R31" s="17">
        <f>1-(COUNTIF(Q:Q,_xlfn.TEXTJOIN(",",TRUE,テーブル1[[#This Row],[リンク]],テーブル1[[#This Row],[描画状況]]))/COUNTIF(F:F,テーブル1[[#This Row],[リンク]]))</f>
        <v>1</v>
      </c>
      <c r="S31" s="16" t="str">
        <f ca="1">IFERROR(IF(テーブル1[[#This Row],[描画状況]]="",RAND()+(テーブル1[[#This Row],[列2]]*100),""),RAND())</f>
        <v/>
      </c>
      <c r="T31" s="1" t="s">
        <v>12</v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523</v>
      </c>
      <c r="D32" s="23" t="s">
        <v>794</v>
      </c>
      <c r="E32" s="23" t="s">
        <v>963</v>
      </c>
      <c r="F32" s="2" t="s">
        <v>198</v>
      </c>
      <c r="G32" s="23" t="s">
        <v>199</v>
      </c>
      <c r="H32" s="23" t="s">
        <v>660</v>
      </c>
      <c r="I32" s="23" t="s">
        <v>717</v>
      </c>
      <c r="L32" s="23" t="s">
        <v>1204</v>
      </c>
      <c r="M32" s="23" t="s">
        <v>1281</v>
      </c>
      <c r="N32" s="23" t="s">
        <v>1213</v>
      </c>
      <c r="O32" s="1" t="s">
        <v>594</v>
      </c>
      <c r="P32" s="1" t="s">
        <v>549</v>
      </c>
      <c r="Q32" s="24" t="str">
        <f>テーブル1[[#This Row],[リンク]]&amp;テーブル1[[#This Row],[描画状況]]</f>
        <v>https://seirentoybox.jimdofree.com済</v>
      </c>
      <c r="R32" s="17">
        <f>1-(COUNTIF(Q:Q,_xlfn.TEXTJOIN(",",TRUE,テーブル1[[#This Row],[リンク]],テーブル1[[#This Row],[描画状況]]))/COUNTIF(F:F,テーブル1[[#This Row],[リンク]]))</f>
        <v>1</v>
      </c>
      <c r="S32" s="16" t="str">
        <f ca="1">IFERROR(IF(テーブル1[[#This Row],[描画状況]]="",RAND()+(テーブル1[[#This Row],[列2]]*100),""),RAND())</f>
        <v/>
      </c>
      <c r="T32" s="1" t="s">
        <v>12</v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175</v>
      </c>
      <c r="D33" s="23" t="s">
        <v>795</v>
      </c>
      <c r="E33" s="23" t="s">
        <v>964</v>
      </c>
      <c r="F33" s="15" t="s">
        <v>176</v>
      </c>
      <c r="G33" s="23" t="s">
        <v>177</v>
      </c>
      <c r="H33" s="23" t="s">
        <v>661</v>
      </c>
      <c r="I33" s="23" t="s">
        <v>726</v>
      </c>
      <c r="L33" s="23" t="s">
        <v>1214</v>
      </c>
      <c r="M33" s="23" t="s">
        <v>1185</v>
      </c>
      <c r="N33" s="23" t="s">
        <v>1231</v>
      </c>
      <c r="O33" s="1" t="s">
        <v>631</v>
      </c>
      <c r="P33" s="1" t="s">
        <v>549</v>
      </c>
      <c r="Q33" s="24" t="str">
        <f>テーブル1[[#This Row],[リンク]]&amp;テーブル1[[#This Row],[描画状況]]</f>
        <v>https://nyaruru.wixsite.com/s-p-w済</v>
      </c>
      <c r="R33" s="17">
        <f>1-(COUNTIF(Q:Q,_xlfn.TEXTJOIN(",",TRUE,テーブル1[[#This Row],[リンク]],テーブル1[[#This Row],[描画状況]]))/COUNTIF(F:F,テーブル1[[#This Row],[リンク]]))</f>
        <v>1</v>
      </c>
      <c r="S33" s="16" t="str">
        <f ca="1">IFERROR(IF(テーブル1[[#This Row],[描画状況]]="",RAND()+(テーブル1[[#This Row],[列2]]*100),""),RAND())</f>
        <v/>
      </c>
      <c r="T33" s="1" t="s">
        <v>12</v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796</v>
      </c>
      <c r="E34" s="23" t="s">
        <v>965</v>
      </c>
      <c r="F34" s="2" t="s">
        <v>705</v>
      </c>
      <c r="G34" s="23" t="s">
        <v>47</v>
      </c>
      <c r="H34" s="23" t="s">
        <v>660</v>
      </c>
      <c r="I34" s="23" t="s">
        <v>667</v>
      </c>
      <c r="M34" s="23" t="s">
        <v>1184</v>
      </c>
      <c r="N34" s="23" t="s">
        <v>1232</v>
      </c>
      <c r="O34" s="1" t="s">
        <v>594</v>
      </c>
      <c r="P34" s="1" t="s">
        <v>549</v>
      </c>
      <c r="Q34" s="24" t="str">
        <f>テーブル1[[#This Row],[リンク]]&amp;テーブル1[[#This Row],[描画状況]]</f>
        <v>https://kinomihautaimas.wixsite.com/dongurihiroba済</v>
      </c>
      <c r="R34" s="17">
        <f>1-(COUNTIF(Q:Q,_xlfn.TEXTJOIN(",",TRUE,テーブル1[[#This Row],[リンク]],テーブル1[[#This Row],[描画状況]]))/COUNTIF(F:F,テーブル1[[#This Row],[リンク]]))</f>
        <v>1</v>
      </c>
      <c r="S34" s="16" t="str">
        <f ca="1">IFERROR(IF(テーブル1[[#This Row],[描画状況]]="",RAND()+(テーブル1[[#This Row],[列2]]*100),""),RAND())</f>
        <v/>
      </c>
      <c r="T34" s="1" t="s">
        <v>12</v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524</v>
      </c>
      <c r="D35" s="23" t="s">
        <v>797</v>
      </c>
      <c r="E35" s="23" t="s">
        <v>966</v>
      </c>
      <c r="F35" s="2" t="s">
        <v>246</v>
      </c>
      <c r="G35" s="23" t="s">
        <v>247</v>
      </c>
      <c r="H35" s="23" t="s">
        <v>661</v>
      </c>
      <c r="I35" s="23" t="s">
        <v>713</v>
      </c>
      <c r="L35" s="23" t="s">
        <v>1214</v>
      </c>
      <c r="M35" s="23" t="s">
        <v>1215</v>
      </c>
      <c r="N35" s="23" t="s">
        <v>1205</v>
      </c>
      <c r="P35" s="1" t="s">
        <v>549</v>
      </c>
      <c r="Q35" s="24" t="str">
        <f>テーブル1[[#This Row],[リンク]]&amp;テーブル1[[#This Row],[描画状況]]</f>
        <v>https://utaunanaproplus.wixsite.com/of-web済</v>
      </c>
      <c r="R35" s="17">
        <f>1-(COUNTIF(Q:Q,_xlfn.TEXTJOIN(",",TRUE,テーブル1[[#This Row],[リンク]],テーブル1[[#This Row],[描画状況]]))/COUNTIF(F:F,テーブル1[[#This Row],[リンク]]))</f>
        <v>1</v>
      </c>
      <c r="S35" s="16" t="str">
        <f ca="1">IFERROR(IF(テーブル1[[#This Row],[描画状況]]="",RAND()+(テーブル1[[#This Row],[列2]]*100),""),RAND())</f>
        <v/>
      </c>
      <c r="T35" s="1" t="s">
        <v>12</v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178</v>
      </c>
      <c r="D36" s="23" t="s">
        <v>798</v>
      </c>
      <c r="E36" s="23" t="s">
        <v>967</v>
      </c>
      <c r="F36" s="2" t="s">
        <v>176</v>
      </c>
      <c r="G36" s="23" t="s">
        <v>179</v>
      </c>
      <c r="H36" s="23" t="s">
        <v>661</v>
      </c>
      <c r="I36" s="23" t="s">
        <v>704</v>
      </c>
      <c r="K36" s="23" t="s">
        <v>1306</v>
      </c>
      <c r="L36" s="23" t="s">
        <v>1308</v>
      </c>
      <c r="M36" s="23" t="s">
        <v>1181</v>
      </c>
      <c r="N36" s="23" t="s">
        <v>1294</v>
      </c>
      <c r="O36" s="1" t="s">
        <v>631</v>
      </c>
      <c r="P36" s="1" t="s">
        <v>549</v>
      </c>
      <c r="Q36" s="24" t="str">
        <f>テーブル1[[#This Row],[リンク]]&amp;テーブル1[[#This Row],[描画状況]]</f>
        <v>https://nyaruru.wixsite.com/s-p-w済</v>
      </c>
      <c r="R36" s="17">
        <f>1-(COUNTIF(Q:Q,_xlfn.TEXTJOIN(",",TRUE,テーブル1[[#This Row],[リンク]],テーブル1[[#This Row],[描画状況]]))/COUNTIF(F:F,テーブル1[[#This Row],[リンク]]))</f>
        <v>1</v>
      </c>
      <c r="S36" s="16" t="str">
        <f ca="1">IFERROR(IF(テーブル1[[#This Row],[描画状況]]="",RAND()+(テーブル1[[#This Row],[列2]]*100),""),RAND())</f>
        <v/>
      </c>
      <c r="T36" s="1" t="s">
        <v>12</v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799</v>
      </c>
      <c r="E37" s="23" t="s">
        <v>968</v>
      </c>
      <c r="F37" s="15" t="s">
        <v>72</v>
      </c>
      <c r="G37" s="23" t="s">
        <v>1113</v>
      </c>
      <c r="H37" s="23" t="s">
        <v>661</v>
      </c>
      <c r="I37" s="23" t="s">
        <v>667</v>
      </c>
      <c r="L37" s="23" t="s">
        <v>1209</v>
      </c>
      <c r="M37" s="23" t="s">
        <v>1177</v>
      </c>
      <c r="O37" s="1" t="s">
        <v>594</v>
      </c>
      <c r="P37" s="1" t="s">
        <v>549</v>
      </c>
      <c r="Q37" s="24" t="str">
        <f>テーブル1[[#This Row],[リンク]]&amp;テーブル1[[#This Row],[描画状況]]</f>
        <v>https://hznonoka.wixsite.com/utau済</v>
      </c>
      <c r="R37" s="17">
        <f>1-(COUNTIF(Q:Q,_xlfn.TEXTJOIN(",",TRUE,テーブル1[[#This Row],[リンク]],テーブル1[[#This Row],[描画状況]]))/COUNTIF(F:F,テーブル1[[#This Row],[リンク]]))</f>
        <v>1</v>
      </c>
      <c r="S37" s="16" t="str">
        <f ca="1">IFERROR(IF(テーブル1[[#This Row],[描画状況]]="",RAND()+(テーブル1[[#This Row],[列2]]*100),""),RAND())</f>
        <v/>
      </c>
      <c r="T37" s="1" t="s">
        <v>12</v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525</v>
      </c>
      <c r="D38" s="23" t="s">
        <v>800</v>
      </c>
      <c r="E38" s="23" t="s">
        <v>969</v>
      </c>
      <c r="F38" s="2" t="s">
        <v>167</v>
      </c>
      <c r="G38" s="23" t="s">
        <v>168</v>
      </c>
      <c r="H38" s="23" t="s">
        <v>660</v>
      </c>
      <c r="I38" s="23" t="s">
        <v>670</v>
      </c>
      <c r="L38" s="23" t="s">
        <v>1216</v>
      </c>
      <c r="N38" s="23" t="s">
        <v>1294</v>
      </c>
      <c r="O38" s="1" t="s">
        <v>631</v>
      </c>
      <c r="P38" s="1" t="s">
        <v>549</v>
      </c>
      <c r="Q38" s="24" t="str">
        <f>テーブル1[[#This Row],[リンク]]&amp;テーブル1[[#This Row],[描画状況]]</f>
        <v>https://nichikuniku1129063.wixsite.com/website-3済</v>
      </c>
      <c r="R38" s="17">
        <f>1-(COUNTIF(Q:Q,_xlfn.TEXTJOIN(",",TRUE,テーブル1[[#This Row],[リンク]],テーブル1[[#This Row],[描画状況]]))/COUNTIF(F:F,テーブル1[[#This Row],[リンク]]))</f>
        <v>1</v>
      </c>
      <c r="S38" s="16" t="str">
        <f ca="1">IFERROR(IF(テーブル1[[#This Row],[描画状況]]="",RAND()+(テーブル1[[#This Row],[列2]]*100),""),RAND())</f>
        <v/>
      </c>
      <c r="T38" s="1" t="s">
        <v>12</v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219</v>
      </c>
      <c r="D39" s="23" t="s">
        <v>220</v>
      </c>
      <c r="E39" s="23" t="s">
        <v>221</v>
      </c>
      <c r="F39" s="2" t="s">
        <v>222</v>
      </c>
      <c r="G39" s="23" t="s">
        <v>223</v>
      </c>
      <c r="H39" s="23" t="s">
        <v>661</v>
      </c>
      <c r="I39" s="23" t="s">
        <v>667</v>
      </c>
      <c r="P39" s="1" t="s">
        <v>549</v>
      </c>
      <c r="Q39" s="24" t="str">
        <f>テーブル1[[#This Row],[リンク]]&amp;テーブル1[[#This Row],[描画状況]]</f>
        <v>https://subarumusicstore.studio.site済</v>
      </c>
      <c r="R39" s="17">
        <f>1-(COUNTIF(Q:Q,_xlfn.TEXTJOIN(",",TRUE,テーブル1[[#This Row],[リンク]],テーブル1[[#This Row],[描画状況]]))/COUNTIF(F:F,テーブル1[[#This Row],[リンク]]))</f>
        <v>1</v>
      </c>
      <c r="S39" s="16" t="str">
        <f ca="1">IFERROR(IF(テーブル1[[#This Row],[描画状況]]="",RAND()+(テーブル1[[#This Row],[列2]]*100),""),RAND())</f>
        <v/>
      </c>
      <c r="T39" s="1" t="s">
        <v>12</v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661</v>
      </c>
      <c r="I40" s="23" t="s">
        <v>667</v>
      </c>
      <c r="L40" s="23" t="s">
        <v>1217</v>
      </c>
      <c r="O40" s="1" t="s">
        <v>595</v>
      </c>
      <c r="P40" s="1" t="s">
        <v>549</v>
      </c>
      <c r="Q40" s="24" t="str">
        <f>テーブル1[[#This Row],[リンク]]&amp;テーブル1[[#This Row],[描画状況]]</f>
        <v>http://park2.wakwak.com/~mbox/vo/hk/hkfre.htm済</v>
      </c>
      <c r="R40" s="17">
        <f>1-(COUNTIF(Q:Q,_xlfn.TEXTJOIN(",",TRUE,テーブル1[[#This Row],[リンク]],テーブル1[[#This Row],[描画状況]]))/COUNTIF(F:F,テーブル1[[#This Row],[リンク]]))</f>
        <v>1</v>
      </c>
      <c r="S40" s="16" t="str">
        <f ca="1">IFERROR(IF(テーブル1[[#This Row],[描画状況]]="",RAND()+(テーブル1[[#This Row],[列2]]*100),""),RAND())</f>
        <v/>
      </c>
      <c r="T40" s="1" t="s">
        <v>12</v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801</v>
      </c>
      <c r="E41" s="23" t="s">
        <v>970</v>
      </c>
      <c r="F41" s="30" t="s">
        <v>108</v>
      </c>
      <c r="G41" s="23" t="s">
        <v>109</v>
      </c>
      <c r="H41" s="23" t="s">
        <v>661</v>
      </c>
      <c r="I41" s="23" t="s">
        <v>667</v>
      </c>
      <c r="P41" s="1" t="s">
        <v>549</v>
      </c>
      <c r="Q41" s="24" t="str">
        <f>テーブル1[[#This Row],[リンク]]&amp;テーブル1[[#This Row],[描画状況]]</f>
        <v>https://keineron.wixsite.com/index済</v>
      </c>
      <c r="R41" s="17">
        <f>1-(COUNTIF(Q:Q,_xlfn.TEXTJOIN(",",TRUE,テーブル1[[#This Row],[リンク]],テーブル1[[#This Row],[描画状況]]))/COUNTIF(F:F,テーブル1[[#This Row],[リンク]]))</f>
        <v>1</v>
      </c>
      <c r="S41" s="16" t="str">
        <f ca="1">IFERROR(IF(テーブル1[[#This Row],[描画状況]]="",RAND()+(テーブル1[[#This Row],[列2]]*100),""),RAND())</f>
        <v/>
      </c>
      <c r="T41" s="1" t="s">
        <v>12</v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660</v>
      </c>
      <c r="I42" s="23" t="s">
        <v>667</v>
      </c>
      <c r="M42" s="23" t="s">
        <v>1187</v>
      </c>
      <c r="N42" s="23" t="s">
        <v>1289</v>
      </c>
      <c r="O42" s="1" t="s">
        <v>631</v>
      </c>
      <c r="P42" s="1" t="s">
        <v>549</v>
      </c>
      <c r="Q42" s="24" t="str">
        <f>テーブル1[[#This Row],[リンク]]&amp;テーブル1[[#This Row],[描画状況]]</f>
        <v>https://kurukuru2suuzi.wixsite.com/kuzutokaze済</v>
      </c>
      <c r="R42" s="17">
        <f>1-(COUNTIF(Q:Q,_xlfn.TEXTJOIN(",",TRUE,テーブル1[[#This Row],[リンク]],テーブル1[[#This Row],[描画状況]]))/COUNTIF(F:F,テーブル1[[#This Row],[リンク]]))</f>
        <v>1</v>
      </c>
      <c r="S42" s="16" t="str">
        <f ca="1">IFERROR(IF(テーブル1[[#This Row],[描画状況]]="",RAND()+(テーブル1[[#This Row],[列2]]*100),""),RAND())</f>
        <v/>
      </c>
      <c r="T42" s="1" t="s">
        <v>12</v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661</v>
      </c>
      <c r="I43" s="23" t="s">
        <v>667</v>
      </c>
      <c r="O43" s="1" t="s">
        <v>631</v>
      </c>
      <c r="P43" s="1" t="s">
        <v>549</v>
      </c>
      <c r="Q43" s="24" t="str">
        <f>テーブル1[[#This Row],[リンク]]&amp;テーブル1[[#This Row],[描画状況]]</f>
        <v>https://kakokyu102krbs.wixsite.com/greenmilky済</v>
      </c>
      <c r="R43" s="17">
        <f>1-(COUNTIF(Q:Q,_xlfn.TEXTJOIN(",",TRUE,テーブル1[[#This Row],[リンク]],テーブル1[[#This Row],[描画状況]]))/COUNTIF(F:F,テーブル1[[#This Row],[リンク]]))</f>
        <v>1</v>
      </c>
      <c r="S43" s="16" t="str">
        <f ca="1">IFERROR(IF(テーブル1[[#This Row],[描画状況]]="",RAND()+(テーブル1[[#This Row],[列2]]*100),""),RAND())</f>
        <v/>
      </c>
      <c r="T43" s="1" t="s">
        <v>12</v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526</v>
      </c>
      <c r="D44" s="23" t="s">
        <v>802</v>
      </c>
      <c r="E44" s="23" t="s">
        <v>971</v>
      </c>
      <c r="F44" s="27" t="s">
        <v>57</v>
      </c>
      <c r="G44" s="23" t="s">
        <v>58</v>
      </c>
      <c r="H44" s="23" t="s">
        <v>661</v>
      </c>
      <c r="I44" s="23" t="s">
        <v>718</v>
      </c>
      <c r="J44" s="23" t="s">
        <v>1188</v>
      </c>
      <c r="N44" s="23" t="s">
        <v>1295</v>
      </c>
      <c r="O44" s="1" t="s">
        <v>595</v>
      </c>
      <c r="P44" s="1" t="s">
        <v>549</v>
      </c>
      <c r="Q44" s="24" t="str">
        <f>テーブル1[[#This Row],[リンク]]&amp;テーブル1[[#This Row],[描画状況]]</f>
        <v>https://chunyinhui021.wixsite.com/mutyuusaisei済</v>
      </c>
      <c r="R44" s="17">
        <f>1-(COUNTIF(Q:Q,_xlfn.TEXTJOIN(",",TRUE,テーブル1[[#This Row],[リンク]],テーブル1[[#This Row],[描画状況]]))/COUNTIF(F:F,テーブル1[[#This Row],[リンク]]))</f>
        <v>1</v>
      </c>
      <c r="S44" s="16" t="str">
        <f ca="1">IFERROR(IF(テーブル1[[#This Row],[描画状況]]="",RAND()+(テーブル1[[#This Row],[列2]]*100),""),RAND())</f>
        <v/>
      </c>
      <c r="T44" s="1" t="s">
        <v>12</v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527</v>
      </c>
      <c r="D45" s="23" t="s">
        <v>253</v>
      </c>
      <c r="E45" s="23" t="s">
        <v>254</v>
      </c>
      <c r="F45" s="2" t="s">
        <v>255</v>
      </c>
      <c r="G45" s="23" t="s">
        <v>256</v>
      </c>
      <c r="H45" s="23" t="s">
        <v>660</v>
      </c>
      <c r="I45" s="23" t="s">
        <v>667</v>
      </c>
      <c r="L45" s="23" t="s">
        <v>1217</v>
      </c>
      <c r="M45" s="23" t="s">
        <v>1179</v>
      </c>
      <c r="P45" s="1" t="s">
        <v>549</v>
      </c>
      <c r="Q45" s="24" t="str">
        <f>テーブル1[[#This Row],[リンク]]&amp;テーブル1[[#This Row],[描画状況]]</f>
        <v>https://utauudon.wixsite.com/origamisyokudou済</v>
      </c>
      <c r="R45" s="17">
        <f>1-(COUNTIF(Q:Q,_xlfn.TEXTJOIN(",",TRUE,テーブル1[[#This Row],[リンク]],テーブル1[[#This Row],[描画状況]]))/COUNTIF(F:F,テーブル1[[#This Row],[リンク]]))</f>
        <v>1</v>
      </c>
      <c r="S45" s="16" t="str">
        <f ca="1">IFERROR(IF(テーブル1[[#This Row],[描画状況]]="",RAND()+(テーブル1[[#This Row],[列2]]*100),""),RAND())</f>
        <v/>
      </c>
      <c r="T45" s="1" t="s">
        <v>12</v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528</v>
      </c>
      <c r="D46" s="23" t="s">
        <v>803</v>
      </c>
      <c r="E46" s="23" t="s">
        <v>972</v>
      </c>
      <c r="F46" s="2" t="s">
        <v>66</v>
      </c>
      <c r="G46" s="23" t="s">
        <v>67</v>
      </c>
      <c r="H46" s="23" t="s">
        <v>660</v>
      </c>
      <c r="I46" s="23" t="s">
        <v>667</v>
      </c>
      <c r="L46" s="23" t="s">
        <v>1233</v>
      </c>
      <c r="M46" s="23" t="s">
        <v>1285</v>
      </c>
      <c r="O46" s="1" t="s">
        <v>594</v>
      </c>
      <c r="P46" s="1" t="s">
        <v>549</v>
      </c>
      <c r="Q46" s="24" t="str">
        <f>テーブル1[[#This Row],[リンク]]&amp;テーブル1[[#This Row],[描画状況]]</f>
        <v>https://hinagitsune-utau.wixsite.com/utaukokorone済</v>
      </c>
      <c r="R46" s="17">
        <f>1-(COUNTIF(Q:Q,_xlfn.TEXTJOIN(",",TRUE,テーブル1[[#This Row],[リンク]],テーブル1[[#This Row],[描画状況]]))/COUNTIF(F:F,テーブル1[[#This Row],[リンク]]))</f>
        <v>1</v>
      </c>
      <c r="S46" s="16" t="str">
        <f ca="1">IFERROR(IF(テーブル1[[#This Row],[描画状況]]="",RAND()+(テーブル1[[#This Row],[列2]]*100),""),RAND())</f>
        <v/>
      </c>
      <c r="T46" s="1" t="s">
        <v>12</v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529</v>
      </c>
      <c r="D47" s="23" t="s">
        <v>804</v>
      </c>
      <c r="E47" s="23" t="s">
        <v>973</v>
      </c>
      <c r="F47" s="2" t="s">
        <v>158</v>
      </c>
      <c r="G47" s="23" t="s">
        <v>159</v>
      </c>
      <c r="P47" s="1" t="s">
        <v>549</v>
      </c>
      <c r="Q47" s="24" t="str">
        <f>テーブル1[[#This Row],[リンク]]&amp;テーブル1[[#This Row],[描画状況]]</f>
        <v>https://nananasyrup.wixsite.com/13kka済</v>
      </c>
      <c r="R47" s="17">
        <f>1-(COUNTIF(Q:Q,_xlfn.TEXTJOIN(",",TRUE,テーブル1[[#This Row],[リンク]],テーブル1[[#This Row],[描画状況]]))/COUNTIF(F:F,テーブル1[[#This Row],[リンク]]))</f>
        <v>1</v>
      </c>
      <c r="S47" s="16" t="str">
        <f ca="1">IFERROR(IF(テーブル1[[#This Row],[描画状況]]="",RAND()+(テーブル1[[#This Row],[列2]]*100),""),RAND())</f>
        <v/>
      </c>
      <c r="T47" s="1" t="s">
        <v>12</v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530</v>
      </c>
      <c r="D48" s="23" t="s">
        <v>169</v>
      </c>
      <c r="E48" s="23" t="s">
        <v>170</v>
      </c>
      <c r="F48" s="2" t="s">
        <v>167</v>
      </c>
      <c r="G48" s="23" t="s">
        <v>168</v>
      </c>
      <c r="H48" s="23" t="s">
        <v>660</v>
      </c>
      <c r="I48" s="23" t="s">
        <v>706</v>
      </c>
      <c r="M48" s="23" t="s">
        <v>1177</v>
      </c>
      <c r="N48" s="23" t="s">
        <v>1296</v>
      </c>
      <c r="O48" s="1" t="s">
        <v>631</v>
      </c>
      <c r="P48" s="1" t="s">
        <v>549</v>
      </c>
      <c r="Q48" s="24" t="str">
        <f>テーブル1[[#This Row],[リンク]]&amp;テーブル1[[#This Row],[描画状況]]</f>
        <v>https://nichikuniku1129063.wixsite.com/website-3済</v>
      </c>
      <c r="R48" s="17">
        <f>1-(COUNTIF(Q:Q,_xlfn.TEXTJOIN(",",TRUE,テーブル1[[#This Row],[リンク]],テーブル1[[#This Row],[描画状況]]))/COUNTIF(F:F,テーブル1[[#This Row],[リンク]]))</f>
        <v>1</v>
      </c>
      <c r="S48" s="16" t="str">
        <f ca="1">IFERROR(IF(テーブル1[[#This Row],[描画状況]]="",RAND()+(テーブル1[[#This Row],[列2]]*100),""),RAND())</f>
        <v/>
      </c>
      <c r="T48" s="1" t="s">
        <v>12</v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531</v>
      </c>
      <c r="D49" s="23" t="s">
        <v>163</v>
      </c>
      <c r="E49" s="23" t="s">
        <v>164</v>
      </c>
      <c r="F49" s="2" t="s">
        <v>165</v>
      </c>
      <c r="G49" s="23" t="s">
        <v>166</v>
      </c>
      <c r="P49" s="1" t="s">
        <v>549</v>
      </c>
      <c r="Q49" s="24" t="str">
        <f>テーブル1[[#This Row],[リンク]]&amp;テーブル1[[#This Row],[描画状況]]</f>
        <v>https://ne510channel.wixsite.com/website済</v>
      </c>
      <c r="R49" s="17">
        <f>1-(COUNTIF(Q:Q,_xlfn.TEXTJOIN(",",TRUE,テーブル1[[#This Row],[リンク]],テーブル1[[#This Row],[描画状況]]))/COUNTIF(F:F,テーブル1[[#This Row],[リンク]]))</f>
        <v>1</v>
      </c>
      <c r="S49" s="16" t="str">
        <f ca="1">IFERROR(IF(テーブル1[[#This Row],[描画状況]]="",RAND()+(テーブル1[[#This Row],[列2]]*100),""),RAND())</f>
        <v/>
      </c>
      <c r="T49" s="1" t="s">
        <v>12</v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131</v>
      </c>
      <c r="D50" s="23" t="s">
        <v>131</v>
      </c>
      <c r="E50" s="23" t="s">
        <v>132</v>
      </c>
      <c r="F50" s="2" t="s">
        <v>129</v>
      </c>
      <c r="G50" s="23" t="s">
        <v>133</v>
      </c>
      <c r="P50" s="1" t="s">
        <v>549</v>
      </c>
      <c r="Q50" s="24" t="str">
        <f>テーブル1[[#This Row],[リンク]]&amp;テーブル1[[#This Row],[描画状況]]</f>
        <v>https://lit.link/sereinrain済</v>
      </c>
      <c r="R50" s="17">
        <f>1-(COUNTIF(Q:Q,_xlfn.TEXTJOIN(",",TRUE,テーブル1[[#This Row],[リンク]],テーブル1[[#This Row],[描画状況]]))/COUNTIF(F:F,テーブル1[[#This Row],[リンク]]))</f>
        <v>1</v>
      </c>
      <c r="S50" s="16" t="str">
        <f ca="1">IFERROR(IF(テーブル1[[#This Row],[描画状況]]="",RAND()+(テーブル1[[#This Row],[列2]]*100),""),RAND())</f>
        <v/>
      </c>
      <c r="T50" s="1" t="s">
        <v>12</v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|MIDDLE:​&amp;link(配布所はこちら){​https://lit.link/sereinrain}|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532</v>
      </c>
      <c r="D51" s="23" t="s">
        <v>805</v>
      </c>
      <c r="E51" s="23" t="s">
        <v>974</v>
      </c>
      <c r="F51" s="2" t="s">
        <v>262</v>
      </c>
      <c r="G51" s="23" t="s">
        <v>263</v>
      </c>
      <c r="P51" s="1" t="s">
        <v>549</v>
      </c>
      <c r="Q51" s="24" t="str">
        <f>テーブル1[[#This Row],[リンク]]&amp;テーブル1[[#This Row],[描画状況]]</f>
        <v>https://witchdoll.jimdofree.com済</v>
      </c>
      <c r="R51" s="17">
        <f>1-(COUNTIF(Q:Q,_xlfn.TEXTJOIN(",",TRUE,テーブル1[[#This Row],[リンク]],テーブル1[[#This Row],[描画状況]]))/COUNTIF(F:F,テーブル1[[#This Row],[リンク]]))</f>
        <v>1</v>
      </c>
      <c r="S51" s="16" t="str">
        <f ca="1">IFERROR(IF(テーブル1[[#This Row],[描画状況]]="",RAND()+(テーブル1[[#This Row],[列2]]*100),""),RAND())</f>
        <v/>
      </c>
      <c r="T51" s="1" t="s">
        <v>12</v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533</v>
      </c>
      <c r="D52" s="23" t="s">
        <v>806</v>
      </c>
      <c r="E52" s="23" t="s">
        <v>975</v>
      </c>
      <c r="F52" s="2" t="s">
        <v>238</v>
      </c>
      <c r="G52" s="23" t="s">
        <v>239</v>
      </c>
      <c r="P52" s="1" t="s">
        <v>549</v>
      </c>
      <c r="Q52" s="24" t="str">
        <f>テーブル1[[#This Row],[リンク]]&amp;テーブル1[[#This Row],[描画状況]]</f>
        <v>https://tsukimiya0728.wixsite.com/silverbullet済</v>
      </c>
      <c r="R52" s="17">
        <f>1-(COUNTIF(Q:Q,_xlfn.TEXTJOIN(",",TRUE,テーブル1[[#This Row],[リンク]],テーブル1[[#This Row],[描画状況]]))/COUNTIF(F:F,テーブル1[[#This Row],[リンク]]))</f>
        <v>1</v>
      </c>
      <c r="S52" s="16" t="str">
        <f ca="1">IFERROR(IF(テーブル1[[#This Row],[描画状況]]="",RAND()+(テーブル1[[#This Row],[列2]]*100),""),RAND())</f>
        <v/>
      </c>
      <c r="T52" s="1" t="s">
        <v>12</v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534</v>
      </c>
      <c r="D53" s="23" t="s">
        <v>171</v>
      </c>
      <c r="E53" s="23" t="s">
        <v>172</v>
      </c>
      <c r="F53" s="2" t="s">
        <v>167</v>
      </c>
      <c r="G53" s="23" t="s">
        <v>168</v>
      </c>
      <c r="H53" s="23" t="s">
        <v>661</v>
      </c>
      <c r="I53" s="23" t="s">
        <v>670</v>
      </c>
      <c r="L53" s="23" t="s">
        <v>1216</v>
      </c>
      <c r="O53" s="1" t="s">
        <v>631</v>
      </c>
      <c r="P53" s="1" t="s">
        <v>549</v>
      </c>
      <c r="Q53" s="24" t="str">
        <f>テーブル1[[#This Row],[リンク]]&amp;テーブル1[[#This Row],[描画状況]]</f>
        <v>https://nichikuniku1129063.wixsite.com/website-3済</v>
      </c>
      <c r="R53" s="17">
        <f>1-(COUNTIF(Q:Q,_xlfn.TEXTJOIN(",",TRUE,テーブル1[[#This Row],[リンク]],テーブル1[[#This Row],[描画状況]]))/COUNTIF(F:F,テーブル1[[#This Row],[リンク]]))</f>
        <v>1</v>
      </c>
      <c r="S53" s="16" t="str">
        <f ca="1">IFERROR(IF(テーブル1[[#This Row],[描画状況]]="",RAND()+(テーブル1[[#This Row],[列2]]*100),""),RAND())</f>
        <v/>
      </c>
      <c r="T53" s="1" t="s">
        <v>12</v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535</v>
      </c>
      <c r="D54" s="23" t="s">
        <v>807</v>
      </c>
      <c r="E54" s="23" t="s">
        <v>976</v>
      </c>
      <c r="F54" s="15" t="s">
        <v>662</v>
      </c>
      <c r="G54" s="23" t="s">
        <v>53</v>
      </c>
      <c r="O54" s="1" t="s">
        <v>595</v>
      </c>
      <c r="P54" s="1" t="s">
        <v>549</v>
      </c>
      <c r="Q54" s="24" t="str">
        <f>テーブル1[[#This Row],[リンク]]&amp;テーブル1[[#This Row],[描画状況]]</f>
        <v>https://utau.kurotsuka.xyz済</v>
      </c>
      <c r="R54" s="17">
        <f>1-(COUNTIF(Q:Q,_xlfn.TEXTJOIN(",",TRUE,テーブル1[[#This Row],[リンク]],テーブル1[[#This Row],[描画状況]]))/COUNTIF(F:F,テーブル1[[#This Row],[リンク]]))</f>
        <v>1</v>
      </c>
      <c r="S54" s="16" t="str">
        <f ca="1">IFERROR(IF(テーブル1[[#This Row],[描画状況]]="",RAND()+(テーブル1[[#This Row],[列2]]*100),""),RAND())</f>
        <v/>
      </c>
      <c r="T54" s="1" t="s">
        <v>12</v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536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660</v>
      </c>
      <c r="I55" s="28" t="s">
        <v>667</v>
      </c>
      <c r="J55" s="28"/>
      <c r="K55" s="28"/>
      <c r="L55" s="28"/>
      <c r="M55" s="28"/>
      <c r="N55" s="28" t="s">
        <v>1288</v>
      </c>
      <c r="O55" s="1" t="s">
        <v>631</v>
      </c>
      <c r="P55" s="1" t="s">
        <v>549</v>
      </c>
      <c r="Q55" s="24" t="str">
        <f>テーブル1[[#This Row],[リンク]]&amp;テーブル1[[#This Row],[描画状況]]</f>
        <v>https://kakokyu102krbs.wixsite.com/greenmilky済</v>
      </c>
      <c r="R55" s="17">
        <f>1-(COUNTIF(Q:Q,_xlfn.TEXTJOIN(",",TRUE,テーブル1[[#This Row],[リンク]],テーブル1[[#This Row],[描画状況]]))/COUNTIF(F:F,テーブル1[[#This Row],[リンク]]))</f>
        <v>1</v>
      </c>
      <c r="S55" s="16" t="str">
        <f ca="1">IFERROR(IF(テーブル1[[#This Row],[描画状況]]="",RAND()+(テーブル1[[#This Row],[列2]]*100),""),RAND())</f>
        <v/>
      </c>
      <c r="T55" s="1" t="s">
        <v>12</v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537</v>
      </c>
      <c r="D56" s="23" t="s">
        <v>210</v>
      </c>
      <c r="E56" s="23" t="s">
        <v>211</v>
      </c>
      <c r="F56" s="2" t="s">
        <v>212</v>
      </c>
      <c r="G56" s="23" t="s">
        <v>213</v>
      </c>
      <c r="P56" s="1" t="s">
        <v>549</v>
      </c>
      <c r="Q56" s="24" t="str">
        <f>テーブル1[[#This Row],[リンク]]&amp;テーブル1[[#This Row],[描画状況]]</f>
        <v>https://shinri517.wixsite.com/shinri0517済</v>
      </c>
      <c r="R56" s="17">
        <f>1-(COUNTIF(Q:Q,_xlfn.TEXTJOIN(",",TRUE,テーブル1[[#This Row],[リンク]],テーブル1[[#This Row],[描画状況]]))/COUNTIF(F:F,テーブル1[[#This Row],[リンク]]))</f>
        <v>1</v>
      </c>
      <c r="S56" s="16" t="str">
        <f ca="1">IFERROR(IF(テーブル1[[#This Row],[描画状況]]="",RAND()+(テーブル1[[#This Row],[列2]]*100),""),RAND())</f>
        <v/>
      </c>
      <c r="T56" s="1" t="s">
        <v>12</v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145</v>
      </c>
      <c r="D57" s="23" t="s">
        <v>145</v>
      </c>
      <c r="E57" s="23" t="s">
        <v>146</v>
      </c>
      <c r="F57" s="2" t="s">
        <v>147</v>
      </c>
      <c r="G57" s="23" t="s">
        <v>148</v>
      </c>
      <c r="P57" s="1" t="s">
        <v>549</v>
      </c>
      <c r="Q57" s="24" t="str">
        <f>テーブル1[[#This Row],[リンク]]&amp;テーブル1[[#This Row],[描画状況]]</f>
        <v>https://minazukiringo.wixsite.com/amatsubu済</v>
      </c>
      <c r="R57" s="17">
        <f>1-(COUNTIF(Q:Q,_xlfn.TEXTJOIN(",",TRUE,テーブル1[[#This Row],[リンク]],テーブル1[[#This Row],[描画状況]]))/COUNTIF(F:F,テーブル1[[#This Row],[リンク]]))</f>
        <v>1</v>
      </c>
      <c r="S57" s="16" t="str">
        <f ca="1">IFERROR(IF(テーブル1[[#This Row],[描画状況]]="",RAND()+(テーブル1[[#This Row],[列2]]*100),""),RAND())</f>
        <v/>
      </c>
      <c r="T57" s="1" t="s">
        <v>12</v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538</v>
      </c>
      <c r="D58" s="23" t="s">
        <v>808</v>
      </c>
      <c r="E58" s="23" t="s">
        <v>977</v>
      </c>
      <c r="F58" s="2" t="s">
        <v>43</v>
      </c>
      <c r="G58" s="23" t="s">
        <v>44</v>
      </c>
      <c r="O58" s="1" t="s">
        <v>595</v>
      </c>
      <c r="P58" s="1" t="s">
        <v>549</v>
      </c>
      <c r="Q58" s="24" t="str">
        <f>テーブル1[[#This Row],[リンク]]&amp;テーブル1[[#This Row],[描画状況]]</f>
        <v>https://bellsworks.wixsite.com/bellsworks済</v>
      </c>
      <c r="R58" s="17">
        <f>1-(COUNTIF(Q:Q,_xlfn.TEXTJOIN(",",TRUE,テーブル1[[#This Row],[リンク]],テーブル1[[#This Row],[描画状況]]))/COUNTIF(F:F,テーブル1[[#This Row],[リンク]]))</f>
        <v>1</v>
      </c>
      <c r="S58" s="16" t="str">
        <f ca="1">IFERROR(IF(テーブル1[[#This Row],[描画状況]]="",RAND()+(テーブル1[[#This Row],[列2]]*100),""),RAND())</f>
        <v/>
      </c>
      <c r="T58" s="1" t="s">
        <v>12</v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539</v>
      </c>
      <c r="D59" s="23" t="s">
        <v>809</v>
      </c>
      <c r="E59" s="23" t="s">
        <v>978</v>
      </c>
      <c r="F59" s="2" t="s">
        <v>43</v>
      </c>
      <c r="G59" s="23" t="s">
        <v>44</v>
      </c>
      <c r="O59" s="1" t="s">
        <v>595</v>
      </c>
      <c r="P59" s="1" t="s">
        <v>549</v>
      </c>
      <c r="Q59" s="24" t="str">
        <f>テーブル1[[#This Row],[リンク]]&amp;テーブル1[[#This Row],[描画状況]]</f>
        <v>https://bellsworks.wixsite.com/bellsworks済</v>
      </c>
      <c r="R59" s="17">
        <f>1-(COUNTIF(Q:Q,_xlfn.TEXTJOIN(",",TRUE,テーブル1[[#This Row],[リンク]],テーブル1[[#This Row],[描画状況]]))/COUNTIF(F:F,テーブル1[[#This Row],[リンク]]))</f>
        <v>1</v>
      </c>
      <c r="S59" s="16" t="str">
        <f ca="1">IFERROR(IF(テーブル1[[#This Row],[描画状況]]="",RAND()+(テーブル1[[#This Row],[列2]]*100),""),RAND())</f>
        <v/>
      </c>
      <c r="T59" s="1" t="s">
        <v>12</v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188</v>
      </c>
      <c r="D60" s="23" t="s">
        <v>810</v>
      </c>
      <c r="E60" s="23" t="s">
        <v>979</v>
      </c>
      <c r="F60" s="2" t="s">
        <v>189</v>
      </c>
      <c r="G60" s="23" t="s">
        <v>190</v>
      </c>
      <c r="P60" s="1" t="s">
        <v>549</v>
      </c>
      <c r="Q60" s="24" t="str">
        <f>テーブル1[[#This Row],[リンク]]&amp;テーブル1[[#This Row],[描画状況]]</f>
        <v>https://offlamingo21.wixsite.com/amato-seiun済</v>
      </c>
      <c r="R60" s="17">
        <f>1-(COUNTIF(Q:Q,_xlfn.TEXTJOIN(",",TRUE,テーブル1[[#This Row],[リンク]],テーブル1[[#This Row],[描画状況]]))/COUNTIF(F:F,テーブル1[[#This Row],[リンク]]))</f>
        <v>1</v>
      </c>
      <c r="S60" s="16" t="str">
        <f ca="1">IFERROR(IF(テーブル1[[#This Row],[描画状況]]="",RAND()+(テーブル1[[#This Row],[列2]]*100),""),RAND())</f>
        <v/>
      </c>
      <c r="T60" s="1" t="s">
        <v>12</v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811</v>
      </c>
      <c r="E61" s="23" t="s">
        <v>980</v>
      </c>
      <c r="F61" s="2" t="s">
        <v>20</v>
      </c>
      <c r="G61" s="23" t="s">
        <v>23</v>
      </c>
      <c r="H61" s="23" t="s">
        <v>661</v>
      </c>
      <c r="I61" s="23" t="s">
        <v>707</v>
      </c>
      <c r="J61" s="23" t="s">
        <v>1188</v>
      </c>
      <c r="O61" s="1" t="s">
        <v>595</v>
      </c>
      <c r="P61" s="1" t="s">
        <v>549</v>
      </c>
      <c r="Q61" s="24" t="str">
        <f>テーブル1[[#This Row],[リンク]]&amp;テーブル1[[#This Row],[描画状況]]</f>
        <v>http://park2.wakwak.com/~mbox/vo/hk/hkfre.htm済</v>
      </c>
      <c r="R61" s="17">
        <f>1-(COUNTIF(Q:Q,_xlfn.TEXTJOIN(",",TRUE,テーブル1[[#This Row],[リンク]],テーブル1[[#This Row],[描画状況]]))/COUNTIF(F:F,テーブル1[[#This Row],[リンク]]))</f>
        <v>1</v>
      </c>
      <c r="S61" s="16" t="str">
        <f ca="1">IFERROR(IF(テーブル1[[#This Row],[描画状況]]="",RAND()+(テーブル1[[#This Row],[列2]]*100),""),RAND())</f>
        <v/>
      </c>
      <c r="T61" s="1" t="s">
        <v>12</v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563</v>
      </c>
      <c r="D62" s="23" t="s">
        <v>812</v>
      </c>
      <c r="E62" s="23" t="s">
        <v>981</v>
      </c>
      <c r="F62" s="2" t="s">
        <v>191</v>
      </c>
      <c r="G62" s="23" t="s">
        <v>192</v>
      </c>
      <c r="P62" s="1" t="s">
        <v>549</v>
      </c>
      <c r="Q62" s="24" t="str">
        <f>テーブル1[[#This Row],[リンク]]&amp;テーブル1[[#This Row],[描画状況]]</f>
        <v>https://rinnneuta.wixsite.com/my-site-2?s=09済</v>
      </c>
      <c r="R62" s="17">
        <f>1-(COUNTIF(Q:Q,_xlfn.TEXTJOIN(",",TRUE,テーブル1[[#This Row],[リンク]],テーブル1[[#This Row],[描画状況]]))/COUNTIF(F:F,テーブル1[[#This Row],[リンク]]))</f>
        <v>1</v>
      </c>
      <c r="S62" s="16" t="str">
        <f ca="1">IFERROR(IF(テーブル1[[#This Row],[描画状況]]="",RAND()+(テーブル1[[#This Row],[列2]]*100),""),RAND())</f>
        <v/>
      </c>
      <c r="T62" s="1" t="s">
        <v>12</v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470</v>
      </c>
      <c r="D63" s="23" t="s">
        <v>813</v>
      </c>
      <c r="E63" s="23" t="s">
        <v>982</v>
      </c>
      <c r="F63" s="15" t="s">
        <v>122</v>
      </c>
      <c r="G63" s="24" t="s">
        <v>710</v>
      </c>
      <c r="H63" s="23" t="s">
        <v>661</v>
      </c>
      <c r="I63" s="23" t="s">
        <v>733</v>
      </c>
      <c r="J63" s="23" t="s">
        <v>1218</v>
      </c>
      <c r="L63" s="23" t="s">
        <v>1217</v>
      </c>
      <c r="M63" s="24" t="s">
        <v>1180</v>
      </c>
      <c r="N63" s="23" t="s">
        <v>1293</v>
      </c>
      <c r="O63" s="1" t="s">
        <v>631</v>
      </c>
      <c r="P63" s="1" t="s">
        <v>549</v>
      </c>
      <c r="Q63" s="24" t="str">
        <f>テーブル1[[#This Row],[リンク]]&amp;テーブル1[[#This Row],[描画状況]]</f>
        <v>https://lenskkpb.wixsite.com/len-sakaki-official済</v>
      </c>
      <c r="R63" s="17">
        <f>1-(COUNTIF(Q:Q,_xlfn.TEXTJOIN(",",TRUE,テーブル1[[#This Row],[リンク]],テーブル1[[#This Row],[描画状況]]))/COUNTIF(F:F,テーブル1[[#This Row],[リンク]]))</f>
        <v>1</v>
      </c>
      <c r="S63" s="16" t="str">
        <f ca="1">IFERROR(IF(テーブル1[[#This Row],[描画状況]]="",RAND()+(テーブル1[[#This Row],[列2]]*100),""),RAND())</f>
        <v/>
      </c>
      <c r="T63" s="1" t="s">
        <v>12</v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564</v>
      </c>
      <c r="D64" s="23" t="s">
        <v>814</v>
      </c>
      <c r="E64" s="23" t="s">
        <v>983</v>
      </c>
      <c r="F64" s="26" t="s">
        <v>55</v>
      </c>
      <c r="G64" s="23" t="s">
        <v>56</v>
      </c>
      <c r="O64" s="1" t="s">
        <v>594</v>
      </c>
      <c r="P64" s="1" t="s">
        <v>549</v>
      </c>
      <c r="Q64" s="24" t="str">
        <f>テーブル1[[#This Row],[リンク]]&amp;テーブル1[[#This Row],[描画状況]]</f>
        <v>https://chaka000.wixsite.com/chaka済</v>
      </c>
      <c r="R64" s="17">
        <f>1-(COUNTIF(Q:Q,_xlfn.TEXTJOIN(",",TRUE,テーブル1[[#This Row],[リンク]],テーブル1[[#This Row],[描画状況]]))/COUNTIF(F:F,テーブル1[[#This Row],[リンク]]))</f>
        <v>1</v>
      </c>
      <c r="S64" s="16" t="str">
        <f ca="1">IFERROR(IF(テーブル1[[#This Row],[描画状況]]="",RAND()+(テーブル1[[#This Row],[列2]]*100),""),RAND())</f>
        <v/>
      </c>
      <c r="T64" s="1" t="s">
        <v>12</v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565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661</v>
      </c>
      <c r="I65" s="23" t="s">
        <v>670</v>
      </c>
      <c r="M65" s="23" t="s">
        <v>1180</v>
      </c>
      <c r="O65" s="1" t="s">
        <v>594</v>
      </c>
      <c r="P65" s="1" t="s">
        <v>549</v>
      </c>
      <c r="Q65" s="24" t="str">
        <f>テーブル1[[#This Row],[リンク]]&amp;テーブル1[[#This Row],[描画状況]]</f>
        <v>https://ichistart.wixsite.com/official/respiaker済</v>
      </c>
      <c r="R65" s="17">
        <f>1-(COUNTIF(Q:Q,_xlfn.TEXTJOIN(",",TRUE,テーブル1[[#This Row],[リンク]],テーブル1[[#This Row],[描画状況]]))/COUNTIF(F:F,テーブル1[[#This Row],[リンク]]))</f>
        <v>1</v>
      </c>
      <c r="S65" s="16" t="str">
        <f ca="1">IFERROR(IF(テーブル1[[#This Row],[描画状況]]="",RAND()+(テーブル1[[#This Row],[列2]]*100),""),RAND())</f>
        <v/>
      </c>
      <c r="T65" s="1" t="s">
        <v>12</v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566</v>
      </c>
      <c r="D66" s="23" t="s">
        <v>815</v>
      </c>
      <c r="E66" s="23" t="s">
        <v>984</v>
      </c>
      <c r="F66" s="27" t="s">
        <v>57</v>
      </c>
      <c r="G66" s="23" t="s">
        <v>58</v>
      </c>
      <c r="H66" s="23" t="s">
        <v>660</v>
      </c>
      <c r="I66" s="23" t="s">
        <v>675</v>
      </c>
      <c r="N66" s="23" t="s">
        <v>1297</v>
      </c>
      <c r="O66" s="1" t="s">
        <v>595</v>
      </c>
      <c r="P66" s="1" t="s">
        <v>549</v>
      </c>
      <c r="Q66" s="24" t="str">
        <f>テーブル1[[#This Row],[リンク]]&amp;テーブル1[[#This Row],[描画状況]]</f>
        <v>https://chunyinhui021.wixsite.com/mutyuusaisei済</v>
      </c>
      <c r="R66" s="17">
        <f>1-(COUNTIF(Q:Q,_xlfn.TEXTJOIN(",",TRUE,テーブル1[[#This Row],[リンク]],テーブル1[[#This Row],[描画状況]]))/COUNTIF(F:F,テーブル1[[#This Row],[リンク]]))</f>
        <v>1</v>
      </c>
      <c r="S66" s="16" t="str">
        <f ca="1">IFERROR(IF(テーブル1[[#This Row],[描画状況]]="",RAND()+(テーブル1[[#This Row],[列2]]*100),""),RAND())</f>
        <v/>
      </c>
      <c r="T66" s="1" t="s">
        <v>12</v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567</v>
      </c>
      <c r="D67" s="23" t="s">
        <v>816</v>
      </c>
      <c r="E67" s="23" t="s">
        <v>985</v>
      </c>
      <c r="F67" s="2" t="s">
        <v>272</v>
      </c>
      <c r="G67" s="23" t="s">
        <v>273</v>
      </c>
      <c r="P67" s="1" t="s">
        <v>549</v>
      </c>
      <c r="Q67" s="24" t="str">
        <f>テーブル1[[#This Row],[リンク]]&amp;テーブル1[[#This Row],[描画状況]]</f>
        <v>https://yukiichik.wixsite.com/kokofool/utau済</v>
      </c>
      <c r="R67" s="17">
        <f>1-(COUNTIF(Q:Q,_xlfn.TEXTJOIN(",",TRUE,テーブル1[[#This Row],[リンク]],テーブル1[[#This Row],[描画状況]]))/COUNTIF(F:F,テーブル1[[#This Row],[リンク]]))</f>
        <v>1</v>
      </c>
      <c r="S67" s="16" t="str">
        <f ca="1">IFERROR(IF(テーブル1[[#This Row],[描画状況]]="",RAND()+(テーブル1[[#This Row],[列2]]*100),""),RAND())</f>
        <v/>
      </c>
      <c r="T67" s="1" t="s">
        <v>12</v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568</v>
      </c>
      <c r="D68" s="23" t="s">
        <v>817</v>
      </c>
      <c r="E68" s="23" t="s">
        <v>986</v>
      </c>
      <c r="F68" s="2" t="s">
        <v>158</v>
      </c>
      <c r="G68" s="23" t="s">
        <v>159</v>
      </c>
      <c r="P68" s="1" t="s">
        <v>549</v>
      </c>
      <c r="Q68" s="24" t="str">
        <f>テーブル1[[#This Row],[リンク]]&amp;テーブル1[[#This Row],[描画状況]]</f>
        <v>https://nananasyrup.wixsite.com/13kka済</v>
      </c>
      <c r="R68" s="17">
        <f>1-(COUNTIF(Q:Q,_xlfn.TEXTJOIN(",",TRUE,テーブル1[[#This Row],[リンク]],テーブル1[[#This Row],[描画状況]]))/COUNTIF(F:F,テーブル1[[#This Row],[リンク]]))</f>
        <v>1</v>
      </c>
      <c r="S68" s="16" t="str">
        <f ca="1">IFERROR(IF(テーブル1[[#This Row],[描画状況]]="",RAND()+(テーブル1[[#This Row],[列2]]*100),""),RAND())</f>
        <v/>
      </c>
      <c r="T68" s="1" t="s">
        <v>12</v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818</v>
      </c>
      <c r="E69" s="23" t="s">
        <v>987</v>
      </c>
      <c r="F69" s="2" t="s">
        <v>43</v>
      </c>
      <c r="G69" s="23" t="s">
        <v>44</v>
      </c>
      <c r="O69" s="1" t="s">
        <v>595</v>
      </c>
      <c r="P69" s="1" t="s">
        <v>549</v>
      </c>
      <c r="Q69" s="24" t="str">
        <f>テーブル1[[#This Row],[リンク]]&amp;テーブル1[[#This Row],[描画状況]]</f>
        <v>https://bellsworks.wixsite.com/bellsworks済</v>
      </c>
      <c r="R69" s="17">
        <f>1-(COUNTIF(Q:Q,_xlfn.TEXTJOIN(",",TRUE,テーブル1[[#This Row],[リンク]],テーブル1[[#This Row],[描画状況]]))/COUNTIF(F:F,テーブル1[[#This Row],[リンク]]))</f>
        <v>1</v>
      </c>
      <c r="S69" s="16" t="str">
        <f ca="1">IFERROR(IF(テーブル1[[#This Row],[描画状況]]="",RAND()+(テーブル1[[#This Row],[列2]]*100),""),RAND())</f>
        <v/>
      </c>
      <c r="T69" s="1" t="s">
        <v>12</v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569</v>
      </c>
      <c r="D70" s="23" t="s">
        <v>819</v>
      </c>
      <c r="E70" s="23" t="s">
        <v>988</v>
      </c>
      <c r="F70" s="2" t="s">
        <v>262</v>
      </c>
      <c r="G70" s="23" t="s">
        <v>263</v>
      </c>
      <c r="P70" s="1" t="s">
        <v>549</v>
      </c>
      <c r="Q70" s="24" t="str">
        <f>テーブル1[[#This Row],[リンク]]&amp;テーブル1[[#This Row],[描画状況]]</f>
        <v>https://witchdoll.jimdofree.com済</v>
      </c>
      <c r="R70" s="17">
        <f>1-(COUNTIF(Q:Q,_xlfn.TEXTJOIN(",",TRUE,テーブル1[[#This Row],[リンク]],テーブル1[[#This Row],[描画状況]]))/COUNTIF(F:F,テーブル1[[#This Row],[リンク]]))</f>
        <v>1</v>
      </c>
      <c r="S70" s="16" t="str">
        <f ca="1">IFERROR(IF(テーブル1[[#This Row],[描画状況]]="",RAND()+(テーブル1[[#This Row],[列2]]*100),""),RAND())</f>
        <v/>
      </c>
      <c r="T70" s="1" t="s">
        <v>12</v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570</v>
      </c>
      <c r="D71" s="23" t="s">
        <v>820</v>
      </c>
      <c r="E71" s="23" t="s">
        <v>989</v>
      </c>
      <c r="F71" s="2" t="s">
        <v>272</v>
      </c>
      <c r="G71" s="23" t="s">
        <v>273</v>
      </c>
      <c r="P71" s="1" t="s">
        <v>549</v>
      </c>
      <c r="Q71" s="24" t="str">
        <f>テーブル1[[#This Row],[リンク]]&amp;テーブル1[[#This Row],[描画状況]]</f>
        <v>https://yukiichik.wixsite.com/kokofool/utau済</v>
      </c>
      <c r="R71" s="17">
        <f>1-(COUNTIF(Q:Q,_xlfn.TEXTJOIN(",",TRUE,テーブル1[[#This Row],[リンク]],テーブル1[[#This Row],[描画状況]]))/COUNTIF(F:F,テーブル1[[#This Row],[リンク]]))</f>
        <v>1</v>
      </c>
      <c r="S71" s="16" t="str">
        <f ca="1">IFERROR(IF(テーブル1[[#This Row],[描画状況]]="",RAND()+(テーブル1[[#This Row],[列2]]*100),""),RAND())</f>
        <v/>
      </c>
      <c r="T71" s="1" t="s">
        <v>12</v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571</v>
      </c>
      <c r="D72" s="23" t="s">
        <v>821</v>
      </c>
      <c r="E72" s="23" t="s">
        <v>990</v>
      </c>
      <c r="F72" s="2" t="s">
        <v>224</v>
      </c>
      <c r="G72" s="23" t="s">
        <v>225</v>
      </c>
      <c r="P72" s="1" t="s">
        <v>549</v>
      </c>
      <c r="Q72" s="24" t="str">
        <f>テーブル1[[#This Row],[リンク]]&amp;テーブル1[[#This Row],[描画状況]]</f>
        <v>https://suihankinonaka.wixsite.com/my-site-1済</v>
      </c>
      <c r="R72" s="17">
        <f>1-(COUNTIF(Q:Q,_xlfn.TEXTJOIN(",",TRUE,テーブル1[[#This Row],[リンク]],テーブル1[[#This Row],[描画状況]]))/COUNTIF(F:F,テーブル1[[#This Row],[リンク]]))</f>
        <v>1</v>
      </c>
      <c r="S72" s="16" t="str">
        <f ca="1">IFERROR(IF(テーブル1[[#This Row],[描画状況]]="",RAND()+(テーブル1[[#This Row],[列2]]*100),""),RAND())</f>
        <v/>
      </c>
      <c r="T72" s="1" t="s">
        <v>12</v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572</v>
      </c>
      <c r="D73" s="23" t="s">
        <v>822</v>
      </c>
      <c r="E73" s="23" t="s">
        <v>991</v>
      </c>
      <c r="F73" s="2" t="s">
        <v>224</v>
      </c>
      <c r="G73" s="23" t="s">
        <v>225</v>
      </c>
      <c r="P73" s="1" t="s">
        <v>549</v>
      </c>
      <c r="Q73" s="24" t="str">
        <f>テーブル1[[#This Row],[リンク]]&amp;テーブル1[[#This Row],[描画状況]]</f>
        <v>https://suihankinonaka.wixsite.com/my-site-1済</v>
      </c>
      <c r="R73" s="17">
        <f>1-(COUNTIF(Q:Q,_xlfn.TEXTJOIN(",",TRUE,テーブル1[[#This Row],[リンク]],テーブル1[[#This Row],[描画状況]]))/COUNTIF(F:F,テーブル1[[#This Row],[リンク]]))</f>
        <v>1</v>
      </c>
      <c r="S73" s="16" t="str">
        <f ca="1">IFERROR(IF(テーブル1[[#This Row],[描画状況]]="",RAND()+(テーブル1[[#This Row],[列2]]*100),""),RAND())</f>
        <v/>
      </c>
      <c r="T73" s="1" t="s">
        <v>12</v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573</v>
      </c>
      <c r="D74" s="23" t="s">
        <v>823</v>
      </c>
      <c r="E74" s="23" t="s">
        <v>992</v>
      </c>
      <c r="F74" s="2" t="s">
        <v>123</v>
      </c>
      <c r="G74" s="23" t="s">
        <v>124</v>
      </c>
      <c r="P74" s="1" t="s">
        <v>549</v>
      </c>
      <c r="Q74" s="24" t="str">
        <f>テーブル1[[#This Row],[リンク]]&amp;テーブル1[[#This Row],[描画状況]]</f>
        <v>https://lit.link/nemukoneko済</v>
      </c>
      <c r="R74" s="17">
        <f>1-(COUNTIF(Q:Q,_xlfn.TEXTJOIN(",",TRUE,テーブル1[[#This Row],[リンク]],テーブル1[[#This Row],[描画状況]]))/COUNTIF(F:F,テーブル1[[#This Row],[リンク]]))</f>
        <v>1</v>
      </c>
      <c r="S74" s="16" t="str">
        <f ca="1">IFERROR(IF(テーブル1[[#This Row],[描画状況]]="",RAND()+(テーブル1[[#This Row],[列2]]*100),""),RAND())</f>
        <v/>
      </c>
      <c r="T74" s="1" t="s">
        <v>12</v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824</v>
      </c>
      <c r="E75" s="23" t="s">
        <v>993</v>
      </c>
      <c r="F75" s="2" t="s">
        <v>41</v>
      </c>
      <c r="G75" s="23" t="s">
        <v>42</v>
      </c>
      <c r="O75" s="1" t="s">
        <v>594</v>
      </c>
      <c r="P75" s="1" t="s">
        <v>549</v>
      </c>
      <c r="Q75" s="24" t="str">
        <f>テーブル1[[#This Row],[リンク]]&amp;テーブル1[[#This Row],[描画状況]]</f>
        <v>https://amiseniamnu.wixsite.com/amisenia済</v>
      </c>
      <c r="R75" s="17">
        <f>1-(COUNTIF(Q:Q,_xlfn.TEXTJOIN(",",TRUE,テーブル1[[#This Row],[リンク]],テーブル1[[#This Row],[描画状況]]))/COUNTIF(F:F,テーブル1[[#This Row],[リンク]]))</f>
        <v>1</v>
      </c>
      <c r="S75" s="16" t="str">
        <f ca="1">IFERROR(IF(テーブル1[[#This Row],[描画状況]]="",RAND()+(テーブル1[[#This Row],[列2]]*100),""),RAND())</f>
        <v/>
      </c>
      <c r="T75" s="1" t="s">
        <v>12</v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574</v>
      </c>
      <c r="D76" s="23" t="s">
        <v>202</v>
      </c>
      <c r="E76" s="23" t="s">
        <v>203</v>
      </c>
      <c r="F76" s="2" t="s">
        <v>198</v>
      </c>
      <c r="G76" s="23" t="s">
        <v>199</v>
      </c>
      <c r="H76" s="23" t="s">
        <v>660</v>
      </c>
      <c r="I76" s="23" t="s">
        <v>674</v>
      </c>
      <c r="M76" s="23" t="s">
        <v>1281</v>
      </c>
      <c r="O76" s="1" t="s">
        <v>594</v>
      </c>
      <c r="P76" s="1" t="s">
        <v>549</v>
      </c>
      <c r="Q76" s="24" t="str">
        <f>テーブル1[[#This Row],[リンク]]&amp;テーブル1[[#This Row],[描画状況]]</f>
        <v>https://seirentoybox.jimdofree.com済</v>
      </c>
      <c r="R76" s="17">
        <f>1-(COUNTIF(Q:Q,_xlfn.TEXTJOIN(",",TRUE,テーブル1[[#This Row],[リンク]],テーブル1[[#This Row],[描画状況]]))/COUNTIF(F:F,テーブル1[[#This Row],[リンク]]))</f>
        <v>1</v>
      </c>
      <c r="S76" s="16" t="str">
        <f ca="1">IFERROR(IF(テーブル1[[#This Row],[描画状況]]="",RAND()+(テーブル1[[#This Row],[列2]]*100),""),RAND())</f>
        <v/>
      </c>
      <c r="T76" s="1" t="s">
        <v>12</v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264</v>
      </c>
      <c r="D77" s="23" t="s">
        <v>265</v>
      </c>
      <c r="E77" s="23" t="s">
        <v>266</v>
      </c>
      <c r="F77" s="2" t="s">
        <v>267</v>
      </c>
      <c r="G77" s="23" t="s">
        <v>268</v>
      </c>
      <c r="P77" s="1" t="s">
        <v>549</v>
      </c>
      <c r="Q77" s="24" t="str">
        <f>テーブル1[[#This Row],[リンク]]&amp;テーブル1[[#This Row],[描画状況]]</f>
        <v>https://www.krnr.top済</v>
      </c>
      <c r="R77" s="17">
        <f>1-(COUNTIF(Q:Q,_xlfn.TEXTJOIN(",",TRUE,テーブル1[[#This Row],[リンク]],テーブル1[[#This Row],[描画状況]]))/COUNTIF(F:F,テーブル1[[#This Row],[リンク]]))</f>
        <v>1</v>
      </c>
      <c r="S77" s="16" t="str">
        <f ca="1">IFERROR(IF(テーブル1[[#This Row],[描画状況]]="",RAND()+(テーブル1[[#This Row],[列2]]*100),""),RAND())</f>
        <v/>
      </c>
      <c r="T77" s="1" t="s">
        <v>12</v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825</v>
      </c>
      <c r="E78" s="23" t="s">
        <v>994</v>
      </c>
      <c r="F78" s="2" t="s">
        <v>30</v>
      </c>
      <c r="G78" s="23" t="s">
        <v>31</v>
      </c>
      <c r="O78" s="1" t="s">
        <v>594</v>
      </c>
      <c r="P78" s="1" t="s">
        <v>549</v>
      </c>
      <c r="Q78" s="24" t="str">
        <f>テーブル1[[#This Row],[リンク]]&amp;テーブル1[[#This Row],[描画状況]]</f>
        <v>https://666not.wixsite.com/partition-voyage済</v>
      </c>
      <c r="R78" s="17">
        <f>1-(COUNTIF(Q:Q,_xlfn.TEXTJOIN(",",TRUE,テーブル1[[#This Row],[リンク]],テーブル1[[#This Row],[描画状況]]))/COUNTIF(F:F,テーブル1[[#This Row],[リンク]]))</f>
        <v>1</v>
      </c>
      <c r="S78" s="16" t="str">
        <f ca="1">IFERROR(IF(テーブル1[[#This Row],[描画状況]]="",RAND()+(テーブル1[[#This Row],[列2]]*100),""),RAND())</f>
        <v/>
      </c>
      <c r="T78" s="1" t="s">
        <v>12</v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193</v>
      </c>
      <c r="D79" s="23" t="s">
        <v>826</v>
      </c>
      <c r="E79" s="23" t="s">
        <v>995</v>
      </c>
      <c r="F79" s="2" t="s">
        <v>191</v>
      </c>
      <c r="G79" s="23" t="s">
        <v>192</v>
      </c>
      <c r="P79" s="1" t="s">
        <v>549</v>
      </c>
      <c r="Q79" s="24" t="str">
        <f>テーブル1[[#This Row],[リンク]]&amp;テーブル1[[#This Row],[描画状況]]</f>
        <v>https://rinnneuta.wixsite.com/my-site-2?s=09済</v>
      </c>
      <c r="R79" s="17">
        <f>1-(COUNTIF(Q:Q,_xlfn.TEXTJOIN(",",TRUE,テーブル1[[#This Row],[リンク]],テーブル1[[#This Row],[描画状況]]))/COUNTIF(F:F,テーブル1[[#This Row],[リンク]]))</f>
        <v>1</v>
      </c>
      <c r="S79" s="16" t="str">
        <f ca="1">IFERROR(IF(テーブル1[[#This Row],[描画状況]]="",RAND()+(テーブル1[[#This Row],[列2]]*100),""),RAND())</f>
        <v/>
      </c>
      <c r="T79" s="1" t="s">
        <v>12</v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827</v>
      </c>
      <c r="E80" s="23" t="s">
        <v>996</v>
      </c>
      <c r="F80" s="2" t="s">
        <v>20</v>
      </c>
      <c r="G80" s="23" t="s">
        <v>25</v>
      </c>
      <c r="H80" s="23" t="s">
        <v>660</v>
      </c>
      <c r="I80" s="23" t="s">
        <v>1125</v>
      </c>
      <c r="J80" s="23" t="s">
        <v>1188</v>
      </c>
      <c r="M80" s="23" t="s">
        <v>1281</v>
      </c>
      <c r="N80" s="23" t="s">
        <v>1234</v>
      </c>
      <c r="O80" s="1" t="s">
        <v>595</v>
      </c>
      <c r="P80" s="1" t="s">
        <v>549</v>
      </c>
      <c r="Q80" s="24" t="str">
        <f>テーブル1[[#This Row],[リンク]]&amp;テーブル1[[#This Row],[描画状況]]</f>
        <v>http://park2.wakwak.com/~mbox/vo/hk/hkfre.htm済</v>
      </c>
      <c r="R80" s="17">
        <f>1-(COUNTIF(Q:Q,_xlfn.TEXTJOIN(",",TRUE,テーブル1[[#This Row],[リンク]],テーブル1[[#This Row],[描画状況]]))/COUNTIF(F:F,テーブル1[[#This Row],[リンク]]))</f>
        <v>1</v>
      </c>
      <c r="S80" s="16" t="str">
        <f ca="1">IFERROR(IF(テーブル1[[#This Row],[描画状況]]="",RAND()+(テーブル1[[#This Row],[列2]]*100),""),RAND())</f>
        <v/>
      </c>
      <c r="T80" s="1" t="s">
        <v>12</v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134</v>
      </c>
      <c r="D81" s="23" t="s">
        <v>828</v>
      </c>
      <c r="E81" s="23" t="s">
        <v>997</v>
      </c>
      <c r="F81" s="2" t="s">
        <v>135</v>
      </c>
      <c r="G81" s="23" t="s">
        <v>136</v>
      </c>
      <c r="P81" s="1" t="s">
        <v>549</v>
      </c>
      <c r="Q81" s="24" t="str">
        <f>テーブル1[[#This Row],[リンク]]&amp;テーブル1[[#This Row],[描画状況]]</f>
        <v>https://lonelyapple011.wixsite.com/nadenade済</v>
      </c>
      <c r="R81" s="17">
        <f>1-(COUNTIF(Q:Q,_xlfn.TEXTJOIN(",",TRUE,テーブル1[[#This Row],[リンク]],テーブル1[[#This Row],[描画状況]]))/COUNTIF(F:F,テーブル1[[#This Row],[リンク]]))</f>
        <v>1</v>
      </c>
      <c r="S81" s="16" t="str">
        <f ca="1">IFERROR(IF(テーブル1[[#This Row],[描画状況]]="",RAND()+(テーブル1[[#This Row],[列2]]*100),""),RAND())</f>
        <v/>
      </c>
      <c r="T81" s="1" t="s">
        <v>12</v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180</v>
      </c>
      <c r="D82" s="23" t="s">
        <v>181</v>
      </c>
      <c r="E82" s="23" t="s">
        <v>182</v>
      </c>
      <c r="F82" s="2" t="s">
        <v>176</v>
      </c>
      <c r="G82" s="23" t="s">
        <v>183</v>
      </c>
      <c r="H82" s="23" t="s">
        <v>673</v>
      </c>
      <c r="I82" s="23" t="s">
        <v>704</v>
      </c>
      <c r="J82" s="23" t="s">
        <v>1235</v>
      </c>
      <c r="N82" s="23" t="s">
        <v>1236</v>
      </c>
      <c r="O82" s="1" t="s">
        <v>631</v>
      </c>
      <c r="P82" s="1" t="s">
        <v>549</v>
      </c>
      <c r="Q82" s="24" t="str">
        <f>テーブル1[[#This Row],[リンク]]&amp;テーブル1[[#This Row],[描画状況]]</f>
        <v>https://nyaruru.wixsite.com/s-p-w済</v>
      </c>
      <c r="R82" s="17">
        <f>1-(COUNTIF(Q:Q,_xlfn.TEXTJOIN(",",TRUE,テーブル1[[#This Row],[リンク]],テーブル1[[#This Row],[描画状況]]))/COUNTIF(F:F,テーブル1[[#This Row],[リンク]]))</f>
        <v>1</v>
      </c>
      <c r="S82" s="16" t="str">
        <f ca="1">IFERROR(IF(テーブル1[[#This Row],[描画状況]]="",RAND()+(テーブル1[[#This Row],[列2]]*100),""),RAND())</f>
        <v/>
      </c>
      <c r="T82" s="1" t="s">
        <v>12</v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226</v>
      </c>
      <c r="D83" s="23" t="s">
        <v>829</v>
      </c>
      <c r="E83" s="23" t="s">
        <v>998</v>
      </c>
      <c r="F83" s="2" t="s">
        <v>227</v>
      </c>
      <c r="G83" s="23" t="s">
        <v>228</v>
      </c>
      <c r="P83" s="1" t="s">
        <v>549</v>
      </c>
      <c r="Q83" s="24" t="str">
        <f>テーブル1[[#This Row],[リンク]]&amp;テーブル1[[#This Row],[描画状況]]</f>
        <v>https://sysynmnm.wixsite.com/oyasumi-zzz済</v>
      </c>
      <c r="R83" s="17">
        <f>1-(COUNTIF(Q:Q,_xlfn.TEXTJOIN(",",TRUE,テーブル1[[#This Row],[リンク]],テーブル1[[#This Row],[描画状況]]))/COUNTIF(F:F,テーブル1[[#This Row],[リンク]]))</f>
        <v>1</v>
      </c>
      <c r="S83" s="16" t="str">
        <f ca="1">IFERROR(IF(テーブル1[[#This Row],[描画状況]]="",RAND()+(テーブル1[[#This Row],[列2]]*100),""),RAND())</f>
        <v/>
      </c>
      <c r="T83" s="1" t="s">
        <v>12</v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229</v>
      </c>
      <c r="D84" s="23" t="s">
        <v>830</v>
      </c>
      <c r="E84" s="23" t="s">
        <v>999</v>
      </c>
      <c r="F84" s="2" t="s">
        <v>227</v>
      </c>
      <c r="G84" s="23" t="s">
        <v>228</v>
      </c>
      <c r="P84" s="1" t="s">
        <v>549</v>
      </c>
      <c r="Q84" s="24" t="str">
        <f>テーブル1[[#This Row],[リンク]]&amp;テーブル1[[#This Row],[描画状況]]</f>
        <v>https://sysynmnm.wixsite.com/oyasumi-zzz済</v>
      </c>
      <c r="R84" s="17">
        <f>1-(COUNTIF(Q:Q,_xlfn.TEXTJOIN(",",TRUE,テーブル1[[#This Row],[リンク]],テーブル1[[#This Row],[描画状況]]))/COUNTIF(F:F,テーブル1[[#This Row],[リンク]]))</f>
        <v>1</v>
      </c>
      <c r="S84" s="16" t="str">
        <f ca="1">IFERROR(IF(テーブル1[[#This Row],[描画状況]]="",RAND()+(テーブル1[[#This Row],[列2]]*100),""),RAND())</f>
        <v/>
      </c>
      <c r="T84" s="1" t="s">
        <v>12</v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549</v>
      </c>
      <c r="Q85" s="24" t="str">
        <f>テーブル1[[#This Row],[リンク]]&amp;テーブル1[[#This Row],[描画状況]]</f>
        <v>https://lit.link/nemukoneko済</v>
      </c>
      <c r="R85" s="17">
        <f>1-(COUNTIF(Q:Q,_xlfn.TEXTJOIN(",",TRUE,テーブル1[[#This Row],[リンク]],テーブル1[[#This Row],[描画状況]]))/COUNTIF(F:F,テーブル1[[#This Row],[リンク]]))</f>
        <v>1</v>
      </c>
      <c r="S85" s="16" t="str">
        <f ca="1">IFERROR(IF(テーブル1[[#This Row],[描画状況]]="",RAND()+(テーブル1[[#This Row],[列2]]*100),""),RAND())</f>
        <v/>
      </c>
      <c r="T85" s="1" t="s">
        <v>12</v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278</v>
      </c>
      <c r="D86" s="23" t="s">
        <v>831</v>
      </c>
      <c r="E86" s="23" t="s">
        <v>1000</v>
      </c>
      <c r="F86" s="23" t="s">
        <v>279</v>
      </c>
      <c r="G86" s="23" t="str">
        <f>テーブル1[[#This Row],[名前]]&amp;"(UTAU)"</f>
        <v>覗キ視炉(UTAU)</v>
      </c>
      <c r="O86" s="1" t="s">
        <v>594</v>
      </c>
      <c r="P86" s="1" t="s">
        <v>549</v>
      </c>
      <c r="Q86" s="24" t="str">
        <f>テーブル1[[#This Row],[リンク]]&amp;テーブル1[[#This Row],[描画状況]]</f>
        <v>-済</v>
      </c>
      <c r="R86" s="17">
        <f>1-(COUNTIF(Q:Q,_xlfn.TEXTJOIN(",",TRUE,テーブル1[[#This Row],[リンク]],テーブル1[[#This Row],[描画状況]]))/COUNTIF(F:F,テーブル1[[#This Row],[リンク]]))</f>
        <v>1</v>
      </c>
      <c r="S86" s="16" t="str">
        <f ca="1">IFERROR(IF(テーブル1[[#This Row],[描画状況]]="",RAND()+(テーブル1[[#This Row],[列2]]*100),""),RAND())</f>
        <v/>
      </c>
      <c r="T86" s="1" t="s">
        <v>12</v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204</v>
      </c>
      <c r="D87" s="23" t="s">
        <v>205</v>
      </c>
      <c r="E87" s="23" t="s">
        <v>1001</v>
      </c>
      <c r="F87" s="2" t="s">
        <v>198</v>
      </c>
      <c r="G87" s="23" t="s">
        <v>199</v>
      </c>
      <c r="H87" s="23" t="s">
        <v>661</v>
      </c>
      <c r="I87" s="23" t="s">
        <v>717</v>
      </c>
      <c r="L87" s="23" t="s">
        <v>1204</v>
      </c>
      <c r="M87" s="23" t="s">
        <v>1281</v>
      </c>
      <c r="N87" s="23" t="s">
        <v>1213</v>
      </c>
      <c r="O87" s="1" t="s">
        <v>594</v>
      </c>
      <c r="P87" s="1" t="s">
        <v>549</v>
      </c>
      <c r="Q87" s="24" t="str">
        <f>テーブル1[[#This Row],[リンク]]&amp;テーブル1[[#This Row],[描画状況]]</f>
        <v>https://seirentoybox.jimdofree.com済</v>
      </c>
      <c r="R87" s="17">
        <f>1-(COUNTIF(Q:Q,_xlfn.TEXTJOIN(",",TRUE,テーブル1[[#This Row],[リンク]],テーブル1[[#This Row],[描画状況]]))/COUNTIF(F:F,テーブル1[[#This Row],[リンク]]))</f>
        <v>1</v>
      </c>
      <c r="S87" s="16" t="str">
        <f ca="1">IFERROR(IF(テーブル1[[#This Row],[描画状況]]="",RAND()+(テーブル1[[#This Row],[列2]]*100),""),RAND())</f>
        <v/>
      </c>
      <c r="T87" s="1" t="s">
        <v>12</v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206</v>
      </c>
      <c r="D88" s="23" t="s">
        <v>207</v>
      </c>
      <c r="E88" s="23" t="s">
        <v>208</v>
      </c>
      <c r="F88" s="2" t="s">
        <v>198</v>
      </c>
      <c r="G88" s="23" t="s">
        <v>199</v>
      </c>
      <c r="H88" s="23" t="s">
        <v>661</v>
      </c>
      <c r="I88" s="23" t="s">
        <v>667</v>
      </c>
      <c r="M88" s="23" t="s">
        <v>1178</v>
      </c>
      <c r="N88" s="23" t="s">
        <v>1205</v>
      </c>
      <c r="O88" s="1" t="s">
        <v>594</v>
      </c>
      <c r="P88" s="1" t="s">
        <v>549</v>
      </c>
      <c r="Q88" s="24" t="str">
        <f>テーブル1[[#This Row],[リンク]]&amp;テーブル1[[#This Row],[描画状況]]</f>
        <v>https://seirentoybox.jimdofree.com済</v>
      </c>
      <c r="R88" s="17">
        <f>1-(COUNTIF(Q:Q,_xlfn.TEXTJOIN(",",TRUE,テーブル1[[#This Row],[リンク]],テーブル1[[#This Row],[描画状況]]))/COUNTIF(F:F,テーブル1[[#This Row],[リンク]]))</f>
        <v>1</v>
      </c>
      <c r="S88" s="16" t="str">
        <f ca="1">IFERROR(IF(テーブル1[[#This Row],[描画状況]]="",RAND()+(テーブル1[[#This Row],[列2]]*100),""),RAND())</f>
        <v/>
      </c>
      <c r="T88" s="1" t="s">
        <v>12</v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594</v>
      </c>
      <c r="P89" s="1" t="s">
        <v>549</v>
      </c>
      <c r="Q89" s="24" t="str">
        <f>テーブル1[[#This Row],[リンク]]&amp;テーブル1[[#This Row],[描画状況]]</f>
        <v>https://abschandayo.wixsite.com/abschan済</v>
      </c>
      <c r="R89" s="17">
        <f>1-(COUNTIF(Q:Q,_xlfn.TEXTJOIN(",",TRUE,テーブル1[[#This Row],[リンク]],テーブル1[[#This Row],[描画状況]]))/COUNTIF(F:F,テーブル1[[#This Row],[リンク]]))</f>
        <v>1</v>
      </c>
      <c r="S89" s="16" t="str">
        <f ca="1">IFERROR(IF(テーブル1[[#This Row],[描画状況]]="",RAND()+(テーブル1[[#This Row],[列2]]*100),""),RAND())</f>
        <v/>
      </c>
      <c r="T89" s="1" t="s">
        <v>12</v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241</v>
      </c>
      <c r="D90" s="23" t="s">
        <v>832</v>
      </c>
      <c r="E90" s="23" t="s">
        <v>1002</v>
      </c>
      <c r="F90" s="2" t="s">
        <v>242</v>
      </c>
      <c r="G90" s="23" t="s">
        <v>243</v>
      </c>
      <c r="P90" s="1" t="s">
        <v>549</v>
      </c>
      <c r="Q90" s="24" t="str">
        <f>テーブル1[[#This Row],[リンク]]&amp;テーブル1[[#This Row],[描画状況]]</f>
        <v>https://uta-tsunagi.jimdofree.com済</v>
      </c>
      <c r="R90" s="17">
        <f>1-(COUNTIF(Q:Q,_xlfn.TEXTJOIN(",",TRUE,テーブル1[[#This Row],[リンク]],テーブル1[[#This Row],[描画状況]]))/COUNTIF(F:F,テーブル1[[#This Row],[リンク]]))</f>
        <v>1</v>
      </c>
      <c r="S90" s="16" t="str">
        <f ca="1">IFERROR(IF(テーブル1[[#This Row],[描画状況]]="",RAND()+(テーブル1[[#This Row],[列2]]*100),""),RAND())</f>
        <v/>
      </c>
      <c r="T90" s="1" t="s">
        <v>12</v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184</v>
      </c>
      <c r="D91" s="23" t="s">
        <v>833</v>
      </c>
      <c r="E91" s="23" t="s">
        <v>1003</v>
      </c>
      <c r="F91" s="2" t="s">
        <v>176</v>
      </c>
      <c r="G91" s="23" t="s">
        <v>185</v>
      </c>
      <c r="H91" s="23" t="s">
        <v>660</v>
      </c>
      <c r="I91" s="23" t="s">
        <v>704</v>
      </c>
      <c r="L91" s="23" t="s">
        <v>1217</v>
      </c>
      <c r="M91" s="23" t="s">
        <v>1177</v>
      </c>
      <c r="O91" s="1" t="s">
        <v>631</v>
      </c>
      <c r="P91" s="1" t="s">
        <v>549</v>
      </c>
      <c r="Q91" s="24" t="str">
        <f>テーブル1[[#This Row],[リンク]]&amp;テーブル1[[#This Row],[描画状況]]</f>
        <v>https://nyaruru.wixsite.com/s-p-w済</v>
      </c>
      <c r="R91" s="17">
        <f>1-(COUNTIF(Q:Q,_xlfn.TEXTJOIN(",",TRUE,テーブル1[[#This Row],[リンク]],テーブル1[[#This Row],[描画状況]]))/COUNTIF(F:F,テーブル1[[#This Row],[リンク]]))</f>
        <v>1</v>
      </c>
      <c r="S91" s="16" t="str">
        <f ca="1">IFERROR(IF(テーブル1[[#This Row],[描画状況]]="",RAND()+(テーブル1[[#This Row],[列2]]*100),""),RAND())</f>
        <v/>
      </c>
      <c r="T91" s="1" t="s">
        <v>12</v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186</v>
      </c>
      <c r="D92" s="23" t="s">
        <v>834</v>
      </c>
      <c r="E92" s="23" t="s">
        <v>1004</v>
      </c>
      <c r="F92" s="2" t="s">
        <v>176</v>
      </c>
      <c r="G92" s="23" t="s">
        <v>187</v>
      </c>
      <c r="H92" s="23" t="s">
        <v>660</v>
      </c>
      <c r="I92" s="23" t="s">
        <v>704</v>
      </c>
      <c r="L92" s="23" t="s">
        <v>1219</v>
      </c>
      <c r="M92" s="23" t="s">
        <v>1177</v>
      </c>
      <c r="O92" s="1" t="s">
        <v>631</v>
      </c>
      <c r="P92" s="1" t="s">
        <v>549</v>
      </c>
      <c r="Q92" s="24" t="str">
        <f>テーブル1[[#This Row],[リンク]]&amp;テーブル1[[#This Row],[描画状況]]</f>
        <v>https://nyaruru.wixsite.com/s-p-w済</v>
      </c>
      <c r="R92" s="17">
        <f>1-(COUNTIF(Q:Q,_xlfn.TEXTJOIN(",",TRUE,テーブル1[[#This Row],[リンク]],テーブル1[[#This Row],[描画状況]]))/COUNTIF(F:F,テーブル1[[#This Row],[リンク]]))</f>
        <v>1</v>
      </c>
      <c r="S92" s="16" t="str">
        <f ca="1">IFERROR(IF(テーブル1[[#This Row],[描画状況]]="",RAND()+(テーブル1[[#This Row],[列2]]*100),""),RAND())</f>
        <v/>
      </c>
      <c r="T92" s="1" t="s">
        <v>12</v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835</v>
      </c>
      <c r="E93" s="23" t="s">
        <v>1005</v>
      </c>
      <c r="F93" s="2" t="s">
        <v>69</v>
      </c>
      <c r="G93" s="23" t="s">
        <v>70</v>
      </c>
      <c r="O93" s="1" t="s">
        <v>594</v>
      </c>
      <c r="P93" s="1" t="s">
        <v>549</v>
      </c>
      <c r="Q93" s="24" t="str">
        <f>テーブル1[[#This Row],[リンク]]&amp;テーブル1[[#This Row],[描画状況]]</f>
        <v>https://hosiyomi.jimdofree.com済</v>
      </c>
      <c r="R93" s="17">
        <f>1-(COUNTIF(Q:Q,_xlfn.TEXTJOIN(",",TRUE,テーブル1[[#This Row],[リンク]],テーブル1[[#This Row],[描画状況]]))/COUNTIF(F:F,テーブル1[[#This Row],[リンク]]))</f>
        <v>1</v>
      </c>
      <c r="S93" s="16" t="str">
        <f ca="1">IFERROR(IF(テーブル1[[#This Row],[描画状況]]="",RAND()+(テーブル1[[#This Row],[列2]]*100),""),RAND())</f>
        <v/>
      </c>
      <c r="T93" s="1" t="s">
        <v>12</v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660</v>
      </c>
      <c r="I94" s="23" t="s">
        <v>667</v>
      </c>
      <c r="L94" s="23" t="s">
        <v>1217</v>
      </c>
      <c r="O94" s="1" t="s">
        <v>595</v>
      </c>
      <c r="P94" s="1" t="s">
        <v>549</v>
      </c>
      <c r="Q94" s="24" t="str">
        <f>テーブル1[[#This Row],[リンク]]&amp;テーブル1[[#This Row],[描画状況]]</f>
        <v>http://park2.wakwak.com/~mbox/vo/hk/hkfre.htm済</v>
      </c>
      <c r="R94" s="17">
        <f>1-(COUNTIF(Q:Q,_xlfn.TEXTJOIN(",",TRUE,テーブル1[[#This Row],[リンク]],テーブル1[[#This Row],[描画状況]]))/COUNTIF(F:F,テーブル1[[#This Row],[リンク]]))</f>
        <v>1</v>
      </c>
      <c r="S94" s="16" t="str">
        <f ca="1">IFERROR(IF(テーブル1[[#This Row],[描画状況]]="",RAND()+(テーブル1[[#This Row],[列2]]*100),""),RAND())</f>
        <v/>
      </c>
      <c r="T94" s="1" t="s">
        <v>12</v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594</v>
      </c>
      <c r="P95" s="1" t="s">
        <v>549</v>
      </c>
      <c r="Q95" s="24" t="str">
        <f>テーブル1[[#This Row],[リンク]]&amp;テーブル1[[#This Row],[描画状況]]</f>
        <v>http://lllll17.web.fc2.com/index.html済</v>
      </c>
      <c r="R95" s="17">
        <f>1-(COUNTIF(Q:Q,_xlfn.TEXTJOIN(",",TRUE,テーブル1[[#This Row],[リンク]],テーブル1[[#This Row],[描画状況]]))/COUNTIF(F:F,テーブル1[[#This Row],[リンク]]))</f>
        <v>1</v>
      </c>
      <c r="S95" s="16" t="str">
        <f ca="1">IFERROR(IF(テーブル1[[#This Row],[描画状況]]="",RAND()+(テーブル1[[#This Row],[列2]]*100),""),RAND())</f>
        <v/>
      </c>
      <c r="T95" s="1" t="s">
        <v>12</v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594</v>
      </c>
      <c r="P96" s="1" t="s">
        <v>549</v>
      </c>
      <c r="Q96" s="24" t="str">
        <f>テーブル1[[#This Row],[リンク]]&amp;テーブル1[[#This Row],[描画状況]]</f>
        <v>http://lllll17.web.fc2.com/index.html済</v>
      </c>
      <c r="R96" s="17">
        <f>1-(COUNTIF(Q:Q,_xlfn.TEXTJOIN(",",TRUE,テーブル1[[#This Row],[リンク]],テーブル1[[#This Row],[描画状況]]))/COUNTIF(F:F,テーブル1[[#This Row],[リンク]]))</f>
        <v>1</v>
      </c>
      <c r="S96" s="16" t="str">
        <f ca="1">IFERROR(IF(テーブル1[[#This Row],[描画状況]]="",RAND()+(テーブル1[[#This Row],[列2]]*100),""),RAND())</f>
        <v/>
      </c>
      <c r="T96" s="1" t="s">
        <v>12</v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173</v>
      </c>
      <c r="D97" s="23" t="s">
        <v>836</v>
      </c>
      <c r="E97" s="23" t="s">
        <v>1006</v>
      </c>
      <c r="F97" s="2" t="s">
        <v>167</v>
      </c>
      <c r="G97" s="23" t="s">
        <v>168</v>
      </c>
      <c r="H97" s="23" t="s">
        <v>660</v>
      </c>
      <c r="I97" s="23" t="s">
        <v>667</v>
      </c>
      <c r="L97" s="23" t="s">
        <v>1214</v>
      </c>
      <c r="N97" s="23" t="s">
        <v>1237</v>
      </c>
      <c r="O97" s="1" t="s">
        <v>631</v>
      </c>
      <c r="P97" s="1" t="s">
        <v>549</v>
      </c>
      <c r="Q97" s="24" t="str">
        <f>テーブル1[[#This Row],[リンク]]&amp;テーブル1[[#This Row],[描画状況]]</f>
        <v>https://nichikuniku1129063.wixsite.com/website-3済</v>
      </c>
      <c r="R97" s="17">
        <f>1-(COUNTIF(Q:Q,_xlfn.TEXTJOIN(",",TRUE,テーブル1[[#This Row],[リンク]],テーブル1[[#This Row],[描画状況]]))/COUNTIF(F:F,テーブル1[[#This Row],[リンク]]))</f>
        <v>1</v>
      </c>
      <c r="S97" s="16" t="str">
        <f ca="1">IFERROR(IF(テーブル1[[#This Row],[描画状況]]="",RAND()+(テーブル1[[#This Row],[列2]]*100),""),RAND())</f>
        <v/>
      </c>
      <c r="T97" s="1" t="s">
        <v>12</v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269</v>
      </c>
      <c r="D98" s="23" t="s">
        <v>837</v>
      </c>
      <c r="E98" s="23" t="s">
        <v>1007</v>
      </c>
      <c r="F98" s="2" t="s">
        <v>270</v>
      </c>
      <c r="G98" s="23" t="s">
        <v>271</v>
      </c>
      <c r="P98" s="1" t="s">
        <v>549</v>
      </c>
      <c r="Q98" s="24" t="str">
        <f>テーブル1[[#This Row],[リンク]]&amp;テーブル1[[#This Row],[描画状況]]</f>
        <v>https://www.postype.com/@utau-deepvocal-dalso済</v>
      </c>
      <c r="R98" s="17">
        <f>1-(COUNTIF(Q:Q,_xlfn.TEXTJOIN(",",TRUE,テーブル1[[#This Row],[リンク]],テーブル1[[#This Row],[描画状況]]))/COUNTIF(F:F,テーブル1[[#This Row],[リンク]]))</f>
        <v>1</v>
      </c>
      <c r="S98" s="16" t="str">
        <f ca="1">IFERROR(IF(テーブル1[[#This Row],[描画状況]]="",RAND()+(テーブル1[[#This Row],[列2]]*100),""),RAND())</f>
        <v/>
      </c>
      <c r="T98" s="1" t="s">
        <v>12</v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257</v>
      </c>
      <c r="D99" s="23" t="s">
        <v>258</v>
      </c>
      <c r="E99" s="23" t="s">
        <v>259</v>
      </c>
      <c r="F99" s="2" t="s">
        <v>255</v>
      </c>
      <c r="G99" s="23" t="s">
        <v>256</v>
      </c>
      <c r="H99" s="23" t="s">
        <v>661</v>
      </c>
      <c r="I99" s="23" t="s">
        <v>667</v>
      </c>
      <c r="N99" s="23" t="s">
        <v>1201</v>
      </c>
      <c r="P99" s="1" t="s">
        <v>549</v>
      </c>
      <c r="Q99" s="24" t="str">
        <f>テーブル1[[#This Row],[リンク]]&amp;テーブル1[[#This Row],[描画状況]]</f>
        <v>https://utauudon.wixsite.com/origamisyokudou済</v>
      </c>
      <c r="R99" s="17">
        <f>1-(COUNTIF(Q:Q,_xlfn.TEXTJOIN(",",TRUE,テーブル1[[#This Row],[リンク]],テーブル1[[#This Row],[描画状況]]))/COUNTIF(F:F,テーブル1[[#This Row],[リンク]]))</f>
        <v>1</v>
      </c>
      <c r="S99" s="16" t="str">
        <f ca="1">IFERROR(IF(テーブル1[[#This Row],[描画状況]]="",RAND()+(テーブル1[[#This Row],[列2]]*100),""),RAND())</f>
        <v/>
      </c>
      <c r="T99" s="1" t="s">
        <v>12</v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260</v>
      </c>
      <c r="D100" s="23" t="s">
        <v>838</v>
      </c>
      <c r="E100" s="23" t="s">
        <v>261</v>
      </c>
      <c r="F100" s="2" t="s">
        <v>255</v>
      </c>
      <c r="G100" s="23" t="s">
        <v>256</v>
      </c>
      <c r="H100" s="23" t="s">
        <v>673</v>
      </c>
      <c r="I100" s="23" t="s">
        <v>719</v>
      </c>
      <c r="L100" s="23" t="s">
        <v>1238</v>
      </c>
      <c r="P100" s="1" t="s">
        <v>549</v>
      </c>
      <c r="Q100" s="24" t="str">
        <f>テーブル1[[#This Row],[リンク]]&amp;テーブル1[[#This Row],[描画状況]]</f>
        <v>https://utauudon.wixsite.com/origamisyokudou済</v>
      </c>
      <c r="R100" s="17">
        <f>1-(COUNTIF(Q:Q,_xlfn.TEXTJOIN(",",TRUE,テーブル1[[#This Row],[リンク]],テーブル1[[#This Row],[描画状況]]))/COUNTIF(F:F,テーブル1[[#This Row],[リンク]]))</f>
        <v>1</v>
      </c>
      <c r="S100" s="16" t="str">
        <f ca="1">IFERROR(IF(テーブル1[[#This Row],[描画状況]]="",RAND()+(テーブル1[[#This Row],[列2]]*100),""),RAND())</f>
        <v/>
      </c>
      <c r="T100" s="1" t="s">
        <v>12</v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251</v>
      </c>
      <c r="D101" s="23" t="s">
        <v>839</v>
      </c>
      <c r="E101" s="23" t="s">
        <v>1008</v>
      </c>
      <c r="F101" s="2" t="s">
        <v>249</v>
      </c>
      <c r="G101" s="23" t="s">
        <v>252</v>
      </c>
      <c r="H101" s="23" t="s">
        <v>660</v>
      </c>
      <c r="I101" s="23" t="s">
        <v>675</v>
      </c>
      <c r="J101" s="23" t="s">
        <v>1192</v>
      </c>
      <c r="L101" s="23" t="s">
        <v>1208</v>
      </c>
      <c r="M101" s="23" t="s">
        <v>1177</v>
      </c>
      <c r="P101" s="1" t="s">
        <v>549</v>
      </c>
      <c r="Q101" s="24" t="str">
        <f>テーブル1[[#This Row],[リンク]]&amp;テーブル1[[#This Row],[描画状況]]</f>
        <v>https://utausuzuminnya.jimdofree.com済</v>
      </c>
      <c r="R101" s="17">
        <f>1-(COUNTIF(Q:Q,_xlfn.TEXTJOIN(",",TRUE,テーブル1[[#This Row],[リンク]],テーブル1[[#This Row],[描画状況]]))/COUNTIF(F:F,テーブル1[[#This Row],[リンク]]))</f>
        <v>1</v>
      </c>
      <c r="S101" s="16" t="str">
        <f ca="1">IFERROR(IF(テーブル1[[#This Row],[描画状況]]="",RAND()+(テーブル1[[#This Row],[列2]]*100),""),RAND())</f>
        <v/>
      </c>
      <c r="T101" s="1" t="s">
        <v>12</v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155</v>
      </c>
      <c r="D102" s="23" t="s">
        <v>156</v>
      </c>
      <c r="E102" s="23" t="s">
        <v>157</v>
      </c>
      <c r="F102" s="2" t="s">
        <v>153</v>
      </c>
      <c r="G102" s="23" t="s">
        <v>154</v>
      </c>
      <c r="H102" s="23" t="s">
        <v>661</v>
      </c>
      <c r="I102" s="23" t="s">
        <v>670</v>
      </c>
      <c r="M102" s="23" t="s">
        <v>1178</v>
      </c>
      <c r="N102" s="23" t="s">
        <v>1205</v>
      </c>
      <c r="O102" s="1" t="s">
        <v>631</v>
      </c>
      <c r="P102" s="1" t="s">
        <v>549</v>
      </c>
      <c r="Q102" s="24" t="str">
        <f>テーブル1[[#This Row],[リンク]]&amp;テーブル1[[#This Row],[描画状況]]</f>
        <v>https://moqujc.wixsite.com/mqtop済</v>
      </c>
      <c r="R102" s="17">
        <f>1-(COUNTIF(Q:Q,_xlfn.TEXTJOIN(",",TRUE,テーブル1[[#This Row],[リンク]],テーブル1[[#This Row],[描画状況]]))/COUNTIF(F:F,テーブル1[[#This Row],[リンク]]))</f>
        <v>1</v>
      </c>
      <c r="S102" s="16" t="str">
        <f ca="1">IFERROR(IF(テーブル1[[#This Row],[描画状況]]="",RAND()+(テーブル1[[#This Row],[列2]]*100),""),RAND())</f>
        <v/>
      </c>
      <c r="T102" s="1" t="s">
        <v>12</v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840</v>
      </c>
      <c r="E103" s="23" t="s">
        <v>1009</v>
      </c>
      <c r="F103" s="27" t="s">
        <v>662</v>
      </c>
      <c r="G103" s="23" t="s">
        <v>53</v>
      </c>
      <c r="O103" s="1" t="s">
        <v>595</v>
      </c>
      <c r="P103" s="1" t="s">
        <v>549</v>
      </c>
      <c r="Q103" s="24" t="str">
        <f>テーブル1[[#This Row],[リンク]]&amp;テーブル1[[#This Row],[描画状況]]</f>
        <v>https://utau.kurotsuka.xyz済</v>
      </c>
      <c r="R103" s="17">
        <f>1-(COUNTIF(Q:Q,_xlfn.TEXTJOIN(",",TRUE,テーブル1[[#This Row],[リンク]],テーブル1[[#This Row],[描画状況]]))/COUNTIF(F:F,テーブル1[[#This Row],[リンク]]))</f>
        <v>1</v>
      </c>
      <c r="S103" s="16" t="str">
        <f ca="1">IFERROR(IF(テーブル1[[#This Row],[描画状況]]="",RAND()+(テーブル1[[#This Row],[列2]]*100),""),RAND())</f>
        <v/>
      </c>
      <c r="T103" s="1" t="s">
        <v>12</v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237</v>
      </c>
      <c r="D104" s="23" t="s">
        <v>841</v>
      </c>
      <c r="E104" s="23" t="s">
        <v>1010</v>
      </c>
      <c r="F104" s="2" t="s">
        <v>235</v>
      </c>
      <c r="G104" s="23" t="s">
        <v>236</v>
      </c>
      <c r="H104" s="23" t="s">
        <v>661</v>
      </c>
      <c r="I104" s="23" t="s">
        <v>667</v>
      </c>
      <c r="L104" s="23" t="s">
        <v>1202</v>
      </c>
      <c r="M104" s="23" t="s">
        <v>1178</v>
      </c>
      <c r="O104" s="1" t="s">
        <v>631</v>
      </c>
      <c r="P104" s="1" t="s">
        <v>549</v>
      </c>
      <c r="Q104" s="24" t="str">
        <f>テーブル1[[#This Row],[リンク]]&amp;テーブル1[[#This Row],[描画状況]]</f>
        <v>https://tourist100f.wixsite.com/utakata-kosyo済</v>
      </c>
      <c r="R104" s="17">
        <f>1-(COUNTIF(Q:Q,_xlfn.TEXTJOIN(",",TRUE,テーブル1[[#This Row],[リンク]],テーブル1[[#This Row],[描画状況]]))/COUNTIF(F:F,テーブル1[[#This Row],[リンク]]))</f>
        <v>1</v>
      </c>
      <c r="S104" s="16" t="str">
        <f ca="1">IFERROR(IF(テーブル1[[#This Row],[描画状況]]="",RAND()+(テーブル1[[#This Row],[列2]]*100),""),RAND())</f>
        <v/>
      </c>
      <c r="T104" s="1" t="s">
        <v>12</v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160</v>
      </c>
      <c r="D105" s="23" t="s">
        <v>842</v>
      </c>
      <c r="E105" s="23" t="s">
        <v>1011</v>
      </c>
      <c r="F105" s="2" t="s">
        <v>161</v>
      </c>
      <c r="G105" s="23" t="s">
        <v>162</v>
      </c>
      <c r="P105" s="1" t="s">
        <v>549</v>
      </c>
      <c r="Q105" s="24" t="str">
        <f>テーブル1[[#This Row],[リンク]]&amp;テーブル1[[#This Row],[描画状況]]</f>
        <v>https://nanyuanxiaojieji.wixsite.com/yuragine-kannsokujo済</v>
      </c>
      <c r="R105" s="17">
        <f>1-(COUNTIF(Q:Q,_xlfn.TEXTJOIN(",",TRUE,テーブル1[[#This Row],[リンク]],テーブル1[[#This Row],[描画状況]]))/COUNTIF(F:F,テーブル1[[#This Row],[リンク]]))</f>
        <v>1</v>
      </c>
      <c r="S105" s="16" t="str">
        <f ca="1">IFERROR(IF(テーブル1[[#This Row],[描画状況]]="",RAND()+(テーブル1[[#This Row],[列2]]*100),""),RAND())</f>
        <v/>
      </c>
      <c r="T105" s="1" t="s">
        <v>12</v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280</v>
      </c>
      <c r="D106" s="23" t="s">
        <v>843</v>
      </c>
      <c r="E106" s="23" t="s">
        <v>1012</v>
      </c>
      <c r="F106" s="15" t="s">
        <v>516</v>
      </c>
      <c r="G106" s="23" t="s">
        <v>281</v>
      </c>
      <c r="P106" s="1" t="s">
        <v>549</v>
      </c>
      <c r="Q106" s="24" t="str">
        <f>テーブル1[[#This Row],[リンク]]&amp;テーブル1[[#This Row],[描画状況]]</f>
        <v>https://long-sleeper.net済</v>
      </c>
      <c r="R106" s="17">
        <f>1-(COUNTIF(Q:Q,_xlfn.TEXTJOIN(",",TRUE,テーブル1[[#This Row],[リンク]],テーブル1[[#This Row],[描画状況]]))/COUNTIF(F:F,テーブル1[[#This Row],[リンク]]))</f>
        <v>1</v>
      </c>
      <c r="S106" s="16" t="str">
        <f ca="1">IFERROR(IF(テーブル1[[#This Row],[描画状況]]="",RAND()+(テーブル1[[#This Row],[列2]]*100),""),RAND())</f>
        <v/>
      </c>
      <c r="T106" s="1" t="s">
        <v>12</v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174</v>
      </c>
      <c r="D107" s="23" t="s">
        <v>844</v>
      </c>
      <c r="E107" s="23" t="s">
        <v>1013</v>
      </c>
      <c r="F107" s="2" t="s">
        <v>167</v>
      </c>
      <c r="G107" s="23" t="s">
        <v>168</v>
      </c>
      <c r="H107" s="23" t="s">
        <v>660</v>
      </c>
      <c r="I107" s="23" t="s">
        <v>720</v>
      </c>
      <c r="L107" s="23" t="s">
        <v>1216</v>
      </c>
      <c r="M107" s="23" t="s">
        <v>1229</v>
      </c>
      <c r="N107" s="23" t="s">
        <v>1293</v>
      </c>
      <c r="O107" s="1" t="s">
        <v>631</v>
      </c>
      <c r="P107" s="1" t="s">
        <v>549</v>
      </c>
      <c r="Q107" s="24" t="str">
        <f>テーブル1[[#This Row],[リンク]]&amp;テーブル1[[#This Row],[描画状況]]</f>
        <v>https://nichikuniku1129063.wixsite.com/website-3済</v>
      </c>
      <c r="R107" s="17">
        <f>1-(COUNTIF(Q:Q,_xlfn.TEXTJOIN(",",TRUE,テーブル1[[#This Row],[リンク]],テーブル1[[#This Row],[描画状況]]))/COUNTIF(F:F,テーブル1[[#This Row],[リンク]]))</f>
        <v>1</v>
      </c>
      <c r="S107" s="16" t="str">
        <f ca="1">IFERROR(IF(テーブル1[[#This Row],[描画状況]]="",RAND()+(テーブル1[[#This Row],[列2]]*100),""),RAND())</f>
        <v/>
      </c>
      <c r="T107" s="1" t="s">
        <v>12</v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137</v>
      </c>
      <c r="D108" s="23" t="s">
        <v>138</v>
      </c>
      <c r="E108" s="23" t="s">
        <v>139</v>
      </c>
      <c r="F108" s="2" t="s">
        <v>140</v>
      </c>
      <c r="G108" s="23" t="s">
        <v>141</v>
      </c>
      <c r="P108" s="1" t="s">
        <v>549</v>
      </c>
      <c r="Q108" s="24" t="str">
        <f>テーブル1[[#This Row],[リンク]]&amp;テーブル1[[#This Row],[描画状況]]</f>
        <v>https://mareffys.wixsite.com/lalo済</v>
      </c>
      <c r="R108" s="17">
        <f>1-(COUNTIF(Q:Q,_xlfn.TEXTJOIN(",",TRUE,テーブル1[[#This Row],[リンク]],テーブル1[[#This Row],[描画状況]]))/COUNTIF(F:F,テーブル1[[#This Row],[リンク]]))</f>
        <v>1</v>
      </c>
      <c r="S108" s="16" t="str">
        <f ca="1">IFERROR(IF(テーブル1[[#This Row],[描画状況]]="",RAND()+(テーブル1[[#This Row],[列2]]*100),""),RAND())</f>
        <v/>
      </c>
      <c r="T108" s="1" t="s">
        <v>12</v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209</v>
      </c>
      <c r="D109" s="23" t="s">
        <v>845</v>
      </c>
      <c r="E109" s="23" t="s">
        <v>1014</v>
      </c>
      <c r="F109" s="2" t="s">
        <v>198</v>
      </c>
      <c r="G109" s="23" t="s">
        <v>199</v>
      </c>
      <c r="H109" s="23" t="s">
        <v>661</v>
      </c>
      <c r="I109" s="23" t="s">
        <v>670</v>
      </c>
      <c r="L109" s="23" t="s">
        <v>1220</v>
      </c>
      <c r="N109" s="23" t="s">
        <v>1201</v>
      </c>
      <c r="O109" s="1" t="s">
        <v>594</v>
      </c>
      <c r="P109" s="1" t="s">
        <v>549</v>
      </c>
      <c r="Q109" s="24" t="str">
        <f>テーブル1[[#This Row],[リンク]]&amp;テーブル1[[#This Row],[描画状況]]</f>
        <v>https://seirentoybox.jimdofree.com済</v>
      </c>
      <c r="R109" s="17">
        <f>1-(COUNTIF(Q:Q,_xlfn.TEXTJOIN(",",TRUE,テーブル1[[#This Row],[リンク]],テーブル1[[#This Row],[描画状況]]))/COUNTIF(F:F,テーブル1[[#This Row],[リンク]]))</f>
        <v>1</v>
      </c>
      <c r="S109" s="16" t="str">
        <f ca="1">IFERROR(IF(テーブル1[[#This Row],[描画状況]]="",RAND()+(テーブル1[[#This Row],[列2]]*100),""),RAND())</f>
        <v/>
      </c>
      <c r="T109" s="1" t="s">
        <v>12</v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661</v>
      </c>
      <c r="N110" s="23" t="s">
        <v>1210</v>
      </c>
      <c r="O110" s="1" t="s">
        <v>631</v>
      </c>
      <c r="P110" s="1" t="s">
        <v>549</v>
      </c>
      <c r="Q110" s="24" t="str">
        <f>テーブル1[[#This Row],[リンク]]&amp;テーブル1[[#This Row],[描画状況]]</f>
        <v>https://kakokyu102krbs.wixsite.com/greenmilky済</v>
      </c>
      <c r="R110" s="17">
        <f>1-(COUNTIF(Q:Q,_xlfn.TEXTJOIN(",",TRUE,テーブル1[[#This Row],[リンク]],テーブル1[[#This Row],[描画状況]]))/COUNTIF(F:F,テーブル1[[#This Row],[リンク]]))</f>
        <v>1</v>
      </c>
      <c r="S110" s="16" t="str">
        <f ca="1">IFERROR(IF(テーブル1[[#This Row],[描画状況]]="",RAND()+(テーブル1[[#This Row],[列2]]*100),""),RAND())</f>
        <v/>
      </c>
      <c r="T110" s="1" t="s">
        <v>12</v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240</v>
      </c>
      <c r="D111" s="23" t="s">
        <v>846</v>
      </c>
      <c r="E111" s="23" t="s">
        <v>1015</v>
      </c>
      <c r="F111" s="2" t="s">
        <v>238</v>
      </c>
      <c r="G111" s="23" t="s">
        <v>239</v>
      </c>
      <c r="P111" s="1" t="s">
        <v>549</v>
      </c>
      <c r="Q111" s="24" t="str">
        <f>テーブル1[[#This Row],[リンク]]&amp;テーブル1[[#This Row],[描画状況]]</f>
        <v>https://tsukimiya0728.wixsite.com/silverbullet済</v>
      </c>
      <c r="R111" s="17">
        <f>1-(COUNTIF(Q:Q,_xlfn.TEXTJOIN(",",TRUE,テーブル1[[#This Row],[リンク]],テーブル1[[#This Row],[描画状況]]))/COUNTIF(F:F,テーブル1[[#This Row],[リンク]]))</f>
        <v>1</v>
      </c>
      <c r="S111" s="16" t="str">
        <f ca="1">IFERROR(IF(テーブル1[[#This Row],[描画状況]]="",RAND()+(テーブル1[[#This Row],[列2]]*100),""),RAND())</f>
        <v/>
      </c>
      <c r="T111" s="1" t="s">
        <v>12</v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329</v>
      </c>
      <c r="G112" s="23" t="s">
        <v>49</v>
      </c>
      <c r="H112" s="23" t="s">
        <v>661</v>
      </c>
      <c r="I112" s="23" t="s">
        <v>670</v>
      </c>
      <c r="L112" s="23" t="s">
        <v>1217</v>
      </c>
      <c r="M112" s="23" t="s">
        <v>1178</v>
      </c>
      <c r="N112" s="23" t="s">
        <v>1205</v>
      </c>
      <c r="O112" s="1" t="s">
        <v>594</v>
      </c>
      <c r="P112" s="1" t="s">
        <v>549</v>
      </c>
      <c r="Q112" s="24" t="str">
        <f>テーブル1[[#This Row],[リンク]]&amp;テーブル1[[#This Row],[描画状況]]</f>
        <v>https://bowlroll.net/user/980255済</v>
      </c>
      <c r="R112" s="17">
        <f>1-(COUNTIF(Q:Q,_xlfn.TEXTJOIN(",",TRUE,テーブル1[[#This Row],[リンク]],テーブル1[[#This Row],[描画状況]]))/COUNTIF(F:F,テーブル1[[#This Row],[リンク]]))</f>
        <v>1</v>
      </c>
      <c r="S112" s="16" t="str">
        <f ca="1">IFERROR(IF(テーブル1[[#This Row],[描画状況]]="",RAND()+(テーブル1[[#This Row],[列2]]*100),""),RAND())</f>
        <v/>
      </c>
      <c r="T112" s="1" t="s">
        <v>12</v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660</v>
      </c>
      <c r="I113" s="23" t="s">
        <v>667</v>
      </c>
      <c r="L113" s="23" t="s">
        <v>1284</v>
      </c>
      <c r="M113" s="23" t="s">
        <v>1182</v>
      </c>
      <c r="N113" s="23" t="s">
        <v>1239</v>
      </c>
      <c r="O113" s="1" t="s">
        <v>595</v>
      </c>
      <c r="P113" s="1" t="s">
        <v>549</v>
      </c>
      <c r="Q113" s="24" t="str">
        <f>テーブル1[[#This Row],[リンク]]&amp;テーブル1[[#This Row],[描画状況]]</f>
        <v>https://cloudcatch1224.wixsite.com/godsfoot済</v>
      </c>
      <c r="R113" s="17">
        <f>1-(COUNTIF(Q:Q,_xlfn.TEXTJOIN(",",TRUE,テーブル1[[#This Row],[リンク]],テーブル1[[#This Row],[描画状況]]))/COUNTIF(F:F,テーブル1[[#This Row],[リンク]]))</f>
        <v>1</v>
      </c>
      <c r="S113" s="16" t="str">
        <f ca="1">IFERROR(IF(テーブル1[[#This Row],[描画状況]]="",RAND()+(テーブル1[[#This Row],[列2]]*100),""),RAND())</f>
        <v/>
      </c>
      <c r="T113" s="1" t="s">
        <v>12</v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580</v>
      </c>
      <c r="D114" s="23" t="s">
        <v>847</v>
      </c>
      <c r="E114" s="23" t="s">
        <v>1016</v>
      </c>
      <c r="F114" s="2" t="s">
        <v>43</v>
      </c>
      <c r="G114" s="23" t="s">
        <v>44</v>
      </c>
      <c r="O114" s="1" t="s">
        <v>595</v>
      </c>
      <c r="P114" s="1" t="s">
        <v>549</v>
      </c>
      <c r="Q114" s="24" t="str">
        <f>テーブル1[[#This Row],[リンク]]&amp;テーブル1[[#This Row],[描画状況]]</f>
        <v>https://bellsworks.wixsite.com/bellsworks済</v>
      </c>
      <c r="R114" s="17">
        <f>1-(COUNTIF(Q:Q,_xlfn.TEXTJOIN(",",TRUE,テーブル1[[#This Row],[リンク]],テーブル1[[#This Row],[描画状況]]))/COUNTIF(F:F,テーブル1[[#This Row],[リンク]]))</f>
        <v>1</v>
      </c>
      <c r="S114" s="16" t="str">
        <f ca="1">IFERROR(IF(テーブル1[[#This Row],[描画状況]]="",RAND()+(テーブル1[[#This Row],[列2]]*100),""),RAND())</f>
        <v/>
      </c>
      <c r="T114" s="1" t="s">
        <v>428</v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418</v>
      </c>
      <c r="D115" s="23" t="s">
        <v>848</v>
      </c>
      <c r="E115" s="23" t="s">
        <v>1017</v>
      </c>
      <c r="F115" s="15" t="s">
        <v>419</v>
      </c>
      <c r="G115" s="23" t="str">
        <f>テーブル1[[#This Row],[名前]]&amp;"(UTAU)"</f>
        <v>飯音モグ(UTAU)</v>
      </c>
      <c r="O115" s="1" t="s">
        <v>594</v>
      </c>
      <c r="P115" s="1" t="s">
        <v>549</v>
      </c>
      <c r="Q115" s="24" t="str">
        <f>テーブル1[[#This Row],[リンク]]&amp;テーブル1[[#This Row],[描画状況]]</f>
        <v>https://bowlroll.net/file/333777済</v>
      </c>
      <c r="R115" s="17">
        <f>1-(COUNTIF(Q:Q,_xlfn.TEXTJOIN(",",TRUE,テーブル1[[#This Row],[リンク]],テーブル1[[#This Row],[描画状況]]))/COUNTIF(F:F,テーブル1[[#This Row],[リンク]]))</f>
        <v>1</v>
      </c>
      <c r="S115" s="16" t="str">
        <f ca="1">IFERROR(IF(テーブル1[[#This Row],[描画状況]]="",RAND()+(テーブル1[[#This Row],[列2]]*100),""),RAND())</f>
        <v/>
      </c>
      <c r="T115" s="1" t="s">
        <v>428</v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334</v>
      </c>
      <c r="D116" s="23" t="s">
        <v>849</v>
      </c>
      <c r="E116" s="23" t="s">
        <v>1018</v>
      </c>
      <c r="F116" s="2" t="s">
        <v>165</v>
      </c>
      <c r="G116" s="23" t="s">
        <v>1114</v>
      </c>
      <c r="P116" s="1" t="s">
        <v>549</v>
      </c>
      <c r="Q116" s="24" t="str">
        <f>テーブル1[[#This Row],[リンク]]&amp;テーブル1[[#This Row],[描画状況]]</f>
        <v>https://ne510channel.wixsite.com/website済</v>
      </c>
      <c r="R116" s="17">
        <f>1-(COUNTIF(Q:Q,_xlfn.TEXTJOIN(",",TRUE,テーブル1[[#This Row],[リンク]],テーブル1[[#This Row],[描画状況]]))/COUNTIF(F:F,テーブル1[[#This Row],[リンク]]))</f>
        <v>1</v>
      </c>
      <c r="S116" s="16" t="str">
        <f ca="1">IFERROR(IF(テーブル1[[#This Row],[描画状況]]="",RAND()+(テーブル1[[#This Row],[列2]]*100),""),RAND())</f>
        <v/>
      </c>
      <c r="T116" s="1" t="s">
        <v>428</v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340</v>
      </c>
      <c r="D117" s="23" t="s">
        <v>341</v>
      </c>
      <c r="E117" s="23" t="s">
        <v>342</v>
      </c>
      <c r="F117" s="2" t="s">
        <v>61</v>
      </c>
      <c r="G117" s="23" t="s">
        <v>62</v>
      </c>
      <c r="H117" s="23" t="s">
        <v>661</v>
      </c>
      <c r="I117" s="23" t="s">
        <v>711</v>
      </c>
      <c r="J117" s="23" t="s">
        <v>1195</v>
      </c>
      <c r="L117" s="23" t="s">
        <v>1198</v>
      </c>
      <c r="M117" s="23" t="s">
        <v>1180</v>
      </c>
      <c r="N117" s="23" t="s">
        <v>1298</v>
      </c>
      <c r="O117" s="1" t="s">
        <v>595</v>
      </c>
      <c r="P117" s="1" t="s">
        <v>549</v>
      </c>
      <c r="Q117" s="24" t="str">
        <f>テーブル1[[#This Row],[リンク]]&amp;テーブル1[[#This Row],[描画状況]]</f>
        <v>https://cloudcatch1224.wixsite.com/godsfoot済</v>
      </c>
      <c r="R117" s="17">
        <f>1-(COUNTIF(Q:Q,_xlfn.TEXTJOIN(",",TRUE,テーブル1[[#This Row],[リンク]],テーブル1[[#This Row],[描画状況]]))/COUNTIF(F:F,テーブル1[[#This Row],[リンク]]))</f>
        <v>1</v>
      </c>
      <c r="S117" s="16" t="str">
        <f ca="1">IFERROR(IF(テーブル1[[#This Row],[描画状況]]="",RAND()+(テーブル1[[#This Row],[列2]]*100),""),RAND())</f>
        <v/>
      </c>
      <c r="T117" s="1" t="s">
        <v>428</v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287</v>
      </c>
      <c r="D118" s="23" t="s">
        <v>288</v>
      </c>
      <c r="E118" s="23" t="s">
        <v>289</v>
      </c>
      <c r="F118" s="2" t="s">
        <v>43</v>
      </c>
      <c r="G118" s="23" t="s">
        <v>44</v>
      </c>
      <c r="O118" s="1" t="s">
        <v>595</v>
      </c>
      <c r="P118" s="1" t="s">
        <v>549</v>
      </c>
      <c r="Q118" s="24" t="str">
        <f>テーブル1[[#This Row],[リンク]]&amp;テーブル1[[#This Row],[描画状況]]</f>
        <v>https://bellsworks.wixsite.com/bellsworks済</v>
      </c>
      <c r="R118" s="17">
        <f>1-(COUNTIF(Q:Q,_xlfn.TEXTJOIN(",",TRUE,テーブル1[[#This Row],[リンク]],テーブル1[[#This Row],[描画状況]]))/COUNTIF(F:F,テーブル1[[#This Row],[リンク]]))</f>
        <v>1</v>
      </c>
      <c r="S118" s="16" t="str">
        <f ca="1">IFERROR(IF(テーブル1[[#This Row],[描画状況]]="",RAND()+(テーブル1[[#This Row],[列2]]*100),""),RAND())</f>
        <v/>
      </c>
      <c r="T118" s="1" t="s">
        <v>428</v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385</v>
      </c>
      <c r="D119" s="23" t="s">
        <v>850</v>
      </c>
      <c r="E119" s="23" t="s">
        <v>1019</v>
      </c>
      <c r="F119" s="15" t="s">
        <v>386</v>
      </c>
      <c r="G119" s="23" t="s">
        <v>387</v>
      </c>
      <c r="O119" s="1" t="s">
        <v>594</v>
      </c>
      <c r="P119" s="1" t="s">
        <v>549</v>
      </c>
      <c r="Q119" s="24" t="str">
        <f>テーブル1[[#This Row],[リンク]]&amp;テーブル1[[#This Row],[描画状況]]</f>
        <v>https://flowerrocklove.wixsite.com/twilight-crisis済</v>
      </c>
      <c r="R119" s="17">
        <f>1-(COUNTIF(Q:Q,_xlfn.TEXTJOIN(",",TRUE,テーブル1[[#This Row],[リンク]],テーブル1[[#This Row],[描画状況]]))/COUNTIF(F:F,テーブル1[[#This Row],[リンク]]))</f>
        <v>1</v>
      </c>
      <c r="S119" s="16" t="str">
        <f ca="1">IFERROR(IF(テーブル1[[#This Row],[描画状況]]="",RAND()+(テーブル1[[#This Row],[列2]]*100),""),RAND())</f>
        <v/>
      </c>
      <c r="T119" s="1" t="s">
        <v>428</v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581</v>
      </c>
      <c r="D120" s="23" t="s">
        <v>851</v>
      </c>
      <c r="E120" s="23" t="s">
        <v>1020</v>
      </c>
      <c r="F120" s="2" t="s">
        <v>43</v>
      </c>
      <c r="G120" s="23" t="s">
        <v>44</v>
      </c>
      <c r="O120" s="1" t="s">
        <v>595</v>
      </c>
      <c r="P120" s="1" t="s">
        <v>549</v>
      </c>
      <c r="Q120" s="24" t="str">
        <f>テーブル1[[#This Row],[リンク]]&amp;テーブル1[[#This Row],[描画状況]]</f>
        <v>https://bellsworks.wixsite.com/bellsworks済</v>
      </c>
      <c r="R120" s="17">
        <f>1-(COUNTIF(Q:Q,_xlfn.TEXTJOIN(",",TRUE,テーブル1[[#This Row],[リンク]],テーブル1[[#This Row],[描画状況]]))/COUNTIF(F:F,テーブル1[[#This Row],[リンク]]))</f>
        <v>1</v>
      </c>
      <c r="S120" s="16" t="str">
        <f ca="1">IFERROR(IF(テーブル1[[#This Row],[描画状況]]="",RAND()+(テーブル1[[#This Row],[列2]]*100),""),RAND())</f>
        <v/>
      </c>
      <c r="T120" s="1" t="s">
        <v>428</v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374</v>
      </c>
      <c r="D121" s="23" t="s">
        <v>375</v>
      </c>
      <c r="E121" s="23" t="s">
        <v>376</v>
      </c>
      <c r="F121" s="2" t="s">
        <v>371</v>
      </c>
      <c r="G121" s="23" t="s">
        <v>373</v>
      </c>
      <c r="P121" s="1" t="s">
        <v>549</v>
      </c>
      <c r="Q121" s="24" t="str">
        <f>テーブル1[[#This Row],[リンク]]&amp;テーブル1[[#This Row],[描画状況]]</f>
        <v>https://mebisnori.wixsite.com/nori-mebis済</v>
      </c>
      <c r="R121" s="17">
        <f>1-(COUNTIF(Q:Q,_xlfn.TEXTJOIN(",",TRUE,テーブル1[[#This Row],[リンク]],テーブル1[[#This Row],[描画状況]]))/COUNTIF(F:F,テーブル1[[#This Row],[リンク]]))</f>
        <v>1</v>
      </c>
      <c r="S121" s="16" t="str">
        <f ca="1">IFERROR(IF(テーブル1[[#This Row],[描画状況]]="",RAND()+(テーブル1[[#This Row],[列2]]*100),""),RAND())</f>
        <v/>
      </c>
      <c r="T121" s="1" t="s">
        <v>428</v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399</v>
      </c>
      <c r="D122" s="23" t="s">
        <v>852</v>
      </c>
      <c r="E122" s="23" t="s">
        <v>1021</v>
      </c>
      <c r="F122" s="2" t="s">
        <v>397</v>
      </c>
      <c r="G122" s="23" t="s">
        <v>398</v>
      </c>
      <c r="P122" s="1" t="s">
        <v>549</v>
      </c>
      <c r="Q122" s="24" t="str">
        <f>テーブル1[[#This Row],[リンク]]&amp;テーブル1[[#This Row],[描画状況]]</f>
        <v>https://zakrotsukumo.wixsite.com/utau-zerozero済</v>
      </c>
      <c r="R122" s="17">
        <f>1-(COUNTIF(Q:Q,_xlfn.TEXTJOIN(",",TRUE,テーブル1[[#This Row],[リンク]],テーブル1[[#This Row],[描画状況]]))/COUNTIF(F:F,テーブル1[[#This Row],[リンク]]))</f>
        <v>1</v>
      </c>
      <c r="S122" s="16" t="str">
        <f ca="1">IFERROR(IF(テーブル1[[#This Row],[描画状況]]="",RAND()+(テーブル1[[#This Row],[列2]]*100),""),RAND())</f>
        <v/>
      </c>
      <c r="T122" s="1" t="s">
        <v>428</v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582</v>
      </c>
      <c r="D123" s="23" t="s">
        <v>853</v>
      </c>
      <c r="E123" s="23" t="s">
        <v>1022</v>
      </c>
      <c r="F123" s="2" t="s">
        <v>43</v>
      </c>
      <c r="G123" s="23" t="s">
        <v>44</v>
      </c>
      <c r="O123" s="1" t="s">
        <v>595</v>
      </c>
      <c r="P123" s="1" t="s">
        <v>549</v>
      </c>
      <c r="Q123" s="24" t="str">
        <f>テーブル1[[#This Row],[リンク]]&amp;テーブル1[[#This Row],[描画状況]]</f>
        <v>https://bellsworks.wixsite.com/bellsworks済</v>
      </c>
      <c r="R123" s="17">
        <f>1-(COUNTIF(Q:Q,_xlfn.TEXTJOIN(",",TRUE,テーブル1[[#This Row],[リンク]],テーブル1[[#This Row],[描画状況]]))/COUNTIF(F:F,テーブル1[[#This Row],[リンク]]))</f>
        <v>1</v>
      </c>
      <c r="S123" s="16" t="str">
        <f ca="1">IFERROR(IF(テーブル1[[#This Row],[描画状況]]="",RAND()+(テーブル1[[#This Row],[列2]]*100),""),RAND())</f>
        <v/>
      </c>
      <c r="T123" s="1" t="s">
        <v>428</v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302</v>
      </c>
      <c r="D124" s="23" t="s">
        <v>854</v>
      </c>
      <c r="E124" s="23" t="s">
        <v>1023</v>
      </c>
      <c r="F124" s="15" t="s">
        <v>161</v>
      </c>
      <c r="G124" s="23" t="s">
        <v>162</v>
      </c>
      <c r="P124" s="1" t="s">
        <v>549</v>
      </c>
      <c r="Q124" s="24" t="str">
        <f>テーブル1[[#This Row],[リンク]]&amp;テーブル1[[#This Row],[描画状況]]</f>
        <v>https://nanyuanxiaojieji.wixsite.com/yuragine-kannsokujo済</v>
      </c>
      <c r="R124" s="17">
        <f>1-(COUNTIF(Q:Q,_xlfn.TEXTJOIN(",",TRUE,テーブル1[[#This Row],[リンク]],テーブル1[[#This Row],[描画状況]]))/COUNTIF(F:F,テーブル1[[#This Row],[リンク]]))</f>
        <v>1</v>
      </c>
      <c r="S124" s="16" t="str">
        <f ca="1">IFERROR(IF(テーブル1[[#This Row],[描画状況]]="",RAND()+(テーブル1[[#This Row],[列2]]*100),""),RAND())</f>
        <v/>
      </c>
      <c r="T124" s="1" t="s">
        <v>428</v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359</v>
      </c>
      <c r="D125" s="23" t="s">
        <v>360</v>
      </c>
      <c r="E125" s="23" t="s">
        <v>361</v>
      </c>
      <c r="F125" s="2" t="s">
        <v>140</v>
      </c>
      <c r="G125" s="23" t="s">
        <v>141</v>
      </c>
      <c r="P125" s="1" t="s">
        <v>549</v>
      </c>
      <c r="Q125" s="24" t="str">
        <f>テーブル1[[#This Row],[リンク]]&amp;テーブル1[[#This Row],[描画状況]]</f>
        <v>https://mareffys.wixsite.com/lalo済</v>
      </c>
      <c r="R125" s="17">
        <f>1-(COUNTIF(Q:Q,_xlfn.TEXTJOIN(",",TRUE,テーブル1[[#This Row],[リンク]],テーブル1[[#This Row],[描画状況]]))/COUNTIF(F:F,テーブル1[[#This Row],[リンク]]))</f>
        <v>1</v>
      </c>
      <c r="S125" s="16" t="str">
        <f ca="1">IFERROR(IF(テーブル1[[#This Row],[描画状況]]="",RAND()+(テーブル1[[#This Row],[列2]]*100),""),RAND())</f>
        <v/>
      </c>
      <c r="T125" s="1" t="s">
        <v>428</v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583</v>
      </c>
      <c r="D126" s="23" t="s">
        <v>414</v>
      </c>
      <c r="E126" s="23" t="s">
        <v>415</v>
      </c>
      <c r="F126" s="2" t="s">
        <v>417</v>
      </c>
      <c r="G126" s="23" t="s">
        <v>416</v>
      </c>
      <c r="P126" s="1" t="s">
        <v>549</v>
      </c>
      <c r="Q126" s="24" t="str">
        <f>テーブル1[[#This Row],[リンク]]&amp;テーブル1[[#This Row],[描画状況]]</f>
        <v>https://shiromeneko162.wixsite.com/shiromean-official済</v>
      </c>
      <c r="R126" s="17">
        <f>1-(COUNTIF(Q:Q,_xlfn.TEXTJOIN(",",TRUE,テーブル1[[#This Row],[リンク]],テーブル1[[#This Row],[描画状況]]))/COUNTIF(F:F,テーブル1[[#This Row],[リンク]]))</f>
        <v>1</v>
      </c>
      <c r="S126" s="16" t="str">
        <f ca="1">IFERROR(IF(テーブル1[[#This Row],[描画状況]]="",RAND()+(テーブル1[[#This Row],[列2]]*100),""),RAND())</f>
        <v/>
      </c>
      <c r="T126" s="1" t="s">
        <v>428</v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380</v>
      </c>
      <c r="D127" s="23" t="s">
        <v>381</v>
      </c>
      <c r="E127" s="23" t="s">
        <v>382</v>
      </c>
      <c r="F127" s="2" t="s">
        <v>383</v>
      </c>
      <c r="G127" s="23" t="s">
        <v>384</v>
      </c>
      <c r="P127" s="1" t="s">
        <v>549</v>
      </c>
      <c r="Q127" s="24" t="str">
        <f>テーブル1[[#This Row],[リンク]]&amp;テーブル1[[#This Row],[描画状況]]</f>
        <v>https://mikawayanerutoko.jimdofree.com済</v>
      </c>
      <c r="R127" s="17">
        <f>1-(COUNTIF(Q:Q,_xlfn.TEXTJOIN(",",TRUE,テーブル1[[#This Row],[リンク]],テーブル1[[#This Row],[描画状況]]))/COUNTIF(F:F,テーブル1[[#This Row],[リンク]]))</f>
        <v>1</v>
      </c>
      <c r="S127" s="16" t="str">
        <f ca="1">IFERROR(IF(テーブル1[[#This Row],[描画状況]]="",RAND()+(テーブル1[[#This Row],[列2]]*100),""),RAND())</f>
        <v/>
      </c>
      <c r="T127" s="1" t="s">
        <v>428</v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290</v>
      </c>
      <c r="D128" s="23" t="s">
        <v>291</v>
      </c>
      <c r="E128" s="23" t="s">
        <v>292</v>
      </c>
      <c r="F128" s="2" t="s">
        <v>43</v>
      </c>
      <c r="G128" s="23" t="s">
        <v>44</v>
      </c>
      <c r="O128" s="1" t="s">
        <v>595</v>
      </c>
      <c r="P128" s="1" t="s">
        <v>549</v>
      </c>
      <c r="Q128" s="24" t="str">
        <f>テーブル1[[#This Row],[リンク]]&amp;テーブル1[[#This Row],[描画状況]]</f>
        <v>https://bellsworks.wixsite.com/bellsworks済</v>
      </c>
      <c r="R128" s="17">
        <f>1-(COUNTIF(Q:Q,_xlfn.TEXTJOIN(",",TRUE,テーブル1[[#This Row],[リンク]],テーブル1[[#This Row],[描画状況]]))/COUNTIF(F:F,テーブル1[[#This Row],[リンク]]))</f>
        <v>1</v>
      </c>
      <c r="S128" s="16" t="str">
        <f ca="1">IFERROR(IF(テーブル1[[#This Row],[描画状況]]="",RAND()+(テーブル1[[#This Row],[列2]]*100),""),RAND())</f>
        <v/>
      </c>
      <c r="T128" s="1" t="s">
        <v>428</v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584</v>
      </c>
      <c r="D129" s="23" t="s">
        <v>855</v>
      </c>
      <c r="E129" s="23" t="s">
        <v>1024</v>
      </c>
      <c r="F129" s="2" t="s">
        <v>43</v>
      </c>
      <c r="G129" s="23" t="s">
        <v>44</v>
      </c>
      <c r="O129" s="1" t="s">
        <v>595</v>
      </c>
      <c r="P129" s="1" t="s">
        <v>549</v>
      </c>
      <c r="Q129" s="24" t="str">
        <f>テーブル1[[#This Row],[リンク]]&amp;テーブル1[[#This Row],[描画状況]]</f>
        <v>https://bellsworks.wixsite.com/bellsworks済</v>
      </c>
      <c r="R129" s="17">
        <f>1-(COUNTIF(Q:Q,_xlfn.TEXTJOIN(",",TRUE,テーブル1[[#This Row],[リンク]],テーブル1[[#This Row],[描画状況]]))/COUNTIF(F:F,テーブル1[[#This Row],[リンク]]))</f>
        <v>1</v>
      </c>
      <c r="S129" s="16" t="str">
        <f ca="1">IFERROR(IF(テーブル1[[#This Row],[描画状況]]="",RAND()+(テーブル1[[#This Row],[列2]]*100),""),RAND())</f>
        <v/>
      </c>
      <c r="T129" s="1" t="s">
        <v>428</v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322</v>
      </c>
      <c r="D130" s="23" t="s">
        <v>856</v>
      </c>
      <c r="E130" s="23" t="s">
        <v>1025</v>
      </c>
      <c r="F130" s="2" t="s">
        <v>90</v>
      </c>
      <c r="G130" s="23" t="s">
        <v>91</v>
      </c>
      <c r="H130" s="23" t="s">
        <v>661</v>
      </c>
      <c r="I130" s="23" t="s">
        <v>667</v>
      </c>
      <c r="M130" s="23" t="s">
        <v>1185</v>
      </c>
      <c r="P130" s="1" t="s">
        <v>549</v>
      </c>
      <c r="Q130" s="24" t="str">
        <f>テーブル1[[#This Row],[リンク]]&amp;テーブル1[[#This Row],[描画状況]]</f>
        <v>https://kaitoramma.chu.jp済</v>
      </c>
      <c r="R130" s="17">
        <f>1-(COUNTIF(Q:Q,_xlfn.TEXTJOIN(",",TRUE,テーブル1[[#This Row],[リンク]],テーブル1[[#This Row],[描画状況]]))/COUNTIF(F:F,テーブル1[[#This Row],[リンク]]))</f>
        <v>1</v>
      </c>
      <c r="S130" s="16" t="str">
        <f ca="1">IFERROR(IF(テーブル1[[#This Row],[描画状況]]="",RAND()+(テーブル1[[#This Row],[列2]]*100),""),RAND())</f>
        <v/>
      </c>
      <c r="T130" s="1" t="s">
        <v>428</v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362</v>
      </c>
      <c r="D131" s="23" t="s">
        <v>363</v>
      </c>
      <c r="E131" s="24" t="s">
        <v>362</v>
      </c>
      <c r="F131" s="2" t="s">
        <v>112</v>
      </c>
      <c r="G131" s="23" t="s">
        <v>113</v>
      </c>
      <c r="H131" s="23" t="s">
        <v>661</v>
      </c>
      <c r="I131" s="23" t="s">
        <v>667</v>
      </c>
      <c r="P131" s="1" t="s">
        <v>549</v>
      </c>
      <c r="Q131" s="24" t="str">
        <f>テーブル1[[#This Row],[リンク]]&amp;テーブル1[[#This Row],[描画状況]]</f>
        <v>https://kuroi9603.wixsite.com/delu-lab-south済</v>
      </c>
      <c r="R131" s="17">
        <f>1-(COUNTIF(Q:Q,_xlfn.TEXTJOIN(",",TRUE,テーブル1[[#This Row],[リンク]],テーブル1[[#This Row],[描画状況]]))/COUNTIF(F:F,テーブル1[[#This Row],[リンク]]))</f>
        <v>1</v>
      </c>
      <c r="S131" s="16" t="str">
        <f ca="1">IFERROR(IF(テーブル1[[#This Row],[描画状況]]="",RAND()+(テーブル1[[#This Row],[列2]]*100),""),RAND())</f>
        <v/>
      </c>
      <c r="T131" s="1" t="s">
        <v>428</v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394</v>
      </c>
      <c r="D132" s="23" t="s">
        <v>857</v>
      </c>
      <c r="E132" s="23" t="s">
        <v>1026</v>
      </c>
      <c r="F132" s="2" t="s">
        <v>393</v>
      </c>
      <c r="G132" s="23" t="s">
        <v>395</v>
      </c>
      <c r="P132" s="1" t="s">
        <v>549</v>
      </c>
      <c r="Q132" s="24" t="str">
        <f>テーブル1[[#This Row],[リンク]]&amp;テーブル1[[#This Row],[描画状況]]</f>
        <v>https://okome32500.wixsite.com/onekomochi済</v>
      </c>
      <c r="R132" s="17">
        <f>1-(COUNTIF(Q:Q,_xlfn.TEXTJOIN(",",TRUE,テーブル1[[#This Row],[リンク]],テーブル1[[#This Row],[描画状況]]))/COUNTIF(F:F,テーブル1[[#This Row],[リンク]]))</f>
        <v>1</v>
      </c>
      <c r="S132" s="16" t="str">
        <f ca="1">IFERROR(IF(テーブル1[[#This Row],[描画状況]]="",RAND()+(テーブル1[[#This Row],[列2]]*100),""),RAND())</f>
        <v/>
      </c>
      <c r="T132" s="1" t="s">
        <v>428</v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326</v>
      </c>
      <c r="D133" s="23" t="s">
        <v>858</v>
      </c>
      <c r="E133" s="23" t="s">
        <v>1027</v>
      </c>
      <c r="F133" s="2" t="s">
        <v>224</v>
      </c>
      <c r="G133" s="23" t="s">
        <v>225</v>
      </c>
      <c r="P133" s="1" t="s">
        <v>549</v>
      </c>
      <c r="Q133" s="24" t="str">
        <f>テーブル1[[#This Row],[リンク]]&amp;テーブル1[[#This Row],[描画状況]]</f>
        <v>https://suihankinonaka.wixsite.com/my-site-1済</v>
      </c>
      <c r="R133" s="17">
        <f>1-(COUNTIF(Q:Q,_xlfn.TEXTJOIN(",",TRUE,テーブル1[[#This Row],[リンク]],テーブル1[[#This Row],[描画状況]]))/COUNTIF(F:F,テーブル1[[#This Row],[リンク]]))</f>
        <v>1</v>
      </c>
      <c r="S133" s="16" t="str">
        <f ca="1">IFERROR(IF(テーブル1[[#This Row],[描画状況]]="",RAND()+(テーブル1[[#This Row],[列2]]*100),""),RAND())</f>
        <v/>
      </c>
      <c r="T133" s="1" t="s">
        <v>428</v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301</v>
      </c>
      <c r="D134" s="23" t="s">
        <v>859</v>
      </c>
      <c r="E134" s="23" t="s">
        <v>1028</v>
      </c>
      <c r="F134" s="2" t="s">
        <v>161</v>
      </c>
      <c r="G134" s="23" t="s">
        <v>162</v>
      </c>
      <c r="P134" s="1" t="s">
        <v>549</v>
      </c>
      <c r="Q134" s="24" t="str">
        <f>テーブル1[[#This Row],[リンク]]&amp;テーブル1[[#This Row],[描画状況]]</f>
        <v>https://nanyuanxiaojieji.wixsite.com/yuragine-kannsokujo済</v>
      </c>
      <c r="R134" s="17">
        <f>1-(COUNTIF(Q:Q,_xlfn.TEXTJOIN(",",TRUE,テーブル1[[#This Row],[リンク]],テーブル1[[#This Row],[描画状況]]))/COUNTIF(F:F,テーブル1[[#This Row],[リンク]]))</f>
        <v>1</v>
      </c>
      <c r="S134" s="16" t="str">
        <f ca="1">IFERROR(IF(テーブル1[[#This Row],[描画状況]]="",RAND()+(テーブル1[[#This Row],[列2]]*100),""),RAND())</f>
        <v/>
      </c>
      <c r="T134" s="1" t="s">
        <v>428</v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457</v>
      </c>
      <c r="D135" s="23" t="s">
        <v>860</v>
      </c>
      <c r="E135" s="23" t="s">
        <v>1029</v>
      </c>
      <c r="F135" s="2" t="s">
        <v>456</v>
      </c>
      <c r="G135" s="23" t="s">
        <v>458</v>
      </c>
      <c r="P135" s="1" t="s">
        <v>549</v>
      </c>
      <c r="Q135" s="24" t="str">
        <f>テーブル1[[#This Row],[リンク]]&amp;テーブル1[[#This Row],[描画状況]]</f>
        <v>https://osomatsu-poid.wixsite.com/konari-san-chi済</v>
      </c>
      <c r="R135" s="17">
        <f>1-(COUNTIF(Q:Q,_xlfn.TEXTJOIN(",",TRUE,テーブル1[[#This Row],[リンク]],テーブル1[[#This Row],[描画状況]]))/COUNTIF(F:F,テーブル1[[#This Row],[リンク]]))</f>
        <v>1</v>
      </c>
      <c r="S135" s="16" t="str">
        <f ca="1">IFERROR(IF(テーブル1[[#This Row],[描画状況]]="",RAND()+(テーブル1[[#This Row],[列2]]*100),""),RAND())</f>
        <v/>
      </c>
      <c r="T135" s="1" t="s">
        <v>459</v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313</v>
      </c>
      <c r="D136" s="23" t="s">
        <v>861</v>
      </c>
      <c r="E136" s="23" t="s">
        <v>1030</v>
      </c>
      <c r="F136" s="2" t="s">
        <v>314</v>
      </c>
      <c r="G136" s="23" t="s">
        <v>315</v>
      </c>
      <c r="P136" s="1" t="s">
        <v>549</v>
      </c>
      <c r="Q136" s="24" t="str">
        <f>テーブル1[[#This Row],[リンク]]&amp;テーブル1[[#This Row],[描画状況]]</f>
        <v>https://sites.google.com/view/fukuma-utau/top済</v>
      </c>
      <c r="R136" s="17">
        <f>1-(COUNTIF(Q:Q,_xlfn.TEXTJOIN(",",TRUE,テーブル1[[#This Row],[リンク]],テーブル1[[#This Row],[描画状況]]))/COUNTIF(F:F,テーブル1[[#This Row],[リンク]]))</f>
        <v>1</v>
      </c>
      <c r="S136" s="16" t="str">
        <f ca="1">IFERROR(IF(テーブル1[[#This Row],[描画状況]]="",RAND()+(テーブル1[[#This Row],[列2]]*100),""),RAND())</f>
        <v/>
      </c>
      <c r="T136" s="1" t="s">
        <v>459</v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327</v>
      </c>
      <c r="D137" s="23" t="s">
        <v>862</v>
      </c>
      <c r="E137" s="23" t="s">
        <v>1031</v>
      </c>
      <c r="F137" s="2" t="s">
        <v>224</v>
      </c>
      <c r="G137" s="23" t="s">
        <v>225</v>
      </c>
      <c r="P137" s="1" t="s">
        <v>549</v>
      </c>
      <c r="Q137" s="24" t="str">
        <f>テーブル1[[#This Row],[リンク]]&amp;テーブル1[[#This Row],[描画状況]]</f>
        <v>https://suihankinonaka.wixsite.com/my-site-1済</v>
      </c>
      <c r="R137" s="17">
        <f>1-(COUNTIF(Q:Q,_xlfn.TEXTJOIN(",",TRUE,テーブル1[[#This Row],[リンク]],テーブル1[[#This Row],[描画状況]]))/COUNTIF(F:F,テーブル1[[#This Row],[リンク]]))</f>
        <v>1</v>
      </c>
      <c r="S137" s="16" t="str">
        <f ca="1">IFERROR(IF(テーブル1[[#This Row],[描画状況]]="",RAND()+(テーブル1[[#This Row],[列2]]*100),""),RAND())</f>
        <v/>
      </c>
      <c r="T137" s="1" t="s">
        <v>459</v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350</v>
      </c>
      <c r="D138" s="23" t="s">
        <v>863</v>
      </c>
      <c r="E138" s="23" t="s">
        <v>1032</v>
      </c>
      <c r="F138" s="2" t="s">
        <v>83</v>
      </c>
      <c r="G138" s="23" t="s">
        <v>84</v>
      </c>
      <c r="H138" s="23" t="s">
        <v>660</v>
      </c>
      <c r="I138" s="23" t="s">
        <v>721</v>
      </c>
      <c r="M138" s="23" t="s">
        <v>1178</v>
      </c>
      <c r="N138" s="23" t="s">
        <v>1293</v>
      </c>
      <c r="P138" s="1" t="s">
        <v>549</v>
      </c>
      <c r="Q138" s="24" t="str">
        <f>テーブル1[[#This Row],[リンク]]&amp;テーブル1[[#This Row],[描画状況]]</f>
        <v>https://inudanuki.wixsite.com/gottaniomotyabako済</v>
      </c>
      <c r="R138" s="17">
        <f>1-(COUNTIF(Q:Q,_xlfn.TEXTJOIN(",",TRUE,テーブル1[[#This Row],[リンク]],テーブル1[[#This Row],[描画状況]]))/COUNTIF(F:F,テーブル1[[#This Row],[リンク]]))</f>
        <v>1</v>
      </c>
      <c r="S138" s="16" t="str">
        <f ca="1">IFERROR(IF(テーブル1[[#This Row],[描画状況]]="",RAND()+(テーブル1[[#This Row],[列2]]*100),""),RAND())</f>
        <v/>
      </c>
      <c r="T138" s="1" t="s">
        <v>459</v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445</v>
      </c>
      <c r="D139" s="23" t="s">
        <v>864</v>
      </c>
      <c r="E139" s="23" t="s">
        <v>1033</v>
      </c>
      <c r="F139" s="2" t="s">
        <v>389</v>
      </c>
      <c r="G139" s="23" t="s">
        <v>390</v>
      </c>
      <c r="O139" s="1" t="s">
        <v>594</v>
      </c>
      <c r="P139" s="1" t="s">
        <v>549</v>
      </c>
      <c r="Q139" s="24" t="str">
        <f>テーブル1[[#This Row],[リンク]]&amp;テーブル1[[#This Row],[描画状況]]</f>
        <v>https://ametro.jimdofree.com済</v>
      </c>
      <c r="R139" s="17">
        <f>1-(COUNTIF(Q:Q,_xlfn.TEXTJOIN(",",TRUE,テーブル1[[#This Row],[リンク]],テーブル1[[#This Row],[描画状況]]))/COUNTIF(F:F,テーブル1[[#This Row],[リンク]]))</f>
        <v>1</v>
      </c>
      <c r="S139" s="16" t="str">
        <f ca="1">IFERROR(IF(テーブル1[[#This Row],[描画状況]]="",RAND()+(テーブル1[[#This Row],[列2]]*100),""),RAND())</f>
        <v/>
      </c>
      <c r="T139" s="1" t="s">
        <v>459</v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283</v>
      </c>
      <c r="D140" s="23" t="s">
        <v>865</v>
      </c>
      <c r="E140" s="23" t="s">
        <v>1034</v>
      </c>
      <c r="F140" s="2" t="s">
        <v>43</v>
      </c>
      <c r="G140" s="23" t="s">
        <v>44</v>
      </c>
      <c r="O140" s="1" t="s">
        <v>595</v>
      </c>
      <c r="P140" s="1" t="s">
        <v>549</v>
      </c>
      <c r="Q140" s="24" t="str">
        <f>テーブル1[[#This Row],[リンク]]&amp;テーブル1[[#This Row],[描画状況]]</f>
        <v>https://bellsworks.wixsite.com/bellsworks済</v>
      </c>
      <c r="R140" s="17">
        <f>1-(COUNTIF(Q:Q,_xlfn.TEXTJOIN(",",TRUE,テーブル1[[#This Row],[リンク]],テーブル1[[#This Row],[描画状況]]))/COUNTIF(F:F,テーブル1[[#This Row],[リンク]]))</f>
        <v>1</v>
      </c>
      <c r="S140" s="16" t="str">
        <f ca="1">IFERROR(IF(テーブル1[[#This Row],[描画状況]]="",RAND()+(テーブル1[[#This Row],[列2]]*100),""),RAND())</f>
        <v/>
      </c>
      <c r="T140" s="1" t="s">
        <v>459</v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335</v>
      </c>
      <c r="D141" s="23" t="s">
        <v>866</v>
      </c>
      <c r="E141" s="23" t="s">
        <v>1035</v>
      </c>
      <c r="F141" s="2" t="s">
        <v>336</v>
      </c>
      <c r="G141" s="23" t="s">
        <v>337</v>
      </c>
      <c r="O141" s="1" t="s">
        <v>594</v>
      </c>
      <c r="P141" s="1" t="s">
        <v>549</v>
      </c>
      <c r="Q141" s="24" t="str">
        <f>テーブル1[[#This Row],[リンク]]&amp;テーブル1[[#This Row],[描画状況]]</f>
        <v>https://bowlroll.net/file/336695済</v>
      </c>
      <c r="R141" s="17">
        <f>1-(COUNTIF(Q:Q,_xlfn.TEXTJOIN(",",TRUE,テーブル1[[#This Row],[リンク]],テーブル1[[#This Row],[描画状況]]))/COUNTIF(F:F,テーブル1[[#This Row],[リンク]]))</f>
        <v>1</v>
      </c>
      <c r="S141" s="16" t="str">
        <f ca="1">IFERROR(IF(テーブル1[[#This Row],[描画状況]]="",RAND()+(テーブル1[[#This Row],[列2]]*100),""),RAND())</f>
        <v/>
      </c>
      <c r="T141" s="1" t="s">
        <v>459</v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367</v>
      </c>
      <c r="D142" s="23" t="s">
        <v>867</v>
      </c>
      <c r="E142" s="23" t="s">
        <v>1036</v>
      </c>
      <c r="F142" s="2" t="s">
        <v>365</v>
      </c>
      <c r="G142" s="23" t="s">
        <v>372</v>
      </c>
      <c r="P142" s="1" t="s">
        <v>549</v>
      </c>
      <c r="Q142" s="24" t="str">
        <f>テーブル1[[#This Row],[リンク]]&amp;テーブル1[[#This Row],[描画状況]]</f>
        <v>https://sites.google.com/view/qsuke-garden/home済</v>
      </c>
      <c r="R142" s="17">
        <f>1-(COUNTIF(Q:Q,_xlfn.TEXTJOIN(",",TRUE,テーブル1[[#This Row],[リンク]],テーブル1[[#This Row],[描画状況]]))/COUNTIF(F:F,テーブル1[[#This Row],[リンク]]))</f>
        <v>1</v>
      </c>
      <c r="S142" s="16" t="str">
        <f ca="1">IFERROR(IF(テーブル1[[#This Row],[描画状況]]="",RAND()+(テーブル1[[#This Row],[列2]]*100),""),RAND())</f>
        <v/>
      </c>
      <c r="T142" s="1" t="s">
        <v>459</v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339</v>
      </c>
      <c r="D143" s="23" t="s">
        <v>868</v>
      </c>
      <c r="E143" s="23" t="s">
        <v>1037</v>
      </c>
      <c r="F143" s="2" t="s">
        <v>338</v>
      </c>
      <c r="G143" s="23" t="str">
        <f>テーブル1[[#This Row],[名前]]&amp;"(UTAU)"</f>
        <v>悪戯清子(UTAU)</v>
      </c>
      <c r="O143" s="1" t="s">
        <v>594</v>
      </c>
      <c r="P143" s="1" t="s">
        <v>549</v>
      </c>
      <c r="Q143" s="24" t="str">
        <f>テーブル1[[#This Row],[リンク]]&amp;テーブル1[[#This Row],[描画状況]]</f>
        <v>https://bowlroll.net/user/700434済</v>
      </c>
      <c r="R143" s="17">
        <f>1-(COUNTIF(Q:Q,_xlfn.TEXTJOIN(",",TRUE,テーブル1[[#This Row],[リンク]],テーブル1[[#This Row],[描画状況]]))/COUNTIF(F:F,テーブル1[[#This Row],[リンク]]))</f>
        <v>1</v>
      </c>
      <c r="S143" s="16" t="str">
        <f ca="1">IFERROR(IF(テーブル1[[#This Row],[描画状況]]="",RAND()+(テーブル1[[#This Row],[列2]]*100),""),RAND())</f>
        <v/>
      </c>
      <c r="T143" s="1" t="s">
        <v>459</v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447</v>
      </c>
      <c r="D144" s="23" t="s">
        <v>869</v>
      </c>
      <c r="E144" s="23" t="s">
        <v>1038</v>
      </c>
      <c r="F144" s="2" t="s">
        <v>705</v>
      </c>
      <c r="G144" s="23" t="s">
        <v>47</v>
      </c>
      <c r="H144" s="23" t="s">
        <v>660</v>
      </c>
      <c r="I144" s="23" t="s">
        <v>722</v>
      </c>
      <c r="L144" s="23" t="s">
        <v>1208</v>
      </c>
      <c r="M144" s="23" t="s">
        <v>1185</v>
      </c>
      <c r="O144" s="1" t="s">
        <v>594</v>
      </c>
      <c r="P144" s="1" t="s">
        <v>549</v>
      </c>
      <c r="Q144" s="24" t="str">
        <f>テーブル1[[#This Row],[リンク]]&amp;テーブル1[[#This Row],[描画状況]]</f>
        <v>https://kinomihautaimas.wixsite.com/dongurihiroba済</v>
      </c>
      <c r="R144" s="17">
        <f>1-(COUNTIF(Q:Q,_xlfn.TEXTJOIN(",",TRUE,テーブル1[[#This Row],[リンク]],テーブル1[[#This Row],[描画状況]]))/COUNTIF(F:F,テーブル1[[#This Row],[リンク]]))</f>
        <v>1</v>
      </c>
      <c r="S144" s="16" t="str">
        <f ca="1">IFERROR(IF(テーブル1[[#This Row],[描画状況]]="",RAND()+(テーブル1[[#This Row],[列2]]*100),""),RAND())</f>
        <v/>
      </c>
      <c r="T144" s="1" t="s">
        <v>459</v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585</v>
      </c>
      <c r="D145" s="23" t="s">
        <v>870</v>
      </c>
      <c r="E145" s="23" t="s">
        <v>1039</v>
      </c>
      <c r="F145" s="2" t="s">
        <v>43</v>
      </c>
      <c r="G145" s="23" t="s">
        <v>44</v>
      </c>
      <c r="O145" s="1" t="s">
        <v>595</v>
      </c>
      <c r="P145" s="1" t="s">
        <v>549</v>
      </c>
      <c r="Q145" s="24" t="str">
        <f>テーブル1[[#This Row],[リンク]]&amp;テーブル1[[#This Row],[描画状況]]</f>
        <v>https://bellsworks.wixsite.com/bellsworks済</v>
      </c>
      <c r="R145" s="17">
        <f>1-(COUNTIF(Q:Q,_xlfn.TEXTJOIN(",",TRUE,テーブル1[[#This Row],[リンク]],テーブル1[[#This Row],[描画状況]]))/COUNTIF(F:F,テーブル1[[#This Row],[リンク]]))</f>
        <v>1</v>
      </c>
      <c r="S145" s="16" t="str">
        <f ca="1">IFERROR(IF(テーブル1[[#This Row],[描画状況]]="",RAND()+(テーブル1[[#This Row],[列2]]*100),""),RAND())</f>
        <v/>
      </c>
      <c r="T145" s="1" t="s">
        <v>459</v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358</v>
      </c>
      <c r="D146" s="23" t="s">
        <v>871</v>
      </c>
      <c r="E146" s="23" t="s">
        <v>1040</v>
      </c>
      <c r="F146" s="2" t="s">
        <v>356</v>
      </c>
      <c r="G146" s="23" t="s">
        <v>357</v>
      </c>
      <c r="P146" s="1" t="s">
        <v>549</v>
      </c>
      <c r="Q146" s="24" t="str">
        <f>テーブル1[[#This Row],[リンク]]&amp;テーブル1[[#This Row],[描画状況]]</f>
        <v>https://kairi0utau.wixsite.com/arugamamanouta済</v>
      </c>
      <c r="R146" s="17">
        <f>1-(COUNTIF(Q:Q,_xlfn.TEXTJOIN(",",TRUE,テーブル1[[#This Row],[リンク]],テーブル1[[#This Row],[描画状況]]))/COUNTIF(F:F,テーブル1[[#This Row],[リンク]]))</f>
        <v>1</v>
      </c>
      <c r="S146" s="16" t="str">
        <f ca="1">IFERROR(IF(テーブル1[[#This Row],[描画状況]]="",RAND()+(テーブル1[[#This Row],[列2]]*100),""),RAND())</f>
        <v/>
      </c>
      <c r="T146" s="1" t="s">
        <v>459</v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388</v>
      </c>
      <c r="D147" s="23" t="s">
        <v>872</v>
      </c>
      <c r="E147" s="23" t="s">
        <v>1041</v>
      </c>
      <c r="F147" s="2" t="s">
        <v>389</v>
      </c>
      <c r="G147" s="23" t="s">
        <v>390</v>
      </c>
      <c r="O147" s="1" t="s">
        <v>594</v>
      </c>
      <c r="P147" s="1" t="s">
        <v>549</v>
      </c>
      <c r="Q147" s="24" t="str">
        <f>テーブル1[[#This Row],[リンク]]&amp;テーブル1[[#This Row],[描画状況]]</f>
        <v>https://ametro.jimdofree.com済</v>
      </c>
      <c r="R147" s="17">
        <f>1-(COUNTIF(Q:Q,_xlfn.TEXTJOIN(",",TRUE,テーブル1[[#This Row],[リンク]],テーブル1[[#This Row],[描画状況]]))/COUNTIF(F:F,テーブル1[[#This Row],[リンク]]))</f>
        <v>1</v>
      </c>
      <c r="S147" s="16" t="str">
        <f ca="1">IFERROR(IF(テーブル1[[#This Row],[描画状況]]="",RAND()+(テーブル1[[#This Row],[列2]]*100),""),RAND())</f>
        <v/>
      </c>
      <c r="T147" s="1" t="s">
        <v>459</v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349</v>
      </c>
      <c r="D148" s="23" t="s">
        <v>873</v>
      </c>
      <c r="E148" s="23" t="s">
        <v>1042</v>
      </c>
      <c r="F148" s="2" t="s">
        <v>83</v>
      </c>
      <c r="G148" s="23" t="s">
        <v>84</v>
      </c>
      <c r="H148" s="23" t="s">
        <v>660</v>
      </c>
      <c r="I148" s="23" t="s">
        <v>667</v>
      </c>
      <c r="J148" s="23" t="s">
        <v>1188</v>
      </c>
      <c r="N148" s="23" t="s">
        <v>1294</v>
      </c>
      <c r="P148" s="1" t="s">
        <v>549</v>
      </c>
      <c r="Q148" s="24" t="str">
        <f>テーブル1[[#This Row],[リンク]]&amp;テーブル1[[#This Row],[描画状況]]</f>
        <v>https://inudanuki.wixsite.com/gottaniomotyabako済</v>
      </c>
      <c r="R148" s="17">
        <f>1-(COUNTIF(Q:Q,_xlfn.TEXTJOIN(",",TRUE,テーブル1[[#This Row],[リンク]],テーブル1[[#This Row],[描画状況]]))/COUNTIF(F:F,テーブル1[[#This Row],[リンク]]))</f>
        <v>1</v>
      </c>
      <c r="S148" s="16" t="str">
        <f ca="1">IFERROR(IF(テーブル1[[#This Row],[描画状況]]="",RAND()+(テーブル1[[#This Row],[列2]]*100),""),RAND())</f>
        <v/>
      </c>
      <c r="T148" s="1" t="s">
        <v>459</v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430</v>
      </c>
      <c r="D149" s="23" t="s">
        <v>431</v>
      </c>
      <c r="E149" s="23" t="s">
        <v>432</v>
      </c>
      <c r="F149" s="15" t="s">
        <v>429</v>
      </c>
      <c r="G149" s="23" t="str">
        <f>テーブル1[[#This Row],[名前]]&amp;"(UTAU)"</f>
        <v>クリノクロア(UTAU)</v>
      </c>
      <c r="O149" s="1" t="s">
        <v>594</v>
      </c>
      <c r="P149" s="1" t="s">
        <v>549</v>
      </c>
      <c r="Q149" s="24" t="str">
        <f>テーブル1[[#This Row],[リンク]]&amp;テーブル1[[#This Row],[描画状況]]</f>
        <v>https://cmamizki.wixsite.com/edelstein済</v>
      </c>
      <c r="R149" s="17">
        <f>1-(COUNTIF(Q:Q,_xlfn.TEXTJOIN(",",TRUE,テーブル1[[#This Row],[リンク]],テーブル1[[#This Row],[描画状況]]))/COUNTIF(F:F,テーブル1[[#This Row],[リンク]]))</f>
        <v>1</v>
      </c>
      <c r="S149" s="16" t="str">
        <f ca="1">IFERROR(IF(テーブル1[[#This Row],[描画状況]]="",RAND()+(テーブル1[[#This Row],[列2]]*100),""),RAND())</f>
        <v/>
      </c>
      <c r="T149" s="1" t="s">
        <v>459</v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508</v>
      </c>
      <c r="D150" s="23" t="s">
        <v>874</v>
      </c>
      <c r="E150" s="23" t="s">
        <v>1043</v>
      </c>
      <c r="F150" s="15" t="s">
        <v>509</v>
      </c>
      <c r="G150" s="23" t="s">
        <v>510</v>
      </c>
      <c r="O150" s="1" t="s">
        <v>594</v>
      </c>
      <c r="P150" s="1" t="s">
        <v>549</v>
      </c>
      <c r="Q150" s="24" t="str">
        <f>テーブル1[[#This Row],[リンク]]&amp;テーブル1[[#This Row],[描画状況]]</f>
        <v>https://hinoyuzirenraku.wixsite.com/mu-neneo済</v>
      </c>
      <c r="R150" s="17">
        <f>1-(COUNTIF(Q:Q,_xlfn.TEXTJOIN(",",TRUE,テーブル1[[#This Row],[リンク]],テーブル1[[#This Row],[描画状況]]))/COUNTIF(F:F,テーブル1[[#This Row],[リンク]]))</f>
        <v>1</v>
      </c>
      <c r="S150" s="16" t="str">
        <f ca="1">IFERROR(IF(テーブル1[[#This Row],[描画状況]]="",RAND()+(テーブル1[[#This Row],[列2]]*100),""),RAND())</f>
        <v/>
      </c>
      <c r="T150" s="1" t="s">
        <v>459</v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396</v>
      </c>
      <c r="D151" s="23" t="s">
        <v>875</v>
      </c>
      <c r="E151" s="23" t="s">
        <v>1044</v>
      </c>
      <c r="F151" s="2" t="s">
        <v>397</v>
      </c>
      <c r="G151" s="23" t="s">
        <v>398</v>
      </c>
      <c r="P151" s="1" t="s">
        <v>549</v>
      </c>
      <c r="Q151" s="24" t="str">
        <f>テーブル1[[#This Row],[リンク]]&amp;テーブル1[[#This Row],[描画状況]]</f>
        <v>https://zakrotsukumo.wixsite.com/utau-zerozero済</v>
      </c>
      <c r="R151" s="17">
        <f>1-(COUNTIF(Q:Q,_xlfn.TEXTJOIN(",",TRUE,テーブル1[[#This Row],[リンク]],テーブル1[[#This Row],[描画状況]]))/COUNTIF(F:F,テーブル1[[#This Row],[リンク]]))</f>
        <v>1</v>
      </c>
      <c r="S151" s="16" t="str">
        <f ca="1">IFERROR(IF(テーブル1[[#This Row],[描画状況]]="",RAND()+(テーブル1[[#This Row],[列2]]*100),""),RAND())</f>
        <v/>
      </c>
      <c r="T151" s="1" t="s">
        <v>459</v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586</v>
      </c>
      <c r="D152" s="23" t="s">
        <v>876</v>
      </c>
      <c r="E152" s="23" t="s">
        <v>1045</v>
      </c>
      <c r="F152" s="2" t="s">
        <v>43</v>
      </c>
      <c r="G152" s="23" t="s">
        <v>44</v>
      </c>
      <c r="O152" s="1" t="s">
        <v>595</v>
      </c>
      <c r="P152" s="1" t="s">
        <v>549</v>
      </c>
      <c r="Q152" s="24" t="str">
        <f>テーブル1[[#This Row],[リンク]]&amp;テーブル1[[#This Row],[描画状況]]</f>
        <v>https://bellsworks.wixsite.com/bellsworks済</v>
      </c>
      <c r="R152" s="17">
        <f>1-(COUNTIF(Q:Q,_xlfn.TEXTJOIN(",",TRUE,テーブル1[[#This Row],[リンク]],テーブル1[[#This Row],[描画状況]]))/COUNTIF(F:F,テーブル1[[#This Row],[リンク]]))</f>
        <v>1</v>
      </c>
      <c r="S152" s="16" t="str">
        <f ca="1">IFERROR(IF(テーブル1[[#This Row],[描画状況]]="",RAND()+(テーブル1[[#This Row],[列2]]*100),""),RAND())</f>
        <v/>
      </c>
      <c r="T152" s="1" t="s">
        <v>459</v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354</v>
      </c>
      <c r="D153" s="23" t="s">
        <v>355</v>
      </c>
      <c r="E153" s="23" t="s">
        <v>354</v>
      </c>
      <c r="F153" s="2" t="s">
        <v>356</v>
      </c>
      <c r="G153" s="23" t="s">
        <v>357</v>
      </c>
      <c r="P153" s="1" t="s">
        <v>549</v>
      </c>
      <c r="Q153" s="24" t="str">
        <f>テーブル1[[#This Row],[リンク]]&amp;テーブル1[[#This Row],[描画状況]]</f>
        <v>https://kairi0utau.wixsite.com/arugamamanouta済</v>
      </c>
      <c r="R153" s="17">
        <f>1-(COUNTIF(Q:Q,_xlfn.TEXTJOIN(",",TRUE,テーブル1[[#This Row],[リンク]],テーブル1[[#This Row],[描画状況]]))/COUNTIF(F:F,テーブル1[[#This Row],[リンク]]))</f>
        <v>1</v>
      </c>
      <c r="S153" s="16" t="str">
        <f ca="1">IFERROR(IF(テーブル1[[#This Row],[描画状況]]="",RAND()+(テーブル1[[#This Row],[列2]]*100),""),RAND())</f>
        <v/>
      </c>
      <c r="T153" s="1" t="s">
        <v>459</v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436</v>
      </c>
      <c r="D154" s="23" t="s">
        <v>877</v>
      </c>
      <c r="E154" s="23" t="s">
        <v>1046</v>
      </c>
      <c r="F154" s="2" t="s">
        <v>434</v>
      </c>
      <c r="G154" s="23" t="s">
        <v>435</v>
      </c>
      <c r="P154" s="1" t="s">
        <v>549</v>
      </c>
      <c r="Q154" s="24" t="str">
        <f>テーブル1[[#This Row],[リンク]]&amp;テーブル1[[#This Row],[描画状況]]</f>
        <v>https://makurakue.wixsite.com/kemononokemono済</v>
      </c>
      <c r="R154" s="17">
        <f>1-(COUNTIF(Q:Q,_xlfn.TEXTJOIN(",",TRUE,テーブル1[[#This Row],[リンク]],テーブル1[[#This Row],[描画状況]]))/COUNTIF(F:F,テーブル1[[#This Row],[リンク]]))</f>
        <v>1</v>
      </c>
      <c r="S154" s="16" t="str">
        <f ca="1">IFERROR(IF(テーブル1[[#This Row],[描画状況]]="",RAND()+(テーブル1[[#This Row],[列2]]*100),""),RAND())</f>
        <v/>
      </c>
      <c r="T154" s="1" t="s">
        <v>459</v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348</v>
      </c>
      <c r="D155" s="23" t="s">
        <v>878</v>
      </c>
      <c r="E155" s="23" t="s">
        <v>1047</v>
      </c>
      <c r="F155" s="2" t="s">
        <v>346</v>
      </c>
      <c r="G155" s="23" t="s">
        <v>347</v>
      </c>
      <c r="O155" s="1" t="s">
        <v>594</v>
      </c>
      <c r="P155" s="1" t="s">
        <v>549</v>
      </c>
      <c r="Q155" s="24" t="str">
        <f>テーブル1[[#This Row],[リンク]]&amp;テーブル1[[#This Row],[描画状況]]</f>
        <v>https://askdance.wixsite.com/monitor-room/monitor-room済</v>
      </c>
      <c r="R155" s="17">
        <f>1-(COUNTIF(Q:Q,_xlfn.TEXTJOIN(",",TRUE,テーブル1[[#This Row],[リンク]],テーブル1[[#This Row],[描画状況]]))/COUNTIF(F:F,テーブル1[[#This Row],[リンク]]))</f>
        <v>1</v>
      </c>
      <c r="S155" s="16" t="str">
        <f ca="1">IFERROR(IF(テーブル1[[#This Row],[描画状況]]="",RAND()+(テーブル1[[#This Row],[列2]]*100),""),RAND())</f>
        <v/>
      </c>
      <c r="T155" s="1" t="s">
        <v>459</v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321</v>
      </c>
      <c r="D156" s="23" t="s">
        <v>879</v>
      </c>
      <c r="E156" s="23" t="s">
        <v>1048</v>
      </c>
      <c r="F156" s="2" t="s">
        <v>90</v>
      </c>
      <c r="G156" s="23" t="s">
        <v>91</v>
      </c>
      <c r="H156" s="23" t="s">
        <v>660</v>
      </c>
      <c r="I156" s="23" t="s">
        <v>719</v>
      </c>
      <c r="P156" s="1" t="s">
        <v>549</v>
      </c>
      <c r="Q156" s="24" t="str">
        <f>テーブル1[[#This Row],[リンク]]&amp;テーブル1[[#This Row],[描画状況]]</f>
        <v>https://kaitoramma.chu.jp済</v>
      </c>
      <c r="R156" s="17">
        <f>1-(COUNTIF(Q:Q,_xlfn.TEXTJOIN(",",TRUE,テーブル1[[#This Row],[リンク]],テーブル1[[#This Row],[描画状況]]))/COUNTIF(F:F,テーブル1[[#This Row],[リンク]]))</f>
        <v>1</v>
      </c>
      <c r="S156" s="16" t="str">
        <f ca="1">IFERROR(IF(テーブル1[[#This Row],[描画状況]]="",RAND()+(テーブル1[[#This Row],[列2]]*100),""),RAND())</f>
        <v/>
      </c>
      <c r="T156" s="1" t="s">
        <v>459</v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319</v>
      </c>
      <c r="D157" s="23" t="s">
        <v>880</v>
      </c>
      <c r="E157" s="23" t="s">
        <v>1049</v>
      </c>
      <c r="F157" s="2" t="s">
        <v>317</v>
      </c>
      <c r="G157" s="23" t="s">
        <v>320</v>
      </c>
      <c r="O157" s="1" t="s">
        <v>594</v>
      </c>
      <c r="P157" s="1" t="s">
        <v>549</v>
      </c>
      <c r="Q157" s="24" t="str">
        <f>テーブル1[[#This Row],[リンク]]&amp;テーブル1[[#This Row],[描画状況]]</f>
        <v>https://bowlroll.net/user/973681済</v>
      </c>
      <c r="R157" s="17">
        <f>1-(COUNTIF(Q:Q,_xlfn.TEXTJOIN(",",TRUE,テーブル1[[#This Row],[リンク]],テーブル1[[#This Row],[描画状況]]))/COUNTIF(F:F,テーブル1[[#This Row],[リンク]]))</f>
        <v>1</v>
      </c>
      <c r="S157" s="16" t="str">
        <f ca="1">IFERROR(IF(テーブル1[[#This Row],[描画状況]]="",RAND()+(テーブル1[[#This Row],[列2]]*100),""),RAND())</f>
        <v/>
      </c>
      <c r="T157" s="1" t="s">
        <v>459</v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404</v>
      </c>
      <c r="D158" s="23" t="s">
        <v>403</v>
      </c>
      <c r="E158" s="23" t="s">
        <v>404</v>
      </c>
      <c r="F158" s="2" t="s">
        <v>176</v>
      </c>
      <c r="G158" s="23" t="s">
        <v>405</v>
      </c>
      <c r="H158" s="23" t="s">
        <v>673</v>
      </c>
      <c r="I158" s="23" t="s">
        <v>670</v>
      </c>
      <c r="J158" s="23" t="s">
        <v>1195</v>
      </c>
      <c r="L158" s="23" t="s">
        <v>1216</v>
      </c>
      <c r="N158" s="23" t="s">
        <v>1203</v>
      </c>
      <c r="O158" s="1" t="s">
        <v>631</v>
      </c>
      <c r="P158" s="1" t="s">
        <v>549</v>
      </c>
      <c r="Q158" s="24" t="str">
        <f>テーブル1[[#This Row],[リンク]]&amp;テーブル1[[#This Row],[描画状況]]</f>
        <v>https://nyaruru.wixsite.com/s-p-w済</v>
      </c>
      <c r="R158" s="17">
        <f>1-(COUNTIF(Q:Q,_xlfn.TEXTJOIN(",",TRUE,テーブル1[[#This Row],[リンク]],テーブル1[[#This Row],[描画状況]]))/COUNTIF(F:F,テーブル1[[#This Row],[リンク]]))</f>
        <v>1</v>
      </c>
      <c r="S158" s="16" t="str">
        <f ca="1">IFERROR(IF(テーブル1[[#This Row],[描画状況]]="",RAND()+(テーブル1[[#This Row],[列2]]*100),""),RAND())</f>
        <v/>
      </c>
      <c r="T158" s="1" t="s">
        <v>459</v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448</v>
      </c>
      <c r="D159" s="23" t="s">
        <v>881</v>
      </c>
      <c r="E159" s="24" t="s">
        <v>1050</v>
      </c>
      <c r="F159" s="15" t="s">
        <v>386</v>
      </c>
      <c r="G159" s="23" t="s">
        <v>387</v>
      </c>
      <c r="O159" s="1" t="s">
        <v>594</v>
      </c>
      <c r="P159" s="1" t="s">
        <v>549</v>
      </c>
      <c r="Q159" s="24" t="str">
        <f>テーブル1[[#This Row],[リンク]]&amp;テーブル1[[#This Row],[描画状況]]</f>
        <v>https://flowerrocklove.wixsite.com/twilight-crisis済</v>
      </c>
      <c r="R159" s="17">
        <f>1-(COUNTIF(Q:Q,_xlfn.TEXTJOIN(",",TRUE,テーブル1[[#This Row],[リンク]],テーブル1[[#This Row],[描画状況]]))/COUNTIF(F:F,テーブル1[[#This Row],[リンク]]))</f>
        <v>1</v>
      </c>
      <c r="S159" s="16" t="str">
        <f ca="1">IFERROR(IF(テーブル1[[#This Row],[描画状況]]="",RAND()+(テーブル1[[#This Row],[列2]]*100),""),RAND())</f>
        <v/>
      </c>
      <c r="T159" s="1" t="s">
        <v>459</v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400</v>
      </c>
      <c r="D160" s="23" t="s">
        <v>882</v>
      </c>
      <c r="E160" s="23" t="s">
        <v>1051</v>
      </c>
      <c r="F160" s="2" t="s">
        <v>401</v>
      </c>
      <c r="G160" s="23" t="str">
        <f>テーブル1[[#This Row],[名前]]&amp;"(UTAU)"</f>
        <v>マック音サイ(UTAU)</v>
      </c>
      <c r="P160" s="1" t="s">
        <v>549</v>
      </c>
      <c r="Q160" s="24" t="str">
        <f>テーブル1[[#This Row],[リンク]]&amp;テーブル1[[#This Row],[描画状況]]</f>
        <v>https://www.mackhouse-soft.com済</v>
      </c>
      <c r="R160" s="17">
        <f>1-(COUNTIF(Q:Q,_xlfn.TEXTJOIN(",",TRUE,テーブル1[[#This Row],[リンク]],テーブル1[[#This Row],[描画状況]]))/COUNTIF(F:F,テーブル1[[#This Row],[リンク]]))</f>
        <v>1</v>
      </c>
      <c r="S160" s="16" t="str">
        <f ca="1">IFERROR(IF(テーブル1[[#This Row],[描画状況]]="",RAND()+(テーブル1[[#This Row],[列2]]*100),""),RAND())</f>
        <v/>
      </c>
      <c r="T160" s="1" t="s">
        <v>459</v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284</v>
      </c>
      <c r="D161" s="23" t="s">
        <v>883</v>
      </c>
      <c r="E161" s="23" t="s">
        <v>1052</v>
      </c>
      <c r="F161" s="2" t="s">
        <v>43</v>
      </c>
      <c r="G161" s="23" t="s">
        <v>44</v>
      </c>
      <c r="O161" s="1" t="s">
        <v>595</v>
      </c>
      <c r="P161" s="1" t="s">
        <v>549</v>
      </c>
      <c r="Q161" s="24" t="str">
        <f>テーブル1[[#This Row],[リンク]]&amp;テーブル1[[#This Row],[描画状況]]</f>
        <v>https://bellsworks.wixsite.com/bellsworks済</v>
      </c>
      <c r="R161" s="17">
        <f>1-(COUNTIF(Q:Q,_xlfn.TEXTJOIN(",",TRUE,テーブル1[[#This Row],[リンク]],テーブル1[[#This Row],[描画状況]]))/COUNTIF(F:F,テーブル1[[#This Row],[リンク]]))</f>
        <v>1</v>
      </c>
      <c r="S161" s="16" t="str">
        <f ca="1">IFERROR(IF(テーブル1[[#This Row],[描画状況]]="",RAND()+(テーブル1[[#This Row],[列2]]*100),""),RAND())</f>
        <v/>
      </c>
      <c r="T161" s="1" t="s">
        <v>459</v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391</v>
      </c>
      <c r="D162" s="23" t="s">
        <v>884</v>
      </c>
      <c r="E162" s="23" t="s">
        <v>1053</v>
      </c>
      <c r="F162" s="2" t="s">
        <v>392</v>
      </c>
      <c r="G162" s="23" t="str">
        <f>テーブル1[[#This Row],[名前]]&amp;"(UTAU)"</f>
        <v>澳音ぱす(UTAU)</v>
      </c>
      <c r="P162" s="1" t="s">
        <v>549</v>
      </c>
      <c r="Q162" s="24" t="str">
        <f>テーブル1[[#This Row],[リンク]]&amp;テーブル1[[#This Row],[描画状況]]</f>
        <v>https://teapartyandmugshelf.wixsite.com/my-site-1済</v>
      </c>
      <c r="R162" s="17">
        <f>1-(COUNTIF(Q:Q,_xlfn.TEXTJOIN(",",TRUE,テーブル1[[#This Row],[リンク]],テーブル1[[#This Row],[描画状況]]))/COUNTIF(F:F,テーブル1[[#This Row],[リンク]]))</f>
        <v>1</v>
      </c>
      <c r="S162" s="16" t="str">
        <f ca="1">IFERROR(IF(テーブル1[[#This Row],[描画状況]]="",RAND()+(テーブル1[[#This Row],[列2]]*100),""),RAND())</f>
        <v/>
      </c>
      <c r="T162" s="1" t="s">
        <v>459</v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331</v>
      </c>
      <c r="D163" s="23" t="s">
        <v>332</v>
      </c>
      <c r="E163" s="23" t="s">
        <v>333</v>
      </c>
      <c r="F163" s="2" t="s">
        <v>165</v>
      </c>
      <c r="G163" s="23" t="s">
        <v>166</v>
      </c>
      <c r="P163" s="1" t="s">
        <v>549</v>
      </c>
      <c r="Q163" s="24" t="str">
        <f>テーブル1[[#This Row],[リンク]]&amp;テーブル1[[#This Row],[描画状況]]</f>
        <v>https://ne510channel.wixsite.com/website済</v>
      </c>
      <c r="R163" s="17">
        <f>1-(COUNTIF(Q:Q,_xlfn.TEXTJOIN(",",TRUE,テーブル1[[#This Row],[リンク]],テーブル1[[#This Row],[描画状況]]))/COUNTIF(F:F,テーブル1[[#This Row],[リンク]]))</f>
        <v>1</v>
      </c>
      <c r="S163" s="16" t="str">
        <f ca="1">IFERROR(IF(テーブル1[[#This Row],[描画状況]]="",RAND()+(テーブル1[[#This Row],[列2]]*100),""),RAND())</f>
        <v/>
      </c>
      <c r="T163" s="1" t="s">
        <v>459</v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515</v>
      </c>
      <c r="D164" s="23" t="s">
        <v>885</v>
      </c>
      <c r="E164" s="23" t="s">
        <v>1054</v>
      </c>
      <c r="F164" s="15" t="s">
        <v>481</v>
      </c>
      <c r="G164" s="23" t="s">
        <v>482</v>
      </c>
      <c r="P164" s="1" t="s">
        <v>549</v>
      </c>
      <c r="Q164" s="24" t="str">
        <f>テーブル1[[#This Row],[リンク]]&amp;テーブル1[[#This Row],[描画状況]]</f>
        <v>https://inumokoco.wixsite.com/sleep-church済</v>
      </c>
      <c r="R164" s="17">
        <f>1-(COUNTIF(Q:Q,_xlfn.TEXTJOIN(",",TRUE,テーブル1[[#This Row],[リンク]],テーブル1[[#This Row],[描画状況]]))/COUNTIF(F:F,テーブル1[[#This Row],[リンク]]))</f>
        <v>1</v>
      </c>
      <c r="S164" s="16" t="str">
        <f ca="1">IFERROR(IF(テーブル1[[#This Row],[描画状況]]="",RAND()+(テーブル1[[#This Row],[列2]]*100),""),RAND())</f>
        <v/>
      </c>
      <c r="T164" s="1" t="s">
        <v>459</v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511</v>
      </c>
      <c r="D165" s="23" t="s">
        <v>886</v>
      </c>
      <c r="E165" s="23" t="s">
        <v>1055</v>
      </c>
      <c r="F165" s="2" t="s">
        <v>512</v>
      </c>
      <c r="G165" s="23" t="s">
        <v>513</v>
      </c>
      <c r="P165" s="1" t="s">
        <v>549</v>
      </c>
      <c r="Q165" s="24" t="str">
        <f>テーブル1[[#This Row],[リンク]]&amp;テーブル1[[#This Row],[描画状況]]</f>
        <v>https://zaregotohitori.wixsite.com/ritsudokishidoku済</v>
      </c>
      <c r="R165" s="17">
        <f>1-(COUNTIF(Q:Q,_xlfn.TEXTJOIN(",",TRUE,テーブル1[[#This Row],[リンク]],テーブル1[[#This Row],[描画状況]]))/COUNTIF(F:F,テーブル1[[#This Row],[リンク]]))</f>
        <v>1</v>
      </c>
      <c r="S165" s="16" t="str">
        <f ca="1">IFERROR(IF(テーブル1[[#This Row],[描画状況]]="",RAND()+(テーブル1[[#This Row],[列2]]*100),""),RAND())</f>
        <v/>
      </c>
      <c r="T165" s="1" t="s">
        <v>459</v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452</v>
      </c>
      <c r="D166" s="23" t="s">
        <v>454</v>
      </c>
      <c r="E166" s="23" t="s">
        <v>453</v>
      </c>
      <c r="F166" s="15" t="s">
        <v>455</v>
      </c>
      <c r="G166" s="23" t="str">
        <f>テーブル1[[#This Row],[名前]]&amp;"(UTAU)"</f>
        <v>吟児(UTAU)</v>
      </c>
      <c r="P166" s="1" t="s">
        <v>549</v>
      </c>
      <c r="Q166" s="24" t="str">
        <f>テーブル1[[#This Row],[リンク]]&amp;テーブル1[[#This Row],[描画状況]]</f>
        <v>https://yautau.wixsite.com/0909済</v>
      </c>
      <c r="R166" s="17">
        <f>1-(COUNTIF(Q:Q,_xlfn.TEXTJOIN(",",TRUE,テーブル1[[#This Row],[リンク]],テーブル1[[#This Row],[描画状況]]))/COUNTIF(F:F,テーブル1[[#This Row],[リンク]]))</f>
        <v>1</v>
      </c>
      <c r="S166" s="16" t="str">
        <f ca="1">IFERROR(IF(テーブル1[[#This Row],[描画状況]]="",RAND()+(テーブル1[[#This Row],[列2]]*100),""),RAND())</f>
        <v/>
      </c>
      <c r="T166" s="1" t="s">
        <v>459</v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587</v>
      </c>
      <c r="D167" s="23" t="s">
        <v>351</v>
      </c>
      <c r="E167" s="23" t="s">
        <v>352</v>
      </c>
      <c r="F167" s="2" t="s">
        <v>410</v>
      </c>
      <c r="G167" s="23" t="s">
        <v>353</v>
      </c>
      <c r="P167" s="1" t="s">
        <v>549</v>
      </c>
      <c r="Q167" s="24" t="str">
        <f>テーブル1[[#This Row],[リンク]]&amp;テーブル1[[#This Row],[描画状況]]</f>
        <v>https://piku.page/@toitoitoi23済</v>
      </c>
      <c r="R167" s="17">
        <f>1-(COUNTIF(Q:Q,_xlfn.TEXTJOIN(",",TRUE,テーブル1[[#This Row],[リンク]],テーブル1[[#This Row],[描画状況]]))/COUNTIF(F:F,テーブル1[[#This Row],[リンク]]))</f>
        <v>1</v>
      </c>
      <c r="S167" s="16" t="str">
        <f ca="1">IFERROR(IF(テーブル1[[#This Row],[描画状況]]="",RAND()+(テーブル1[[#This Row],[列2]]*100),""),RAND())</f>
        <v/>
      </c>
      <c r="T167" s="1" t="s">
        <v>459</v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433</v>
      </c>
      <c r="D168" s="23" t="s">
        <v>887</v>
      </c>
      <c r="E168" s="23" t="s">
        <v>1056</v>
      </c>
      <c r="F168" s="2" t="s">
        <v>434</v>
      </c>
      <c r="G168" s="23" t="s">
        <v>435</v>
      </c>
      <c r="P168" s="1" t="s">
        <v>549</v>
      </c>
      <c r="Q168" s="24" t="str">
        <f>テーブル1[[#This Row],[リンク]]&amp;テーブル1[[#This Row],[描画状況]]</f>
        <v>https://makurakue.wixsite.com/kemononokemono済</v>
      </c>
      <c r="R168" s="17">
        <f>1-(COUNTIF(Q:Q,_xlfn.TEXTJOIN(",",TRUE,テーブル1[[#This Row],[リンク]],テーブル1[[#This Row],[描画状況]]))/COUNTIF(F:F,テーブル1[[#This Row],[リンク]]))</f>
        <v>1</v>
      </c>
      <c r="S168" s="16" t="str">
        <f ca="1">IFERROR(IF(テーブル1[[#This Row],[描画状況]]="",RAND()+(テーブル1[[#This Row],[列2]]*100),""),RAND())</f>
        <v/>
      </c>
      <c r="T168" s="1" t="s">
        <v>459</v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306</v>
      </c>
      <c r="E169" s="23" t="s">
        <v>307</v>
      </c>
      <c r="F169" s="2" t="s">
        <v>308</v>
      </c>
      <c r="G169" s="23" t="s">
        <v>309</v>
      </c>
      <c r="P169" s="1" t="s">
        <v>549</v>
      </c>
      <c r="Q169" s="24" t="str">
        <f>テーブル1[[#This Row],[リンク]]&amp;テーブル1[[#This Row],[描画状況]]</f>
        <v>https://nanarabo626.studio.site済</v>
      </c>
      <c r="R169" s="17">
        <f>1-(COUNTIF(Q:Q,_xlfn.TEXTJOIN(",",TRUE,テーブル1[[#This Row],[リンク]],テーブル1[[#This Row],[描画状況]]))/COUNTIF(F:F,テーブル1[[#This Row],[リンク]]))</f>
        <v>1</v>
      </c>
      <c r="S169" s="16" t="str">
        <f ca="1">IFERROR(IF(テーブル1[[#This Row],[描画状況]]="",RAND()+(テーブル1[[#This Row],[列2]]*100),""),RAND())</f>
        <v/>
      </c>
      <c r="T169" s="1" t="s">
        <v>459</v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442</v>
      </c>
      <c r="D170" s="23" t="s">
        <v>888</v>
      </c>
      <c r="E170" s="23" t="s">
        <v>1057</v>
      </c>
      <c r="F170" s="2" t="s">
        <v>440</v>
      </c>
      <c r="G170" s="23" t="s">
        <v>441</v>
      </c>
      <c r="P170" s="1" t="s">
        <v>549</v>
      </c>
      <c r="Q170" s="24" t="str">
        <f>テーブル1[[#This Row],[リンク]]&amp;テーブル1[[#This Row],[描画状況]]</f>
        <v>https://kaedekatusaki.wixsite.com/yanagiroutyou済</v>
      </c>
      <c r="R170" s="17">
        <f>1-(COUNTIF(Q:Q,_xlfn.TEXTJOIN(",",TRUE,テーブル1[[#This Row],[リンク]],テーブル1[[#This Row],[描画状況]]))/COUNTIF(F:F,テーブル1[[#This Row],[リンク]]))</f>
        <v>1</v>
      </c>
      <c r="S170" s="16" t="str">
        <f ca="1">IFERROR(IF(テーブル1[[#This Row],[描画状況]]="",RAND()+(テーブル1[[#This Row],[列2]]*100),""),RAND())</f>
        <v/>
      </c>
      <c r="T170" s="1" t="s">
        <v>459</v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343</v>
      </c>
      <c r="D171" s="23" t="s">
        <v>344</v>
      </c>
      <c r="E171" s="23" t="s">
        <v>345</v>
      </c>
      <c r="F171" s="2" t="s">
        <v>61</v>
      </c>
      <c r="G171" s="23" t="s">
        <v>62</v>
      </c>
      <c r="H171" s="23" t="s">
        <v>661</v>
      </c>
      <c r="I171" s="23" t="s">
        <v>669</v>
      </c>
      <c r="M171" s="23" t="s">
        <v>708</v>
      </c>
      <c r="N171" s="23" t="s">
        <v>1294</v>
      </c>
      <c r="O171" s="1" t="s">
        <v>595</v>
      </c>
      <c r="P171" s="1" t="s">
        <v>549</v>
      </c>
      <c r="Q171" s="24" t="str">
        <f>テーブル1[[#This Row],[リンク]]&amp;テーブル1[[#This Row],[描画状況]]</f>
        <v>https://cloudcatch1224.wixsite.com/godsfoot済</v>
      </c>
      <c r="R171" s="17">
        <f>1-(COUNTIF(Q:Q,_xlfn.TEXTJOIN(",",TRUE,テーブル1[[#This Row],[リンク]],テーブル1[[#This Row],[描画状況]]))/COUNTIF(F:F,テーブル1[[#This Row],[リンク]]))</f>
        <v>1</v>
      </c>
      <c r="S171" s="16" t="str">
        <f ca="1">IFERROR(IF(テーブル1[[#This Row],[描画状況]]="",RAND()+(テーブル1[[#This Row],[列2]]*100),""),RAND())</f>
        <v/>
      </c>
      <c r="T171" s="1" t="s">
        <v>459</v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364</v>
      </c>
      <c r="D172" s="23" t="s">
        <v>889</v>
      </c>
      <c r="E172" s="23" t="s">
        <v>1058</v>
      </c>
      <c r="F172" s="2" t="s">
        <v>365</v>
      </c>
      <c r="G172" s="23" t="s">
        <v>366</v>
      </c>
      <c r="P172" s="1" t="s">
        <v>549</v>
      </c>
      <c r="Q172" s="24" t="str">
        <f>テーブル1[[#This Row],[リンク]]&amp;テーブル1[[#This Row],[描画状況]]</f>
        <v>https://sites.google.com/view/qsuke-garden/home済</v>
      </c>
      <c r="R172" s="17">
        <f>1-(COUNTIF(Q:Q,_xlfn.TEXTJOIN(",",TRUE,テーブル1[[#This Row],[リンク]],テーブル1[[#This Row],[描画状況]]))/COUNTIF(F:F,テーブル1[[#This Row],[リンク]]))</f>
        <v>1</v>
      </c>
      <c r="S172" s="16" t="str">
        <f ca="1">IFERROR(IF(テーブル1[[#This Row],[描画状況]]="",RAND()+(テーブル1[[#This Row],[列2]]*100),""),RAND())</f>
        <v/>
      </c>
      <c r="T172" s="1" t="s">
        <v>459</v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310</v>
      </c>
      <c r="E173" s="23" t="s">
        <v>311</v>
      </c>
      <c r="F173" s="2" t="s">
        <v>308</v>
      </c>
      <c r="G173" s="23" t="s">
        <v>312</v>
      </c>
      <c r="P173" s="1" t="s">
        <v>549</v>
      </c>
      <c r="Q173" s="24" t="str">
        <f>テーブル1[[#This Row],[リンク]]&amp;テーブル1[[#This Row],[描画状況]]</f>
        <v>https://nanarabo626.studio.site済</v>
      </c>
      <c r="R173" s="17">
        <f>1-(COUNTIF(Q:Q,_xlfn.TEXTJOIN(",",TRUE,テーブル1[[#This Row],[リンク]],テーブル1[[#This Row],[描画状況]]))/COUNTIF(F:F,テーブル1[[#This Row],[リンク]]))</f>
        <v>1</v>
      </c>
      <c r="S173" s="16" t="str">
        <f ca="1">IFERROR(IF(テーブル1[[#This Row],[描画状況]]="",RAND()+(テーブル1[[#This Row],[列2]]*100),""),RAND())</f>
        <v/>
      </c>
      <c r="T173" s="1" t="s">
        <v>459</v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493</v>
      </c>
      <c r="D174" s="23" t="s">
        <v>494</v>
      </c>
      <c r="E174" s="23" t="s">
        <v>495</v>
      </c>
      <c r="F174" s="15" t="s">
        <v>514</v>
      </c>
      <c r="G174" s="23" t="s">
        <v>496</v>
      </c>
      <c r="P174" s="1" t="s">
        <v>549</v>
      </c>
      <c r="Q174" s="24" t="str">
        <f>テーブル1[[#This Row],[リンク]]&amp;テーブル1[[#This Row],[描画状況]]</f>
        <v>https://makaron3264.wixsite.com/utauotoohana済</v>
      </c>
      <c r="R174" s="17">
        <f>1-(COUNTIF(Q:Q,_xlfn.TEXTJOIN(",",TRUE,テーブル1[[#This Row],[リンク]],テーブル1[[#This Row],[描画状況]]))/COUNTIF(F:F,テーブル1[[#This Row],[リンク]]))</f>
        <v>1</v>
      </c>
      <c r="S174" s="16" t="str">
        <f ca="1">IFERROR(IF(テーブル1[[#This Row],[描画状況]]="",RAND()+(テーブル1[[#This Row],[列2]]*100),""),RAND())</f>
        <v/>
      </c>
      <c r="T174" s="1" t="s">
        <v>459</v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316</v>
      </c>
      <c r="D175" s="23" t="s">
        <v>890</v>
      </c>
      <c r="E175" s="23" t="s">
        <v>1059</v>
      </c>
      <c r="F175" s="2" t="s">
        <v>317</v>
      </c>
      <c r="G175" s="23" t="s">
        <v>318</v>
      </c>
      <c r="O175" s="1" t="s">
        <v>594</v>
      </c>
      <c r="P175" s="1" t="s">
        <v>549</v>
      </c>
      <c r="Q175" s="24" t="str">
        <f>テーブル1[[#This Row],[リンク]]&amp;テーブル1[[#This Row],[描画状況]]</f>
        <v>https://bowlroll.net/user/973681済</v>
      </c>
      <c r="R175" s="17">
        <f>1-(COUNTIF(Q:Q,_xlfn.TEXTJOIN(",",TRUE,テーブル1[[#This Row],[リンク]],テーブル1[[#This Row],[描画状況]]))/COUNTIF(F:F,テーブル1[[#This Row],[リンク]]))</f>
        <v>1</v>
      </c>
      <c r="S175" s="16" t="str">
        <f ca="1">IFERROR(IF(テーブル1[[#This Row],[描画状況]]="",RAND()+(テーブル1[[#This Row],[列2]]*100),""),RAND())</f>
        <v/>
      </c>
      <c r="T175" s="1" t="s">
        <v>459</v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443</v>
      </c>
      <c r="D176" s="23" t="s">
        <v>891</v>
      </c>
      <c r="E176" s="23" t="s">
        <v>1060</v>
      </c>
      <c r="F176" s="15" t="s">
        <v>502</v>
      </c>
      <c r="G176" s="23" t="s">
        <v>444</v>
      </c>
      <c r="P176" s="1" t="s">
        <v>549</v>
      </c>
      <c r="Q176" s="24" t="str">
        <f>テーブル1[[#This Row],[リンク]]&amp;テーブル1[[#This Row],[描画状況]]</f>
        <v>https://zsxcvhjnhh.wixsite.com/yukirakira済</v>
      </c>
      <c r="R176" s="17">
        <f>1-(COUNTIF(Q:Q,_xlfn.TEXTJOIN(",",TRUE,テーブル1[[#This Row],[リンク]],テーブル1[[#This Row],[描画状況]]))/COUNTIF(F:F,テーブル1[[#This Row],[リンク]]))</f>
        <v>1</v>
      </c>
      <c r="S176" s="16" t="str">
        <f ca="1">IFERROR(IF(テーブル1[[#This Row],[描画状況]]="",RAND()+(テーブル1[[#This Row],[列2]]*100),""),RAND())</f>
        <v/>
      </c>
      <c r="T176" s="1" t="s">
        <v>459</v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503</v>
      </c>
      <c r="D177" s="23" t="s">
        <v>504</v>
      </c>
      <c r="E177" s="23" t="s">
        <v>505</v>
      </c>
      <c r="F177" s="15" t="s">
        <v>506</v>
      </c>
      <c r="G177" s="23" t="s">
        <v>507</v>
      </c>
      <c r="P177" s="1" t="s">
        <v>549</v>
      </c>
      <c r="Q177" s="24" t="str">
        <f>テーブル1[[#This Row],[リンク]]&amp;テーブル1[[#This Row],[描画状況]]</f>
        <v>https://tropicalsamejima.wixsite.com/oyutau済</v>
      </c>
      <c r="R177" s="17">
        <f>1-(COUNTIF(Q:Q,_xlfn.TEXTJOIN(",",TRUE,テーブル1[[#This Row],[リンク]],テーブル1[[#This Row],[描画状況]]))/COUNTIF(F:F,テーブル1[[#This Row],[リンク]]))</f>
        <v>1</v>
      </c>
      <c r="S177" s="16" t="str">
        <f ca="1">IFERROR(IF(テーブル1[[#This Row],[描画状況]]="",RAND()+(テーブル1[[#This Row],[列2]]*100),""),RAND())</f>
        <v/>
      </c>
      <c r="T177" s="1" t="s">
        <v>459</v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588</v>
      </c>
      <c r="D178" s="23" t="s">
        <v>892</v>
      </c>
      <c r="E178" s="23" t="s">
        <v>1061</v>
      </c>
      <c r="F178" s="2" t="s">
        <v>43</v>
      </c>
      <c r="G178" s="23" t="s">
        <v>44</v>
      </c>
      <c r="O178" s="1" t="s">
        <v>595</v>
      </c>
      <c r="P178" s="1" t="s">
        <v>549</v>
      </c>
      <c r="Q178" s="24" t="str">
        <f>テーブル1[[#This Row],[リンク]]&amp;テーブル1[[#This Row],[描画状況]]</f>
        <v>https://bellsworks.wixsite.com/bellsworks済</v>
      </c>
      <c r="R178" s="17">
        <f>1-(COUNTIF(Q:Q,_xlfn.TEXTJOIN(",",TRUE,テーブル1[[#This Row],[リンク]],テーブル1[[#This Row],[描画状況]]))/COUNTIF(F:F,テーブル1[[#This Row],[リンク]]))</f>
        <v>1</v>
      </c>
      <c r="S178" s="16" t="str">
        <f ca="1">IFERROR(IF(テーブル1[[#This Row],[描画状況]]="",RAND()+(テーブル1[[#This Row],[列2]]*100),""),RAND())</f>
        <v/>
      </c>
      <c r="T178" s="1" t="s">
        <v>459</v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402</v>
      </c>
      <c r="D179" s="23" t="s">
        <v>893</v>
      </c>
      <c r="E179" s="23" t="s">
        <v>1062</v>
      </c>
      <c r="F179" s="2" t="s">
        <v>401</v>
      </c>
      <c r="G179" s="23" t="str">
        <f>テーブル1[[#This Row],[名前]]&amp;"(UTAU)"</f>
        <v>マック音ヒトキ(UTAU)</v>
      </c>
      <c r="P179" s="1" t="s">
        <v>549</v>
      </c>
      <c r="Q179" s="24" t="str">
        <f>テーブル1[[#This Row],[リンク]]&amp;テーブル1[[#This Row],[描画状況]]</f>
        <v>https://www.mackhouse-soft.com済</v>
      </c>
      <c r="R179" s="17">
        <f>1-(COUNTIF(Q:Q,_xlfn.TEXTJOIN(",",TRUE,テーブル1[[#This Row],[リンク]],テーブル1[[#This Row],[描画状況]]))/COUNTIF(F:F,テーブル1[[#This Row],[リンク]]))</f>
        <v>1</v>
      </c>
      <c r="S179" s="16" t="str">
        <f ca="1">IFERROR(IF(テーブル1[[#This Row],[描画状況]]="",RAND()+(テーブル1[[#This Row],[列2]]*100),""),RAND())</f>
        <v/>
      </c>
      <c r="T179" s="1" t="s">
        <v>459</v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297</v>
      </c>
      <c r="D180" s="23" t="s">
        <v>298</v>
      </c>
      <c r="E180" s="23" t="s">
        <v>299</v>
      </c>
      <c r="F180" s="2" t="s">
        <v>129</v>
      </c>
      <c r="G180" s="23" t="s">
        <v>300</v>
      </c>
      <c r="P180" s="1" t="s">
        <v>549</v>
      </c>
      <c r="Q180" s="24" t="str">
        <f>テーブル1[[#This Row],[リンク]]&amp;テーブル1[[#This Row],[描画状況]]</f>
        <v>https://lit.link/sereinrain済</v>
      </c>
      <c r="R180" s="17">
        <f>1-(COUNTIF(Q:Q,_xlfn.TEXTJOIN(",",TRUE,テーブル1[[#This Row],[リンク]],テーブル1[[#This Row],[描画状況]]))/COUNTIF(F:F,テーブル1[[#This Row],[リンク]]))</f>
        <v>1</v>
      </c>
      <c r="S180" s="16" t="str">
        <f ca="1">IFERROR(IF(テーブル1[[#This Row],[描画状況]]="",RAND()+(テーブル1[[#This Row],[列2]]*100),""),RAND())</f>
        <v/>
      </c>
      <c r="T180" s="1" t="s">
        <v>459</v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|MIDDLE:​&amp;link(配布所はこちら){​https://lit.link/sereinrain}|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438</v>
      </c>
      <c r="D181" s="23" t="s">
        <v>894</v>
      </c>
      <c r="E181" s="23" t="s">
        <v>1063</v>
      </c>
      <c r="F181" s="15" t="s">
        <v>437</v>
      </c>
      <c r="G181" s="23" t="s">
        <v>439</v>
      </c>
      <c r="P181" s="1" t="s">
        <v>549</v>
      </c>
      <c r="Q181" s="24" t="str">
        <f>テーブル1[[#This Row],[リンク]]&amp;テーブル1[[#This Row],[描画状況]]</f>
        <v>https://ma2bana7.wixsite.com/sssr済</v>
      </c>
      <c r="R181" s="17">
        <f>1-(COUNTIF(Q:Q,_xlfn.TEXTJOIN(",",TRUE,テーブル1[[#This Row],[リンク]],テーブル1[[#This Row],[描画状況]]))/COUNTIF(F:F,テーブル1[[#This Row],[リンク]]))</f>
        <v>1</v>
      </c>
      <c r="S181" s="16" t="str">
        <f ca="1">IFERROR(IF(テーブル1[[#This Row],[描画状況]]="",RAND()+(テーブル1[[#This Row],[列2]]*100),""),RAND())</f>
        <v/>
      </c>
      <c r="T181" s="1" t="s">
        <v>459</v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490</v>
      </c>
      <c r="D182" s="23" t="s">
        <v>895</v>
      </c>
      <c r="E182" s="23" t="s">
        <v>1064</v>
      </c>
      <c r="F182" s="15" t="s">
        <v>491</v>
      </c>
      <c r="G182" s="23" t="s">
        <v>492</v>
      </c>
      <c r="P182" s="1" t="s">
        <v>549</v>
      </c>
      <c r="Q182" s="24" t="str">
        <f>テーブル1[[#This Row],[リンク]]&amp;テーブル1[[#This Row],[描画状況]]</f>
        <v>https://www.canon-voice.com済</v>
      </c>
      <c r="R182" s="17">
        <f>1-(COUNTIF(Q:Q,_xlfn.TEXTJOIN(",",TRUE,テーブル1[[#This Row],[リンク]],テーブル1[[#This Row],[描画状況]]))/COUNTIF(F:F,テーブル1[[#This Row],[リンク]]))</f>
        <v>1</v>
      </c>
      <c r="S182" s="16" t="str">
        <f ca="1">IFERROR(IF(テーブル1[[#This Row],[描画状況]]="",RAND()+(テーブル1[[#This Row],[列2]]*100),""),RAND())</f>
        <v/>
      </c>
      <c r="T182" s="1" t="s">
        <v>459</v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541</v>
      </c>
      <c r="D183" s="23" t="s">
        <v>896</v>
      </c>
      <c r="E183" s="23" t="s">
        <v>1065</v>
      </c>
      <c r="F183" s="15" t="s">
        <v>540</v>
      </c>
      <c r="G183" s="23" t="s">
        <v>547</v>
      </c>
      <c r="P183" s="1" t="s">
        <v>549</v>
      </c>
      <c r="Q183" s="24" t="str">
        <f>テーブル1[[#This Row],[リンク]]&amp;テーブル1[[#This Row],[描画状況]]</f>
        <v>https://todosho1192.wixsite.com/my-site-3済</v>
      </c>
      <c r="R183" s="17">
        <f>1-(COUNTIF(Q:Q,_xlfn.TEXTJOIN(",",TRUE,テーブル1[[#This Row],[リンク]],テーブル1[[#This Row],[描画状況]]))/COUNTIF(F:F,テーブル1[[#This Row],[リンク]]))</f>
        <v>1</v>
      </c>
      <c r="S183" s="16" t="str">
        <f ca="1">IFERROR(IF(テーブル1[[#This Row],[描画状況]]="",RAND()+(テーブル1[[#This Row],[列2]]*100),""),RAND())</f>
        <v/>
      </c>
      <c r="T183" s="1" t="s">
        <v>459</v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446</v>
      </c>
      <c r="D184" s="23" t="s">
        <v>897</v>
      </c>
      <c r="E184" s="23" t="s">
        <v>1066</v>
      </c>
      <c r="F184" s="2" t="s">
        <v>389</v>
      </c>
      <c r="G184" s="23" t="s">
        <v>390</v>
      </c>
      <c r="O184" s="1" t="s">
        <v>594</v>
      </c>
      <c r="P184" s="1" t="s">
        <v>549</v>
      </c>
      <c r="Q184" s="24" t="str">
        <f>テーブル1[[#This Row],[リンク]]&amp;テーブル1[[#This Row],[描画状況]]</f>
        <v>https://ametro.jimdofree.com済</v>
      </c>
      <c r="R184" s="17">
        <f>1-(COUNTIF(Q:Q,_xlfn.TEXTJOIN(",",TRUE,テーブル1[[#This Row],[リンク]],テーブル1[[#This Row],[描画状況]]))/COUNTIF(F:F,テーブル1[[#This Row],[リンク]]))</f>
        <v>1</v>
      </c>
      <c r="S184" s="16" t="str">
        <f ca="1">IFERROR(IF(テーブル1[[#This Row],[描画状況]]="",RAND()+(テーブル1[[#This Row],[列2]]*100),""),RAND())</f>
        <v/>
      </c>
      <c r="T184" s="1" t="s">
        <v>459</v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330</v>
      </c>
      <c r="D185" s="23" t="s">
        <v>898</v>
      </c>
      <c r="E185" s="23" t="s">
        <v>1067</v>
      </c>
      <c r="F185" s="2" t="s">
        <v>329</v>
      </c>
      <c r="G185" s="23" t="s">
        <v>49</v>
      </c>
      <c r="H185" s="23" t="s">
        <v>661</v>
      </c>
      <c r="I185" s="23" t="s">
        <v>667</v>
      </c>
      <c r="L185" s="23" t="s">
        <v>1198</v>
      </c>
      <c r="M185" s="23" t="s">
        <v>1178</v>
      </c>
      <c r="N185" s="23" t="s">
        <v>1205</v>
      </c>
      <c r="O185" s="1" t="s">
        <v>594</v>
      </c>
      <c r="P185" s="1" t="s">
        <v>549</v>
      </c>
      <c r="Q185" s="24" t="str">
        <f>テーブル1[[#This Row],[リンク]]&amp;テーブル1[[#This Row],[描画状況]]</f>
        <v>https://bowlroll.net/user/980255済</v>
      </c>
      <c r="R185" s="17">
        <f>1-(COUNTIF(Q:Q,_xlfn.TEXTJOIN(",",TRUE,テーブル1[[#This Row],[リンク]],テーブル1[[#This Row],[描画状況]]))/COUNTIF(F:F,テーブル1[[#This Row],[リンク]]))</f>
        <v>1</v>
      </c>
      <c r="S185" s="16" t="str">
        <f ca="1">IFERROR(IF(テーブル1[[#This Row],[描画状況]]="",RAND()+(テーブル1[[#This Row],[列2]]*100),""),RAND())</f>
        <v/>
      </c>
      <c r="T185" s="1" t="s">
        <v>459</v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285</v>
      </c>
      <c r="D186" s="23" t="s">
        <v>899</v>
      </c>
      <c r="E186" s="23" t="s">
        <v>1068</v>
      </c>
      <c r="F186" s="2" t="s">
        <v>43</v>
      </c>
      <c r="G186" s="23" t="s">
        <v>44</v>
      </c>
      <c r="O186" s="1" t="s">
        <v>595</v>
      </c>
      <c r="P186" s="1" t="s">
        <v>549</v>
      </c>
      <c r="Q186" s="24" t="str">
        <f>テーブル1[[#This Row],[リンク]]&amp;テーブル1[[#This Row],[描画状況]]</f>
        <v>https://bellsworks.wixsite.com/bellsworks済</v>
      </c>
      <c r="R186" s="17">
        <f>1-(COUNTIF(Q:Q,_xlfn.TEXTJOIN(",",TRUE,テーブル1[[#This Row],[リンク]],テーブル1[[#This Row],[描画状況]]))/COUNTIF(F:F,テーブル1[[#This Row],[リンク]]))</f>
        <v>1</v>
      </c>
      <c r="S186" s="16" t="str">
        <f ca="1">IFERROR(IF(テーブル1[[#This Row],[描画状況]]="",RAND()+(テーブル1[[#This Row],[列2]]*100),""),RAND())</f>
        <v/>
      </c>
      <c r="T186" s="1" t="s">
        <v>459</v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303</v>
      </c>
      <c r="D187" s="23" t="s">
        <v>304</v>
      </c>
      <c r="E187" s="23" t="s">
        <v>305</v>
      </c>
      <c r="F187" s="2" t="s">
        <v>198</v>
      </c>
      <c r="G187" s="23" t="s">
        <v>199</v>
      </c>
      <c r="H187" s="23" t="s">
        <v>672</v>
      </c>
      <c r="I187" s="23" t="s">
        <v>723</v>
      </c>
      <c r="K187" s="23" t="s">
        <v>1309</v>
      </c>
      <c r="O187" s="1" t="s">
        <v>594</v>
      </c>
      <c r="P187" s="1" t="s">
        <v>549</v>
      </c>
      <c r="Q187" s="24" t="str">
        <f>テーブル1[[#This Row],[リンク]]&amp;テーブル1[[#This Row],[描画状況]]</f>
        <v>https://seirentoybox.jimdofree.com済</v>
      </c>
      <c r="R187" s="17">
        <f>1-(COUNTIF(Q:Q,_xlfn.TEXTJOIN(",",TRUE,テーブル1[[#This Row],[リンク]],テーブル1[[#This Row],[描画状況]]))/COUNTIF(F:F,テーブル1[[#This Row],[リンク]]))</f>
        <v>1</v>
      </c>
      <c r="S187" s="16" t="str">
        <f ca="1">IFERROR(IF(テーブル1[[#This Row],[描画状況]]="",RAND()+(テーブル1[[#This Row],[列2]]*100),""),RAND())</f>
        <v/>
      </c>
      <c r="T187" s="1" t="s">
        <v>459</v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497</v>
      </c>
      <c r="D188" s="23" t="s">
        <v>498</v>
      </c>
      <c r="E188" s="23" t="s">
        <v>499</v>
      </c>
      <c r="F188" s="2" t="s">
        <v>500</v>
      </c>
      <c r="G188" s="23" t="s">
        <v>501</v>
      </c>
      <c r="P188" s="1" t="s">
        <v>549</v>
      </c>
      <c r="Q188" s="24" t="str">
        <f>テーブル1[[#This Row],[リンク]]&amp;テーブル1[[#This Row],[描画状況]]</f>
        <v>https://maybeanglo0mochi.wixsite.com/mochiyanosouko済</v>
      </c>
      <c r="R188" s="17">
        <f>1-(COUNTIF(Q:Q,_xlfn.TEXTJOIN(",",TRUE,テーブル1[[#This Row],[リンク]],テーブル1[[#This Row],[描画状況]]))/COUNTIF(F:F,テーブル1[[#This Row],[リンク]]))</f>
        <v>1</v>
      </c>
      <c r="S188" s="16" t="str">
        <f ca="1">IFERROR(IF(テーブル1[[#This Row],[描画状況]]="",RAND()+(テーブル1[[#This Row],[列2]]*100),""),RAND())</f>
        <v/>
      </c>
      <c r="T188" s="1" t="s">
        <v>459</v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589</v>
      </c>
      <c r="D189" s="23" t="s">
        <v>900</v>
      </c>
      <c r="E189" s="23" t="s">
        <v>1069</v>
      </c>
      <c r="F189" s="2" t="s">
        <v>43</v>
      </c>
      <c r="G189" s="23" t="s">
        <v>44</v>
      </c>
      <c r="O189" s="1" t="s">
        <v>595</v>
      </c>
      <c r="P189" s="1" t="s">
        <v>549</v>
      </c>
      <c r="Q189" s="24" t="str">
        <f>テーブル1[[#This Row],[リンク]]&amp;テーブル1[[#This Row],[描画状況]]</f>
        <v>https://bellsworks.wixsite.com/bellsworks済</v>
      </c>
      <c r="R189" s="17">
        <f>1-(COUNTIF(Q:Q,_xlfn.TEXTJOIN(",",TRUE,テーブル1[[#This Row],[リンク]],テーブル1[[#This Row],[描画状況]]))/COUNTIF(F:F,テーブル1[[#This Row],[リンク]]))</f>
        <v>1</v>
      </c>
      <c r="S189" s="16" t="str">
        <f ca="1">IFERROR(IF(テーブル1[[#This Row],[描画状況]]="",RAND()+(テーブル1[[#This Row],[列2]]*100),""),RAND())</f>
        <v/>
      </c>
      <c r="T189" s="1" t="s">
        <v>459</v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464</v>
      </c>
      <c r="D190" s="23" t="s">
        <v>466</v>
      </c>
      <c r="E190" s="23" t="s">
        <v>550</v>
      </c>
      <c r="F190" s="15" t="s">
        <v>467</v>
      </c>
      <c r="G190" s="23" t="s">
        <v>465</v>
      </c>
      <c r="O190" s="1" t="s">
        <v>594</v>
      </c>
      <c r="P190" s="1" t="s">
        <v>549</v>
      </c>
      <c r="Q190" s="24" t="str">
        <f>テーブル1[[#This Row],[リンク]]&amp;テーブル1[[#This Row],[描画状況]]</f>
        <v>https://hakutoujelly.booth.pm/items/6496885済</v>
      </c>
      <c r="R190" s="17">
        <f>1-(COUNTIF(Q:Q,_xlfn.TEXTJOIN(",",TRUE,テーブル1[[#This Row],[リンク]],テーブル1[[#This Row],[描画状況]]))/COUNTIF(F:F,テーブル1[[#This Row],[リンク]]))</f>
        <v>1</v>
      </c>
      <c r="S190" s="16" t="str">
        <f ca="1">IFERROR(IF(テーブル1[[#This Row],[描画状況]]="",RAND()+(テーブル1[[#This Row],[列2]]*100),""),RAND())</f>
        <v/>
      </c>
      <c r="T190" s="1" t="s">
        <v>459</v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412</v>
      </c>
      <c r="D191" s="23" t="s">
        <v>901</v>
      </c>
      <c r="E191" s="23" t="s">
        <v>1070</v>
      </c>
      <c r="F191" s="15" t="s">
        <v>413</v>
      </c>
      <c r="G191" s="23" t="s">
        <v>463</v>
      </c>
      <c r="O191" s="1" t="s">
        <v>595</v>
      </c>
      <c r="P191" s="1" t="s">
        <v>549</v>
      </c>
      <c r="Q191" s="24" t="str">
        <f>テーブル1[[#This Row],[リンク]]&amp;テーブル1[[#This Row],[描画状況]]</f>
        <v>https://grskmot8.wixsite.com/kdarock済</v>
      </c>
      <c r="R191" s="17">
        <f>1-(COUNTIF(Q:Q,_xlfn.TEXTJOIN(",",TRUE,テーブル1[[#This Row],[リンク]],テーブル1[[#This Row],[描画状況]]))/COUNTIF(F:F,テーブル1[[#This Row],[リンク]]))</f>
        <v>1</v>
      </c>
      <c r="S191" s="16" t="str">
        <f ca="1">IFERROR(IF(テーブル1[[#This Row],[描画状況]]="",RAND()+(テーブル1[[#This Row],[列2]]*100),""),RAND())</f>
        <v/>
      </c>
      <c r="T191" s="1" t="s">
        <v>459</v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293</v>
      </c>
      <c r="D192" s="23" t="s">
        <v>294</v>
      </c>
      <c r="E192" s="23" t="s">
        <v>295</v>
      </c>
      <c r="F192" s="2" t="s">
        <v>129</v>
      </c>
      <c r="G192" s="23" t="s">
        <v>296</v>
      </c>
      <c r="P192" s="1" t="s">
        <v>549</v>
      </c>
      <c r="Q192" s="24" t="str">
        <f>テーブル1[[#This Row],[リンク]]&amp;テーブル1[[#This Row],[描画状況]]</f>
        <v>https://lit.link/sereinrain済</v>
      </c>
      <c r="R192" s="17">
        <f>1-(COUNTIF(Q:Q,_xlfn.TEXTJOIN(",",TRUE,テーブル1[[#This Row],[リンク]],テーブル1[[#This Row],[描画状況]]))/COUNTIF(F:F,テーブル1[[#This Row],[リンク]]))</f>
        <v>1</v>
      </c>
      <c r="S192" s="16" t="str">
        <f ca="1">IFERROR(IF(テーブル1[[#This Row],[描画状況]]="",RAND()+(テーブル1[[#This Row],[列2]]*100),""),RAND())</f>
        <v/>
      </c>
      <c r="T192" s="1" t="s">
        <v>459</v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|MIDDLE:​&amp;link(配布所はこちら){​https://lit.link/sereinrain}|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590</v>
      </c>
      <c r="D193" s="23" t="s">
        <v>902</v>
      </c>
      <c r="E193" s="23" t="s">
        <v>1071</v>
      </c>
      <c r="F193" s="2" t="s">
        <v>43</v>
      </c>
      <c r="G193" s="23" t="s">
        <v>44</v>
      </c>
      <c r="O193" s="1" t="s">
        <v>595</v>
      </c>
      <c r="P193" s="1" t="s">
        <v>549</v>
      </c>
      <c r="Q193" s="24" t="str">
        <f>テーブル1[[#This Row],[リンク]]&amp;テーブル1[[#This Row],[描画状況]]</f>
        <v>https://bellsworks.wixsite.com/bellsworks済</v>
      </c>
      <c r="R193" s="17">
        <f>1-(COUNTIF(Q:Q,_xlfn.TEXTJOIN(",",TRUE,テーブル1[[#This Row],[リンク]],テーブル1[[#This Row],[描画状況]]))/COUNTIF(F:F,テーブル1[[#This Row],[リンク]]))</f>
        <v>1</v>
      </c>
      <c r="S193" s="16" t="str">
        <f ca="1">IFERROR(IF(テーブル1[[#This Row],[描画状況]]="",RAND()+(テーブル1[[#This Row],[列2]]*100),""),RAND())</f>
        <v/>
      </c>
      <c r="T193" s="1" t="s">
        <v>459</v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323</v>
      </c>
      <c r="D194" s="23" t="s">
        <v>324</v>
      </c>
      <c r="E194" s="23" t="s">
        <v>325</v>
      </c>
      <c r="F194" s="2" t="s">
        <v>153</v>
      </c>
      <c r="G194" s="23" t="s">
        <v>154</v>
      </c>
      <c r="H194" s="23" t="s">
        <v>660</v>
      </c>
      <c r="I194" s="23" t="s">
        <v>704</v>
      </c>
      <c r="J194" s="23" t="s">
        <v>1190</v>
      </c>
      <c r="N194" s="23" t="s">
        <v>1290</v>
      </c>
      <c r="O194" s="1" t="s">
        <v>631</v>
      </c>
      <c r="P194" s="1" t="s">
        <v>549</v>
      </c>
      <c r="Q194" s="24" t="str">
        <f>テーブル1[[#This Row],[リンク]]&amp;テーブル1[[#This Row],[描画状況]]</f>
        <v>https://moqujc.wixsite.com/mqtop済</v>
      </c>
      <c r="R194" s="17">
        <f>1-(COUNTIF(Q:Q,_xlfn.TEXTJOIN(",",TRUE,テーブル1[[#This Row],[リンク]],テーブル1[[#This Row],[描画状況]]))/COUNTIF(F:F,テーブル1[[#This Row],[リンク]]))</f>
        <v>1</v>
      </c>
      <c r="S194" s="16" t="str">
        <f ca="1">IFERROR(IF(テーブル1[[#This Row],[描画状況]]="",RAND()+(テーブル1[[#This Row],[列2]]*100),""),RAND())</f>
        <v/>
      </c>
      <c r="T194" s="1" t="s">
        <v>459</v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591</v>
      </c>
      <c r="D195" s="23" t="s">
        <v>903</v>
      </c>
      <c r="E195" s="23" t="s">
        <v>1072</v>
      </c>
      <c r="F195" s="2" t="s">
        <v>43</v>
      </c>
      <c r="G195" s="23" t="s">
        <v>44</v>
      </c>
      <c r="O195" s="1" t="s">
        <v>595</v>
      </c>
      <c r="P195" s="1" t="s">
        <v>549</v>
      </c>
      <c r="Q195" s="24" t="str">
        <f>テーブル1[[#This Row],[リンク]]&amp;テーブル1[[#This Row],[描画状況]]</f>
        <v>https://bellsworks.wixsite.com/bellsworks済</v>
      </c>
      <c r="R195" s="17">
        <f>1-(COUNTIF(Q:Q,_xlfn.TEXTJOIN(",",TRUE,テーブル1[[#This Row],[リンク]],テーブル1[[#This Row],[描画状況]]))/COUNTIF(F:F,テーブル1[[#This Row],[リンク]]))</f>
        <v>1</v>
      </c>
      <c r="S195" s="16" t="str">
        <f ca="1">IFERROR(IF(テーブル1[[#This Row],[描画状況]]="",RAND()+(テーブル1[[#This Row],[列2]]*100),""),RAND())</f>
        <v/>
      </c>
      <c r="T195" s="1" t="s">
        <v>459</v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369</v>
      </c>
      <c r="D196" s="23" t="s">
        <v>370</v>
      </c>
      <c r="E196" s="23" t="s">
        <v>368</v>
      </c>
      <c r="F196" s="2" t="s">
        <v>371</v>
      </c>
      <c r="G196" s="23" t="s">
        <v>373</v>
      </c>
      <c r="P196" s="1" t="s">
        <v>549</v>
      </c>
      <c r="Q196" s="24" t="str">
        <f>テーブル1[[#This Row],[リンク]]&amp;テーブル1[[#This Row],[描画状況]]</f>
        <v>https://mebisnori.wixsite.com/nori-mebis済</v>
      </c>
      <c r="R196" s="17">
        <f>1-(COUNTIF(Q:Q,_xlfn.TEXTJOIN(",",TRUE,テーブル1[[#This Row],[リンク]],テーブル1[[#This Row],[描画状況]]))/COUNTIF(F:F,テーブル1[[#This Row],[リンク]]))</f>
        <v>1</v>
      </c>
      <c r="S196" s="16" t="str">
        <f ca="1">IFERROR(IF(テーブル1[[#This Row],[描画状況]]="",RAND()+(テーブル1[[#This Row],[列2]]*100),""),RAND())</f>
        <v/>
      </c>
      <c r="T196" s="1" t="s">
        <v>459</v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377</v>
      </c>
      <c r="D197" s="23" t="s">
        <v>904</v>
      </c>
      <c r="E197" s="23" t="s">
        <v>1073</v>
      </c>
      <c r="F197" s="2" t="s">
        <v>378</v>
      </c>
      <c r="G197" s="23" t="s">
        <v>379</v>
      </c>
      <c r="P197" s="1" t="s">
        <v>549</v>
      </c>
      <c r="Q197" s="24" t="str">
        <f>テーブル1[[#This Row],[リンク]]&amp;テーブル1[[#This Row],[描画状況]]</f>
        <v>https://mashimo0330.wixsite.com/awaka-utau済</v>
      </c>
      <c r="R197" s="17">
        <f>1-(COUNTIF(Q:Q,_xlfn.TEXTJOIN(",",TRUE,テーブル1[[#This Row],[リンク]],テーブル1[[#This Row],[描画状況]]))/COUNTIF(F:F,テーブル1[[#This Row],[リンク]]))</f>
        <v>1</v>
      </c>
      <c r="S197" s="16" t="str">
        <f ca="1">IFERROR(IF(テーブル1[[#This Row],[描画状況]]="",RAND()+(テーブル1[[#This Row],[列2]]*100),""),RAND())</f>
        <v/>
      </c>
      <c r="T197" s="1" t="s">
        <v>459</v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|MIDDLE:​&amp;link(配布所はこちら){​https://mashimo0330.wixsite.com/awaka-utau}|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282</v>
      </c>
      <c r="D198" s="23" t="s">
        <v>905</v>
      </c>
      <c r="E198" s="23" t="s">
        <v>1074</v>
      </c>
      <c r="F198" s="2" t="s">
        <v>43</v>
      </c>
      <c r="G198" s="23" t="s">
        <v>44</v>
      </c>
      <c r="O198" s="1" t="s">
        <v>595</v>
      </c>
      <c r="P198" s="1" t="s">
        <v>549</v>
      </c>
      <c r="Q198" s="24" t="str">
        <f>テーブル1[[#This Row],[リンク]]&amp;テーブル1[[#This Row],[描画状況]]</f>
        <v>https://bellsworks.wixsite.com/bellsworks済</v>
      </c>
      <c r="R198" s="17">
        <f>1-(COUNTIF(Q:Q,_xlfn.TEXTJOIN(",",TRUE,テーブル1[[#This Row],[リンク]],テーブル1[[#This Row],[描画状況]]))/COUNTIF(F:F,テーブル1[[#This Row],[リンク]]))</f>
        <v>1</v>
      </c>
      <c r="S198" s="16" t="str">
        <f ca="1">IFERROR(IF(テーブル1[[#This Row],[描画状況]]="",RAND()+(テーブル1[[#This Row],[列2]]*100),""),RAND())</f>
        <v/>
      </c>
      <c r="T198" s="1" t="s">
        <v>459</v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420</v>
      </c>
      <c r="D199" s="23" t="s">
        <v>906</v>
      </c>
      <c r="E199" s="23" t="s">
        <v>1075</v>
      </c>
      <c r="F199" s="15" t="s">
        <v>421</v>
      </c>
      <c r="G199" s="23" t="s">
        <v>422</v>
      </c>
      <c r="O199" s="1" t="s">
        <v>594</v>
      </c>
      <c r="P199" s="1" t="s">
        <v>549</v>
      </c>
      <c r="Q199" s="24" t="str">
        <f>テーブル1[[#This Row],[リンク]]&amp;テーブル1[[#This Row],[描画状況]]</f>
        <v>http://shadeofgreen.web.fc2.com済</v>
      </c>
      <c r="R199" s="17">
        <f>1-(COUNTIF(Q:Q,_xlfn.TEXTJOIN(",",TRUE,テーブル1[[#This Row],[リンク]],テーブル1[[#This Row],[描画状況]]))/COUNTIF(F:F,テーブル1[[#This Row],[リンク]]))</f>
        <v>1</v>
      </c>
      <c r="S199" s="16" t="str">
        <f ca="1">IFERROR(IF(テーブル1[[#This Row],[描画状況]]="",RAND()+(テーブル1[[#This Row],[列2]]*100),""),RAND())</f>
        <v/>
      </c>
      <c r="T199" s="1" t="s">
        <v>459</v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451</v>
      </c>
      <c r="D200" s="23" t="s">
        <v>907</v>
      </c>
      <c r="E200" s="23" t="s">
        <v>1076</v>
      </c>
      <c r="F200" s="15" t="s">
        <v>449</v>
      </c>
      <c r="G200" s="23" t="s">
        <v>450</v>
      </c>
      <c r="P200" s="1" t="s">
        <v>549</v>
      </c>
      <c r="Q200" s="24" t="str">
        <f>テーブル1[[#This Row],[リンク]]&amp;テーブル1[[#This Row],[描画状況]]</f>
        <v>https://yukimiyashimusho.jimdofree.com済</v>
      </c>
      <c r="R200" s="17">
        <f>1-(COUNTIF(Q:Q,_xlfn.TEXTJOIN(",",TRUE,テーブル1[[#This Row],[リンク]],テーブル1[[#This Row],[描画状況]]))/COUNTIF(F:F,テーブル1[[#This Row],[リンク]]))</f>
        <v>1</v>
      </c>
      <c r="S200" s="16" t="str">
        <f ca="1">IFERROR(IF(テーブル1[[#This Row],[描画状況]]="",RAND()+(テーブル1[[#This Row],[列2]]*100),""),RAND())</f>
        <v/>
      </c>
      <c r="T200" s="1" t="s">
        <v>459</v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483</v>
      </c>
      <c r="D201" s="23" t="s">
        <v>485</v>
      </c>
      <c r="E201" s="23" t="s">
        <v>484</v>
      </c>
      <c r="F201" s="15" t="s">
        <v>486</v>
      </c>
      <c r="G201" s="23" t="s">
        <v>487</v>
      </c>
      <c r="P201" s="1" t="s">
        <v>549</v>
      </c>
      <c r="Q201" s="24" t="str">
        <f>テーブル1[[#This Row],[リンク]]&amp;テーブル1[[#This Row],[描画状況]]</f>
        <v>https://jiwajiwakirinn.wixsite.com/sakurada済</v>
      </c>
      <c r="R201" s="17">
        <f>1-(COUNTIF(Q:Q,_xlfn.TEXTJOIN(",",TRUE,テーブル1[[#This Row],[リンク]],テーブル1[[#This Row],[描画状況]]))/COUNTIF(F:F,テーブル1[[#This Row],[リンク]]))</f>
        <v>1</v>
      </c>
      <c r="S201" s="16" t="str">
        <f ca="1">IFERROR(IF(テーブル1[[#This Row],[描画状況]]="",RAND()+(テーブル1[[#This Row],[列2]]*100),""),RAND())</f>
        <v/>
      </c>
      <c r="T201" s="1" t="s">
        <v>459</v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577</v>
      </c>
      <c r="D202" s="23" t="s">
        <v>908</v>
      </c>
      <c r="E202" s="23" t="s">
        <v>1077</v>
      </c>
      <c r="F202" s="2" t="s">
        <v>578</v>
      </c>
      <c r="G202" s="23" t="s">
        <v>579</v>
      </c>
      <c r="P202" s="1" t="s">
        <v>549</v>
      </c>
      <c r="Q202" s="24" t="str">
        <f>テーブル1[[#This Row],[リンク]]&amp;テーブル1[[#This Row],[描画状況]]</f>
        <v>https://m.blog.naver.com/string_legacy/224045016399済</v>
      </c>
      <c r="R202" s="17">
        <f>1-(COUNTIF(Q:Q,_xlfn.TEXTJOIN(",",TRUE,テーブル1[[#This Row],[リンク]],テーブル1[[#This Row],[描画状況]]))/COUNTIF(F:F,テーブル1[[#This Row],[リンク]]))</f>
        <v>1</v>
      </c>
      <c r="S202" s="16" t="str">
        <f ca="1">IFERROR(IF(テーブル1[[#This Row],[描画状況]]="",RAND()+(テーブル1[[#This Row],[列2]]*100),""),RAND())</f>
        <v/>
      </c>
      <c r="T202" s="1" t="s">
        <v>459</v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559</v>
      </c>
      <c r="D203" s="23" t="s">
        <v>909</v>
      </c>
      <c r="E203" s="23" t="s">
        <v>1078</v>
      </c>
      <c r="F203" s="15" t="s">
        <v>560</v>
      </c>
      <c r="G203" s="23" t="s">
        <v>561</v>
      </c>
      <c r="O203" s="1" t="s">
        <v>594</v>
      </c>
      <c r="P203" s="1" t="s">
        <v>549</v>
      </c>
      <c r="Q203" s="24" t="str">
        <f>テーブル1[[#This Row],[リンク]]&amp;テーブル1[[#This Row],[描画状況]]</f>
        <v>https://abiencearray.carrd.co済</v>
      </c>
      <c r="R203" s="17">
        <f>1-(COUNTIF(Q:Q,_xlfn.TEXTJOIN(",",TRUE,テーブル1[[#This Row],[リンク]],テーブル1[[#This Row],[描画状況]]))/COUNTIF(F:F,テーブル1[[#This Row],[リンク]]))</f>
        <v>1</v>
      </c>
      <c r="S203" s="16" t="str">
        <f ca="1">IFERROR(IF(テーブル1[[#This Row],[描画状況]]="",RAND()+(テーブル1[[#This Row],[列2]]*100),""),RAND())</f>
        <v/>
      </c>
      <c r="T203" s="1" t="s">
        <v>459</v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542</v>
      </c>
      <c r="D204" s="23" t="s">
        <v>543</v>
      </c>
      <c r="E204" s="23" t="s">
        <v>544</v>
      </c>
      <c r="F204" s="15" t="s">
        <v>540</v>
      </c>
      <c r="G204" s="23" t="s">
        <v>548</v>
      </c>
      <c r="P204" s="1" t="s">
        <v>549</v>
      </c>
      <c r="Q204" s="24" t="str">
        <f>テーブル1[[#This Row],[リンク]]&amp;テーブル1[[#This Row],[描画状況]]</f>
        <v>https://todosho1192.wixsite.com/my-site-3済</v>
      </c>
      <c r="R204" s="17">
        <f>1-(COUNTIF(Q:Q,_xlfn.TEXTJOIN(",",TRUE,テーブル1[[#This Row],[リンク]],テーブル1[[#This Row],[描画状況]]))/COUNTIF(F:F,テーブル1[[#This Row],[リンク]]))</f>
        <v>1</v>
      </c>
      <c r="S204" s="16" t="str">
        <f ca="1">IFERROR(IF(テーブル1[[#This Row],[描画状況]]="",RAND()+(テーブル1[[#This Row],[列2]]*100),""),RAND())</f>
        <v/>
      </c>
      <c r="T204" s="1" t="s">
        <v>459</v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575</v>
      </c>
      <c r="D205" s="23" t="s">
        <v>910</v>
      </c>
      <c r="E205" s="23" t="s">
        <v>1079</v>
      </c>
      <c r="F205" s="30" t="s">
        <v>772</v>
      </c>
      <c r="G205" s="23" t="s">
        <v>576</v>
      </c>
      <c r="P205" s="1" t="s">
        <v>549</v>
      </c>
      <c r="Q205" s="24" t="str">
        <f>テーブル1[[#This Row],[リンク]]&amp;テーブル1[[#This Row],[描画状況]]</f>
        <v>https://rapo080302.wixsite.com/twosibi済</v>
      </c>
      <c r="R205" s="17">
        <f>1-(COUNTIF(Q:Q,_xlfn.TEXTJOIN(",",TRUE,テーブル1[[#This Row],[リンク]],テーブル1[[#This Row],[描画状況]]))/COUNTIF(F:F,テーブル1[[#This Row],[リンク]]))</f>
        <v>1</v>
      </c>
      <c r="S205" s="16" t="str">
        <f ca="1">IFERROR(IF(テーブル1[[#This Row],[描画状況]]="",RAND()+(テーブル1[[#This Row],[列2]]*100),""),RAND())</f>
        <v/>
      </c>
      <c r="T205" s="1" t="s">
        <v>459</v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|MIDDLE:​&amp;link(配布所はこちら){​https://rapo080302.wixsite.com/twosibi}|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545</v>
      </c>
      <c r="D206" s="23" t="s">
        <v>911</v>
      </c>
      <c r="E206" s="23" t="s">
        <v>1080</v>
      </c>
      <c r="F206" s="15" t="s">
        <v>540</v>
      </c>
      <c r="G206" s="23" t="s">
        <v>546</v>
      </c>
      <c r="N206" s="23" t="s">
        <v>1294</v>
      </c>
      <c r="P206" s="1" t="s">
        <v>549</v>
      </c>
      <c r="Q206" s="24" t="str">
        <f>テーブル1[[#This Row],[リンク]]&amp;テーブル1[[#This Row],[描画状況]]</f>
        <v>https://todosho1192.wixsite.com/my-site-3済</v>
      </c>
      <c r="R206" s="17">
        <f>1-(COUNTIF(Q:Q,_xlfn.TEXTJOIN(",",TRUE,テーブル1[[#This Row],[リンク]],テーブル1[[#This Row],[描画状況]]))/COUNTIF(F:F,テーブル1[[#This Row],[リンク]]))</f>
        <v>1</v>
      </c>
      <c r="S206" s="16" t="str">
        <f ca="1">IFERROR(IF(テーブル1[[#This Row],[描画状況]]="",RAND()+(テーブル1[[#This Row],[列2]]*100),""),RAND())</f>
        <v/>
      </c>
      <c r="T206" s="1" t="s">
        <v>459</v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555</v>
      </c>
      <c r="D207" s="23" t="s">
        <v>558</v>
      </c>
      <c r="E207" s="23" t="s">
        <v>556</v>
      </c>
      <c r="F207" s="15" t="s">
        <v>557</v>
      </c>
      <c r="G207" s="23" t="str">
        <f>テーブル1[[#This Row],[名前]]&amp;"(UTAU)"</f>
        <v>16号(UTAU)</v>
      </c>
      <c r="H207" s="23" t="s">
        <v>672</v>
      </c>
      <c r="I207" s="23" t="s">
        <v>767</v>
      </c>
      <c r="O207" s="1" t="s">
        <v>631</v>
      </c>
      <c r="P207" s="1" t="s">
        <v>549</v>
      </c>
      <c r="Q207" s="24" t="str">
        <f>テーブル1[[#This Row],[リンク]]&amp;テーブル1[[#This Row],[描画状況]]</f>
        <v>https://sites.google.com/view/ronku99済</v>
      </c>
      <c r="R207" s="17">
        <f>1-(COUNTIF(Q:Q,_xlfn.TEXTJOIN(",",TRUE,テーブル1[[#This Row],[リンク]],テーブル1[[#This Row],[描画状況]]))/COUNTIF(F:F,テーブル1[[#This Row],[リンク]]))</f>
        <v>1</v>
      </c>
      <c r="S207" s="16" t="str">
        <f ca="1">IFERROR(IF(テーブル1[[#This Row],[描画状況]]="",RAND()+(テーブル1[[#This Row],[列2]]*100),""),RAND())</f>
        <v/>
      </c>
      <c r="T207" s="1" t="s">
        <v>459</v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551</v>
      </c>
      <c r="D208" s="23" t="s">
        <v>552</v>
      </c>
      <c r="E208" s="23" t="s">
        <v>553</v>
      </c>
      <c r="F208" s="15" t="s">
        <v>554</v>
      </c>
      <c r="G208" s="23" t="str">
        <f>テーブル1[[#This Row],[名前]]&amp;"(UTAU)"</f>
        <v>シズルう(UTAU)</v>
      </c>
      <c r="P208" s="1" t="s">
        <v>549</v>
      </c>
      <c r="Q208" s="24" t="str">
        <f>テーブル1[[#This Row],[リンク]]&amp;テーブル1[[#This Row],[描画状況]]</f>
        <v>https://utau.fandom.com/wiki/Shizuruu済</v>
      </c>
      <c r="R208" s="17">
        <f>1-(COUNTIF(Q:Q,_xlfn.TEXTJOIN(",",TRUE,テーブル1[[#This Row],[リンク]],テーブル1[[#This Row],[描画状況]]))/COUNTIF(F:F,テーブル1[[#This Row],[リンク]]))</f>
        <v>1</v>
      </c>
      <c r="S208" s="16" t="str">
        <f ca="1">IFERROR(IF(テーブル1[[#This Row],[描画状況]]="",RAND()+(テーブル1[[#This Row],[列2]]*100),""),RAND())</f>
        <v/>
      </c>
      <c r="T208" s="1" t="s">
        <v>459</v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286</v>
      </c>
      <c r="D209" s="23" t="s">
        <v>912</v>
      </c>
      <c r="E209" s="23" t="s">
        <v>1081</v>
      </c>
      <c r="F209" s="2" t="s">
        <v>43</v>
      </c>
      <c r="G209" s="23" t="s">
        <v>44</v>
      </c>
      <c r="O209" s="1" t="s">
        <v>595</v>
      </c>
      <c r="P209" s="1" t="s">
        <v>549</v>
      </c>
      <c r="Q209" s="24" t="str">
        <f>テーブル1[[#This Row],[リンク]]&amp;テーブル1[[#This Row],[描画状況]]</f>
        <v>https://bellsworks.wixsite.com/bellsworks済</v>
      </c>
      <c r="R209" s="17">
        <f>1-(COUNTIF(Q:Q,_xlfn.TEXTJOIN(",",TRUE,テーブル1[[#This Row],[リンク]],テーブル1[[#This Row],[描画状況]]))/COUNTIF(F:F,テーブル1[[#This Row],[リンク]]))</f>
        <v>1</v>
      </c>
      <c r="S209" s="16" t="str">
        <f ca="1">IFERROR(IF(テーブル1[[#This Row],[描画状況]]="",RAND()+(テーブル1[[#This Row],[列2]]*100),""),RAND())</f>
        <v/>
      </c>
      <c r="T209" s="1" t="s">
        <v>459</v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562</v>
      </c>
      <c r="D210" s="23" t="s">
        <v>913</v>
      </c>
      <c r="E210" s="23" t="s">
        <v>1082</v>
      </c>
      <c r="F210" s="15" t="s">
        <v>557</v>
      </c>
      <c r="G210" s="23" t="str">
        <f>テーブル1[[#This Row],[名前]]&amp;"(UTAU)"</f>
        <v>ろんく1号(UTAU)</v>
      </c>
      <c r="H210" s="23" t="s">
        <v>673</v>
      </c>
      <c r="I210" s="23" t="s">
        <v>670</v>
      </c>
      <c r="O210" s="1" t="s">
        <v>631</v>
      </c>
      <c r="P210" s="1" t="s">
        <v>549</v>
      </c>
      <c r="Q210" s="24" t="str">
        <f>テーブル1[[#This Row],[リンク]]&amp;テーブル1[[#This Row],[描画状況]]</f>
        <v>https://sites.google.com/view/ronku99済</v>
      </c>
      <c r="R210" s="17">
        <f>1-(COUNTIF(Q:Q,_xlfn.TEXTJOIN(",",TRUE,テーブル1[[#This Row],[リンク]],テーブル1[[#This Row],[描画状況]]))/COUNTIF(F:F,テーブル1[[#This Row],[リンク]]))</f>
        <v>1</v>
      </c>
      <c r="S210" s="16" t="str">
        <f ca="1">IFERROR(IF(テーブル1[[#This Row],[描画状況]]="",RAND()+(テーブル1[[#This Row],[列2]]*100),""),RAND())</f>
        <v/>
      </c>
      <c r="T210" s="1" t="s">
        <v>459</v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598</v>
      </c>
      <c r="D211" s="23" t="s">
        <v>597</v>
      </c>
      <c r="E211" s="23" t="s">
        <v>599</v>
      </c>
      <c r="F211" s="26" t="s">
        <v>607</v>
      </c>
      <c r="G211" s="23" t="s">
        <v>600</v>
      </c>
      <c r="O211" s="1" t="s">
        <v>594</v>
      </c>
      <c r="P211" s="1" t="s">
        <v>549</v>
      </c>
      <c r="Q211" s="24" t="str">
        <f>テーブル1[[#This Row],[リンク]]&amp;テーブル1[[#This Row],[描画状況]]</f>
        <v>https://cgamy40.wixsite.com/tsuraiuroyoi済</v>
      </c>
      <c r="R211" s="17">
        <f>1-(COUNTIF(Q:Q,_xlfn.TEXTJOIN(",",TRUE,テーブル1[[#This Row],[リンク]],テーブル1[[#This Row],[描画状況]]))/COUNTIF(F:F,テーブル1[[#This Row],[リンク]]))</f>
        <v>1</v>
      </c>
      <c r="S211" s="16" t="str">
        <f ca="1">IFERROR(IF(テーブル1[[#This Row],[描画状況]]="",RAND()+(テーブル1[[#This Row],[列2]]*100),""),RAND())</f>
        <v/>
      </c>
      <c r="T211" s="1" t="s">
        <v>459</v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696</v>
      </c>
      <c r="D212" s="23" t="s">
        <v>602</v>
      </c>
      <c r="E212" s="23" t="s">
        <v>1083</v>
      </c>
      <c r="F212" s="15" t="s">
        <v>603</v>
      </c>
      <c r="G212" s="23" t="s">
        <v>606</v>
      </c>
      <c r="H212" s="23" t="s">
        <v>661</v>
      </c>
      <c r="I212" s="23" t="s">
        <v>667</v>
      </c>
      <c r="M212" s="23" t="s">
        <v>1180</v>
      </c>
      <c r="O212" s="1" t="s">
        <v>595</v>
      </c>
      <c r="P212" s="1" t="s">
        <v>549</v>
      </c>
      <c r="Q212" s="24" t="str">
        <f>テーブル1[[#This Row],[リンク]]&amp;テーブル1[[#This Row],[描画状況]]</f>
        <v>https://mackerel178.wixsite.com/yuusensuizokukan済</v>
      </c>
      <c r="R212" s="17">
        <f>1-(COUNTIF(Q:Q,_xlfn.TEXTJOIN(",",TRUE,テーブル1[[#This Row],[リンク]],テーブル1[[#This Row],[描画状況]]))/COUNTIF(F:F,テーブル1[[#This Row],[リンク]]))</f>
        <v>1</v>
      </c>
      <c r="S212" s="16" t="str">
        <f ca="1">IFERROR(IF(テーブル1[[#This Row],[描画状況]]="",RAND()+(テーブル1[[#This Row],[列2]]*100),""),RAND())</f>
        <v/>
      </c>
      <c r="T212" s="1" t="s">
        <v>459</v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604</v>
      </c>
      <c r="E213" s="23" t="s">
        <v>605</v>
      </c>
      <c r="F213" s="15" t="s">
        <v>603</v>
      </c>
      <c r="G213" s="23" t="s">
        <v>606</v>
      </c>
      <c r="H213" s="23" t="s">
        <v>673</v>
      </c>
      <c r="I213" s="23" t="s">
        <v>697</v>
      </c>
      <c r="M213" s="23" t="s">
        <v>1180</v>
      </c>
      <c r="N213" s="23" t="s">
        <v>1291</v>
      </c>
      <c r="O213" s="1" t="s">
        <v>595</v>
      </c>
      <c r="P213" s="1" t="s">
        <v>549</v>
      </c>
      <c r="Q213" s="24" t="str">
        <f>テーブル1[[#This Row],[リンク]]&amp;テーブル1[[#This Row],[描画状況]]</f>
        <v>https://mackerel178.wixsite.com/yuusensuizokukan済</v>
      </c>
      <c r="R213" s="17">
        <f>1-(COUNTIF(Q:Q,_xlfn.TEXTJOIN(",",TRUE,テーブル1[[#This Row],[リンク]],テーブル1[[#This Row],[描画状況]]))/COUNTIF(F:F,テーブル1[[#This Row],[リンク]]))</f>
        <v>1</v>
      </c>
      <c r="S213" s="16" t="str">
        <f ca="1">IFERROR(IF(テーブル1[[#This Row],[描画状況]]="",RAND()+(テーブル1[[#This Row],[列2]]*100),""),RAND())</f>
        <v/>
      </c>
      <c r="T213" s="1" t="s">
        <v>459</v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608</v>
      </c>
      <c r="D214" s="23" t="s">
        <v>914</v>
      </c>
      <c r="E214" s="23" t="s">
        <v>1084</v>
      </c>
      <c r="F214" s="15" t="s">
        <v>610</v>
      </c>
      <c r="G214" s="23" t="s">
        <v>609</v>
      </c>
      <c r="O214" s="1" t="s">
        <v>594</v>
      </c>
      <c r="P214" s="1" t="s">
        <v>549</v>
      </c>
      <c r="Q214" s="24" t="str">
        <f>テーブル1[[#This Row],[リンク]]&amp;テーブル1[[#This Row],[描画状況]]</f>
        <v>https://komagatabone.fc2.page済</v>
      </c>
      <c r="R214" s="17">
        <f>1-(COUNTIF(Q:Q,_xlfn.TEXTJOIN(",",TRUE,テーブル1[[#This Row],[リンク]],テーブル1[[#This Row],[描画状況]]))/COUNTIF(F:F,テーブル1[[#This Row],[リンク]]))</f>
        <v>1</v>
      </c>
      <c r="S214" s="16" t="str">
        <f ca="1">IFERROR(IF(テーブル1[[#This Row],[描画状況]]="",RAND()+(テーブル1[[#This Row],[列2]]*100),""),RAND())</f>
        <v/>
      </c>
      <c r="T214" s="1" t="s">
        <v>459</v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612</v>
      </c>
      <c r="D215" s="23" t="s">
        <v>915</v>
      </c>
      <c r="E215" s="23" t="s">
        <v>1085</v>
      </c>
      <c r="F215" s="15" t="s">
        <v>645</v>
      </c>
      <c r="G215" s="23" t="s">
        <v>613</v>
      </c>
      <c r="H215" s="23" t="s">
        <v>660</v>
      </c>
      <c r="I215" s="23" t="s">
        <v>677</v>
      </c>
      <c r="O215" s="1" t="s">
        <v>594</v>
      </c>
      <c r="P215" s="1" t="s">
        <v>549</v>
      </c>
      <c r="Q215" s="24" t="str">
        <f>テーブル1[[#This Row],[リンク]]&amp;テーブル1[[#This Row],[描画状況]]</f>
        <v>https://bowlroll.net/user/946776済</v>
      </c>
      <c r="R215" s="17">
        <f>1-(COUNTIF(Q:Q,_xlfn.TEXTJOIN(",",TRUE,テーブル1[[#This Row],[リンク]],テーブル1[[#This Row],[描画状況]]))/COUNTIF(F:F,テーブル1[[#This Row],[リンク]]))</f>
        <v>1</v>
      </c>
      <c r="S215" s="16" t="str">
        <f ca="1">IFERROR(IF(テーブル1[[#This Row],[描画状況]]="",RAND()+(テーブル1[[#This Row],[列2]]*100),""),RAND())</f>
        <v/>
      </c>
      <c r="T215" s="1" t="s">
        <v>459</v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328</v>
      </c>
      <c r="D216" s="23" t="s">
        <v>916</v>
      </c>
      <c r="E216" s="23" t="s">
        <v>1086</v>
      </c>
      <c r="F216" s="2" t="s">
        <v>329</v>
      </c>
      <c r="G216" s="23" t="s">
        <v>49</v>
      </c>
      <c r="H216" s="23" t="s">
        <v>661</v>
      </c>
      <c r="I216" s="23" t="s">
        <v>668</v>
      </c>
      <c r="M216" s="23" t="s">
        <v>1178</v>
      </c>
      <c r="N216" s="23" t="s">
        <v>1222</v>
      </c>
      <c r="O216" s="1" t="s">
        <v>594</v>
      </c>
      <c r="P216" s="1" t="s">
        <v>549</v>
      </c>
      <c r="Q216" s="24" t="str">
        <f>テーブル1[[#This Row],[リンク]]&amp;テーブル1[[#This Row],[描画状況]]</f>
        <v>https://bowlroll.net/user/980255済</v>
      </c>
      <c r="R216" s="17">
        <f>1-(COUNTIF(Q:Q,_xlfn.TEXTJOIN(",",TRUE,テーブル1[[#This Row],[リンク]],テーブル1[[#This Row],[描画状況]]))/COUNTIF(F:F,テーブル1[[#This Row],[リンク]]))</f>
        <v>1</v>
      </c>
      <c r="S216" s="16" t="str">
        <f ca="1">IFERROR(IF(テーブル1[[#This Row],[描画状況]]="",RAND()+(テーブル1[[#This Row],[列2]]*100),""),RAND())</f>
        <v/>
      </c>
      <c r="T216" s="1" t="s">
        <v>459</v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614</v>
      </c>
      <c r="D217" s="23" t="s">
        <v>615</v>
      </c>
      <c r="E217" s="23" t="s">
        <v>616</v>
      </c>
      <c r="F217" s="15" t="s">
        <v>617</v>
      </c>
      <c r="G217" s="23" t="s">
        <v>618</v>
      </c>
      <c r="O217" s="1" t="s">
        <v>594</v>
      </c>
      <c r="P217" s="1" t="s">
        <v>549</v>
      </c>
      <c r="Q217" s="24" t="str">
        <f>テーブル1[[#This Row],[リンク]]&amp;テーブル1[[#This Row],[描画状況]]</f>
        <v>https://piku.page/@toitoitoi23済</v>
      </c>
      <c r="R217" s="17">
        <f>1-(COUNTIF(Q:Q,_xlfn.TEXTJOIN(",",TRUE,テーブル1[[#This Row],[リンク]],テーブル1[[#This Row],[描画状況]]))/COUNTIF(F:F,テーブル1[[#This Row],[リンク]]))</f>
        <v>1</v>
      </c>
      <c r="S217" s="16" t="str">
        <f ca="1">IFERROR(IF(テーブル1[[#This Row],[描画状況]]="",RAND()+(テーブル1[[#This Row],[列2]]*100),""),RAND())</f>
        <v/>
      </c>
      <c r="T217" s="1" t="s">
        <v>459</v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619</v>
      </c>
      <c r="D218" s="23" t="s">
        <v>917</v>
      </c>
      <c r="E218" s="23" t="s">
        <v>1087</v>
      </c>
      <c r="F218" s="15" t="s">
        <v>198</v>
      </c>
      <c r="G218" s="23" t="s">
        <v>199</v>
      </c>
      <c r="H218" s="23" t="s">
        <v>661</v>
      </c>
      <c r="I218" s="23" t="s">
        <v>667</v>
      </c>
      <c r="L218" s="23" t="s">
        <v>1198</v>
      </c>
      <c r="M218" s="23" t="s">
        <v>1178</v>
      </c>
      <c r="N218" s="23" t="s">
        <v>1222</v>
      </c>
      <c r="O218" s="1" t="s">
        <v>594</v>
      </c>
      <c r="P218" s="1" t="s">
        <v>549</v>
      </c>
      <c r="Q218" s="24" t="str">
        <f>テーブル1[[#This Row],[リンク]]&amp;テーブル1[[#This Row],[描画状況]]</f>
        <v>https://seirentoybox.jimdofree.com済</v>
      </c>
      <c r="R218" s="17">
        <f>1-(COUNTIF(Q:Q,_xlfn.TEXTJOIN(",",TRUE,テーブル1[[#This Row],[リンク]],テーブル1[[#This Row],[描画状況]]))/COUNTIF(F:F,テーブル1[[#This Row],[リンク]]))</f>
        <v>1</v>
      </c>
      <c r="S218" s="16" t="str">
        <f ca="1">IFERROR(IF(テーブル1[[#This Row],[描画状況]]="",RAND()+(テーブル1[[#This Row],[列2]]*100),""),RAND())</f>
        <v/>
      </c>
      <c r="T218" s="1" t="s">
        <v>459</v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625</v>
      </c>
      <c r="D219" s="23" t="s">
        <v>918</v>
      </c>
      <c r="E219" s="23" t="s">
        <v>626</v>
      </c>
      <c r="F219" s="2" t="s">
        <v>149</v>
      </c>
      <c r="G219" s="23" t="s">
        <v>150</v>
      </c>
      <c r="O219" s="1" t="s">
        <v>594</v>
      </c>
      <c r="P219" s="1" t="s">
        <v>549</v>
      </c>
      <c r="Q219" s="24" t="str">
        <f>テーブル1[[#This Row],[リンク]]&amp;テーブル1[[#This Row],[描画状況]]</f>
        <v>https://mitoristu.wixsite.com/kousaibako済</v>
      </c>
      <c r="R219" s="17">
        <f>1-(COUNTIF(Q:Q,_xlfn.TEXTJOIN(",",TRUE,テーブル1[[#This Row],[リンク]],テーブル1[[#This Row],[描画状況]]))/COUNTIF(F:F,テーブル1[[#This Row],[リンク]]))</f>
        <v>1</v>
      </c>
      <c r="S219" s="16" t="str">
        <f ca="1">IFERROR(IF(テーブル1[[#This Row],[描画状況]]="",RAND()+(テーブル1[[#This Row],[列2]]*100),""),RAND())</f>
        <v/>
      </c>
      <c r="T219" s="1" t="s">
        <v>459</v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627</v>
      </c>
      <c r="D220" s="23" t="s">
        <v>919</v>
      </c>
      <c r="E220" s="23" t="s">
        <v>1088</v>
      </c>
      <c r="F220" s="15" t="s">
        <v>611</v>
      </c>
      <c r="G220" s="23" t="s">
        <v>276</v>
      </c>
      <c r="H220" s="23" t="s">
        <v>660</v>
      </c>
      <c r="I220" s="23" t="s">
        <v>668</v>
      </c>
      <c r="M220" s="23" t="s">
        <v>1177</v>
      </c>
      <c r="O220" s="1" t="s">
        <v>594</v>
      </c>
      <c r="P220" s="1" t="s">
        <v>549</v>
      </c>
      <c r="Q220" s="24" t="str">
        <f>テーブル1[[#This Row],[リンク]]&amp;テーブル1[[#This Row],[描画状況]]</f>
        <v>https://vividseekers.utau.sorairomarch.com済</v>
      </c>
      <c r="R220" s="17">
        <f>1-(COUNTIF(Q:Q,_xlfn.TEXTJOIN(",",TRUE,テーブル1[[#This Row],[リンク]],テーブル1[[#This Row],[描画状況]]))/COUNTIF(F:F,テーブル1[[#This Row],[リンク]]))</f>
        <v>1</v>
      </c>
      <c r="S220" s="16" t="str">
        <f ca="1">IFERROR(IF(テーブル1[[#This Row],[描画状況]]="",RAND()+(テーブル1[[#This Row],[列2]]*100),""),RAND())</f>
        <v/>
      </c>
      <c r="T220" s="1" t="s">
        <v>459</v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628</v>
      </c>
      <c r="D221" s="23" t="s">
        <v>920</v>
      </c>
      <c r="E221" s="23" t="s">
        <v>1089</v>
      </c>
      <c r="F221" s="15" t="s">
        <v>629</v>
      </c>
      <c r="G221" s="23" t="s">
        <v>630</v>
      </c>
      <c r="O221" s="1" t="s">
        <v>631</v>
      </c>
      <c r="P221" s="1" t="s">
        <v>549</v>
      </c>
      <c r="Q221" s="24" t="str">
        <f>テーブル1[[#This Row],[リンク]]&amp;テーブル1[[#This Row],[描画状況]]</f>
        <v>https://magnawitch.wixsite.com/seong-ah済</v>
      </c>
      <c r="R221" s="17">
        <f>1-(COUNTIF(Q:Q,_xlfn.TEXTJOIN(",",TRUE,テーブル1[[#This Row],[リンク]],テーブル1[[#This Row],[描画状況]]))/COUNTIF(F:F,テーブル1[[#This Row],[リンク]]))</f>
        <v>1</v>
      </c>
      <c r="S221" s="16" t="str">
        <f ca="1">IFERROR(IF(テーブル1[[#This Row],[描画状況]]="",RAND()+(テーブル1[[#This Row],[列2]]*100),""),RAND())</f>
        <v/>
      </c>
      <c r="T221" s="1" t="s">
        <v>459</v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632</v>
      </c>
      <c r="D222" s="23" t="s">
        <v>633</v>
      </c>
      <c r="E222" s="23" t="s">
        <v>634</v>
      </c>
      <c r="F222" s="15" t="s">
        <v>629</v>
      </c>
      <c r="G222" s="23" t="s">
        <v>635</v>
      </c>
      <c r="O222" s="1" t="s">
        <v>631</v>
      </c>
      <c r="P222" s="1" t="s">
        <v>549</v>
      </c>
      <c r="Q222" s="24" t="str">
        <f>テーブル1[[#This Row],[リンク]]&amp;テーブル1[[#This Row],[描画状況]]</f>
        <v>https://magnawitch.wixsite.com/seong-ah済</v>
      </c>
      <c r="R222" s="17">
        <f>1-(COUNTIF(Q:Q,_xlfn.TEXTJOIN(",",TRUE,テーブル1[[#This Row],[リンク]],テーブル1[[#This Row],[描画状況]]))/COUNTIF(F:F,テーブル1[[#This Row],[リンク]]))</f>
        <v>1</v>
      </c>
      <c r="S222" s="16" t="str">
        <f ca="1">IFERROR(IF(テーブル1[[#This Row],[描画状況]]="",RAND()+(テーブル1[[#This Row],[列2]]*100),""),RAND())</f>
        <v/>
      </c>
      <c r="T222" s="1" t="s">
        <v>459</v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636</v>
      </c>
      <c r="D223" s="23" t="s">
        <v>921</v>
      </c>
      <c r="E223" s="23" t="s">
        <v>1090</v>
      </c>
      <c r="F223" s="15" t="s">
        <v>629</v>
      </c>
      <c r="G223" s="23" t="str">
        <f>テーブル1[[#This Row],[名前]]&amp;"(UTAU)"</f>
        <v>カイル・タイラー(UTAU)</v>
      </c>
      <c r="O223" s="1" t="s">
        <v>631</v>
      </c>
      <c r="P223" s="1" t="s">
        <v>549</v>
      </c>
      <c r="Q223" s="24" t="str">
        <f>テーブル1[[#This Row],[リンク]]&amp;テーブル1[[#This Row],[描画状況]]</f>
        <v>https://magnawitch.wixsite.com/seong-ah済</v>
      </c>
      <c r="R223" s="17">
        <f>1-(COUNTIF(Q:Q,_xlfn.TEXTJOIN(",",TRUE,テーブル1[[#This Row],[リンク]],テーブル1[[#This Row],[描画状況]]))/COUNTIF(F:F,テーブル1[[#This Row],[リンク]]))</f>
        <v>1</v>
      </c>
      <c r="S223" s="16" t="str">
        <f ca="1">IFERROR(IF(テーブル1[[#This Row],[描画状況]]="",RAND()+(テーブル1[[#This Row],[列2]]*100),""),RAND())</f>
        <v/>
      </c>
      <c r="T223" s="1" t="s">
        <v>459</v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637</v>
      </c>
      <c r="D224" s="23" t="s">
        <v>922</v>
      </c>
      <c r="E224" s="23" t="s">
        <v>1091</v>
      </c>
      <c r="F224" s="15" t="s">
        <v>638</v>
      </c>
      <c r="G224" s="23" t="s">
        <v>1115</v>
      </c>
      <c r="P224" s="1" t="s">
        <v>549</v>
      </c>
      <c r="Q224" s="24" t="str">
        <f>テーブル1[[#This Row],[リンク]]&amp;テーブル1[[#This Row],[描画状況]]</f>
        <v>https://toooru421.booth.pm/items/8151791済</v>
      </c>
      <c r="R224" s="17">
        <f>1-(COUNTIF(Q:Q,_xlfn.TEXTJOIN(",",TRUE,テーブル1[[#This Row],[リンク]],テーブル1[[#This Row],[描画状況]]))/COUNTIF(F:F,テーブル1[[#This Row],[リンク]]))</f>
        <v>1</v>
      </c>
      <c r="S224" s="16" t="str">
        <f ca="1">IFERROR(IF(テーブル1[[#This Row],[描画状況]]="",RAND()+(テーブル1[[#This Row],[列2]]*100),""),RAND())</f>
        <v/>
      </c>
      <c r="T224" s="1" t="s">
        <v>459</v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639</v>
      </c>
      <c r="D225" s="23" t="s">
        <v>923</v>
      </c>
      <c r="E225" s="23" t="s">
        <v>1092</v>
      </c>
      <c r="F225" s="15" t="s">
        <v>640</v>
      </c>
      <c r="G225" s="23" t="s">
        <v>641</v>
      </c>
      <c r="O225" s="1" t="s">
        <v>631</v>
      </c>
      <c r="P225" s="1" t="s">
        <v>549</v>
      </c>
      <c r="Q225" s="24" t="str">
        <f>テーブル1[[#This Row],[リンク]]&amp;テーブル1[[#This Row],[描画状況]]</f>
        <v>https://strife-horizon.weebly.com済</v>
      </c>
      <c r="R225" s="17">
        <f>1-(COUNTIF(Q:Q,_xlfn.TEXTJOIN(",",TRUE,テーブル1[[#This Row],[リンク]],テーブル1[[#This Row],[描画状況]]))/COUNTIF(F:F,テーブル1[[#This Row],[リンク]]))</f>
        <v>1</v>
      </c>
      <c r="S225" s="16" t="str">
        <f ca="1">IFERROR(IF(テーブル1[[#This Row],[描画状況]]="",RAND()+(テーブル1[[#This Row],[列2]]*100),""),RAND())</f>
        <v/>
      </c>
      <c r="T225" s="1" t="s">
        <v>459</v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642</v>
      </c>
      <c r="D226" s="23" t="s">
        <v>643</v>
      </c>
      <c r="E226" s="23" t="s">
        <v>644</v>
      </c>
      <c r="F226" s="15" t="s">
        <v>645</v>
      </c>
      <c r="G226" s="23" t="s">
        <v>646</v>
      </c>
      <c r="H226" s="23" t="s">
        <v>661</v>
      </c>
      <c r="I226" s="23" t="s">
        <v>667</v>
      </c>
      <c r="N226" s="23" t="s">
        <v>1240</v>
      </c>
      <c r="O226" s="1" t="s">
        <v>631</v>
      </c>
      <c r="P226" s="1" t="s">
        <v>549</v>
      </c>
      <c r="Q226" s="24" t="str">
        <f>テーブル1[[#This Row],[リンク]]&amp;テーブル1[[#This Row],[描画状況]]</f>
        <v>https://bowlroll.net/user/946776済</v>
      </c>
      <c r="R226" s="17">
        <f>1-(COUNTIF(Q:Q,_xlfn.TEXTJOIN(",",TRUE,テーブル1[[#This Row],[リンク]],テーブル1[[#This Row],[描画状況]]))/COUNTIF(F:F,テーブル1[[#This Row],[リンク]]))</f>
        <v>1</v>
      </c>
      <c r="S226" s="16" t="str">
        <f ca="1">IFERROR(IF(テーブル1[[#This Row],[描画状況]]="",RAND()+(テーブル1[[#This Row],[列2]]*100),""),RAND())</f>
        <v/>
      </c>
      <c r="T226" s="1" t="s">
        <v>459</v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647</v>
      </c>
      <c r="D227" s="23" t="s">
        <v>648</v>
      </c>
      <c r="E227" s="23" t="s">
        <v>1093</v>
      </c>
      <c r="F227" s="15" t="s">
        <v>645</v>
      </c>
      <c r="G227" s="23" t="s">
        <v>649</v>
      </c>
      <c r="H227" s="23" t="s">
        <v>660</v>
      </c>
      <c r="I227" s="23" t="s">
        <v>667</v>
      </c>
      <c r="L227" s="23" t="s">
        <v>1219</v>
      </c>
      <c r="N227" s="23" t="s">
        <v>1201</v>
      </c>
      <c r="O227" s="1" t="s">
        <v>631</v>
      </c>
      <c r="P227" s="1" t="s">
        <v>549</v>
      </c>
      <c r="Q227" s="24" t="str">
        <f>テーブル1[[#This Row],[リンク]]&amp;テーブル1[[#This Row],[描画状況]]</f>
        <v>https://bowlroll.net/user/946776済</v>
      </c>
      <c r="R227" s="17">
        <f>1-(COUNTIF(Q:Q,_xlfn.TEXTJOIN(",",TRUE,テーブル1[[#This Row],[リンク]],テーブル1[[#This Row],[描画状況]]))/COUNTIF(F:F,テーブル1[[#This Row],[リンク]]))</f>
        <v>1</v>
      </c>
      <c r="S227" s="16" t="str">
        <f ca="1">IFERROR(IF(テーブル1[[#This Row],[描画状況]]="",RAND()+(テーブル1[[#This Row],[列2]]*100),""),RAND())</f>
        <v/>
      </c>
      <c r="T227" s="1" t="s">
        <v>459</v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681</v>
      </c>
      <c r="D228" s="23" t="s">
        <v>924</v>
      </c>
      <c r="E228" s="23" t="s">
        <v>1094</v>
      </c>
      <c r="F228" s="15" t="s">
        <v>682</v>
      </c>
      <c r="G228" s="23" t="s">
        <v>683</v>
      </c>
      <c r="H228" s="23" t="s">
        <v>660</v>
      </c>
      <c r="I228" s="23" t="s">
        <v>668</v>
      </c>
      <c r="K228" s="23" t="s">
        <v>1310</v>
      </c>
      <c r="M228" s="23" t="s">
        <v>1241</v>
      </c>
      <c r="N228" s="23" t="s">
        <v>1299</v>
      </c>
      <c r="O228" s="1" t="s">
        <v>631</v>
      </c>
      <c r="P228" s="1" t="s">
        <v>549</v>
      </c>
      <c r="Q228" s="24" t="str">
        <f>テーブル1[[#This Row],[リンク]]&amp;テーブル1[[#This Row],[描画状況]]</f>
        <v>https://lclcofficial6565.wixsite.com/lclc済</v>
      </c>
      <c r="R228" s="17">
        <f>1-(COUNTIF(Q:Q,_xlfn.TEXTJOIN(",",TRUE,テーブル1[[#This Row],[リンク]],テーブル1[[#This Row],[描画状況]]))/COUNTIF(F:F,テーブル1[[#This Row],[リンク]]))</f>
        <v>1</v>
      </c>
      <c r="S228" s="16" t="str">
        <f ca="1">IFERROR(IF(テーブル1[[#This Row],[描画状況]]="",RAND()+(テーブル1[[#This Row],[列2]]*100),""),RAND())</f>
        <v/>
      </c>
      <c r="T228" s="1" t="s">
        <v>459</v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684</v>
      </c>
      <c r="D229" s="23" t="s">
        <v>925</v>
      </c>
      <c r="E229" s="23" t="s">
        <v>1095</v>
      </c>
      <c r="F229" s="3" t="s">
        <v>685</v>
      </c>
      <c r="G229" s="23" t="s">
        <v>686</v>
      </c>
      <c r="H229" s="23" t="s">
        <v>660</v>
      </c>
      <c r="I229" s="23" t="s">
        <v>667</v>
      </c>
      <c r="M229" s="23" t="s">
        <v>1180</v>
      </c>
      <c r="O229" s="1" t="s">
        <v>687</v>
      </c>
      <c r="P229" s="1" t="s">
        <v>549</v>
      </c>
      <c r="Q229" s="24" t="str">
        <f>テーブル1[[#This Row],[リンク]]&amp;テーブル1[[#This Row],[描画状況]]</f>
        <v>​https://kagerou009.hatenablog.com済</v>
      </c>
      <c r="R229" s="17">
        <f>1-(COUNTIF(Q:Q,_xlfn.TEXTJOIN(",",TRUE,テーブル1[[#This Row],[リンク]],テーブル1[[#This Row],[描画状況]]))/COUNTIF(F:F,テーブル1[[#This Row],[リンク]]))</f>
        <v>1</v>
      </c>
      <c r="S229" s="16" t="str">
        <f ca="1">IFERROR(IF(テーブル1[[#This Row],[描画状況]]="",RAND()+(テーブル1[[#This Row],[列2]]*100),""),RAND())</f>
        <v/>
      </c>
      <c r="T229" s="1" t="s">
        <v>459</v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689</v>
      </c>
      <c r="D230" s="23" t="s">
        <v>690</v>
      </c>
      <c r="E230" s="23" t="s">
        <v>1096</v>
      </c>
      <c r="F230" s="29" t="s">
        <v>692</v>
      </c>
      <c r="G230" s="23" t="s">
        <v>691</v>
      </c>
      <c r="H230" s="23" t="s">
        <v>672</v>
      </c>
      <c r="I230" s="23" t="s">
        <v>667</v>
      </c>
      <c r="L230" s="23" t="s">
        <v>1204</v>
      </c>
      <c r="O230" s="1" t="s">
        <v>631</v>
      </c>
      <c r="P230" s="1" t="s">
        <v>549</v>
      </c>
      <c r="Q230" s="24" t="str">
        <f>テーブル1[[#This Row],[リンク]]&amp;テーブル1[[#This Row],[描画状況]]</f>
        <v>https://pessieuph.wixsite.com/meusycaseuphoria済</v>
      </c>
      <c r="R230" s="17">
        <f>1-(COUNTIF(Q:Q,_xlfn.TEXTJOIN(",",TRUE,テーブル1[[#This Row],[リンク]],テーブル1[[#This Row],[描画状況]]))/COUNTIF(F:F,テーブル1[[#This Row],[リンク]]))</f>
        <v>1</v>
      </c>
      <c r="S230" s="16" t="str">
        <f ca="1">IFERROR(IF(テーブル1[[#This Row],[描画状況]]="",RAND()+(テーブル1[[#This Row],[列2]]*100),""),RAND())</f>
        <v/>
      </c>
      <c r="T230" s="1" t="s">
        <v>459</v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693</v>
      </c>
      <c r="D231" s="23" t="s">
        <v>926</v>
      </c>
      <c r="E231" s="23" t="s">
        <v>1097</v>
      </c>
      <c r="F231" s="29" t="s">
        <v>694</v>
      </c>
      <c r="G231" s="23" t="s">
        <v>695</v>
      </c>
      <c r="H231" s="23" t="s">
        <v>661</v>
      </c>
      <c r="I231" s="23" t="s">
        <v>1125</v>
      </c>
      <c r="J231" s="23" t="s">
        <v>1188</v>
      </c>
      <c r="M231" s="23" t="s">
        <v>1184</v>
      </c>
      <c r="N231" s="23" t="s">
        <v>1234</v>
      </c>
      <c r="O231" s="1" t="s">
        <v>631</v>
      </c>
      <c r="P231" s="1" t="s">
        <v>549</v>
      </c>
      <c r="Q231" s="24" t="str">
        <f>テーブル1[[#This Row],[リンク]]&amp;テーブル1[[#This Row],[描画状況]]</f>
        <v>https://arujinesarasa.wixsite.com/official済</v>
      </c>
      <c r="R231" s="17">
        <f>1-(COUNTIF(Q:Q,_xlfn.TEXTJOIN(",",TRUE,テーブル1[[#This Row],[リンク]],テーブル1[[#This Row],[描画状況]]))/COUNTIF(F:F,テーブル1[[#This Row],[リンク]]))</f>
        <v>1</v>
      </c>
      <c r="S231" s="16" t="str">
        <f ca="1">IFERROR(IF(テーブル1[[#This Row],[描画状況]]="",RAND()+(テーブル1[[#This Row],[列2]]*100),""),RAND())</f>
        <v/>
      </c>
      <c r="T231" s="1" t="s">
        <v>459</v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698</v>
      </c>
      <c r="D232" s="23" t="s">
        <v>927</v>
      </c>
      <c r="E232" s="23" t="s">
        <v>1098</v>
      </c>
      <c r="F232" s="29" t="s">
        <v>699</v>
      </c>
      <c r="G232" s="23" t="s">
        <v>700</v>
      </c>
      <c r="H232" s="23" t="s">
        <v>660</v>
      </c>
      <c r="I232" s="23" t="s">
        <v>667</v>
      </c>
      <c r="J232" s="23" t="s">
        <v>1224</v>
      </c>
      <c r="M232" s="23" t="s">
        <v>1177</v>
      </c>
      <c r="O232" s="1" t="s">
        <v>631</v>
      </c>
      <c r="P232" s="1" t="s">
        <v>549</v>
      </c>
      <c r="Q232" s="24" t="str">
        <f>テーブル1[[#This Row],[リンク]]&amp;テーブル1[[#This Row],[描画状況]]</f>
        <v>https://www.mizuiro.info/amagaelu済</v>
      </c>
      <c r="R232" s="17">
        <f>1-(COUNTIF(Q:Q,_xlfn.TEXTJOIN(",",TRUE,テーブル1[[#This Row],[リンク]],テーブル1[[#This Row],[描画状況]]))/COUNTIF(F:F,テーブル1[[#This Row],[リンク]]))</f>
        <v>1</v>
      </c>
      <c r="S232" s="16" t="str">
        <f ca="1">IFERROR(IF(テーブル1[[#This Row],[描画状況]]="",RAND()+(テーブル1[[#This Row],[列2]]*100),""),RAND())</f>
        <v/>
      </c>
      <c r="T232" s="1" t="s">
        <v>459</v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701</v>
      </c>
      <c r="D233" s="23" t="s">
        <v>928</v>
      </c>
      <c r="E233" s="23" t="s">
        <v>1099</v>
      </c>
      <c r="F233" s="29" t="s">
        <v>702</v>
      </c>
      <c r="G233" s="23" t="str">
        <f>テーブル1[[#This Row],[名前]]&amp;"(UTAU)"</f>
        <v>鳴上キョウ(UTAU)</v>
      </c>
      <c r="H233" s="23" t="s">
        <v>661</v>
      </c>
      <c r="I233" s="23" t="s">
        <v>667</v>
      </c>
      <c r="O233" s="1" t="s">
        <v>631</v>
      </c>
      <c r="P233" s="1" t="s">
        <v>549</v>
      </c>
      <c r="Q233" s="24" t="str">
        <f>テーブル1[[#This Row],[リンク]]&amp;テーブル1[[#This Row],[描画状況]]</f>
        <v>https://sites.google.com/view/arcobaleno-utau/home済</v>
      </c>
      <c r="R233" s="17">
        <f>1-(COUNTIF(Q:Q,_xlfn.TEXTJOIN(",",TRUE,テーブル1[[#This Row],[リンク]],テーブル1[[#This Row],[描画状況]]))/COUNTIF(F:F,テーブル1[[#This Row],[リンク]]))</f>
        <v>1</v>
      </c>
      <c r="S233" s="16" t="str">
        <f ca="1">IFERROR(IF(テーブル1[[#This Row],[描画状況]]="",RAND()+(テーブル1[[#This Row],[列2]]*100),""),RAND())</f>
        <v/>
      </c>
      <c r="T233" s="1" t="s">
        <v>459</v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468</v>
      </c>
      <c r="D234" s="23" t="s">
        <v>929</v>
      </c>
      <c r="E234" s="23" t="s">
        <v>1100</v>
      </c>
      <c r="F234" s="15" t="s">
        <v>122</v>
      </c>
      <c r="G234" s="24" t="s">
        <v>710</v>
      </c>
      <c r="H234" s="24" t="s">
        <v>661</v>
      </c>
      <c r="I234" s="24" t="s">
        <v>670</v>
      </c>
      <c r="J234" s="24"/>
      <c r="K234" s="24"/>
      <c r="L234" s="24" t="s">
        <v>1220</v>
      </c>
      <c r="M234" s="24" t="s">
        <v>1180</v>
      </c>
      <c r="N234" s="24" t="s">
        <v>1300</v>
      </c>
      <c r="O234" s="1" t="s">
        <v>631</v>
      </c>
      <c r="P234" s="1" t="s">
        <v>549</v>
      </c>
      <c r="Q234" s="24" t="str">
        <f>テーブル1[[#This Row],[リンク]]&amp;テーブル1[[#This Row],[描画状況]]</f>
        <v>https://lenskkpb.wixsite.com/len-sakaki-official済</v>
      </c>
      <c r="R234" s="17">
        <f>1-(COUNTIF(Q:Q,_xlfn.TEXTJOIN(",",TRUE,テーブル1[[#This Row],[リンク]],テーブル1[[#This Row],[描画状況]]))/COUNTIF(F:F,テーブル1[[#This Row],[リンク]]))</f>
        <v>1</v>
      </c>
      <c r="S234" s="16" t="str">
        <f ca="1">IFERROR(IF(テーブル1[[#This Row],[描画状況]]="",RAND()+(テーブル1[[#This Row],[列2]]*100),""),RAND())</f>
        <v/>
      </c>
      <c r="T234" s="1" t="s">
        <v>459</v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469</v>
      </c>
      <c r="D235" s="23" t="s">
        <v>930</v>
      </c>
      <c r="E235" s="23" t="s">
        <v>1101</v>
      </c>
      <c r="F235" s="15" t="s">
        <v>122</v>
      </c>
      <c r="G235" s="24" t="s">
        <v>709</v>
      </c>
      <c r="H235" s="24" t="s">
        <v>661</v>
      </c>
      <c r="I235" s="24" t="s">
        <v>725</v>
      </c>
      <c r="J235" s="24"/>
      <c r="K235" s="24"/>
      <c r="L235" s="24" t="s">
        <v>1217</v>
      </c>
      <c r="M235" s="24" t="s">
        <v>1180</v>
      </c>
      <c r="N235" s="24" t="s">
        <v>1301</v>
      </c>
      <c r="O235" s="1" t="s">
        <v>631</v>
      </c>
      <c r="P235" s="1" t="s">
        <v>549</v>
      </c>
      <c r="Q235" s="24" t="str">
        <f>テーブル1[[#This Row],[リンク]]&amp;テーブル1[[#This Row],[描画状況]]</f>
        <v>https://lenskkpb.wixsite.com/len-sakaki-official済</v>
      </c>
      <c r="R235" s="17">
        <f>1-(COUNTIF(Q:Q,_xlfn.TEXTJOIN(",",TRUE,テーブル1[[#This Row],[リンク]],テーブル1[[#This Row],[描画状況]]))/COUNTIF(F:F,テーブル1[[#This Row],[リンク]]))</f>
        <v>1</v>
      </c>
      <c r="S235" s="16" t="str">
        <f ca="1">IFERROR(IF(テーブル1[[#This Row],[描画状況]]="",RAND()+(テーブル1[[#This Row],[列2]]*100),""),RAND())</f>
        <v/>
      </c>
      <c r="T235" s="1" t="s">
        <v>459</v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724</v>
      </c>
      <c r="D236" s="23" t="s">
        <v>931</v>
      </c>
      <c r="E236" s="23" t="s">
        <v>1102</v>
      </c>
      <c r="F236" s="15" t="s">
        <v>122</v>
      </c>
      <c r="G236" s="24" t="s">
        <v>709</v>
      </c>
      <c r="H236" s="24" t="s">
        <v>661</v>
      </c>
      <c r="I236" s="24" t="s">
        <v>675</v>
      </c>
      <c r="J236" s="24"/>
      <c r="K236" s="24"/>
      <c r="L236" s="24"/>
      <c r="M236" s="24" t="s">
        <v>1180</v>
      </c>
      <c r="N236" s="24" t="s">
        <v>1294</v>
      </c>
      <c r="O236" s="1" t="s">
        <v>631</v>
      </c>
      <c r="P236" s="1" t="s">
        <v>549</v>
      </c>
      <c r="Q236" s="24" t="str">
        <f>テーブル1[[#This Row],[リンク]]&amp;テーブル1[[#This Row],[描画状況]]</f>
        <v>https://lenskkpb.wixsite.com/len-sakaki-official済</v>
      </c>
      <c r="R236" s="17">
        <f>1-(COUNTIF(Q:Q,_xlfn.TEXTJOIN(",",TRUE,テーブル1[[#This Row],[リンク]],テーブル1[[#This Row],[描画状況]]))/COUNTIF(F:F,テーブル1[[#This Row],[リンク]]))</f>
        <v>1</v>
      </c>
      <c r="S236" s="16" t="str">
        <f ca="1">IFERROR(IF(テーブル1[[#This Row],[描画状況]]="",RAND()+(テーブル1[[#This Row],[列2]]*100),""),RAND())</f>
        <v/>
      </c>
      <c r="T236" s="1" t="s">
        <v>459</v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471</v>
      </c>
      <c r="D237" s="23" t="s">
        <v>932</v>
      </c>
      <c r="E237" s="23" t="s">
        <v>1103</v>
      </c>
      <c r="F237" s="15" t="s">
        <v>122</v>
      </c>
      <c r="G237" s="24" t="s">
        <v>709</v>
      </c>
      <c r="H237" s="24" t="s">
        <v>673</v>
      </c>
      <c r="I237" s="24" t="s">
        <v>725</v>
      </c>
      <c r="J237" s="24" t="s">
        <v>1194</v>
      </c>
      <c r="K237" s="24"/>
      <c r="L237" s="24"/>
      <c r="M237" s="24" t="s">
        <v>1180</v>
      </c>
      <c r="N237" s="24" t="s">
        <v>1203</v>
      </c>
      <c r="O237" s="1" t="s">
        <v>631</v>
      </c>
      <c r="P237" s="1" t="s">
        <v>549</v>
      </c>
      <c r="Q237" s="24" t="str">
        <f>テーブル1[[#This Row],[リンク]]&amp;テーブル1[[#This Row],[描画状況]]</f>
        <v>https://lenskkpb.wixsite.com/len-sakaki-official済</v>
      </c>
      <c r="R237" s="17">
        <f>1-(COUNTIF(Q:Q,_xlfn.TEXTJOIN(",",TRUE,テーブル1[[#This Row],[リンク]],テーブル1[[#This Row],[描画状況]]))/COUNTIF(F:F,テーブル1[[#This Row],[リンク]]))</f>
        <v>1</v>
      </c>
      <c r="S237" s="16" t="str">
        <f ca="1">IFERROR(IF(テーブル1[[#This Row],[描画状況]]="",RAND()+(テーブル1[[#This Row],[列2]]*100),""),RAND())</f>
        <v/>
      </c>
      <c r="T237" s="1" t="s">
        <v>459</v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472</v>
      </c>
      <c r="D238" s="23" t="s">
        <v>474</v>
      </c>
      <c r="E238" s="23" t="s">
        <v>473</v>
      </c>
      <c r="F238" s="15" t="s">
        <v>122</v>
      </c>
      <c r="G238" s="24" t="s">
        <v>709</v>
      </c>
      <c r="H238" s="24" t="s">
        <v>661</v>
      </c>
      <c r="I238" s="24"/>
      <c r="J238" s="24"/>
      <c r="K238" s="24"/>
      <c r="L238" s="24"/>
      <c r="M238" s="24"/>
      <c r="N238" s="24" t="s">
        <v>1294</v>
      </c>
      <c r="O238" s="1" t="s">
        <v>631</v>
      </c>
      <c r="P238" s="1" t="s">
        <v>549</v>
      </c>
      <c r="Q238" s="24" t="str">
        <f>テーブル1[[#This Row],[リンク]]&amp;テーブル1[[#This Row],[描画状況]]</f>
        <v>https://lenskkpb.wixsite.com/len-sakaki-official済</v>
      </c>
      <c r="R238" s="17">
        <f>1-(COUNTIF(Q:Q,_xlfn.TEXTJOIN(",",TRUE,テーブル1[[#This Row],[リンク]],テーブル1[[#This Row],[描画状況]]))/COUNTIF(F:F,テーブル1[[#This Row],[リンク]]))</f>
        <v>1</v>
      </c>
      <c r="S238" s="16" t="str">
        <f ca="1">IFERROR(IF(テーブル1[[#This Row],[描画状況]]="",RAND()+(テーブル1[[#This Row],[列2]]*100),""),RAND())</f>
        <v/>
      </c>
      <c r="T238" s="1" t="s">
        <v>459</v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475</v>
      </c>
      <c r="D239" s="23" t="s">
        <v>477</v>
      </c>
      <c r="E239" s="23" t="s">
        <v>476</v>
      </c>
      <c r="F239" s="15" t="s">
        <v>122</v>
      </c>
      <c r="G239" s="24" t="s">
        <v>709</v>
      </c>
      <c r="H239" s="24" t="s">
        <v>661</v>
      </c>
      <c r="I239" s="24"/>
      <c r="J239" s="24"/>
      <c r="K239" s="24"/>
      <c r="L239" s="24"/>
      <c r="M239" s="24"/>
      <c r="N239" s="24"/>
      <c r="O239" s="1" t="s">
        <v>631</v>
      </c>
      <c r="P239" s="1" t="s">
        <v>549</v>
      </c>
      <c r="Q239" s="24" t="str">
        <f>テーブル1[[#This Row],[リンク]]&amp;テーブル1[[#This Row],[描画状況]]</f>
        <v>https://lenskkpb.wixsite.com/len-sakaki-official済</v>
      </c>
      <c r="R239" s="17">
        <f>1-(COUNTIF(Q:Q,_xlfn.TEXTJOIN(",",TRUE,テーブル1[[#This Row],[リンク]],テーブル1[[#This Row],[描画状況]]))/COUNTIF(F:F,テーブル1[[#This Row],[リンク]]))</f>
        <v>1</v>
      </c>
      <c r="S239" s="16" t="str">
        <f ca="1">IFERROR(IF(テーブル1[[#This Row],[描画状況]]="",RAND()+(テーブル1[[#This Row],[列2]]*100),""),RAND())</f>
        <v/>
      </c>
      <c r="T239" s="1" t="s">
        <v>459</v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478</v>
      </c>
      <c r="D240" s="23" t="s">
        <v>480</v>
      </c>
      <c r="E240" s="23" t="s">
        <v>479</v>
      </c>
      <c r="F240" s="15" t="s">
        <v>122</v>
      </c>
      <c r="G240" s="24" t="s">
        <v>709</v>
      </c>
      <c r="H240" s="24" t="s">
        <v>661</v>
      </c>
      <c r="I240" s="24"/>
      <c r="J240" s="24"/>
      <c r="K240" s="24"/>
      <c r="L240" s="24"/>
      <c r="M240" s="24"/>
      <c r="N240" s="24" t="s">
        <v>1302</v>
      </c>
      <c r="O240" s="1" t="s">
        <v>631</v>
      </c>
      <c r="P240" s="1" t="s">
        <v>549</v>
      </c>
      <c r="Q240" s="24" t="str">
        <f>テーブル1[[#This Row],[リンク]]&amp;テーブル1[[#This Row],[描画状況]]</f>
        <v>https://lenskkpb.wixsite.com/len-sakaki-official済</v>
      </c>
      <c r="R240" s="17">
        <f>1-(COUNTIF(Q:Q,_xlfn.TEXTJOIN(",",TRUE,テーブル1[[#This Row],[リンク]],テーブル1[[#This Row],[描画状況]]))/COUNTIF(F:F,テーブル1[[#This Row],[リンク]]))</f>
        <v>1</v>
      </c>
      <c r="S240" s="16" t="str">
        <f ca="1">IFERROR(IF(テーブル1[[#This Row],[描画状況]]="",RAND()+(テーブル1[[#This Row],[列2]]*100),""),RAND())</f>
        <v/>
      </c>
      <c r="T240" s="1" t="s">
        <v>459</v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727</v>
      </c>
      <c r="D241" s="23" t="s">
        <v>933</v>
      </c>
      <c r="E241" s="23" t="s">
        <v>1104</v>
      </c>
      <c r="F241" s="15" t="s">
        <v>122</v>
      </c>
      <c r="G241" s="24" t="s">
        <v>709</v>
      </c>
      <c r="H241" s="24" t="s">
        <v>661</v>
      </c>
      <c r="I241" s="24" t="s">
        <v>728</v>
      </c>
      <c r="J241" s="23" t="s">
        <v>1191</v>
      </c>
      <c r="L241" s="24"/>
      <c r="M241" s="24"/>
      <c r="N241" s="24"/>
      <c r="O241" s="1" t="s">
        <v>631</v>
      </c>
      <c r="P241" s="1" t="s">
        <v>549</v>
      </c>
      <c r="Q241" s="24" t="str">
        <f>テーブル1[[#This Row],[リンク]]&amp;テーブル1[[#This Row],[描画状況]]</f>
        <v>https://lenskkpb.wixsite.com/len-sakaki-official済</v>
      </c>
      <c r="R241" s="17">
        <f>1-(COUNTIF(Q:Q,_xlfn.TEXTJOIN(",",TRUE,テーブル1[[#This Row],[リンク]],テーブル1[[#This Row],[描画状況]]))/COUNTIF(F:F,テーブル1[[#This Row],[リンク]]))</f>
        <v>1</v>
      </c>
      <c r="S241" s="16" t="str">
        <f ca="1">IFERROR(IF(テーブル1[[#This Row],[描画状況]]="",RAND()+(テーブル1[[#This Row],[列2]]*100),""),RAND())</f>
        <v/>
      </c>
      <c r="T241" s="1" t="s">
        <v>459</v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729</v>
      </c>
      <c r="D242" s="23" t="s">
        <v>730</v>
      </c>
      <c r="E242" s="23" t="s">
        <v>731</v>
      </c>
      <c r="F242" s="15" t="s">
        <v>122</v>
      </c>
      <c r="G242" s="24" t="s">
        <v>709</v>
      </c>
      <c r="H242" s="24" t="s">
        <v>661</v>
      </c>
      <c r="I242" s="24" t="s">
        <v>670</v>
      </c>
      <c r="L242" s="24"/>
      <c r="M242" s="24"/>
      <c r="N242" s="24" t="s">
        <v>1293</v>
      </c>
      <c r="O242" s="1" t="s">
        <v>631</v>
      </c>
      <c r="P242" s="1" t="s">
        <v>549</v>
      </c>
      <c r="Q242" s="24" t="str">
        <f>テーブル1[[#This Row],[リンク]]&amp;テーブル1[[#This Row],[描画状況]]</f>
        <v>https://lenskkpb.wixsite.com/len-sakaki-official済</v>
      </c>
      <c r="R242" s="17">
        <f>1-(COUNTIF(Q:Q,_xlfn.TEXTJOIN(",",TRUE,テーブル1[[#This Row],[リンク]],テーブル1[[#This Row],[描画状況]]))/COUNTIF(F:F,テーブル1[[#This Row],[リンク]]))</f>
        <v>1</v>
      </c>
      <c r="S242" s="16" t="str">
        <f ca="1">IFERROR(IF(テーブル1[[#This Row],[描画状況]]="",RAND()+(テーブル1[[#This Row],[列2]]*100),""),RAND())</f>
        <v/>
      </c>
      <c r="T242" s="1" t="s">
        <v>459</v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734</v>
      </c>
      <c r="D243" s="23" t="s">
        <v>934</v>
      </c>
      <c r="E243" s="23" t="s">
        <v>1105</v>
      </c>
      <c r="F243" s="15" t="s">
        <v>122</v>
      </c>
      <c r="G243" s="24" t="s">
        <v>709</v>
      </c>
      <c r="H243" s="24" t="s">
        <v>661</v>
      </c>
      <c r="I243" s="24" t="s">
        <v>735</v>
      </c>
      <c r="L243" s="24" t="s">
        <v>1217</v>
      </c>
      <c r="M243" s="24" t="s">
        <v>1185</v>
      </c>
      <c r="N243" s="24" t="s">
        <v>1300</v>
      </c>
      <c r="O243" s="1" t="s">
        <v>631</v>
      </c>
      <c r="P243" s="1" t="s">
        <v>549</v>
      </c>
      <c r="Q243" s="24" t="str">
        <f>テーブル1[[#This Row],[リンク]]&amp;テーブル1[[#This Row],[描画状況]]</f>
        <v>https://lenskkpb.wixsite.com/len-sakaki-official済</v>
      </c>
      <c r="R243" s="17">
        <f>1-(COUNTIF(Q:Q,_xlfn.TEXTJOIN(",",TRUE,テーブル1[[#This Row],[リンク]],テーブル1[[#This Row],[描画状況]]))/COUNTIF(F:F,テーブル1[[#This Row],[リンク]]))</f>
        <v>1</v>
      </c>
      <c r="S243" s="16" t="str">
        <f ca="1">IFERROR(IF(テーブル1[[#This Row],[描画状況]]="",RAND()+(テーブル1[[#This Row],[列2]]*100),""),RAND())</f>
        <v/>
      </c>
      <c r="T243" s="1" t="s">
        <v>459</v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736</v>
      </c>
      <c r="D244" s="23" t="s">
        <v>736</v>
      </c>
      <c r="E244" s="23" t="s">
        <v>737</v>
      </c>
      <c r="F244" s="15" t="s">
        <v>738</v>
      </c>
      <c r="G244" s="24" t="s">
        <v>739</v>
      </c>
      <c r="H244" s="24" t="s">
        <v>661</v>
      </c>
      <c r="I244" s="24"/>
      <c r="L244" s="24"/>
      <c r="M244" s="24"/>
      <c r="N244" s="24" t="s">
        <v>1300</v>
      </c>
      <c r="O244" s="1" t="s">
        <v>631</v>
      </c>
      <c r="P244" s="1" t="s">
        <v>549</v>
      </c>
      <c r="Q244" s="24" t="str">
        <f>テーブル1[[#This Row],[リンク]]&amp;テーブル1[[#This Row],[描画状況]]</f>
        <v>https://mitamayade.wixsite.com/mitama済</v>
      </c>
      <c r="R244" s="17">
        <f>1-(COUNTIF(Q:Q,_xlfn.TEXTJOIN(",",TRUE,テーブル1[[#This Row],[リンク]],テーブル1[[#This Row],[描画状況]]))/COUNTIF(F:F,テーブル1[[#This Row],[リンク]]))</f>
        <v>1</v>
      </c>
      <c r="S244" s="16" t="str">
        <f ca="1">IFERROR(IF(テーブル1[[#This Row],[描画状況]]="",RAND()+(テーブル1[[#This Row],[列2]]*100),""),RAND())</f>
        <v/>
      </c>
      <c r="T244" s="1" t="s">
        <v>459</v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740</v>
      </c>
      <c r="D245" s="23" t="s">
        <v>741</v>
      </c>
      <c r="E245" s="23" t="s">
        <v>742</v>
      </c>
      <c r="F245" s="15" t="s">
        <v>743</v>
      </c>
      <c r="G245" s="24" t="s">
        <v>745</v>
      </c>
      <c r="H245" s="24" t="s">
        <v>661</v>
      </c>
      <c r="I245" s="24" t="s">
        <v>744</v>
      </c>
      <c r="L245" s="24"/>
      <c r="M245" s="24"/>
      <c r="O245" s="1" t="s">
        <v>687</v>
      </c>
      <c r="P245" s="1" t="s">
        <v>549</v>
      </c>
      <c r="Q245" s="24" t="str">
        <f>テーブル1[[#This Row],[リンク]]&amp;テーブル1[[#This Row],[描画状況]]</f>
        <v>https://lit.link/4ATEPQoK7bZP3auccNvRi28UQdf1済</v>
      </c>
      <c r="R245" s="17">
        <f>1-(COUNTIF(Q:Q,_xlfn.TEXTJOIN(",",TRUE,テーブル1[[#This Row],[リンク]],テーブル1[[#This Row],[描画状況]]))/COUNTIF(F:F,テーブル1[[#This Row],[リンク]]))</f>
        <v>1</v>
      </c>
      <c r="S245" s="16" t="str">
        <f ca="1">IFERROR(IF(テーブル1[[#This Row],[描画状況]]="",RAND()+(テーブル1[[#This Row],[列2]]*100),""),RAND())</f>
        <v/>
      </c>
      <c r="T245" s="1" t="s">
        <v>459</v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746</v>
      </c>
      <c r="D246" s="23" t="s">
        <v>935</v>
      </c>
      <c r="E246" s="23" t="s">
        <v>1106</v>
      </c>
      <c r="F246" s="15" t="s">
        <v>747</v>
      </c>
      <c r="G246" s="24" t="s">
        <v>748</v>
      </c>
      <c r="H246" s="24" t="s">
        <v>672</v>
      </c>
      <c r="I246" s="24"/>
      <c r="L246" s="24"/>
      <c r="M246" s="24"/>
      <c r="N246" s="24" t="s">
        <v>1300</v>
      </c>
      <c r="O246" s="1" t="s">
        <v>687</v>
      </c>
      <c r="P246" s="1" t="s">
        <v>549</v>
      </c>
      <c r="Q246" s="24" t="str">
        <f>テーブル1[[#This Row],[リンク]]&amp;テーブル1[[#This Row],[描画状況]]</f>
        <v>https://xi-voice.carrd.co済</v>
      </c>
      <c r="R246" s="17">
        <f>1-(COUNTIF(Q:Q,_xlfn.TEXTJOIN(",",TRUE,テーブル1[[#This Row],[リンク]],テーブル1[[#This Row],[描画状況]]))/COUNTIF(F:F,テーブル1[[#This Row],[リンク]]))</f>
        <v>1</v>
      </c>
      <c r="S246" s="16" t="str">
        <f ca="1">IFERROR(IF(テーブル1[[#This Row],[描画状況]]="",RAND()+(テーブル1[[#This Row],[列2]]*100),""),RAND())</f>
        <v/>
      </c>
      <c r="T246" s="1" t="s">
        <v>459</v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749</v>
      </c>
      <c r="D247" s="23" t="s">
        <v>936</v>
      </c>
      <c r="E247" s="23" t="s">
        <v>1107</v>
      </c>
      <c r="F247" s="15" t="s">
        <v>750</v>
      </c>
      <c r="G247" s="24" t="s">
        <v>751</v>
      </c>
      <c r="H247" s="24" t="s">
        <v>660</v>
      </c>
      <c r="I247" s="24" t="s">
        <v>670</v>
      </c>
      <c r="J247" s="23" t="s">
        <v>1193</v>
      </c>
      <c r="L247" s="24"/>
      <c r="M247" s="24" t="s">
        <v>1180</v>
      </c>
      <c r="N247" s="24"/>
      <c r="O247" s="1" t="s">
        <v>631</v>
      </c>
      <c r="P247" s="1" t="s">
        <v>549</v>
      </c>
      <c r="Q247" s="24" t="str">
        <f>テーブル1[[#This Row],[リンク]]&amp;テーブル1[[#This Row],[描画状況]]</f>
        <v>https://utau.fandom.com/wiki/Aisu_Kurimu済</v>
      </c>
      <c r="R247" s="17">
        <f>1-(COUNTIF(Q:Q,_xlfn.TEXTJOIN(",",TRUE,テーブル1[[#This Row],[リンク]],テーブル1[[#This Row],[描画状況]]))/COUNTIF(F:F,テーブル1[[#This Row],[リンク]]))</f>
        <v>1</v>
      </c>
      <c r="S247" s="16" t="str">
        <f ca="1">IFERROR(IF(テーブル1[[#This Row],[描画状況]]="",RAND()+(テーブル1[[#This Row],[列2]]*100),""),RAND())</f>
        <v/>
      </c>
      <c r="T247" s="1" t="s">
        <v>459</v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752</v>
      </c>
      <c r="D248" s="23" t="s">
        <v>937</v>
      </c>
      <c r="E248" s="23" t="s">
        <v>1108</v>
      </c>
      <c r="F248" s="15" t="s">
        <v>235</v>
      </c>
      <c r="G248" s="23" t="s">
        <v>236</v>
      </c>
      <c r="H248" s="24" t="s">
        <v>660</v>
      </c>
      <c r="I248" s="24" t="s">
        <v>667</v>
      </c>
      <c r="L248" s="23" t="s">
        <v>1202</v>
      </c>
      <c r="M248" s="24"/>
      <c r="N248" s="24"/>
      <c r="O248" s="1" t="s">
        <v>631</v>
      </c>
      <c r="P248" s="1" t="s">
        <v>549</v>
      </c>
      <c r="Q248" s="24" t="str">
        <f>テーブル1[[#This Row],[リンク]]&amp;テーブル1[[#This Row],[描画状況]]</f>
        <v>https://tourist100f.wixsite.com/utakata-kosyo済</v>
      </c>
      <c r="R248" s="17">
        <f>1-(COUNTIF(Q:Q,_xlfn.TEXTJOIN(",",TRUE,テーブル1[[#This Row],[リンク]],テーブル1[[#This Row],[描画状況]]))/COUNTIF(F:F,テーブル1[[#This Row],[リンク]]))</f>
        <v>1</v>
      </c>
      <c r="S248" s="16" t="str">
        <f ca="1">IFERROR(IF(テーブル1[[#This Row],[描画状況]]="",RAND()+(テーブル1[[#This Row],[列2]]*100),""),RAND())</f>
        <v/>
      </c>
      <c r="T248" s="1" t="s">
        <v>459</v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753</v>
      </c>
      <c r="D249" s="23" t="s">
        <v>938</v>
      </c>
      <c r="E249" s="23" t="s">
        <v>753</v>
      </c>
      <c r="F249" s="15" t="s">
        <v>235</v>
      </c>
      <c r="G249" s="23" t="s">
        <v>236</v>
      </c>
      <c r="H249" s="24" t="s">
        <v>660</v>
      </c>
      <c r="I249" s="24" t="s">
        <v>670</v>
      </c>
      <c r="M249" s="24" t="s">
        <v>1185</v>
      </c>
      <c r="N249" s="24"/>
      <c r="O249" s="1" t="s">
        <v>631</v>
      </c>
      <c r="P249" s="1" t="s">
        <v>549</v>
      </c>
      <c r="Q249" s="24" t="str">
        <f>テーブル1[[#This Row],[リンク]]&amp;テーブル1[[#This Row],[描画状況]]</f>
        <v>https://tourist100f.wixsite.com/utakata-kosyo済</v>
      </c>
      <c r="R249" s="17">
        <f>1-(COUNTIF(Q:Q,_xlfn.TEXTJOIN(",",TRUE,テーブル1[[#This Row],[リンク]],テーブル1[[#This Row],[描画状況]]))/COUNTIF(F:F,テーブル1[[#This Row],[リンク]]))</f>
        <v>1</v>
      </c>
      <c r="S249" s="16" t="str">
        <f ca="1">IFERROR(IF(テーブル1[[#This Row],[描画状況]]="",RAND()+(テーブル1[[#This Row],[列2]]*100),""),RAND())</f>
        <v/>
      </c>
      <c r="T249" s="1" t="s">
        <v>459</v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754</v>
      </c>
      <c r="D250" s="23" t="s">
        <v>755</v>
      </c>
      <c r="E250" s="23" t="s">
        <v>756</v>
      </c>
      <c r="F250" s="15" t="s">
        <v>757</v>
      </c>
      <c r="G250" s="23" t="s">
        <v>758</v>
      </c>
      <c r="H250" s="24" t="s">
        <v>672</v>
      </c>
      <c r="I250" s="24" t="s">
        <v>667</v>
      </c>
      <c r="L250" s="23" t="s">
        <v>1198</v>
      </c>
      <c r="M250" s="24" t="s">
        <v>1242</v>
      </c>
      <c r="N250" s="24" t="s">
        <v>1293</v>
      </c>
      <c r="O250" s="1" t="s">
        <v>631</v>
      </c>
      <c r="P250" s="1" t="s">
        <v>549</v>
      </c>
      <c r="Q250" s="24" t="str">
        <f>テーブル1[[#This Row],[リンク]]&amp;テーブル1[[#This Row],[描画状況]]</f>
        <v>https://haingyoi.wixsite.com/utau済</v>
      </c>
      <c r="R250" s="17">
        <f>1-(COUNTIF(Q:Q,_xlfn.TEXTJOIN(",",TRUE,テーブル1[[#This Row],[リンク]],テーブル1[[#This Row],[描画状況]]))/COUNTIF(F:F,テーブル1[[#This Row],[リンク]]))</f>
        <v>1</v>
      </c>
      <c r="S250" s="16" t="str">
        <f ca="1">IFERROR(IF(テーブル1[[#This Row],[描画状況]]="",RAND()+(テーブル1[[#This Row],[列2]]*100),""),RAND())</f>
        <v/>
      </c>
      <c r="T250" s="1" t="s">
        <v>459</v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759</v>
      </c>
      <c r="D251" s="23" t="s">
        <v>939</v>
      </c>
      <c r="E251" s="23" t="s">
        <v>1109</v>
      </c>
      <c r="F251" s="15" t="s">
        <v>123</v>
      </c>
      <c r="G251" s="23" t="s">
        <v>768</v>
      </c>
      <c r="H251" s="24" t="s">
        <v>661</v>
      </c>
      <c r="I251" s="24" t="s">
        <v>1125</v>
      </c>
      <c r="J251" s="23" t="s">
        <v>1224</v>
      </c>
      <c r="M251" s="24"/>
      <c r="N251" s="24" t="s">
        <v>1243</v>
      </c>
      <c r="O251" s="1" t="s">
        <v>631</v>
      </c>
      <c r="P251" s="1" t="s">
        <v>549</v>
      </c>
      <c r="Q251" s="24" t="str">
        <f>テーブル1[[#This Row],[リンク]]&amp;テーブル1[[#This Row],[描画状況]]</f>
        <v>https://lit.link/nemukoneko済</v>
      </c>
      <c r="R251" s="17">
        <f>1-(COUNTIF(Q:Q,_xlfn.TEXTJOIN(",",TRUE,テーブル1[[#This Row],[リンク]],テーブル1[[#This Row],[描画状況]]))/COUNTIF(F:F,テーブル1[[#This Row],[リンク]]))</f>
        <v>1</v>
      </c>
      <c r="S251" s="16" t="str">
        <f ca="1">IFERROR(IF(テーブル1[[#This Row],[描画状況]]="",RAND()+(テーブル1[[#This Row],[列2]]*100),""),RAND())</f>
        <v/>
      </c>
      <c r="T251" s="1" t="s">
        <v>459</v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760</v>
      </c>
      <c r="D252" s="23" t="s">
        <v>940</v>
      </c>
      <c r="E252" s="23" t="s">
        <v>1110</v>
      </c>
      <c r="F252" s="15" t="s">
        <v>123</v>
      </c>
      <c r="G252" s="24" t="s">
        <v>766</v>
      </c>
      <c r="H252" s="24" t="s">
        <v>661</v>
      </c>
      <c r="I252" s="24" t="s">
        <v>1126</v>
      </c>
      <c r="J252" s="23" t="s">
        <v>1189</v>
      </c>
      <c r="M252" s="24"/>
      <c r="N252" s="24"/>
      <c r="O252" s="1" t="s">
        <v>631</v>
      </c>
      <c r="P252" s="1" t="s">
        <v>549</v>
      </c>
      <c r="Q252" s="24" t="str">
        <f>テーブル1[[#This Row],[リンク]]&amp;テーブル1[[#This Row],[描画状況]]</f>
        <v>https://lit.link/nemukoneko済</v>
      </c>
      <c r="R252" s="17">
        <f>1-(COUNTIF(Q:Q,_xlfn.TEXTJOIN(",",TRUE,テーブル1[[#This Row],[リンク]],テーブル1[[#This Row],[描画状況]]))/COUNTIF(F:F,テーブル1[[#This Row],[リンク]]))</f>
        <v>1</v>
      </c>
      <c r="S252" s="16" t="str">
        <f ca="1">IFERROR(IF(テーブル1[[#This Row],[描画状況]]="",RAND()+(テーブル1[[#This Row],[列2]]*100),""),RAND())</f>
        <v/>
      </c>
      <c r="T252" s="1" t="s">
        <v>459</v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761</v>
      </c>
      <c r="D253" s="23" t="s">
        <v>773</v>
      </c>
      <c r="E253" s="23" t="s">
        <v>1111</v>
      </c>
      <c r="F253" s="15" t="s">
        <v>762</v>
      </c>
      <c r="G253" s="24" t="s">
        <v>763</v>
      </c>
      <c r="H253" s="24" t="s">
        <v>673</v>
      </c>
      <c r="I253" s="24" t="s">
        <v>704</v>
      </c>
      <c r="J253" s="23" t="s">
        <v>1188</v>
      </c>
      <c r="M253" s="24"/>
      <c r="N253" s="23" t="s">
        <v>1234</v>
      </c>
      <c r="O253" s="1" t="s">
        <v>631</v>
      </c>
      <c r="P253" s="1" t="s">
        <v>549</v>
      </c>
      <c r="Q253" s="24" t="str">
        <f>テーブル1[[#This Row],[リンク]]&amp;テーブル1[[#This Row],[描画状況]]</f>
        <v>https://note.com/lycopema/n/n7abddbef7b6e済</v>
      </c>
      <c r="R253" s="17">
        <f>1-(COUNTIF(Q:Q,_xlfn.TEXTJOIN(",",TRUE,テーブル1[[#This Row],[リンク]],テーブル1[[#This Row],[描画状況]]))/COUNTIF(F:F,テーブル1[[#This Row],[リンク]]))</f>
        <v>1</v>
      </c>
      <c r="S253" s="16" t="str">
        <f ca="1">IFERROR(IF(テーブル1[[#This Row],[描画状況]]="",RAND()+(テーブル1[[#This Row],[列2]]*100),""),RAND())</f>
        <v/>
      </c>
      <c r="T253" s="1" t="s">
        <v>459</v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769</v>
      </c>
      <c r="D254" s="23" t="s">
        <v>770</v>
      </c>
      <c r="E254" s="23" t="s">
        <v>769</v>
      </c>
      <c r="F254" s="15" t="s">
        <v>557</v>
      </c>
      <c r="G254" s="24" t="s">
        <v>771</v>
      </c>
      <c r="H254" s="24" t="s">
        <v>660</v>
      </c>
      <c r="I254" s="24" t="s">
        <v>670</v>
      </c>
      <c r="L254" s="23" t="s">
        <v>1220</v>
      </c>
      <c r="M254" s="24" t="s">
        <v>1178</v>
      </c>
      <c r="N254" s="24"/>
      <c r="O254" s="1" t="s">
        <v>631</v>
      </c>
      <c r="P254" s="1" t="s">
        <v>549</v>
      </c>
      <c r="Q254" s="24" t="str">
        <f>テーブル1[[#This Row],[リンク]]&amp;テーブル1[[#This Row],[描画状況]]</f>
        <v>https://sites.google.com/view/ronku99済</v>
      </c>
      <c r="R254" s="17">
        <f>1-(COUNTIF(Q:Q,_xlfn.TEXTJOIN(",",TRUE,テーブル1[[#This Row],[リンク]],テーブル1[[#This Row],[描画状況]]))/COUNTIF(F:F,テーブル1[[#This Row],[リンク]]))</f>
        <v>1</v>
      </c>
      <c r="S254" s="16" t="str">
        <f ca="1">IFERROR(IF(テーブル1[[#This Row],[描画状況]]="",RAND()+(テーブル1[[#This Row],[列2]]*100),""),RAND())</f>
        <v/>
      </c>
      <c r="T254" s="1" t="s">
        <v>459</v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764</v>
      </c>
      <c r="D255" s="23" t="s">
        <v>941</v>
      </c>
      <c r="E255" s="23" t="s">
        <v>1112</v>
      </c>
      <c r="F255" s="15" t="s">
        <v>765</v>
      </c>
      <c r="G255" s="24" t="s">
        <v>1127</v>
      </c>
      <c r="H255" s="24" t="s">
        <v>672</v>
      </c>
      <c r="I255" s="24" t="s">
        <v>1125</v>
      </c>
      <c r="J255" s="23" t="s">
        <v>1225</v>
      </c>
      <c r="M255" s="24" t="s">
        <v>1187</v>
      </c>
      <c r="N255" s="24" t="s">
        <v>1244</v>
      </c>
      <c r="O255" s="1" t="s">
        <v>631</v>
      </c>
      <c r="P255" s="1" t="s">
        <v>549</v>
      </c>
      <c r="Q255" s="24" t="str">
        <f>テーブル1[[#This Row],[リンク]]&amp;テーブル1[[#This Row],[描画状況]]</f>
        <v>https://hatonosuke5.booth.pm済</v>
      </c>
      <c r="R255" s="17">
        <f>1-(COUNTIF(Q:Q,_xlfn.TEXTJOIN(",",TRUE,テーブル1[[#This Row],[リンク]],テーブル1[[#This Row],[描画状況]]))/COUNTIF(F:F,テーブル1[[#This Row],[リンク]]))</f>
        <v>1</v>
      </c>
      <c r="S255" s="16" t="str">
        <f ca="1">IFERROR(IF(テーブル1[[#This Row],[描画状況]]="",RAND()+(テーブル1[[#This Row],[列2]]*100),""),RAND())</f>
        <v/>
      </c>
      <c r="T255" s="1" t="s">
        <v>459</v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1116</v>
      </c>
      <c r="D256" s="23" t="s">
        <v>1117</v>
      </c>
      <c r="E256" s="23" t="s">
        <v>1118</v>
      </c>
      <c r="F256" s="15" t="s">
        <v>1119</v>
      </c>
      <c r="G256" s="24" t="s">
        <v>1128</v>
      </c>
      <c r="H256" s="24" t="s">
        <v>660</v>
      </c>
      <c r="I256" s="24" t="s">
        <v>667</v>
      </c>
      <c r="M256" s="24"/>
      <c r="N256" s="24"/>
      <c r="O256" s="1" t="s">
        <v>631</v>
      </c>
      <c r="P256" s="1" t="s">
        <v>549</v>
      </c>
      <c r="Q256" s="24" t="str">
        <f>テーブル1[[#This Row],[リンク]]&amp;テーブル1[[#This Row],[描画状況]]</f>
        <v>https://uu.getuploader.com/mirakibonoutau済</v>
      </c>
      <c r="R256" s="17">
        <f>1-(COUNTIF(Q:Q,_xlfn.TEXTJOIN(",",TRUE,テーブル1[[#This Row],[リンク]],テーブル1[[#This Row],[描画状況]]))/COUNTIF(F:F,テーブル1[[#This Row],[リンク]]))</f>
        <v>1</v>
      </c>
      <c r="S256" s="16" t="str">
        <f ca="1">IFERROR(IF(テーブル1[[#This Row],[描画状況]]="",RAND()+(テーブル1[[#This Row],[列2]]*100),""),RAND())</f>
        <v/>
      </c>
      <c r="T256" s="1" t="s">
        <v>459</v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1120</v>
      </c>
      <c r="D257" s="23" t="s">
        <v>1120</v>
      </c>
      <c r="E257" s="23" t="s">
        <v>1121</v>
      </c>
      <c r="F257" s="15" t="s">
        <v>738</v>
      </c>
      <c r="G257" s="24" t="s">
        <v>1129</v>
      </c>
      <c r="H257" s="24" t="s">
        <v>660</v>
      </c>
      <c r="I257" s="24" t="s">
        <v>667</v>
      </c>
      <c r="M257" s="24" t="s">
        <v>1180</v>
      </c>
      <c r="N257" s="24" t="s">
        <v>1294</v>
      </c>
      <c r="O257" s="1" t="s">
        <v>631</v>
      </c>
      <c r="P257" s="1" t="s">
        <v>549</v>
      </c>
      <c r="Q257" s="24" t="str">
        <f>テーブル1[[#This Row],[リンク]]&amp;テーブル1[[#This Row],[描画状況]]</f>
        <v>https://mitamayade.wixsite.com/mitama済</v>
      </c>
      <c r="R257" s="17">
        <f>1-(COUNTIF(Q:Q,_xlfn.TEXTJOIN(",",TRUE,テーブル1[[#This Row],[リンク]],テーブル1[[#This Row],[描画状況]]))/COUNTIF(F:F,テーブル1[[#This Row],[リンク]]))</f>
        <v>1</v>
      </c>
      <c r="S257" s="16" t="str">
        <f ca="1">IFERROR(IF(テーブル1[[#This Row],[描画状況]]="",RAND()+(テーブル1[[#This Row],[列2]]*100),""),RAND())</f>
        <v/>
      </c>
      <c r="T257" s="1" t="s">
        <v>459</v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1122</v>
      </c>
      <c r="D258" s="23" t="s">
        <v>1123</v>
      </c>
      <c r="E258" s="23" t="s">
        <v>1124</v>
      </c>
      <c r="F258" s="15" t="s">
        <v>1119</v>
      </c>
      <c r="G258" s="24" t="s">
        <v>1130</v>
      </c>
      <c r="H258" s="24" t="s">
        <v>672</v>
      </c>
      <c r="I258" s="24" t="s">
        <v>670</v>
      </c>
      <c r="M258" s="24"/>
      <c r="N258" s="24" t="s">
        <v>1203</v>
      </c>
      <c r="O258" s="1" t="s">
        <v>631</v>
      </c>
      <c r="P258" s="1" t="s">
        <v>549</v>
      </c>
      <c r="Q258" s="24" t="str">
        <f>テーブル1[[#This Row],[リンク]]&amp;テーブル1[[#This Row],[描画状況]]</f>
        <v>https://uu.getuploader.com/mirakibonoutau済</v>
      </c>
      <c r="R258" s="17">
        <f>1-(COUNTIF(Q:Q,_xlfn.TEXTJOIN(",",TRUE,テーブル1[[#This Row],[リンク]],テーブル1[[#This Row],[描画状況]]))/COUNTIF(F:F,テーブル1[[#This Row],[リンク]]))</f>
        <v>1</v>
      </c>
      <c r="S258" s="16" t="str">
        <f ca="1">IFERROR(IF(テーブル1[[#This Row],[描画状況]]="",RAND()+(テーブル1[[#This Row],[列2]]*100),""),RAND())</f>
        <v/>
      </c>
      <c r="T258" s="1" t="s">
        <v>459</v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1131</v>
      </c>
      <c r="D259" s="23" t="s">
        <v>1132</v>
      </c>
      <c r="E259" s="23" t="s">
        <v>1133</v>
      </c>
      <c r="F259" s="29" t="s">
        <v>1134</v>
      </c>
      <c r="G259" s="23" t="s">
        <v>1135</v>
      </c>
      <c r="H259" s="23" t="s">
        <v>661</v>
      </c>
      <c r="I259" s="23" t="s">
        <v>667</v>
      </c>
      <c r="K259" s="23" t="s">
        <v>1309</v>
      </c>
      <c r="L259" s="23" t="s">
        <v>1311</v>
      </c>
      <c r="M259" s="24" t="s">
        <v>1178</v>
      </c>
      <c r="N259" s="24" t="s">
        <v>1294</v>
      </c>
      <c r="O259" s="1" t="s">
        <v>631</v>
      </c>
      <c r="P259" s="1" t="s">
        <v>549</v>
      </c>
      <c r="Q259" s="24" t="str">
        <f>テーブル1[[#This Row],[リンク]]&amp;テーブル1[[#This Row],[描画状況]]</f>
        <v>https://sikiori.wepage.com済</v>
      </c>
      <c r="R259" s="17">
        <f>1-(COUNTIF(Q:Q,_xlfn.TEXTJOIN(",",TRUE,テーブル1[[#This Row],[リンク]],テーブル1[[#This Row],[描画状況]]))/COUNTIF(F:F,テーブル1[[#This Row],[リンク]]))</f>
        <v>1</v>
      </c>
      <c r="S259" s="16" t="str">
        <f ca="1">IFERROR(IF(テーブル1[[#This Row],[描画状況]]="",RAND()+(テーブル1[[#This Row],[列2]]*100),""),RAND())</f>
        <v/>
      </c>
      <c r="T259" s="1" t="s">
        <v>459</v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1136</v>
      </c>
      <c r="D260" s="23" t="s">
        <v>1137</v>
      </c>
      <c r="E260" s="23" t="s">
        <v>1138</v>
      </c>
      <c r="F260" s="29" t="s">
        <v>1134</v>
      </c>
      <c r="G260" s="23" t="s">
        <v>1135</v>
      </c>
      <c r="H260" s="23" t="s">
        <v>661</v>
      </c>
      <c r="I260" s="23" t="s">
        <v>667</v>
      </c>
      <c r="L260" s="23" t="s">
        <v>1202</v>
      </c>
      <c r="N260" s="24" t="s">
        <v>1294</v>
      </c>
      <c r="O260" s="1" t="s">
        <v>631</v>
      </c>
      <c r="P260" s="1" t="s">
        <v>549</v>
      </c>
      <c r="Q260" s="24" t="str">
        <f>テーブル1[[#This Row],[リンク]]&amp;テーブル1[[#This Row],[描画状況]]</f>
        <v>https://sikiori.wepage.com済</v>
      </c>
      <c r="R260" s="17">
        <f>1-(COUNTIF(Q:Q,_xlfn.TEXTJOIN(",",TRUE,テーブル1[[#This Row],[リンク]],テーブル1[[#This Row],[描画状況]]))/COUNTIF(F:F,テーブル1[[#This Row],[リンク]]))</f>
        <v>1</v>
      </c>
      <c r="S260" s="16" t="str">
        <f ca="1">IFERROR(IF(テーブル1[[#This Row],[描画状況]]="",RAND()+(テーブル1[[#This Row],[列2]]*100),""),RAND())</f>
        <v/>
      </c>
      <c r="T260" s="1" t="s">
        <v>459</v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1139</v>
      </c>
      <c r="D261" s="23" t="s">
        <v>1140</v>
      </c>
      <c r="E261" s="23" t="s">
        <v>1141</v>
      </c>
      <c r="F261" s="29" t="s">
        <v>1142</v>
      </c>
      <c r="G261" s="23" t="s">
        <v>1152</v>
      </c>
      <c r="H261" s="23" t="s">
        <v>661</v>
      </c>
      <c r="I261" s="23" t="s">
        <v>667</v>
      </c>
      <c r="L261" s="23" t="s">
        <v>1209</v>
      </c>
      <c r="M261" s="23" t="s">
        <v>1183</v>
      </c>
      <c r="O261" s="1" t="s">
        <v>631</v>
      </c>
      <c r="P261" s="1" t="s">
        <v>549</v>
      </c>
      <c r="Q261" s="24" t="str">
        <f>テーブル1[[#This Row],[リンク]]&amp;テーブル1[[#This Row],[描画状況]]</f>
        <v>https://mohumohuton.web.fc2.com/makimiya/index.html済</v>
      </c>
      <c r="R261" s="17">
        <f>1-(COUNTIF(Q:Q,_xlfn.TEXTJOIN(",",TRUE,テーブル1[[#This Row],[リンク]],テーブル1[[#This Row],[描画状況]]))/COUNTIF(F:F,テーブル1[[#This Row],[リンク]]))</f>
        <v>1</v>
      </c>
      <c r="S261" s="16" t="str">
        <f ca="1">IFERROR(IF(テーブル1[[#This Row],[描画状況]]="",RAND()+(テーブル1[[#This Row],[列2]]*100),""),RAND())</f>
        <v/>
      </c>
      <c r="T261" s="1" t="s">
        <v>459</v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1145</v>
      </c>
      <c r="D262" s="23" t="s">
        <v>1143</v>
      </c>
      <c r="E262" s="28" t="s">
        <v>1144</v>
      </c>
      <c r="F262" s="29" t="s">
        <v>645</v>
      </c>
      <c r="G262" s="23" t="s">
        <v>1151</v>
      </c>
      <c r="H262" s="23" t="s">
        <v>660</v>
      </c>
      <c r="I262" s="23" t="s">
        <v>1125</v>
      </c>
      <c r="J262" s="23" t="s">
        <v>1196</v>
      </c>
      <c r="O262" s="1" t="s">
        <v>631</v>
      </c>
      <c r="P262" s="1" t="s">
        <v>549</v>
      </c>
      <c r="Q262" s="24" t="str">
        <f>テーブル1[[#This Row],[リンク]]&amp;テーブル1[[#This Row],[描画状況]]</f>
        <v>https://bowlroll.net/user/946776済</v>
      </c>
      <c r="R262" s="17">
        <f>1-(COUNTIF(Q:Q,_xlfn.TEXTJOIN(",",TRUE,テーブル1[[#This Row],[リンク]],テーブル1[[#This Row],[描画状況]]))/COUNTIF(F:F,テーブル1[[#This Row],[リンク]]))</f>
        <v>1</v>
      </c>
      <c r="S262" s="16" t="str">
        <f ca="1">IFERROR(IF(テーブル1[[#This Row],[描画状況]]="",RAND()+(テーブル1[[#This Row],[列2]]*100),""),RAND())</f>
        <v/>
      </c>
      <c r="T262" s="1" t="s">
        <v>459</v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1146</v>
      </c>
      <c r="D263" s="23" t="s">
        <v>1147</v>
      </c>
      <c r="E263" s="23" t="s">
        <v>1148</v>
      </c>
      <c r="F263" s="29" t="s">
        <v>1149</v>
      </c>
      <c r="G263" s="23" t="s">
        <v>1150</v>
      </c>
      <c r="H263" s="23" t="s">
        <v>673</v>
      </c>
      <c r="I263" s="23" t="s">
        <v>677</v>
      </c>
      <c r="L263" s="23" t="s">
        <v>1216</v>
      </c>
      <c r="M263" s="23" t="s">
        <v>708</v>
      </c>
      <c r="N263" s="23" t="s">
        <v>1245</v>
      </c>
      <c r="O263" s="1" t="s">
        <v>631</v>
      </c>
      <c r="P263" s="1" t="s">
        <v>549</v>
      </c>
      <c r="Q263" s="24" t="str">
        <f>テーブル1[[#This Row],[リンク]]&amp;テーブル1[[#This Row],[描画状況]]</f>
        <v>https://suukedayo.wixsite.com/shiawasefairu済</v>
      </c>
      <c r="R263" s="17">
        <f>1-(COUNTIF(Q:Q,_xlfn.TEXTJOIN(",",TRUE,テーブル1[[#This Row],[リンク]],テーブル1[[#This Row],[描画状況]]))/COUNTIF(F:F,テーブル1[[#This Row],[リンク]]))</f>
        <v>1</v>
      </c>
      <c r="S263" s="16" t="str">
        <f ca="1">IFERROR(IF(テーブル1[[#This Row],[描画状況]]="",RAND()+(テーブル1[[#This Row],[列2]]*100),""),RAND())</f>
        <v/>
      </c>
      <c r="T263" s="1" t="s">
        <v>459</v>
      </c>
      <c r="U263" s="24" t="str">
        <f ca="1">IF(AND(テーブル1[[#This Row],[描画状況]]="済",テーブル1[[#This Row],[投稿状況]]=""),RAND(),"")</f>
        <v/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1154</v>
      </c>
      <c r="D264" s="23" t="s">
        <v>1155</v>
      </c>
      <c r="E264" s="23" t="s">
        <v>1156</v>
      </c>
      <c r="F264" s="29" t="s">
        <v>1176</v>
      </c>
      <c r="G264" s="23" t="s">
        <v>1175</v>
      </c>
      <c r="H264" s="23" t="s">
        <v>672</v>
      </c>
      <c r="I264" s="23" t="s">
        <v>713</v>
      </c>
      <c r="L264" s="23" t="s">
        <v>1217</v>
      </c>
      <c r="M264" s="23" t="s">
        <v>1186</v>
      </c>
      <c r="N264" s="23" t="s">
        <v>1314</v>
      </c>
      <c r="O264" s="1" t="s">
        <v>631</v>
      </c>
      <c r="P264" s="1" t="s">
        <v>549</v>
      </c>
      <c r="Q264" s="24" t="str">
        <f>テーブル1[[#This Row],[リンク]]&amp;テーブル1[[#This Row],[描画状況]]</f>
        <v>https://nagimachi.wixsite.com/kairikonomachi済</v>
      </c>
      <c r="R264" s="17">
        <f>1-(COUNTIF(Q:Q,_xlfn.TEXTJOIN(",",TRUE,テーブル1[[#This Row],[リンク]],テーブル1[[#This Row],[描画状況]]))/COUNTIF(F:F,テーブル1[[#This Row],[リンク]]))</f>
        <v>1</v>
      </c>
      <c r="S264" s="16" t="str">
        <f ca="1">IFERROR(IF(テーブル1[[#This Row],[描画状況]]="",RAND()+(テーブル1[[#This Row],[列2]]*100),""),RAND())</f>
        <v/>
      </c>
      <c r="U264" s="24">
        <f ca="1">IF(AND(テーブル1[[#This Row],[描画状況]]="済",テーブル1[[#This Row],[投稿状況]]=""),RAND(),"")</f>
        <v>0.29496784450568903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1153</v>
      </c>
      <c r="D265" s="23" t="s">
        <v>1157</v>
      </c>
      <c r="E265" s="23" t="s">
        <v>1158</v>
      </c>
      <c r="F265" s="29" t="s">
        <v>1176</v>
      </c>
      <c r="G265" s="23" t="s">
        <v>1175</v>
      </c>
      <c r="H265" s="23" t="s">
        <v>660</v>
      </c>
      <c r="I265" s="23" t="s">
        <v>667</v>
      </c>
      <c r="M265" s="23" t="s">
        <v>1313</v>
      </c>
      <c r="N265" s="23" t="s">
        <v>1314</v>
      </c>
      <c r="O265" s="1" t="s">
        <v>631</v>
      </c>
      <c r="Q265" s="24" t="str">
        <f>テーブル1[[#This Row],[リンク]]&amp;テーブル1[[#This Row],[描画状況]]</f>
        <v>https://nagimachi.wixsite.com/kairikonomachi</v>
      </c>
      <c r="R265" s="17">
        <f>1-(COUNTIF(Q:Q,_xlfn.TEXTJOIN(",",TRUE,テーブル1[[#This Row],[リンク]],テーブル1[[#This Row],[描画状況]]))/COUNTIF(F:F,テーブル1[[#This Row],[リンク]]))</f>
        <v>0.25</v>
      </c>
      <c r="S265" s="16">
        <f ca="1">IFERROR(IF(テーブル1[[#This Row],[描画状況]]="",RAND()+(テーブル1[[#This Row],[列2]]*100),""),RAND())</f>
        <v>25.701030579073965</v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1159</v>
      </c>
      <c r="D266" s="23" t="s">
        <v>1160</v>
      </c>
      <c r="E266" s="23" t="s">
        <v>1161</v>
      </c>
      <c r="F266" s="29" t="s">
        <v>1176</v>
      </c>
      <c r="G266" s="23" t="s">
        <v>1175</v>
      </c>
      <c r="H266" s="23" t="s">
        <v>672</v>
      </c>
      <c r="I266" s="23" t="s">
        <v>670</v>
      </c>
      <c r="J266" s="23" t="s">
        <v>1194</v>
      </c>
      <c r="M266" s="23" t="s">
        <v>1312</v>
      </c>
      <c r="N266" s="23" t="s">
        <v>1314</v>
      </c>
      <c r="O266" s="1" t="s">
        <v>631</v>
      </c>
      <c r="Q266" s="24" t="str">
        <f>テーブル1[[#This Row],[リンク]]&amp;テーブル1[[#This Row],[描画状況]]</f>
        <v>https://nagimachi.wixsite.com/kairikonomachi</v>
      </c>
      <c r="R266" s="17">
        <f>1-(COUNTIF(Q:Q,_xlfn.TEXTJOIN(",",TRUE,テーブル1[[#This Row],[リンク]],テーブル1[[#This Row],[描画状況]]))/COUNTIF(F:F,テーブル1[[#This Row],[リンク]]))</f>
        <v>0.25</v>
      </c>
      <c r="S266" s="16">
        <f ca="1">IFERROR(IF(テーブル1[[#This Row],[描画状況]]="",RAND()+(テーブル1[[#This Row],[列2]]*100),""),RAND())</f>
        <v>25.62352132019608</v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1162</v>
      </c>
      <c r="D267" s="23" t="s">
        <v>1163</v>
      </c>
      <c r="E267" s="23" t="s">
        <v>1164</v>
      </c>
      <c r="F267" s="29" t="s">
        <v>1176</v>
      </c>
      <c r="G267" s="23" t="s">
        <v>1175</v>
      </c>
      <c r="H267" s="23" t="s">
        <v>661</v>
      </c>
      <c r="I267" s="23" t="s">
        <v>670</v>
      </c>
      <c r="J267" s="23" t="s">
        <v>1194</v>
      </c>
      <c r="M267" s="23" t="s">
        <v>1312</v>
      </c>
      <c r="N267" s="23" t="s">
        <v>1315</v>
      </c>
      <c r="O267" s="1" t="s">
        <v>631</v>
      </c>
      <c r="Q267" s="24" t="str">
        <f>テーブル1[[#This Row],[リンク]]&amp;テーブル1[[#This Row],[描画状況]]</f>
        <v>https://nagimachi.wixsite.com/kairikonomachi</v>
      </c>
      <c r="R267" s="17">
        <f>1-(COUNTIF(Q:Q,_xlfn.TEXTJOIN(",",TRUE,テーブル1[[#This Row],[リンク]],テーブル1[[#This Row],[描画状況]]))/COUNTIF(F:F,テーブル1[[#This Row],[リンク]]))</f>
        <v>0.25</v>
      </c>
      <c r="S267" s="16">
        <f ca="1">IFERROR(IF(テーブル1[[#This Row],[描画状況]]="",RAND()+(テーブル1[[#This Row],[列2]]*100),""),RAND())</f>
        <v>25.095914289157832</v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1165</v>
      </c>
      <c r="D268" s="23" t="s">
        <v>1166</v>
      </c>
      <c r="E268" s="23" t="s">
        <v>1167</v>
      </c>
      <c r="F268" s="29" t="s">
        <v>1173</v>
      </c>
      <c r="G268" s="23" t="s">
        <v>1174</v>
      </c>
      <c r="H268" s="23" t="s">
        <v>661</v>
      </c>
      <c r="I268" s="23" t="s">
        <v>667</v>
      </c>
      <c r="L268" s="23" t="s">
        <v>1209</v>
      </c>
      <c r="M268" s="23" t="s">
        <v>1246</v>
      </c>
      <c r="O268" s="1" t="s">
        <v>631</v>
      </c>
      <c r="Q268" s="24" t="str">
        <f>テーブル1[[#This Row],[リンク]]&amp;テーブル1[[#This Row],[描画状況]]</f>
        <v>http://utau.wikidot.com/utau:isshiki-suu</v>
      </c>
      <c r="R268" s="17">
        <f>1-(COUNTIF(Q:Q,_xlfn.TEXTJOIN(",",TRUE,テーブル1[[#This Row],[リンク]],テーブル1[[#This Row],[描画状況]]))/COUNTIF(F:F,テーブル1[[#This Row],[リンク]]))</f>
        <v>0</v>
      </c>
      <c r="S268" s="16">
        <f ca="1">IFERROR(IF(テーブル1[[#This Row],[描画状況]]="",RAND()+(テーブル1[[#This Row],[列2]]*100),""),RAND())</f>
        <v>0.45701346556466171</v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1168</v>
      </c>
      <c r="D269" s="23" t="s">
        <v>1169</v>
      </c>
      <c r="E269" s="28" t="s">
        <v>1170</v>
      </c>
      <c r="F269" s="29" t="s">
        <v>1171</v>
      </c>
      <c r="G269" s="23" t="s">
        <v>1172</v>
      </c>
      <c r="H269" s="23" t="s">
        <v>660</v>
      </c>
      <c r="I269" s="23" t="s">
        <v>667</v>
      </c>
      <c r="L269" s="23" t="s">
        <v>1209</v>
      </c>
      <c r="M269" s="23" t="s">
        <v>1316</v>
      </c>
      <c r="N269" s="23" t="s">
        <v>1203</v>
      </c>
      <c r="O269" s="1" t="s">
        <v>631</v>
      </c>
      <c r="Q269" s="24" t="str">
        <f>テーブル1[[#This Row],[リンク]]&amp;テーブル1[[#This Row],[描画状況]]</f>
        <v>https://aisupiku.wixsite.com/tsuginesaiko</v>
      </c>
      <c r="R269" s="17">
        <f>1-(COUNTIF(Q:Q,_xlfn.TEXTJOIN(",",TRUE,テーブル1[[#This Row],[リンク]],テーブル1[[#This Row],[描画状況]]))/COUNTIF(F:F,テーブル1[[#This Row],[リンク]]))</f>
        <v>0</v>
      </c>
      <c r="S269" s="16">
        <f ca="1">IFERROR(IF(テーブル1[[#This Row],[描画状況]]="",RAND()+(テーブル1[[#This Row],[列2]]*100),""),RAND())</f>
        <v>0.26270507542378863</v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N270" s="24"/>
    </row>
    <row r="271" spans="1:26" ht="20.149999999999999" customHeight="1" x14ac:dyDescent="0.35">
      <c r="N271" s="24"/>
    </row>
    <row r="272" spans="1:26" ht="20.149999999999999" customHeight="1" x14ac:dyDescent="0.35">
      <c r="N272" s="24"/>
    </row>
    <row r="273" spans="14:14" ht="20.149999999999999" customHeight="1" x14ac:dyDescent="0.35">
      <c r="N273" s="24"/>
    </row>
    <row r="274" spans="14:14" ht="20.149999999999999" customHeight="1" x14ac:dyDescent="0.35">
      <c r="N274" s="24"/>
    </row>
    <row r="275" spans="14:14" ht="20.149999999999999" customHeight="1" x14ac:dyDescent="0.35">
      <c r="N275" s="24"/>
    </row>
    <row r="276" spans="14:14" ht="20.149999999999999" customHeight="1" x14ac:dyDescent="0.35">
      <c r="N276" s="24"/>
    </row>
    <row r="277" spans="14:14" ht="20.149999999999999" customHeight="1" x14ac:dyDescent="0.35">
      <c r="N277" s="24"/>
    </row>
    <row r="278" spans="14:14" ht="20.149999999999999" customHeight="1" x14ac:dyDescent="0.35">
      <c r="N278" s="24"/>
    </row>
    <row r="279" spans="14:14" ht="20.149999999999999" customHeight="1" x14ac:dyDescent="0.35">
      <c r="N279" s="24"/>
    </row>
    <row r="280" spans="14:14" ht="20.149999999999999" customHeight="1" x14ac:dyDescent="0.35">
      <c r="N280" s="24"/>
    </row>
  </sheetData>
  <phoneticPr fontId="1"/>
  <conditionalFormatting sqref="A1:A1048576">
    <cfRule type="duplicateValues" dxfId="74" priority="4"/>
  </conditionalFormatting>
  <conditionalFormatting sqref="B1 B3:B1048576">
    <cfRule type="duplicateValues" dxfId="73" priority="5"/>
  </conditionalFormatting>
  <conditionalFormatting sqref="C1:C1048576">
    <cfRule type="duplicateValues" dxfId="72" priority="3"/>
  </conditionalFormatting>
  <conditionalFormatting sqref="G92">
    <cfRule type="duplicateValues" dxfId="71" priority="1"/>
  </conditionalFormatting>
  <conditionalFormatting sqref="G252:G258">
    <cfRule type="duplicateValues" dxfId="70" priority="26"/>
  </conditionalFormatting>
  <conditionalFormatting sqref="P1:U1048576 N278:N279">
    <cfRule type="cellIs" dxfId="69" priority="12" operator="equal">
      <formula>"済"</formula>
    </cfRule>
  </conditionalFormatting>
  <dataValidations count="3">
    <dataValidation type="list" allowBlank="1" showInputMessage="1" showErrorMessage="1" sqref="T2:T269" xr:uid="{05A634BD-4DB9-4CF6-97DC-6B95FBE6232B}">
      <formula1>"済,個別済"</formula1>
    </dataValidation>
    <dataValidation type="list" allowBlank="1" showInputMessage="1" showErrorMessage="1" sqref="O2:O269" xr:uid="{92493CA5-E237-4453-B08F-89E5ABEEA9EA}">
      <formula1>"〇 / 必要,〇 / 不要,×"</formula1>
    </dataValidation>
    <dataValidation type="list" allowBlank="1" showInputMessage="1" showErrorMessage="1" sqref="N278:N279 P2:P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50" r:id="rId55" xr:uid="{1BD39E7E-C020-4252-84C5-76C7F7E04A72}"/>
    <hyperlink ref="F44" r:id="rId56" xr:uid="{3FD09DDE-0963-42D7-95A1-326895AD2757}"/>
    <hyperlink ref="F68" r:id="rId57" xr:uid="{B2C65099-7CF2-4A00-8B31-22857F99CFE3}"/>
    <hyperlink ref="F47" r:id="rId58" xr:uid="{2DEC8719-D5FD-44A1-A5B3-CBE2ACE39F57}"/>
    <hyperlink ref="F7" r:id="rId59" xr:uid="{1EACB173-0380-49D3-969A-05CCF0740666}"/>
    <hyperlink ref="F14" r:id="rId60" xr:uid="{E13D18AB-3D51-4A26-A1BA-B7F1768837CD}"/>
    <hyperlink ref="F49" r:id="rId61" xr:uid="{F1D5CEB3-0479-408D-BC40-1BAD336C3A74}"/>
    <hyperlink ref="F57" r:id="rId62" xr:uid="{345F7896-0C89-4560-B7F5-FE70E0BE51A1}"/>
    <hyperlink ref="F89" r:id="rId63" xr:uid="{E6A1077C-75CD-4639-BBB2-7614F84EDB15}"/>
    <hyperlink ref="F108" r:id="rId64" xr:uid="{388FC0DE-8F17-4D08-97DD-AA3B08A13BED}"/>
    <hyperlink ref="F10" r:id="rId65" xr:uid="{4F5C874D-2189-49A5-8691-E7478CFB6AD1}"/>
    <hyperlink ref="F78" r:id="rId66" xr:uid="{3D10D4D7-3EFB-4D0A-A35C-C8D003A9BB34}"/>
    <hyperlink ref="F11" r:id="rId67" xr:uid="{13767B0A-1225-4307-9F0E-222341DD2D91}"/>
    <hyperlink ref="F81" r:id="rId68" xr:uid="{EBB23972-A231-4EDE-856A-B4DE37279549}"/>
    <hyperlink ref="F75" r:id="rId69" xr:uid="{CC7D1B23-98DE-434F-99FD-36D00700A8BD}"/>
    <hyperlink ref="F56" r:id="rId70" xr:uid="{25A18282-C27B-41CB-A6C6-31AD320CAE8A}"/>
    <hyperlink ref="F93" r:id="rId71" xr:uid="{768EFF26-10DD-4E88-B89B-E7E43C0A1C5C}"/>
    <hyperlink ref="F2" r:id="rId72" xr:uid="{5A6C1E6A-031E-47B6-8533-73649A284D73}"/>
    <hyperlink ref="F105" r:id="rId73" xr:uid="{DA5B421C-CFD8-43A3-99B7-8084A1C5CAF7}"/>
    <hyperlink ref="F90" r:id="rId74" xr:uid="{F30ACD79-BBC3-45F8-9F40-5A8961ABE437}"/>
    <hyperlink ref="F20" r:id="rId75" xr:uid="{F250096C-B716-489A-9280-9A32E5DD5A36}"/>
    <hyperlink ref="F21" r:id="rId76" xr:uid="{6A0D52FE-83EE-4291-83D8-A9AD306DB769}"/>
    <hyperlink ref="F95" r:id="rId77" xr:uid="{3DF1DD82-A39B-4B8A-A414-F89A6F702B50}"/>
    <hyperlink ref="F96" r:id="rId78" xr:uid="{BC116EC6-1B7D-416A-828B-E501BB42B75D}"/>
    <hyperlink ref="F41" r:id="rId79" xr:uid="{6B220E79-63B5-4800-B71B-4D60FE0B62AD}"/>
    <hyperlink ref="F42" r:id="rId80" xr:uid="{E3C79C7C-0E0D-4BBA-AB1D-07A9C285DF1D}"/>
    <hyperlink ref="F23" r:id="rId81" xr:uid="{0FE6508D-EEFA-4897-8ED4-EF90856B4BE9}"/>
    <hyperlink ref="F77" r:id="rId82" xr:uid="{13F4D9FD-DC56-4FDF-934E-0090595C6FFB}"/>
    <hyperlink ref="F39" r:id="rId83" xr:uid="{D2F96E06-54B3-4560-8876-9E5106D31F08}"/>
    <hyperlink ref="F5" r:id="rId84" xr:uid="{0F736B21-DFCE-4849-B886-8C70B905B5D6}"/>
    <hyperlink ref="F101" r:id="rId85" xr:uid="{941857A3-9813-4DB6-B552-A6333540969C}"/>
    <hyperlink ref="F9" r:id="rId86" xr:uid="{7EF37B4B-581D-4B0B-A78C-62A444567CC7}"/>
    <hyperlink ref="F198" r:id="rId87" xr:uid="{26E5DD38-659B-403B-946D-4F27E3B7CDB1}"/>
    <hyperlink ref="F140" r:id="rId88" xr:uid="{724DB43C-6896-4134-AB14-9C780E4605EC}"/>
    <hyperlink ref="F118" r:id="rId89" xr:uid="{FFEBF5D0-1060-4BEF-89D5-BAADAD8C899A}"/>
    <hyperlink ref="F128" r:id="rId90" xr:uid="{DC68E2F1-C276-4E7C-BCA9-531DD4E6BD9C}"/>
    <hyperlink ref="F134" r:id="rId91" xr:uid="{8E80947F-8914-4A82-8207-9BA5EE804826}"/>
    <hyperlink ref="F124" r:id="rId92" xr:uid="{08B7D657-F118-4FD1-B36A-8328691FFC93}"/>
    <hyperlink ref="F187" r:id="rId93" xr:uid="{1BD9EB25-CAFF-4036-BAC4-0F112E046D12}"/>
    <hyperlink ref="F192" r:id="rId94" xr:uid="{F14CD5BF-C23D-47EA-8A69-187776CC87B2}"/>
    <hyperlink ref="F180" r:id="rId95" xr:uid="{91D44282-0984-41FC-BDE9-2E6ECE7B84CE}"/>
    <hyperlink ref="F169" r:id="rId96" xr:uid="{C042CA77-B220-47A4-AC60-F74765C2DED2}"/>
    <hyperlink ref="F173" r:id="rId97" xr:uid="{BC4A9805-17D8-4AB6-877E-E5D20543E17A}"/>
    <hyperlink ref="F136" r:id="rId98" xr:uid="{BF2212F0-0B9C-41BF-B59F-072528A13135}"/>
    <hyperlink ref="F175" r:id="rId99" xr:uid="{CC5E4D59-0374-4E3B-93B3-A0BF74F2FA8B}"/>
    <hyperlink ref="F157" r:id="rId100" xr:uid="{814E336B-EC35-455B-97D2-D0CBDE9860B1}"/>
    <hyperlink ref="F194" r:id="rId101" xr:uid="{4ACC6E24-8E89-42B4-A2EA-E0269CD0E7C9}"/>
    <hyperlink ref="F133" r:id="rId102" xr:uid="{95C161E9-B78A-4EA5-809A-7C3680BAD633}"/>
    <hyperlink ref="F137" r:id="rId103" xr:uid="{F5E636BF-CBA0-4A0B-80B7-D3F75D4DE6E6}"/>
    <hyperlink ref="F216" r:id="rId104" xr:uid="{BE7080FC-A30B-464A-BB36-B86CB6D8D031}"/>
    <hyperlink ref="F163" r:id="rId105" xr:uid="{FEA58DEA-6D3D-4A0D-9DD7-1BFA40F46C8E}"/>
    <hyperlink ref="F116" r:id="rId106" xr:uid="{0AFB065D-CE22-4CB4-B6D7-06A8140CB781}"/>
    <hyperlink ref="F141" r:id="rId107" xr:uid="{3FFBE5E1-C7F2-49A0-8F3F-5748522A0A40}"/>
    <hyperlink ref="F143" r:id="rId108" xr:uid="{1196818E-3BE0-43E2-8A04-FF0579441629}"/>
    <hyperlink ref="F148" r:id="rId109" xr:uid="{502D1FC9-3462-4765-9E5E-E7C3C3459F33}"/>
    <hyperlink ref="F138" r:id="rId110" xr:uid="{F9367E16-C882-47BD-BA28-B6D498EBBBDF}"/>
    <hyperlink ref="F153" r:id="rId111" xr:uid="{5827E670-CC22-4A19-80E9-0FAD13040207}"/>
    <hyperlink ref="F131" r:id="rId112" xr:uid="{7324D0C3-0788-4576-AD24-8BECB1C99D92}"/>
    <hyperlink ref="F172" r:id="rId113" xr:uid="{AB5FBDF7-D37E-491D-9946-3160548AE6A8}"/>
    <hyperlink ref="F142" r:id="rId114" xr:uid="{EA23B5B8-7220-47DD-BCAC-CD4FB5AD8E36}"/>
    <hyperlink ref="F196" r:id="rId115" xr:uid="{F1E6C078-3238-4230-9B3C-5D344E88DC8F}"/>
    <hyperlink ref="F121" r:id="rId116" xr:uid="{86323CF0-65DC-4A65-8178-22D15088B81A}"/>
    <hyperlink ref="F197" r:id="rId117" xr:uid="{17EDE4B8-6AB5-4081-918F-58864B31B294}"/>
    <hyperlink ref="F127" r:id="rId118" xr:uid="{7872A657-8431-4E07-8F9C-BBD08118F4F1}"/>
    <hyperlink ref="F162" r:id="rId119" xr:uid="{0C62126B-9A87-4D2E-9714-28C23B4E3A67}"/>
    <hyperlink ref="F132" r:id="rId120" xr:uid="{55280FAB-A52C-4C9A-9794-D989F91BB6C5}"/>
    <hyperlink ref="F151" r:id="rId121" xr:uid="{9D14D9D0-2F6E-4378-8B66-C33A9603D422}"/>
    <hyperlink ref="F122" r:id="rId122" xr:uid="{C67B0835-73EE-4F4C-9D02-3E8DA3B1B9B5}"/>
    <hyperlink ref="F160" r:id="rId123" xr:uid="{3274074E-579B-401B-AFF4-2A7A312FAC03}"/>
    <hyperlink ref="F179" r:id="rId124" xr:uid="{0CD7DF02-C241-4BA9-845F-E878E8E44AC8}"/>
    <hyperlink ref="F191" r:id="rId125" xr:uid="{4F6ACE4D-F13A-4C63-A73A-187B9954DBD3}"/>
    <hyperlink ref="F126" r:id="rId126" xr:uid="{A8F0391F-F0A1-4EEC-BF97-F84975CAD894}"/>
    <hyperlink ref="F115" r:id="rId127" xr:uid="{8633D6DB-267F-4B4F-887C-C6C81786673C}"/>
    <hyperlink ref="F199" r:id="rId128" xr:uid="{5F804CD1-4685-4DB6-A8B3-16A4B23D4A0E}"/>
    <hyperlink ref="F181" r:id="rId129" xr:uid="{135CCDDC-FF90-4368-A48D-53FD458AB884}"/>
    <hyperlink ref="F13" r:id="rId130" display="https://suukedayo.wixsite.com/shiawasefairu" xr:uid="{5C87068A-9493-4575-9F2F-8AFF93967857}"/>
    <hyperlink ref="F41:F43" r:id="rId131" display="https://ameutaulii.wixsite.com/telepathycapsule" xr:uid="{1FCB85EF-9DB3-4BBB-840F-DED40B847B9D}"/>
    <hyperlink ref="F100:F102" r:id="rId132" location="target-tab" display="https://bowlroll.net/user/980255/files#target-tab" xr:uid="{213D3A81-9A42-4C7F-B2E5-32243417CB1A}"/>
    <hyperlink ref="F200" r:id="rId133" xr:uid="{BF5E860E-C594-4BB0-8BF4-0E67EAE670CD}"/>
    <hyperlink ref="F166" r:id="rId134" xr:uid="{5084134B-5F22-463F-A65C-BF93696D01E8}"/>
    <hyperlink ref="F135" r:id="rId135" xr:uid="{4E21A862-7310-4927-A746-53535E255C32}"/>
    <hyperlink ref="F190" r:id="rId136" xr:uid="{6289F76C-A975-44BE-A9EB-AD05A06F4776}"/>
    <hyperlink ref="F164" r:id="rId137" xr:uid="{6709143C-EC1C-4E22-8A6B-914136721DDA}"/>
    <hyperlink ref="F182" r:id="rId138" xr:uid="{A3591E43-7C22-4FD1-924E-15894D717A6F}"/>
    <hyperlink ref="F174" r:id="rId139" xr:uid="{771B46BB-CD8D-4DC4-AD1A-01F2CC50F599}"/>
    <hyperlink ref="F188" r:id="rId140" xr:uid="{DA94E514-95ED-48D5-8917-4CEB2D10AC09}"/>
    <hyperlink ref="F43:F47" r:id="rId141" display="https://ameutaulii.wixsite.com/telepathycapsule" xr:uid="{9D76E74C-8DF7-4F45-8589-E0807CE20677}"/>
    <hyperlink ref="F122:F125" r:id="rId142" display="https://cloudcatch1224.wixsite.com/godsfoot" xr:uid="{CF5CE9BC-4A5E-4FDE-B94E-70935778B8EE}"/>
    <hyperlink ref="F152:F153" r:id="rId143" display="https://grskmot8.wixsite.com/kdarock" xr:uid="{778A948E-0EB6-40B0-AEE3-C5B9A74B484A}"/>
    <hyperlink ref="F161:F164" r:id="rId144" display="https://hinagitsune-utau.wixsite.com/utaukokorone" xr:uid="{17B7B1A7-5C8D-466F-9936-50A01D2B01C7}"/>
    <hyperlink ref="F167:F168" r:id="rId145" display="https://hznonoka.wixsite.com/utau" xr:uid="{D4534A9A-D5A7-47DB-94B1-B6EE14D00FF9}"/>
    <hyperlink ref="F178:F181" r:id="rId146" display="https://jiwajiwakirinn.wixsite.com/sakurada" xr:uid="{A2742A21-A88E-4230-8D16-C14D41FFCE82}"/>
    <hyperlink ref="F146" r:id="rId147" xr:uid="{C797C69C-628B-412A-8EB3-9694BDDA7CA1}"/>
    <hyperlink ref="F195:F197" r:id="rId148" display="https://kaitoramma.chu.jp" xr:uid="{C20E8B38-57F4-4C2D-AA94-00D46DE98F12}"/>
    <hyperlink ref="F199:F200" r:id="rId149" display="https://kakokyu102krbs.wixsite.com/greenmilky" xr:uid="{244FAF66-4026-4EBC-8C9D-C8C09B8D909A}"/>
    <hyperlink ref="F177" r:id="rId150" xr:uid="{16E14A36-56AA-44B9-AA98-E05426A8C9C7}"/>
    <hyperlink ref="F150" r:id="rId151" xr:uid="{6E9C4F6F-FA1B-42F3-AC46-DA64382550D2}"/>
    <hyperlink ref="F165" r:id="rId152" xr:uid="{56736E0F-0AFA-4271-AAC9-8F1B2DE4CA11}"/>
    <hyperlink ref="F106" r:id="rId153" xr:uid="{D5485F09-193C-4CB0-8551-2D0B6663FC90}"/>
    <hyperlink ref="F206" r:id="rId154" xr:uid="{3CD97486-7ED3-4925-831A-7A3E2E192FC7}"/>
    <hyperlink ref="F208" r:id="rId155" xr:uid="{26BA9F98-6D8A-4FB8-94ED-728D56FB66EE}"/>
    <hyperlink ref="F207" r:id="rId156" xr:uid="{930D44F6-7039-41BB-B714-0AE06971BF30}"/>
    <hyperlink ref="F203" r:id="rId157" xr:uid="{4B026699-18B4-4413-BDE1-0CD08B74FB8F}"/>
    <hyperlink ref="F210" r:id="rId158" xr:uid="{1C4B71BE-855F-43C6-816A-C413C4057B75}"/>
    <hyperlink ref="F202" r:id="rId159" xr:uid="{5099072F-AB96-4254-A9FD-54871C4A74A2}"/>
    <hyperlink ref="F155" r:id="rId160" xr:uid="{CA7CC9AE-7315-42BE-937F-A3819BB9EBE0}"/>
    <hyperlink ref="F64" r:id="rId161" xr:uid="{418C9B4B-CFA8-4994-A14D-BC445F33856C}"/>
    <hyperlink ref="F119:F123" r:id="rId162" display="https://chunyinhui021.wixsite.com/mutyuusaisei" xr:uid="{FABDAE2C-7F63-441F-84B2-028938338884}"/>
    <hyperlink ref="F149" r:id="rId163" xr:uid="{C6473DEC-BF73-419B-AA56-146489756280}"/>
    <hyperlink ref="F119" r:id="rId164" xr:uid="{28C97FB3-933D-45FF-9628-75334EC574F4}"/>
    <hyperlink ref="F145:F152" r:id="rId165" display="https://flowerrocklove.wixsite.com/twilight-crisis" xr:uid="{FDAA4323-4883-4BB6-9181-C86DC3ADB7F0}"/>
    <hyperlink ref="F37" r:id="rId166" xr:uid="{AD3B11AA-D587-4DF1-8BC5-E508A5AD4F14}"/>
    <hyperlink ref="F212" r:id="rId167" xr:uid="{0E759D8E-9DE5-44ED-A2BE-A99A9E2627DB}"/>
    <hyperlink ref="F213" r:id="rId168" xr:uid="{406FC7AC-2166-4FD4-99F2-4BB095DB43CC}"/>
    <hyperlink ref="F211" r:id="rId169" xr:uid="{F9779F13-F0A4-4D78-98A1-1A2293AAA7FD}"/>
    <hyperlink ref="F214" r:id="rId170" xr:uid="{6CC49D90-7570-4B72-88D0-94D3708E5825}"/>
    <hyperlink ref="F17" r:id="rId171" xr:uid="{53566C5F-FB16-421E-81DF-F6230E99E473}"/>
    <hyperlink ref="F18" r:id="rId172" xr:uid="{72C86F07-C5A0-4A7B-9EE3-83CBC908E342}"/>
    <hyperlink ref="F215" r:id="rId173" xr:uid="{1B923E2D-7B61-46E7-9CD1-4FFE9FF203C6}"/>
    <hyperlink ref="F217" r:id="rId174" xr:uid="{ACD6D043-DC6C-4915-B869-0962630001EE}"/>
    <hyperlink ref="F218" r:id="rId175" xr:uid="{1BB09921-A1B5-4E8A-AF07-B858C21DFBCC}"/>
    <hyperlink ref="F219" r:id="rId176" xr:uid="{47501218-C0AE-448A-80CE-563AF7997BE9}"/>
    <hyperlink ref="F220" r:id="rId177" xr:uid="{3D463FD1-CA5E-441E-866F-5DDAABBEEC52}"/>
    <hyperlink ref="F234:F235" r:id="rId178" display="https://vividseekers.utau.sorairomarch.com" xr:uid="{77AABF20-E38A-4E5E-9256-98D67B3EFAD5}"/>
    <hyperlink ref="F221" r:id="rId179" xr:uid="{56FB0977-3126-4BA1-999A-6CCD84394835}"/>
    <hyperlink ref="F222" r:id="rId180" xr:uid="{034A46DA-F5A4-44C6-9E6C-646402456BD6}"/>
    <hyperlink ref="F223" r:id="rId181" xr:uid="{2A4F1930-4F68-493D-ABC5-F7A025BBE45F}"/>
    <hyperlink ref="F224" r:id="rId182" xr:uid="{BCE8DD4E-A8D7-4383-B8EB-68099CA41E17}"/>
    <hyperlink ref="F225" r:id="rId183" xr:uid="{0FC88DEF-F889-4B6B-8CCB-F686BBAEB5A1}"/>
    <hyperlink ref="F226" r:id="rId184" xr:uid="{39EF5822-BBE0-4D3D-A5F3-58E8CAA40F99}"/>
    <hyperlink ref="F227" r:id="rId185" xr:uid="{9AAFB909-13C3-424B-AFA4-345246155E51}"/>
    <hyperlink ref="F103" r:id="rId186" xr:uid="{3FE6181D-9E89-466D-A7CE-1D0B0A3A3BEA}"/>
    <hyperlink ref="F54" r:id="rId187" xr:uid="{56EDA6B7-5404-4B84-8803-D3F8DF00406E}"/>
    <hyperlink ref="F19" r:id="rId188" xr:uid="{29E00CE5-F341-424F-B6FD-353D0A58F088}"/>
    <hyperlink ref="F22" r:id="rId189" xr:uid="{C2676C57-00EE-443E-AF00-E0791C6E740E}"/>
    <hyperlink ref="F112" r:id="rId190" xr:uid="{2D89B21B-0461-4B5E-882D-8497ABF2C187}"/>
    <hyperlink ref="F185" r:id="rId191" xr:uid="{99C721D3-51F8-4C8D-9B5E-758137429D70}"/>
    <hyperlink ref="F228" r:id="rId192" xr:uid="{0D9566A2-B460-4D31-B72E-DEB0F19225F4}"/>
    <hyperlink ref="F229" r:id="rId193" display="https://kagerou009.hatenablog.com/" xr:uid="{3F9ACAE0-AC00-4378-9823-58DCEE87392D}"/>
    <hyperlink ref="F230" r:id="rId194" xr:uid="{A565DDFB-D389-4E52-B7CB-2398C4F3C765}"/>
    <hyperlink ref="F231" r:id="rId195" xr:uid="{41A10682-311A-4BA7-AE6F-603DD0D67F66}"/>
    <hyperlink ref="F232" r:id="rId196" xr:uid="{05BD7CD2-B093-43EE-8DC5-4C12CAED47A2}"/>
    <hyperlink ref="F233" r:id="rId197" xr:uid="{B570437B-1A43-46E5-A410-00F3E1539A09}"/>
    <hyperlink ref="F28" r:id="rId198" xr:uid="{63C1D56C-B991-45F8-94EC-E35369DC603E}"/>
    <hyperlink ref="F34" r:id="rId199" xr:uid="{A67D21AA-F815-41E4-BFD9-6807006DDE4E}"/>
    <hyperlink ref="F144" r:id="rId200" xr:uid="{4CBC728E-5763-42D6-A346-C8E3B0B203A9}"/>
    <hyperlink ref="F33" r:id="rId201" xr:uid="{D7D153FA-F757-4FE6-8E3E-ABC7E2EA0867}"/>
    <hyperlink ref="F36" r:id="rId202" xr:uid="{F2DC715E-9B0D-4BAA-8664-8E54D0C7F9E1}"/>
    <hyperlink ref="F82" r:id="rId203" xr:uid="{A55531EC-FC14-40F4-BEBC-99E58E049C85}"/>
    <hyperlink ref="F91" r:id="rId204" xr:uid="{A8BDD7AF-52A6-464A-988A-C1913D72E2C8}"/>
    <hyperlink ref="F92" r:id="rId205" xr:uid="{DE30E5AF-17EB-4450-BD2E-595A72C7204C}"/>
    <hyperlink ref="F158" r:id="rId206" xr:uid="{820134B8-ED42-4B4C-A25A-8338EF6EEEB0}"/>
    <hyperlink ref="F55" r:id="rId207" xr:uid="{CA4A437D-844A-4B30-BA65-9BDA11F750D9}"/>
    <hyperlink ref="F110" r:id="rId208" xr:uid="{6199CBBA-251A-4B48-8FCD-16DAC0BDCA3D}"/>
    <hyperlink ref="F63" r:id="rId209" xr:uid="{F7F8E687-6C4F-43B0-8BCD-CFD5182A4526}"/>
    <hyperlink ref="F236" r:id="rId210" display="https://vividseekers.utau.sorairomarch.com" xr:uid="{B9DF16B4-BAA8-4CFA-BC89-BFAC9010DC2D}"/>
    <hyperlink ref="F244" r:id="rId211" xr:uid="{71B32ECB-E3E3-4F9F-A681-9398B315E667}"/>
    <hyperlink ref="F245" r:id="rId212" xr:uid="{CAB57B14-7B3E-4E38-9775-54BD4B44DD64}"/>
    <hyperlink ref="F246" r:id="rId213" xr:uid="{D553FEB6-A31C-4E97-9F18-812BB8CD2247}"/>
    <hyperlink ref="F247" r:id="rId214" xr:uid="{481AA471-6038-4895-A289-8F72A0256A69}"/>
    <hyperlink ref="F248" r:id="rId215" xr:uid="{8F5207BC-58E2-45C2-9E92-FC6F6647CA37}"/>
    <hyperlink ref="F249" r:id="rId216" xr:uid="{9FC0B6E4-50F4-4534-ABBE-FF6E10E7DF9F}"/>
    <hyperlink ref="F250" r:id="rId217" xr:uid="{3A8E06B2-6E60-4755-8FF1-6A74DEADA27E}"/>
    <hyperlink ref="F251" r:id="rId218" xr:uid="{4D2986EF-454D-4598-8FCB-4339D505FC25}"/>
    <hyperlink ref="F252" r:id="rId219" xr:uid="{8E10B67B-DE30-467B-8188-8D9806DDDB93}"/>
    <hyperlink ref="F253" r:id="rId220" xr:uid="{89C74825-12F9-4E51-B4FB-2EEA0B53CBDB}"/>
    <hyperlink ref="F254" r:id="rId221" xr:uid="{DE58865E-E3D1-4F91-8E99-E15C8042256F}"/>
    <hyperlink ref="F255" r:id="rId222" xr:uid="{F2F74337-57C9-4AD2-851A-BFC306D347C5}"/>
    <hyperlink ref="F205" r:id="rId223" xr:uid="{2385E38C-050D-4845-BD06-7831447AED82}"/>
    <hyperlink ref="F256" r:id="rId224" xr:uid="{B6155AD2-8C9D-477F-92E1-238F333F52A8}"/>
    <hyperlink ref="F257" r:id="rId225" xr:uid="{8E696F60-1C4B-4157-ACE9-DC0E97D857BA}"/>
    <hyperlink ref="F258" r:id="rId226" xr:uid="{985919F2-D3E0-4E31-B775-348CE930877C}"/>
    <hyperlink ref="F259" r:id="rId227" xr:uid="{808E03FB-1DE1-42B2-9486-78546BBD3870}"/>
    <hyperlink ref="F260" r:id="rId228" xr:uid="{97BD1655-688C-43CC-8DFD-3BAFCEFF4022}"/>
    <hyperlink ref="F261" r:id="rId229" xr:uid="{9DE6D681-3406-447E-B911-10C675BB2C86}"/>
    <hyperlink ref="F262" r:id="rId230" xr:uid="{C738A581-A93D-4132-A3C0-11F0A6CD0135}"/>
    <hyperlink ref="F263" r:id="rId231" xr:uid="{BBBDDB5E-5676-4C83-B8D1-F535BF6DF7A6}"/>
    <hyperlink ref="F269" r:id="rId232" xr:uid="{3E74F0C7-67E2-448E-9F67-E6EFA99883C6}"/>
    <hyperlink ref="F268" r:id="rId233" xr:uid="{E0DA35B9-3164-4F31-9165-0FF83FD5A473}"/>
    <hyperlink ref="F264" r:id="rId234" xr:uid="{F26668EA-0337-4454-87F0-0583CCC1DDA3}"/>
    <hyperlink ref="F265:F267" r:id="rId235" display="https://nagimachi.wixsite.com/kairikonomachi" xr:uid="{9E02321C-FB1F-4E7A-B665-955F0CCBDFAE}"/>
  </hyperlinks>
  <pageMargins left="0.7" right="0.7" top="0.75" bottom="0.75" header="0.3" footer="0.3"/>
  <tableParts count="1">
    <tablePart r:id="rId23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5"/>
  <sheetViews>
    <sheetView workbookViewId="0">
      <selection activeCell="B13" sqref="B13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658</v>
      </c>
      <c r="B1" s="31" t="s">
        <v>663</v>
      </c>
      <c r="C1" s="31" t="s">
        <v>703</v>
      </c>
      <c r="D1" s="31" t="s">
        <v>1247</v>
      </c>
      <c r="E1" s="31" t="s">
        <v>1273</v>
      </c>
      <c r="F1" s="31" t="s">
        <v>1274</v>
      </c>
      <c r="G1" s="31" t="s">
        <v>1304</v>
      </c>
    </row>
    <row r="2" spans="1:7" x14ac:dyDescent="0.35">
      <c r="A2" t="s">
        <v>1307</v>
      </c>
      <c r="B2" t="s">
        <v>1249</v>
      </c>
      <c r="C2" t="s">
        <v>1218</v>
      </c>
      <c r="D2" t="s">
        <v>1270</v>
      </c>
      <c r="E2" t="s">
        <v>1284</v>
      </c>
      <c r="F2" t="s">
        <v>708</v>
      </c>
      <c r="G2" t="s">
        <v>1276</v>
      </c>
    </row>
    <row r="3" spans="1:7" x14ac:dyDescent="0.35">
      <c r="A3" t="s">
        <v>661</v>
      </c>
      <c r="B3" t="s">
        <v>1272</v>
      </c>
      <c r="C3" t="s">
        <v>1199</v>
      </c>
      <c r="D3" t="s">
        <v>1269</v>
      </c>
      <c r="E3" t="s">
        <v>1217</v>
      </c>
      <c r="F3" t="s">
        <v>1177</v>
      </c>
      <c r="G3" t="s">
        <v>1292</v>
      </c>
    </row>
    <row r="4" spans="1:7" x14ac:dyDescent="0.35">
      <c r="A4" t="s">
        <v>1248</v>
      </c>
      <c r="B4" t="s">
        <v>668</v>
      </c>
      <c r="C4" t="s">
        <v>1225</v>
      </c>
      <c r="D4" t="s">
        <v>1266</v>
      </c>
      <c r="E4" t="s">
        <v>1216</v>
      </c>
      <c r="F4" t="s">
        <v>1178</v>
      </c>
      <c r="G4" t="s">
        <v>1303</v>
      </c>
    </row>
    <row r="5" spans="1:7" x14ac:dyDescent="0.35">
      <c r="A5" t="s">
        <v>673</v>
      </c>
      <c r="B5" t="s">
        <v>1253</v>
      </c>
      <c r="C5" t="s">
        <v>1189</v>
      </c>
      <c r="D5" t="s">
        <v>1268</v>
      </c>
      <c r="E5" t="s">
        <v>1198</v>
      </c>
      <c r="F5" t="s">
        <v>1179</v>
      </c>
      <c r="G5" t="s">
        <v>1282</v>
      </c>
    </row>
    <row r="6" spans="1:7" x14ac:dyDescent="0.35">
      <c r="A6" t="s">
        <v>672</v>
      </c>
      <c r="B6" t="s">
        <v>1258</v>
      </c>
      <c r="C6" t="s">
        <v>1188</v>
      </c>
      <c r="D6" t="s">
        <v>1223</v>
      </c>
      <c r="E6" t="s">
        <v>1220</v>
      </c>
      <c r="F6" t="s">
        <v>1180</v>
      </c>
      <c r="G6" t="s">
        <v>1201</v>
      </c>
    </row>
    <row r="7" spans="1:7" x14ac:dyDescent="0.35">
      <c r="B7" t="s">
        <v>1257</v>
      </c>
      <c r="C7" t="s">
        <v>1190</v>
      </c>
      <c r="D7" t="s">
        <v>1212</v>
      </c>
      <c r="E7" t="s">
        <v>1219</v>
      </c>
      <c r="F7" t="s">
        <v>1278</v>
      </c>
      <c r="G7" t="s">
        <v>1205</v>
      </c>
    </row>
    <row r="8" spans="1:7" x14ac:dyDescent="0.35">
      <c r="B8" t="s">
        <v>1250</v>
      </c>
      <c r="C8" t="s">
        <v>1191</v>
      </c>
      <c r="D8" t="s">
        <v>1207</v>
      </c>
      <c r="E8" t="s">
        <v>1214</v>
      </c>
      <c r="F8" t="s">
        <v>1279</v>
      </c>
      <c r="G8" t="s">
        <v>1197</v>
      </c>
    </row>
    <row r="9" spans="1:7" x14ac:dyDescent="0.35">
      <c r="B9" t="s">
        <v>733</v>
      </c>
      <c r="C9" t="s">
        <v>1224</v>
      </c>
      <c r="D9" t="s">
        <v>1221</v>
      </c>
      <c r="E9" t="s">
        <v>1208</v>
      </c>
      <c r="F9" t="s">
        <v>1186</v>
      </c>
      <c r="G9" t="s">
        <v>1283</v>
      </c>
    </row>
    <row r="10" spans="1:7" x14ac:dyDescent="0.35">
      <c r="B10" t="s">
        <v>1262</v>
      </c>
      <c r="C10" t="s">
        <v>1195</v>
      </c>
      <c r="E10" t="s">
        <v>1202</v>
      </c>
      <c r="F10" t="s">
        <v>1185</v>
      </c>
      <c r="G10" t="s">
        <v>1213</v>
      </c>
    </row>
    <row r="11" spans="1:7" x14ac:dyDescent="0.35">
      <c r="B11" t="s">
        <v>1261</v>
      </c>
      <c r="C11" t="s">
        <v>1196</v>
      </c>
      <c r="E11" t="s">
        <v>1209</v>
      </c>
      <c r="F11" t="s">
        <v>1281</v>
      </c>
      <c r="G11" t="s">
        <v>1222</v>
      </c>
    </row>
    <row r="12" spans="1:7" x14ac:dyDescent="0.35">
      <c r="B12" t="s">
        <v>1252</v>
      </c>
      <c r="C12" t="s">
        <v>1194</v>
      </c>
      <c r="E12" t="s">
        <v>1204</v>
      </c>
      <c r="F12" t="s">
        <v>1215</v>
      </c>
      <c r="G12" t="s">
        <v>1200</v>
      </c>
    </row>
    <row r="13" spans="1:7" x14ac:dyDescent="0.35">
      <c r="B13" t="s">
        <v>1263</v>
      </c>
      <c r="C13" t="s">
        <v>1211</v>
      </c>
      <c r="E13" t="s">
        <v>1206</v>
      </c>
      <c r="G13" t="s">
        <v>1203</v>
      </c>
    </row>
    <row r="14" spans="1:7" x14ac:dyDescent="0.35">
      <c r="B14" t="s">
        <v>675</v>
      </c>
      <c r="C14" t="s">
        <v>1275</v>
      </c>
      <c r="G14" t="s">
        <v>1280</v>
      </c>
    </row>
    <row r="15" spans="1:7" x14ac:dyDescent="0.35">
      <c r="B15" t="s">
        <v>1264</v>
      </c>
      <c r="C15" t="s">
        <v>1193</v>
      </c>
      <c r="G15" t="s">
        <v>1286</v>
      </c>
    </row>
    <row r="16" spans="1:7" x14ac:dyDescent="0.35">
      <c r="B16" t="s">
        <v>1255</v>
      </c>
      <c r="G16" t="s">
        <v>1287</v>
      </c>
    </row>
    <row r="17" spans="2:7" x14ac:dyDescent="0.35">
      <c r="B17" t="s">
        <v>1259</v>
      </c>
      <c r="G17" t="s">
        <v>1210</v>
      </c>
    </row>
    <row r="18" spans="2:7" x14ac:dyDescent="0.35">
      <c r="B18" t="s">
        <v>1254</v>
      </c>
      <c r="G18" t="s">
        <v>1277</v>
      </c>
    </row>
    <row r="19" spans="2:7" x14ac:dyDescent="0.35">
      <c r="B19" t="s">
        <v>1251</v>
      </c>
    </row>
    <row r="20" spans="2:7" x14ac:dyDescent="0.35">
      <c r="B20" t="s">
        <v>1256</v>
      </c>
    </row>
    <row r="21" spans="2:7" x14ac:dyDescent="0.35">
      <c r="B21" t="s">
        <v>1260</v>
      </c>
    </row>
    <row r="22" spans="2:7" x14ac:dyDescent="0.35">
      <c r="B22" t="s">
        <v>1125</v>
      </c>
    </row>
    <row r="23" spans="2:7" x14ac:dyDescent="0.35">
      <c r="B23" t="s">
        <v>1265</v>
      </c>
    </row>
    <row r="24" spans="2:7" x14ac:dyDescent="0.35">
      <c r="B24" t="s">
        <v>1271</v>
      </c>
    </row>
    <row r="25" spans="2:7" x14ac:dyDescent="0.35">
      <c r="B25" t="s">
        <v>1267</v>
      </c>
    </row>
  </sheetData>
  <sortState xmlns:xlrd2="http://schemas.microsoft.com/office/spreadsheetml/2017/richdata2" ref="E2:E12">
    <sortCondition ref="E2:E1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407</v>
      </c>
      <c r="C2" s="32"/>
    </row>
    <row r="4" spans="2:3" ht="30" customHeight="1" x14ac:dyDescent="0.35">
      <c r="B4" s="4" t="s">
        <v>411</v>
      </c>
      <c r="C4" s="7">
        <f ca="1">MATCH(C5,キャラ情報!C:C,0)</f>
        <v>269</v>
      </c>
    </row>
    <row r="5" spans="2:3" ht="30" customHeight="1" x14ac:dyDescent="0.35">
      <c r="B5" s="4" t="s">
        <v>408</v>
      </c>
      <c r="C5" s="6" t="str">
        <f ca="1">INDEX(キャラ情報!C:S,MATCH(MIN(キャラ情報!S:S),キャラ情報!S:S,0),1)</f>
        <v>亜音サイコ</v>
      </c>
    </row>
    <row r="6" spans="2:3" ht="30" customHeight="1" x14ac:dyDescent="0.35">
      <c r="B6" s="4" t="s">
        <v>409</v>
      </c>
      <c r="C6" s="6" t="str">
        <f ca="1">INDEX(キャラ情報!C:S,MATCH(MIN(キャラ情報!S:S),キャラ情報!S:S,0),4)</f>
        <v>https://aisupiku.wixsite.com/tsuginesaiko</v>
      </c>
    </row>
    <row r="9" spans="2:3" ht="30" customHeight="1" x14ac:dyDescent="0.35">
      <c r="B9" s="32" t="s">
        <v>423</v>
      </c>
      <c r="C9" s="32"/>
    </row>
    <row r="11" spans="2:3" ht="30" customHeight="1" x14ac:dyDescent="0.35">
      <c r="B11" s="4" t="s">
        <v>411</v>
      </c>
      <c r="C11" s="7">
        <f ca="1">MATCH(C12,キャラ情報!C:C,0)</f>
        <v>264</v>
      </c>
    </row>
    <row r="12" spans="2:3" ht="30" customHeight="1" x14ac:dyDescent="0.35">
      <c r="B12" s="4" t="s">
        <v>408</v>
      </c>
      <c r="C12" s="6" t="str">
        <f ca="1">INDEX(キャラ情報!C:U,MATCH(MIN(キャラ情報!U:U),キャラ情報!U:U,0),1)</f>
        <v>有部音ゴエμ</v>
      </c>
    </row>
    <row r="14" spans="2:3" ht="30" customHeight="1" thickBot="1" x14ac:dyDescent="0.4">
      <c r="B14" s="8" t="s">
        <v>426</v>
      </c>
    </row>
    <row r="15" spans="2:3" ht="30" customHeight="1" thickTop="1" x14ac:dyDescent="0.35">
      <c r="B15" s="9" t="s">
        <v>601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>"No."&amp;MAX(キャラ情報!A:A)+1&amp;"｜"</f>
        <v>No.269｜</v>
      </c>
      <c r="C17" s="12" t="str">
        <f ca="1">C12</f>
        <v>有部音ゴエμ</v>
      </c>
    </row>
    <row r="18" spans="2:3" ht="30" customHeight="1" x14ac:dyDescent="0.35">
      <c r="B18" s="11" t="str">
        <f ca="1">INDEX(キャラ情報!C:G,MATCH(C12,キャラ情報!C:C,0),5)</f>
        <v xml:space="preserve">#返り子の町 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427</v>
      </c>
      <c r="C20" s="12"/>
    </row>
    <row r="21" spans="2:3" ht="30" customHeight="1" thickBot="1" x14ac:dyDescent="0.4">
      <c r="B21" s="13" t="s">
        <v>688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69"/>
  <sheetViews>
    <sheetView topLeftCell="A224" zoomScale="50" zoomScaleNormal="50" workbookViewId="0">
      <selection activeCell="N2" sqref="N2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654</v>
      </c>
      <c r="B1" s="18" t="s">
        <v>650</v>
      </c>
      <c r="C1" s="18" t="s">
        <v>651</v>
      </c>
      <c r="D1" s="18" t="s">
        <v>652</v>
      </c>
      <c r="E1" s="18" t="s">
        <v>653</v>
      </c>
      <c r="F1" s="18" t="s">
        <v>655</v>
      </c>
      <c r="G1" s="18" t="s">
        <v>656</v>
      </c>
      <c r="H1" s="18" t="s">
        <v>657</v>
      </c>
      <c r="I1" s="1" t="s">
        <v>663</v>
      </c>
      <c r="J1" s="1" t="s">
        <v>703</v>
      </c>
      <c r="K1" s="1" t="s">
        <v>1247</v>
      </c>
      <c r="L1" s="1" t="s">
        <v>664</v>
      </c>
      <c r="M1" s="1" t="s">
        <v>665</v>
      </c>
      <c r="N1" s="1" t="s">
        <v>1304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https://lit.link/sereinrain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故人|幽霊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/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バーチャル|双子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/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バーチャル|双子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人間|双子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/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妖精|双子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/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神|不老|不死|長寿</v>
      </c>
      <c r="J33" s="19" t="str">
        <f>SUBSTITUTE(テーブル1[[#This Row],[モチーフタグ]],"、","|")</f>
        <v/>
      </c>
      <c r="K33" s="19" t="str">
        <f>SUBSTITUTE(テーブル1[[#This Row],[属性タグ]],"、","|")</f>
        <v/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故人|幽霊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/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/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妖怪|長寿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/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https://lit.link/sereinrain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妖精|双子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/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</v>
      </c>
      <c r="J91" s="19" t="str">
        <f>SUBSTITUTE(テーブル1[[#This Row],[モチーフタグ]],"、","|")</f>
        <v/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</v>
      </c>
      <c r="J92" s="19" t="str">
        <f>SUBSTITUTE(テーブル1[[#This Row],[モチーフタグ]],"、","|")</f>
        <v/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人間|長寿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/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天使|長寿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/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故人|ゾンビ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/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人間|不老|不死|長寿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/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人間|長寿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/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https://lit.link/sereinrain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人間|双子|故人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/>
      </c>
      <c r="I191" s="19" t="str">
        <f>SUBSTITUTE(テーブル1[[#This Row],[種族タグ]],"、","|")</f>
        <v/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/>
      </c>
      <c r="M191" s="19" t="str">
        <f>SUBSTITUTE(テーブル1[[#This Row],[小物タグ]],"、","|")</f>
        <v/>
      </c>
      <c r="N191" s="19" t="str">
        <f>SUBSTITUTE(テーブル1[[#This Row],[身体的特徴タグ]],"、","|")</f>
        <v/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https://lit.link/sereinrain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https://mashimo0330.wixsite.com/awaka-utau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/>
      </c>
      <c r="I197" s="19" t="str">
        <f>SUBSTITUTE(テーブル1[[#This Row],[種族タグ]],"、","|")</f>
        <v/>
      </c>
      <c r="J197" s="19" t="str">
        <f>SUBSTITUTE(テーブル1[[#This Row],[モチーフタグ]],"、","|")</f>
        <v/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/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https://rapo080302.wixsite.com/twosibi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機械|長寿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/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人間|不老|不死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/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故人|幽霊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/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2026-07-26T12:32:10Z</dcterms:modified>
  <cp:category/>
  <cp:contentStatus/>
</cp:coreProperties>
</file>