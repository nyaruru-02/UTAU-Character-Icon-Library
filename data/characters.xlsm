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5C073503-4C79-420D-B843-2383F2ABE1FB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6" i="9" l="1"/>
  <c r="B276" i="9"/>
  <c r="C276" i="9"/>
  <c r="D276" i="9"/>
  <c r="E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E270" i="9"/>
  <c r="E271" i="9"/>
  <c r="E272" i="9"/>
  <c r="E273" i="9"/>
  <c r="E274" i="9"/>
  <c r="E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Q276" i="1"/>
  <c r="U276" i="1"/>
  <c r="V276" i="1"/>
  <c r="W276" i="1"/>
  <c r="X276" i="1"/>
  <c r="Y276" i="1"/>
  <c r="Z276" i="1"/>
  <c r="B275" i="1"/>
  <c r="Q275" i="1"/>
  <c r="U275" i="1"/>
  <c r="V275" i="1"/>
  <c r="W275" i="1"/>
  <c r="X275" i="1"/>
  <c r="Y275" i="1"/>
  <c r="Z275" i="1"/>
  <c r="B274" i="1"/>
  <c r="V274" i="1" s="1"/>
  <c r="Q274" i="1"/>
  <c r="U274" i="1"/>
  <c r="W274" i="1"/>
  <c r="X274" i="1"/>
  <c r="Y274" i="1"/>
  <c r="Z274" i="1"/>
  <c r="B273" i="1"/>
  <c r="V273" i="1" s="1"/>
  <c r="Q273" i="1"/>
  <c r="U273" i="1"/>
  <c r="W273" i="1"/>
  <c r="X273" i="1"/>
  <c r="Y273" i="1"/>
  <c r="Z273" i="1"/>
  <c r="B272" i="1"/>
  <c r="V272" i="1" s="1"/>
  <c r="Q272" i="1"/>
  <c r="U272" i="1"/>
  <c r="W272" i="1"/>
  <c r="X272" i="1"/>
  <c r="Y272" i="1"/>
  <c r="Z272" i="1"/>
  <c r="B271" i="1"/>
  <c r="V271" i="1" s="1"/>
  <c r="Q271" i="1"/>
  <c r="U271" i="1"/>
  <c r="W271" i="1"/>
  <c r="X271" i="1"/>
  <c r="Y271" i="1"/>
  <c r="Z271" i="1"/>
  <c r="B270" i="1"/>
  <c r="V270" i="1" s="1"/>
  <c r="Q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Q269" i="1"/>
  <c r="U269" i="1"/>
  <c r="W269" i="1"/>
  <c r="X269" i="1"/>
  <c r="Y269" i="1"/>
  <c r="Z269" i="1"/>
  <c r="B268" i="1"/>
  <c r="Q268" i="1"/>
  <c r="U268" i="1"/>
  <c r="W268" i="1"/>
  <c r="X268" i="1"/>
  <c r="Y268" i="1"/>
  <c r="Z268" i="1"/>
  <c r="B267" i="1"/>
  <c r="Q267" i="1"/>
  <c r="U267" i="1"/>
  <c r="W267" i="1"/>
  <c r="X267" i="1"/>
  <c r="Y267" i="1"/>
  <c r="Z267" i="1"/>
  <c r="B266" i="1"/>
  <c r="Q266" i="1"/>
  <c r="U266" i="1"/>
  <c r="W266" i="1"/>
  <c r="X266" i="1"/>
  <c r="Y266" i="1"/>
  <c r="Z266" i="1"/>
  <c r="B264" i="1"/>
  <c r="Q264" i="1"/>
  <c r="W264" i="1"/>
  <c r="X264" i="1"/>
  <c r="Y264" i="1"/>
  <c r="Z264" i="1"/>
  <c r="B265" i="1"/>
  <c r="Q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Q263" i="1"/>
  <c r="W263" i="1"/>
  <c r="X263" i="1"/>
  <c r="Y263" i="1"/>
  <c r="Z263" i="1"/>
  <c r="B262" i="1"/>
  <c r="Q262" i="1"/>
  <c r="U262" i="1"/>
  <c r="W262" i="1"/>
  <c r="X262" i="1"/>
  <c r="Y262" i="1"/>
  <c r="Z262" i="1"/>
  <c r="B261" i="1"/>
  <c r="Q261" i="1"/>
  <c r="U261" i="1"/>
  <c r="W261" i="1"/>
  <c r="X261" i="1"/>
  <c r="Y261" i="1"/>
  <c r="Z261" i="1"/>
  <c r="B260" i="1"/>
  <c r="Q260" i="1"/>
  <c r="U260" i="1"/>
  <c r="W260" i="1"/>
  <c r="X260" i="1"/>
  <c r="Y260" i="1"/>
  <c r="Z260" i="1"/>
  <c r="B259" i="1"/>
  <c r="Q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Q258" i="1"/>
  <c r="U258" i="1"/>
  <c r="W258" i="1"/>
  <c r="X258" i="1"/>
  <c r="Y258" i="1"/>
  <c r="Z258" i="1"/>
  <c r="B257" i="1"/>
  <c r="V257" i="1" s="1"/>
  <c r="Q257" i="1"/>
  <c r="U257" i="1"/>
  <c r="W257" i="1"/>
  <c r="X257" i="1"/>
  <c r="Y257" i="1"/>
  <c r="Z257" i="1"/>
  <c r="B256" i="1"/>
  <c r="Q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5" i="9"/>
  <c r="G48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5" i="9"/>
  <c r="G88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29" i="9"/>
  <c r="G130" i="9"/>
  <c r="G132" i="9"/>
  <c r="G133" i="9"/>
  <c r="G134" i="9"/>
  <c r="G135" i="9"/>
  <c r="G136" i="9"/>
  <c r="G137" i="9"/>
  <c r="G138" i="9"/>
  <c r="G139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0" i="9"/>
  <c r="G181" i="9"/>
  <c r="G182" i="9"/>
  <c r="G184" i="9"/>
  <c r="G185" i="9"/>
  <c r="G187" i="9"/>
  <c r="G188" i="9"/>
  <c r="G189" i="9"/>
  <c r="G190" i="9"/>
  <c r="G194" i="9"/>
  <c r="G196" i="9"/>
  <c r="G197" i="9"/>
  <c r="G198" i="9"/>
  <c r="G199" i="9"/>
  <c r="G200" i="9"/>
  <c r="G202" i="9"/>
  <c r="G203" i="9"/>
  <c r="G204" i="9"/>
  <c r="G205" i="9"/>
  <c r="G206" i="9"/>
  <c r="G209" i="9"/>
  <c r="G211" i="9"/>
  <c r="G212" i="9"/>
  <c r="G213" i="9"/>
  <c r="G214" i="9"/>
  <c r="G215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Q255" i="1"/>
  <c r="U255" i="1"/>
  <c r="W255" i="1"/>
  <c r="X255" i="1"/>
  <c r="Y255" i="1"/>
  <c r="Z255" i="1"/>
  <c r="B254" i="1"/>
  <c r="V254" i="1" s="1"/>
  <c r="Q254" i="1"/>
  <c r="U254" i="1"/>
  <c r="W254" i="1"/>
  <c r="X254" i="1"/>
  <c r="Y254" i="1"/>
  <c r="Z254" i="1"/>
  <c r="B253" i="1"/>
  <c r="Q253" i="1"/>
  <c r="U253" i="1"/>
  <c r="W253" i="1"/>
  <c r="X253" i="1"/>
  <c r="Y253" i="1"/>
  <c r="Z253" i="1"/>
  <c r="B252" i="1"/>
  <c r="Q252" i="1"/>
  <c r="U252" i="1"/>
  <c r="W252" i="1"/>
  <c r="X252" i="1"/>
  <c r="Y252" i="1"/>
  <c r="Z252" i="1"/>
  <c r="B251" i="1"/>
  <c r="V251" i="1" s="1"/>
  <c r="Q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Q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Q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Q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Q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Q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Q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Q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Q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Q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Q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Q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B233" i="1"/>
  <c r="Q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Q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Q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Q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Q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Q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115" i="1"/>
  <c r="G143" i="1"/>
  <c r="G149" i="1"/>
  <c r="G89" i="9" s="1"/>
  <c r="G160" i="1"/>
  <c r="G162" i="1"/>
  <c r="G44" i="9" s="1"/>
  <c r="G166" i="1"/>
  <c r="G179" i="1"/>
  <c r="G228" i="9" s="1"/>
  <c r="G207" i="1"/>
  <c r="G208" i="1"/>
  <c r="G124" i="9" s="1"/>
  <c r="G210" i="1"/>
  <c r="G258" i="9" s="1"/>
  <c r="G223" i="1"/>
  <c r="Q227" i="1"/>
  <c r="U227" i="1"/>
  <c r="W227" i="1"/>
  <c r="X227" i="1"/>
  <c r="Y227" i="1"/>
  <c r="Q226" i="1"/>
  <c r="U226" i="1"/>
  <c r="W226" i="1"/>
  <c r="X226" i="1"/>
  <c r="Y226" i="1"/>
  <c r="Q225" i="1"/>
  <c r="U225" i="1"/>
  <c r="W225" i="1"/>
  <c r="X225" i="1"/>
  <c r="Y225" i="1"/>
  <c r="Q224" i="1"/>
  <c r="U224" i="1"/>
  <c r="W224" i="1"/>
  <c r="X224" i="1"/>
  <c r="Y224" i="1"/>
  <c r="Q223" i="1"/>
  <c r="U223" i="1"/>
  <c r="W223" i="1"/>
  <c r="X223" i="1"/>
  <c r="Y223" i="1"/>
  <c r="Q222" i="1"/>
  <c r="U222" i="1"/>
  <c r="W222" i="1"/>
  <c r="X222" i="1"/>
  <c r="Y222" i="1"/>
  <c r="Q221" i="1"/>
  <c r="U221" i="1"/>
  <c r="W221" i="1"/>
  <c r="X221" i="1"/>
  <c r="Y221" i="1"/>
  <c r="Q220" i="1"/>
  <c r="U220" i="1"/>
  <c r="W220" i="1"/>
  <c r="X220" i="1"/>
  <c r="Y220" i="1"/>
  <c r="Q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Q218" i="1"/>
  <c r="U218" i="1"/>
  <c r="Q217" i="1"/>
  <c r="U217" i="1"/>
  <c r="Q215" i="1"/>
  <c r="U215" i="1"/>
  <c r="Q214" i="1"/>
  <c r="U214" i="1"/>
  <c r="Q213" i="1"/>
  <c r="U213" i="1"/>
  <c r="Q212" i="1"/>
  <c r="U212" i="1"/>
  <c r="Q211" i="1"/>
  <c r="U211" i="1"/>
  <c r="B17" i="6"/>
  <c r="Q202" i="1"/>
  <c r="U202" i="1"/>
  <c r="Q205" i="1"/>
  <c r="U205" i="1"/>
  <c r="Q210" i="1"/>
  <c r="U210" i="1"/>
  <c r="Q203" i="1"/>
  <c r="U203" i="1"/>
  <c r="Q207" i="1"/>
  <c r="U207" i="1"/>
  <c r="Q208" i="1"/>
  <c r="U208" i="1"/>
  <c r="Q204" i="1"/>
  <c r="U204" i="1"/>
  <c r="Q183" i="1"/>
  <c r="U183" i="1"/>
  <c r="Q206" i="1"/>
  <c r="U206" i="1"/>
  <c r="Q165" i="1"/>
  <c r="U165" i="1"/>
  <c r="Q150" i="1"/>
  <c r="U150" i="1"/>
  <c r="Q177" i="1"/>
  <c r="U177" i="1"/>
  <c r="Q188" i="1"/>
  <c r="U188" i="1"/>
  <c r="Q174" i="1"/>
  <c r="U174" i="1"/>
  <c r="S13" i="1"/>
  <c r="S17" i="1"/>
  <c r="S18" i="1"/>
  <c r="S86" i="1"/>
  <c r="S106" i="1"/>
  <c r="S95" i="1"/>
  <c r="S96" i="1"/>
  <c r="S40" i="1"/>
  <c r="S61" i="1"/>
  <c r="S80" i="1"/>
  <c r="S94" i="1"/>
  <c r="S199" i="1"/>
  <c r="S78" i="1"/>
  <c r="S89" i="1"/>
  <c r="S147" i="1"/>
  <c r="S139" i="1"/>
  <c r="S184" i="1"/>
  <c r="S19" i="1"/>
  <c r="S75" i="1"/>
  <c r="S155" i="1"/>
  <c r="S58" i="1"/>
  <c r="S59" i="1"/>
  <c r="S69" i="1"/>
  <c r="S114" i="1"/>
  <c r="S118" i="1"/>
  <c r="S120" i="1"/>
  <c r="S123" i="1"/>
  <c r="S128" i="1"/>
  <c r="S129" i="1"/>
  <c r="S209" i="1"/>
  <c r="S189" i="1"/>
  <c r="S193" i="1"/>
  <c r="S140" i="1"/>
  <c r="S195" i="1"/>
  <c r="S161" i="1"/>
  <c r="S198" i="1"/>
  <c r="S145" i="1"/>
  <c r="S186" i="1"/>
  <c r="S178" i="1"/>
  <c r="S152" i="1"/>
  <c r="S115" i="1"/>
  <c r="S141" i="1"/>
  <c r="S143" i="1"/>
  <c r="S28" i="1"/>
  <c r="S34" i="1"/>
  <c r="S144" i="1"/>
  <c r="S175" i="1"/>
  <c r="S157" i="1"/>
  <c r="S185" i="1"/>
  <c r="S22" i="1"/>
  <c r="S112" i="1"/>
  <c r="S54" i="1"/>
  <c r="S103" i="1"/>
  <c r="S64" i="1"/>
  <c r="S44" i="1"/>
  <c r="S66" i="1"/>
  <c r="S4" i="1"/>
  <c r="S113" i="1"/>
  <c r="S117" i="1"/>
  <c r="S171" i="1"/>
  <c r="S119" i="1"/>
  <c r="S159" i="1"/>
  <c r="S191" i="1"/>
  <c r="S46" i="1"/>
  <c r="S93" i="1"/>
  <c r="S37" i="1"/>
  <c r="S16" i="1"/>
  <c r="S65" i="1"/>
  <c r="S11" i="1"/>
  <c r="S148" i="1"/>
  <c r="S138" i="1"/>
  <c r="S26" i="1"/>
  <c r="S27" i="1"/>
  <c r="S201" i="1"/>
  <c r="S153" i="1"/>
  <c r="S146" i="1"/>
  <c r="S29" i="1"/>
  <c r="S30" i="1"/>
  <c r="S130" i="1"/>
  <c r="S156" i="1"/>
  <c r="S43" i="1"/>
  <c r="S55" i="1"/>
  <c r="S110" i="1"/>
  <c r="S20" i="1"/>
  <c r="S21" i="1"/>
  <c r="S41" i="1"/>
  <c r="S7" i="1"/>
  <c r="S131" i="1"/>
  <c r="S23" i="1"/>
  <c r="S42" i="1"/>
  <c r="S63" i="1"/>
  <c r="S74" i="1"/>
  <c r="S85" i="1"/>
  <c r="S3" i="1"/>
  <c r="S50" i="1"/>
  <c r="S192" i="1"/>
  <c r="S180" i="1"/>
  <c r="S81" i="1"/>
  <c r="S154" i="1"/>
  <c r="S108" i="1"/>
  <c r="S125" i="1"/>
  <c r="S197" i="1"/>
  <c r="S121" i="1"/>
  <c r="S196" i="1"/>
  <c r="S5" i="1"/>
  <c r="S127" i="1"/>
  <c r="S57" i="1"/>
  <c r="S2" i="1"/>
  <c r="S25" i="1"/>
  <c r="S102" i="1"/>
  <c r="S194" i="1"/>
  <c r="S47" i="1"/>
  <c r="S68" i="1"/>
  <c r="S173" i="1"/>
  <c r="S169" i="1"/>
  <c r="S105" i="1"/>
  <c r="S124" i="1"/>
  <c r="S134" i="1"/>
  <c r="S49" i="1"/>
  <c r="S116" i="1"/>
  <c r="S163" i="1"/>
  <c r="S38" i="1"/>
  <c r="S48" i="1"/>
  <c r="S53" i="1"/>
  <c r="S97" i="1"/>
  <c r="S107" i="1"/>
  <c r="S33" i="1"/>
  <c r="S36" i="1"/>
  <c r="S82" i="1"/>
  <c r="S91" i="1"/>
  <c r="S92" i="1"/>
  <c r="S158" i="1"/>
  <c r="S60" i="1"/>
  <c r="S132" i="1"/>
  <c r="S135" i="1"/>
  <c r="S167" i="1"/>
  <c r="S62" i="1"/>
  <c r="S79" i="1"/>
  <c r="S10" i="1"/>
  <c r="S8" i="1"/>
  <c r="S24" i="1"/>
  <c r="S32" i="1"/>
  <c r="S76" i="1"/>
  <c r="S87" i="1"/>
  <c r="S88" i="1"/>
  <c r="S109" i="1"/>
  <c r="S187" i="1"/>
  <c r="S56" i="1"/>
  <c r="S126" i="1"/>
  <c r="S136" i="1"/>
  <c r="S172" i="1"/>
  <c r="S142" i="1"/>
  <c r="S14" i="1"/>
  <c r="S39" i="1"/>
  <c r="S72" i="1"/>
  <c r="S73" i="1"/>
  <c r="S133" i="1"/>
  <c r="S137" i="1"/>
  <c r="S83" i="1"/>
  <c r="S84" i="1"/>
  <c r="S162" i="1"/>
  <c r="S6" i="1"/>
  <c r="S15" i="1"/>
  <c r="S12" i="1"/>
  <c r="S104" i="1"/>
  <c r="S52" i="1"/>
  <c r="S111" i="1"/>
  <c r="S90" i="1"/>
  <c r="S31" i="1"/>
  <c r="S35" i="1"/>
  <c r="S9" i="1"/>
  <c r="S101" i="1"/>
  <c r="S45" i="1"/>
  <c r="S99" i="1"/>
  <c r="S100" i="1"/>
  <c r="S51" i="1"/>
  <c r="S70" i="1"/>
  <c r="S77" i="1"/>
  <c r="S160" i="1"/>
  <c r="S179" i="1"/>
  <c r="S98" i="1"/>
  <c r="S166" i="1"/>
  <c r="S67" i="1"/>
  <c r="S71" i="1"/>
  <c r="S122" i="1"/>
  <c r="S151" i="1"/>
  <c r="Q182" i="1"/>
  <c r="U182" i="1"/>
  <c r="Q13" i="1"/>
  <c r="Q17" i="1"/>
  <c r="Q18" i="1"/>
  <c r="Q86" i="1"/>
  <c r="Q106" i="1"/>
  <c r="Q95" i="1"/>
  <c r="Q96" i="1"/>
  <c r="Q40" i="1"/>
  <c r="Q61" i="1"/>
  <c r="Q80" i="1"/>
  <c r="Q94" i="1"/>
  <c r="Q199" i="1"/>
  <c r="Q78" i="1"/>
  <c r="Q89" i="1"/>
  <c r="Q147" i="1"/>
  <c r="Q139" i="1"/>
  <c r="Q184" i="1"/>
  <c r="Q19" i="1"/>
  <c r="Q75" i="1"/>
  <c r="Q155" i="1"/>
  <c r="Q58" i="1"/>
  <c r="Q59" i="1"/>
  <c r="Q69" i="1"/>
  <c r="Q114" i="1"/>
  <c r="Q118" i="1"/>
  <c r="Q120" i="1"/>
  <c r="Q123" i="1"/>
  <c r="Q128" i="1"/>
  <c r="Q129" i="1"/>
  <c r="Q209" i="1"/>
  <c r="Q189" i="1"/>
  <c r="Q193" i="1"/>
  <c r="Q140" i="1"/>
  <c r="Q195" i="1"/>
  <c r="Q161" i="1"/>
  <c r="Q198" i="1"/>
  <c r="Q145" i="1"/>
  <c r="Q186" i="1"/>
  <c r="Q178" i="1"/>
  <c r="Q152" i="1"/>
  <c r="Q176" i="1"/>
  <c r="Q115" i="1"/>
  <c r="Q141" i="1"/>
  <c r="Q143" i="1"/>
  <c r="Q28" i="1"/>
  <c r="Q34" i="1"/>
  <c r="Q144" i="1"/>
  <c r="Q175" i="1"/>
  <c r="Q157" i="1"/>
  <c r="Q216" i="1"/>
  <c r="Q185" i="1"/>
  <c r="Q22" i="1"/>
  <c r="Q112" i="1"/>
  <c r="Q54" i="1"/>
  <c r="Q103" i="1"/>
  <c r="Q64" i="1"/>
  <c r="Q44" i="1"/>
  <c r="Q66" i="1"/>
  <c r="Q4" i="1"/>
  <c r="Q113" i="1"/>
  <c r="Q117" i="1"/>
  <c r="Q171" i="1"/>
  <c r="Q149" i="1"/>
  <c r="Q119" i="1"/>
  <c r="Q159" i="1"/>
  <c r="Q191" i="1"/>
  <c r="Q190" i="1"/>
  <c r="Q46" i="1"/>
  <c r="Q93" i="1"/>
  <c r="Q37" i="1"/>
  <c r="Q16" i="1"/>
  <c r="Q65" i="1"/>
  <c r="Q11" i="1"/>
  <c r="Q148" i="1"/>
  <c r="Q138" i="1"/>
  <c r="Q164" i="1"/>
  <c r="Q26" i="1"/>
  <c r="Q27" i="1"/>
  <c r="Q201" i="1"/>
  <c r="Q170" i="1"/>
  <c r="Q153" i="1"/>
  <c r="Q146" i="1"/>
  <c r="Q29" i="1"/>
  <c r="Q30" i="1"/>
  <c r="Q130" i="1"/>
  <c r="Q156" i="1"/>
  <c r="Q43" i="1"/>
  <c r="Q55" i="1"/>
  <c r="Q110" i="1"/>
  <c r="Q20" i="1"/>
  <c r="Q21" i="1"/>
  <c r="Q41" i="1"/>
  <c r="Q7" i="1"/>
  <c r="Q131" i="1"/>
  <c r="Q23" i="1"/>
  <c r="Q42" i="1"/>
  <c r="Q63" i="1"/>
  <c r="Q234" i="1"/>
  <c r="Q235" i="1"/>
  <c r="Q237" i="1"/>
  <c r="Q238" i="1"/>
  <c r="Q239" i="1"/>
  <c r="Q240" i="1"/>
  <c r="Q74" i="1"/>
  <c r="Q85" i="1"/>
  <c r="Q3" i="1"/>
  <c r="Q50" i="1"/>
  <c r="Q192" i="1"/>
  <c r="Q180" i="1"/>
  <c r="Q81" i="1"/>
  <c r="Q181" i="1"/>
  <c r="Q154" i="1"/>
  <c r="Q168" i="1"/>
  <c r="Q108" i="1"/>
  <c r="Q125" i="1"/>
  <c r="Q197" i="1"/>
  <c r="Q121" i="1"/>
  <c r="Q196" i="1"/>
  <c r="Q5" i="1"/>
  <c r="Q127" i="1"/>
  <c r="Q57" i="1"/>
  <c r="Q2" i="1"/>
  <c r="Q25" i="1"/>
  <c r="Q102" i="1"/>
  <c r="Q194" i="1"/>
  <c r="Q47" i="1"/>
  <c r="Q68" i="1"/>
  <c r="Q173" i="1"/>
  <c r="Q169" i="1"/>
  <c r="Q105" i="1"/>
  <c r="Q124" i="1"/>
  <c r="Q134" i="1"/>
  <c r="Q49" i="1"/>
  <c r="Q116" i="1"/>
  <c r="Q163" i="1"/>
  <c r="Q38" i="1"/>
  <c r="Q48" i="1"/>
  <c r="Q53" i="1"/>
  <c r="Q97" i="1"/>
  <c r="Q107" i="1"/>
  <c r="Q33" i="1"/>
  <c r="Q36" i="1"/>
  <c r="Q82" i="1"/>
  <c r="Q91" i="1"/>
  <c r="Q92" i="1"/>
  <c r="Q158" i="1"/>
  <c r="Q60" i="1"/>
  <c r="Q132" i="1"/>
  <c r="Q135" i="1"/>
  <c r="Q167" i="1"/>
  <c r="Q62" i="1"/>
  <c r="Q79" i="1"/>
  <c r="Q10" i="1"/>
  <c r="Q8" i="1"/>
  <c r="Q24" i="1"/>
  <c r="Q32" i="1"/>
  <c r="Q76" i="1"/>
  <c r="Q87" i="1"/>
  <c r="Q88" i="1"/>
  <c r="Q109" i="1"/>
  <c r="Q187" i="1"/>
  <c r="Q56" i="1"/>
  <c r="Q126" i="1"/>
  <c r="Q136" i="1"/>
  <c r="Q172" i="1"/>
  <c r="Q142" i="1"/>
  <c r="Q14" i="1"/>
  <c r="Q39" i="1"/>
  <c r="Q72" i="1"/>
  <c r="Q73" i="1"/>
  <c r="Q133" i="1"/>
  <c r="Q137" i="1"/>
  <c r="Q83" i="1"/>
  <c r="Q84" i="1"/>
  <c r="Q162" i="1"/>
  <c r="Q6" i="1"/>
  <c r="Q15" i="1"/>
  <c r="Q12" i="1"/>
  <c r="Q104" i="1"/>
  <c r="Q52" i="1"/>
  <c r="Q111" i="1"/>
  <c r="Q90" i="1"/>
  <c r="Q31" i="1"/>
  <c r="Q35" i="1"/>
  <c r="Q9" i="1"/>
  <c r="Q101" i="1"/>
  <c r="Q45" i="1"/>
  <c r="Q99" i="1"/>
  <c r="Q100" i="1"/>
  <c r="Q51" i="1"/>
  <c r="Q70" i="1"/>
  <c r="Q77" i="1"/>
  <c r="Q160" i="1"/>
  <c r="Q179" i="1"/>
  <c r="Q98" i="1"/>
  <c r="Q166" i="1"/>
  <c r="Q67" i="1"/>
  <c r="Q71" i="1"/>
  <c r="Q200" i="1"/>
  <c r="Q122" i="1"/>
  <c r="Q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S227" i="1"/>
  <c r="S226" i="1"/>
  <c r="S225" i="1"/>
  <c r="S224" i="1"/>
  <c r="S223" i="1"/>
  <c r="S222" i="1"/>
  <c r="S221" i="1"/>
  <c r="S220" i="1"/>
  <c r="S219" i="1"/>
  <c r="S218" i="1"/>
  <c r="S217" i="1"/>
  <c r="S215" i="1"/>
  <c r="S214" i="1"/>
  <c r="S211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200" i="1"/>
  <c r="S181" i="1"/>
  <c r="S176" i="1"/>
  <c r="S149" i="1"/>
  <c r="S170" i="1"/>
  <c r="S164" i="1"/>
  <c r="S190" i="1"/>
  <c r="S216" i="1"/>
  <c r="S168" i="1"/>
  <c r="R276" i="1" l="1"/>
  <c r="S276" i="1" s="1"/>
  <c r="R275" i="1"/>
  <c r="S275" i="1" s="1"/>
  <c r="R274" i="1"/>
  <c r="S274" i="1" s="1"/>
  <c r="R273" i="1"/>
  <c r="S273" i="1" s="1"/>
  <c r="R272" i="1"/>
  <c r="S272" i="1" s="1"/>
  <c r="R271" i="1"/>
  <c r="S271" i="1" s="1"/>
  <c r="R270" i="1"/>
  <c r="S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R269" i="1"/>
  <c r="S269" i="1" s="1"/>
  <c r="R268" i="1"/>
  <c r="S268" i="1" s="1"/>
  <c r="R267" i="1"/>
  <c r="S267" i="1" s="1"/>
  <c r="R266" i="1"/>
  <c r="S266" i="1" s="1"/>
  <c r="E263" i="9"/>
  <c r="V263" i="1"/>
  <c r="R264" i="1"/>
  <c r="S264" i="1" s="1"/>
  <c r="R265" i="1"/>
  <c r="S265" i="1" s="1"/>
  <c r="E259" i="9"/>
  <c r="V259" i="1"/>
  <c r="E262" i="9"/>
  <c r="V262" i="1"/>
  <c r="E261" i="9"/>
  <c r="V261" i="1"/>
  <c r="V260" i="1"/>
  <c r="E260" i="9"/>
  <c r="G219" i="9"/>
  <c r="G222" i="9"/>
  <c r="R263" i="1"/>
  <c r="S263" i="1" s="1"/>
  <c r="R262" i="1"/>
  <c r="S262" i="1" s="1"/>
  <c r="R260" i="1"/>
  <c r="S260" i="1" s="1"/>
  <c r="R261" i="1"/>
  <c r="S261" i="1" s="1"/>
  <c r="G192" i="9"/>
  <c r="G193" i="9"/>
  <c r="G149" i="9"/>
  <c r="G87" i="9"/>
  <c r="R259" i="1"/>
  <c r="S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R258" i="1"/>
  <c r="S258" i="1" s="1"/>
  <c r="R257" i="1"/>
  <c r="S257" i="1" s="1"/>
  <c r="R256" i="1"/>
  <c r="S256" i="1" s="1"/>
  <c r="E251" i="9"/>
  <c r="E252" i="9"/>
  <c r="E253" i="9"/>
  <c r="E254" i="9"/>
  <c r="R255" i="1"/>
  <c r="S255" i="1" s="1"/>
  <c r="R254" i="1"/>
  <c r="S254" i="1" s="1"/>
  <c r="V253" i="1"/>
  <c r="V252" i="1"/>
  <c r="V248" i="1"/>
  <c r="R253" i="1"/>
  <c r="S253" i="1" s="1"/>
  <c r="R252" i="1"/>
  <c r="S252" i="1" s="1"/>
  <c r="R251" i="1"/>
  <c r="S251" i="1" s="1"/>
  <c r="E250" i="9"/>
  <c r="R250" i="1"/>
  <c r="S250" i="1" s="1"/>
  <c r="E249" i="9"/>
  <c r="R249" i="1"/>
  <c r="S249" i="1" s="1"/>
  <c r="E248" i="9"/>
  <c r="V246" i="1"/>
  <c r="V247" i="1"/>
  <c r="R248" i="1"/>
  <c r="S248" i="1" s="1"/>
  <c r="E247" i="9"/>
  <c r="R247" i="1"/>
  <c r="S247" i="1" s="1"/>
  <c r="V245" i="1"/>
  <c r="E246" i="9"/>
  <c r="R246" i="1"/>
  <c r="S246" i="1" s="1"/>
  <c r="E245" i="9"/>
  <c r="R245" i="1"/>
  <c r="S245" i="1" s="1"/>
  <c r="E244" i="9"/>
  <c r="V242" i="1"/>
  <c r="V243" i="1"/>
  <c r="V244" i="1"/>
  <c r="R244" i="1"/>
  <c r="S244" i="1" s="1"/>
  <c r="E243" i="9"/>
  <c r="R243" i="1"/>
  <c r="S243" i="1" s="1"/>
  <c r="E242" i="9"/>
  <c r="R242" i="1"/>
  <c r="S242" i="1" s="1"/>
  <c r="E238" i="9"/>
  <c r="E239" i="9"/>
  <c r="E240" i="9"/>
  <c r="E241" i="9"/>
  <c r="V241" i="1"/>
  <c r="R241" i="1"/>
  <c r="S241" i="1" s="1"/>
  <c r="V236" i="1"/>
  <c r="E237" i="9"/>
  <c r="E236" i="9"/>
  <c r="R236" i="1"/>
  <c r="S236" i="1" s="1"/>
  <c r="E235" i="9"/>
  <c r="V233" i="1"/>
  <c r="E234" i="9"/>
  <c r="E233" i="9"/>
  <c r="R233" i="1"/>
  <c r="S233" i="1" s="1"/>
  <c r="V232" i="1"/>
  <c r="V231" i="1"/>
  <c r="E232" i="9"/>
  <c r="R232" i="1"/>
  <c r="S232" i="1" s="1"/>
  <c r="R93" i="1"/>
  <c r="R156" i="1"/>
  <c r="R172" i="1"/>
  <c r="R21" i="1"/>
  <c r="R107" i="1"/>
  <c r="R16" i="1"/>
  <c r="R35" i="1"/>
  <c r="R106" i="1"/>
  <c r="R55" i="1"/>
  <c r="R90" i="1"/>
  <c r="R25" i="1"/>
  <c r="R137" i="1"/>
  <c r="R154" i="1"/>
  <c r="R101" i="1"/>
  <c r="R22" i="1"/>
  <c r="R89" i="1"/>
  <c r="R112" i="1"/>
  <c r="R240" i="1"/>
  <c r="R195" i="1"/>
  <c r="R9" i="1"/>
  <c r="R108" i="1"/>
  <c r="R62" i="1"/>
  <c r="R193" i="1"/>
  <c r="R168" i="1"/>
  <c r="R86" i="1"/>
  <c r="R126" i="1"/>
  <c r="R235" i="1"/>
  <c r="R129" i="1"/>
  <c r="R117" i="1"/>
  <c r="R125" i="1"/>
  <c r="R113" i="1"/>
  <c r="R20" i="1"/>
  <c r="R53" i="1"/>
  <c r="R157" i="1"/>
  <c r="R209" i="1"/>
  <c r="R141" i="1"/>
  <c r="R33" i="1"/>
  <c r="R65" i="1"/>
  <c r="R194" i="1"/>
  <c r="R4" i="1"/>
  <c r="R110" i="1"/>
  <c r="R31" i="1"/>
  <c r="R237" i="1"/>
  <c r="R128" i="1"/>
  <c r="R48" i="1"/>
  <c r="R37" i="1"/>
  <c r="R111" i="1"/>
  <c r="R185" i="1"/>
  <c r="R97" i="1"/>
  <c r="R136" i="1"/>
  <c r="R18" i="1"/>
  <c r="R161" i="1"/>
  <c r="R79" i="1"/>
  <c r="R140" i="1"/>
  <c r="R102" i="1"/>
  <c r="R191" i="1"/>
  <c r="R78" i="1"/>
  <c r="R43" i="1"/>
  <c r="R175" i="1"/>
  <c r="R38" i="1"/>
  <c r="R143" i="1"/>
  <c r="R190" i="1"/>
  <c r="R239" i="1"/>
  <c r="R238" i="1"/>
  <c r="R216" i="1"/>
  <c r="R166" i="1"/>
  <c r="R167" i="1"/>
  <c r="R189" i="1"/>
  <c r="E231" i="9"/>
  <c r="R231" i="1"/>
  <c r="S231" i="1" s="1"/>
  <c r="E230" i="9"/>
  <c r="R36" i="1"/>
  <c r="R47" i="1"/>
  <c r="R41" i="1"/>
  <c r="R11" i="1"/>
  <c r="R19" i="1"/>
  <c r="R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R83" i="1"/>
  <c r="R142" i="1"/>
  <c r="R10" i="1"/>
  <c r="R230" i="1"/>
  <c r="S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R68" i="1"/>
  <c r="R197" i="1"/>
  <c r="R74" i="1"/>
  <c r="R148" i="1"/>
  <c r="R171" i="1"/>
  <c r="R198" i="1"/>
  <c r="R147" i="1"/>
  <c r="R95" i="1"/>
  <c r="R45" i="1"/>
  <c r="R229" i="1"/>
  <c r="S229" i="1" s="1"/>
  <c r="R227" i="1"/>
  <c r="R226" i="1"/>
  <c r="R225" i="1"/>
  <c r="R224" i="1"/>
  <c r="R223" i="1"/>
  <c r="R186" i="1"/>
  <c r="R59" i="1"/>
  <c r="R151" i="1"/>
  <c r="R71" i="1"/>
  <c r="R100" i="1"/>
  <c r="R24" i="1"/>
  <c r="R91" i="1"/>
  <c r="R173" i="1"/>
  <c r="R85" i="1"/>
  <c r="R138" i="1"/>
  <c r="R119" i="1"/>
  <c r="R28" i="1"/>
  <c r="R145" i="1"/>
  <c r="R58" i="1"/>
  <c r="R96" i="1"/>
  <c r="R234" i="1"/>
  <c r="R122" i="1"/>
  <c r="R67" i="1"/>
  <c r="R99" i="1"/>
  <c r="R84" i="1"/>
  <c r="R8" i="1"/>
  <c r="R82" i="1"/>
  <c r="R222" i="1"/>
  <c r="R221" i="1"/>
  <c r="R220" i="1"/>
  <c r="R219" i="1"/>
  <c r="R196" i="1"/>
  <c r="R50" i="1"/>
  <c r="R131" i="1"/>
  <c r="R26" i="1"/>
  <c r="R178" i="1"/>
  <c r="R69" i="1"/>
  <c r="R139" i="1"/>
  <c r="R40" i="1"/>
  <c r="R51" i="1"/>
  <c r="R32" i="1"/>
  <c r="R92" i="1"/>
  <c r="R169" i="1"/>
  <c r="R121" i="1"/>
  <c r="R3" i="1"/>
  <c r="R7" i="1"/>
  <c r="R170" i="1"/>
  <c r="R164" i="1"/>
  <c r="R34" i="1"/>
  <c r="R228" i="1"/>
  <c r="S228" i="1" s="1"/>
  <c r="R213" i="1"/>
  <c r="R212" i="1"/>
  <c r="R211" i="1"/>
  <c r="R70" i="1"/>
  <c r="R162" i="1"/>
  <c r="R76" i="1"/>
  <c r="R158" i="1"/>
  <c r="R105" i="1"/>
  <c r="E57" i="9"/>
  <c r="E65" i="9"/>
  <c r="E67" i="9"/>
  <c r="E64" i="9"/>
  <c r="E68" i="9"/>
  <c r="E4" i="9"/>
  <c r="E60" i="9"/>
  <c r="E66" i="9"/>
  <c r="E63" i="9"/>
  <c r="E69" i="9"/>
  <c r="R214" i="1"/>
  <c r="R215" i="1"/>
  <c r="R218" i="1"/>
  <c r="R217" i="1"/>
  <c r="R202" i="1"/>
  <c r="R205" i="1"/>
  <c r="R210" i="1"/>
  <c r="R203" i="1"/>
  <c r="R207" i="1"/>
  <c r="R208" i="1"/>
  <c r="R204" i="1"/>
  <c r="R206" i="1"/>
  <c r="R183" i="1"/>
  <c r="R165" i="1"/>
  <c r="R150" i="1"/>
  <c r="R177" i="1"/>
  <c r="R174" i="1"/>
  <c r="R188" i="1"/>
  <c r="R182" i="1"/>
  <c r="R56" i="1"/>
  <c r="R133" i="1"/>
  <c r="R130" i="1"/>
  <c r="R135" i="1"/>
  <c r="R163" i="1"/>
  <c r="R13" i="1"/>
  <c r="R200" i="1"/>
  <c r="R17" i="1"/>
  <c r="R52" i="1"/>
  <c r="R98" i="1"/>
  <c r="R104" i="1"/>
  <c r="R15" i="1"/>
  <c r="R73" i="1"/>
  <c r="R187" i="1"/>
  <c r="R116" i="1"/>
  <c r="R2" i="1"/>
  <c r="R181" i="1"/>
  <c r="R63" i="1"/>
  <c r="R30" i="1"/>
  <c r="R44" i="1"/>
  <c r="R176" i="1"/>
  <c r="R123" i="1"/>
  <c r="R155" i="1"/>
  <c r="R199" i="1"/>
  <c r="R179" i="1"/>
  <c r="R87" i="1"/>
  <c r="R60" i="1"/>
  <c r="R124" i="1"/>
  <c r="R5" i="1"/>
  <c r="R192" i="1"/>
  <c r="R153" i="1"/>
  <c r="R27" i="1"/>
  <c r="R46" i="1"/>
  <c r="R159" i="1"/>
  <c r="R149" i="1"/>
  <c r="R54" i="1"/>
  <c r="R144" i="1"/>
  <c r="R152" i="1"/>
  <c r="R114" i="1"/>
  <c r="R184" i="1"/>
  <c r="R61" i="1"/>
  <c r="C12" i="6"/>
  <c r="R12" i="1"/>
  <c r="R6" i="1"/>
  <c r="R72" i="1"/>
  <c r="R109" i="1"/>
  <c r="R49" i="1"/>
  <c r="R57" i="1"/>
  <c r="R81" i="1"/>
  <c r="R42" i="1"/>
  <c r="R29" i="1"/>
  <c r="R64" i="1"/>
  <c r="R120" i="1"/>
  <c r="R94" i="1"/>
  <c r="R160" i="1"/>
  <c r="R39" i="1"/>
  <c r="R88" i="1"/>
  <c r="R132" i="1"/>
  <c r="R118" i="1"/>
  <c r="R75" i="1"/>
  <c r="R80" i="1"/>
  <c r="R66" i="1"/>
  <c r="R77" i="1"/>
  <c r="R14" i="1"/>
  <c r="R134" i="1"/>
  <c r="R127" i="1"/>
  <c r="R180" i="1"/>
  <c r="R23" i="1"/>
  <c r="R146" i="1"/>
  <c r="R201" i="1"/>
  <c r="R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S235" i="1" l="1"/>
  <c r="S239" i="1"/>
  <c r="S238" i="1"/>
  <c r="S240" i="1"/>
  <c r="S237" i="1"/>
  <c r="S234" i="1"/>
  <c r="S213" i="1"/>
  <c r="S212" i="1"/>
  <c r="C17" i="6"/>
  <c r="C11" i="6"/>
  <c r="B18" i="6"/>
  <c r="C5" i="6" l="1"/>
  <c r="C4" i="6" s="1"/>
  <c r="C6" i="6"/>
</calcChain>
</file>

<file path=xl/sharedStrings.xml><?xml version="1.0" encoding="utf-8"?>
<sst xmlns="http://schemas.openxmlformats.org/spreadsheetml/2006/main" count="2774" uniqueCount="1346">
  <si>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</si>
  <si>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</si>
  <si>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</si>
  <si>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</si>
  <si>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</si>
  <si>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</si>
  <si>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</si>
  <si>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</si>
  <si>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</si>
  <si>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</si>
  <si>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</si>
  <si>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</si>
  <si>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</si>
  <si>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</si>
  <si>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</si>
  <si>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</si>
  <si>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</si>
  <si>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</si>
  <si>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</si>
  <si>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</si>
  <si>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</si>
  <si>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</si>
  <si>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</si>
  <si>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</si>
  <si>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</si>
  <si>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</si>
  <si>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</si>
  <si>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</si>
  <si>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</si>
  <si>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</si>
  <si>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</si>
  <si>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</si>
  <si>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</si>
  <si>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</si>
  <si>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</si>
  <si>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</si>
  <si>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</si>
  <si>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</si>
  <si>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</si>
  <si>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</si>
  <si>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</si>
  <si>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</si>
  <si>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</si>
  <si>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</si>
  <si>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</si>
  <si>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</si>
  <si>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</si>
  <si>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</si>
  <si>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</si>
  <si>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</si>
  <si>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</si>
  <si>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</si>
  <si>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</si>
  <si>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</si>
  <si>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</si>
  <si>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</si>
  <si>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</si>
  <si>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</si>
  <si>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</si>
  <si>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</si>
  <si>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</si>
  <si>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</si>
  <si>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</si>
  <si>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</si>
  <si>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</si>
  <si>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</si>
  <si>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</si>
  <si>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</si>
  <si>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</si>
  <si>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</si>
  <si>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</si>
  <si>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</si>
  <si>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</si>
  <si>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</si>
  <si>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</si>
  <si>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</si>
  <si>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</si>
  <si>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</si>
  <si>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</si>
  <si>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</si>
  <si>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</si>
  <si>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</si>
  <si>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</si>
  <si>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</si>
  <si>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</si>
  <si>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</si>
  <si>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</si>
  <si>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</si>
  <si>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</si>
  <si>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</si>
  <si>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</si>
  <si>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</si>
  <si>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</si>
  <si>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</si>
  <si>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</si>
  <si>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</si>
  <si>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</si>
  <si>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</si>
  <si>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</si>
  <si>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</si>
  <si>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</si>
  <si>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</si>
  <si>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</si>
  <si>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</si>
  <si>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</si>
  <si>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</si>
  <si>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</si>
  <si>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</si>
  <si>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</si>
  <si>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</si>
  <si>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</si>
  <si>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</si>
  <si>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</si>
  <si>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</si>
  <si>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</si>
  <si>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</si>
  <si>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</si>
  <si>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</si>
  <si>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</si>
  <si>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</si>
  <si>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</si>
  <si>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</si>
  <si>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</si>
  <si>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</si>
  <si>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</si>
  <si>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</si>
  <si>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</si>
  <si>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</si>
  <si>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</si>
  <si>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</si>
  <si>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</si>
  <si>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</si>
  <si>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</si>
  <si>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</si>
  <si>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</si>
  <si>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</si>
  <si>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</si>
  <si>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</si>
  <si>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</si>
  <si>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</si>
  <si>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</si>
  <si>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</si>
  <si>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</si>
  <si>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</si>
  <si>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</si>
  <si>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</si>
  <si>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</si>
  <si>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</si>
  <si>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</si>
  <si>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</si>
  <si>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</si>
  <si>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</si>
  <si>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</si>
  <si>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</si>
  <si>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</si>
  <si>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</si>
  <si>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</si>
  <si>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</si>
  <si>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</si>
  <si>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</si>
  <si>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</si>
  <si>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</si>
  <si>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</si>
  <si>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</si>
  <si>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</si>
  <si>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</si>
  <si>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</si>
  <si>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</si>
  <si>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</si>
  <si>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</si>
  <si>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</si>
  <si>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</si>
  <si>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</si>
  <si>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</si>
  <si>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</si>
  <si>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</si>
  <si>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</si>
  <si>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</si>
  <si>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</si>
  <si>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</si>
  <si>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</si>
  <si>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</si>
  <si>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</si>
  <si>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</si>
  <si>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</si>
  <si>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</si>
  <si>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</si>
  <si>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</si>
  <si>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</si>
  <si>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</si>
  <si>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</si>
  <si>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</si>
  <si>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</si>
  <si>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</si>
  <si>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</si>
  <si>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</si>
  <si>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</si>
  <si>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</si>
  <si>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</si>
  <si>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</si>
  <si>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</si>
  <si>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</si>
  <si>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</si>
  <si>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</si>
  <si>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</si>
  <si>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</si>
  <si>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</si>
  <si>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</si>
  <si>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</si>
  <si>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</si>
  <si>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</si>
  <si>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</si>
  <si>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</si>
  <si>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</si>
  <si>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</si>
  <si>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</si>
  <si>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</si>
  <si>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</si>
  <si>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</si>
  <si>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</si>
  <si>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</si>
  <si>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</si>
  <si>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</si>
  <si>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</si>
  <si>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</si>
  <si>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</si>
  <si>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</si>
  <si>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</si>
  <si>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</si>
  <si>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</si>
  <si>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</si>
  <si>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</si>
  <si>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</si>
  <si>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</si>
  <si>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</si>
  <si>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</si>
  <si>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</si>
  <si>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</si>
  <si>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</si>
  <si>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</si>
  <si>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</si>
  <si>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</si>
  <si>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</si>
  <si>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</si>
  <si>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</si>
  <si>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</si>
  <si>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</si>
  <si>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</si>
  <si>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</si>
  <si>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</si>
  <si>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</si>
  <si>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</si>
  <si>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</si>
  <si>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</si>
  <si>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</si>
  <si>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</si>
  <si>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</si>
  <si>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</si>
  <si>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</si>
  <si>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</si>
  <si>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</si>
  <si>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</si>
  <si>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</si>
  <si>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</si>
  <si>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</si>
  <si>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</si>
  <si>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</si>
  <si>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</si>
  <si>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</si>
  <si>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</si>
  <si>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</si>
  <si>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</si>
  <si>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</si>
  <si>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</si>
  <si>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</si>
  <si>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</si>
  <si>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</si>
  <si>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</si>
  <si>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</si>
  <si>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</si>
  <si>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</si>
  <si>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</si>
  <si>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</si>
  <si>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</si>
  <si>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</si>
  <si>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</si>
  <si>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</si>
  <si>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</si>
  <si>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</si>
  <si>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</si>
  <si>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</si>
  <si>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</si>
  <si>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</si>
  <si>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</si>
  <si>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</si>
  <si>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</si>
  <si>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</si>
  <si>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</si>
  <si>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</si>
  <si>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</si>
  <si>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</si>
  <si>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</si>
  <si>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</si>
  <si>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</si>
  <si>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</si>
  <si>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</si>
  <si>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</si>
  <si>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</si>
  <si>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</si>
  <si>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</si>
  <si>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</si>
  <si>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</si>
  <si>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</si>
  <si>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</si>
  <si>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</si>
  <si>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</si>
  <si>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</si>
  <si>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</si>
  <si>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</si>
  <si>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</si>
  <si>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</si>
  <si>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</si>
  <si>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</si>
  <si>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</si>
  <si>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</si>
  <si>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</si>
  <si>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</si>
  <si>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</si>
  <si>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</si>
  <si>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</si>
  <si>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</si>
  <si>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</si>
  <si>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</si>
  <si>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</si>
  <si>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</si>
  <si>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</si>
  <si>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</si>
  <si>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</si>
  <si>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</si>
  <si>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</si>
  <si>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</si>
  <si>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</si>
  <si>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</si>
  <si>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</si>
  <si>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</si>
  <si>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</si>
  <si>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</si>
  <si>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</si>
  <si>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</si>
  <si>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</si>
  <si>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</si>
  <si>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</si>
  <si>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</si>
  <si>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</si>
  <si>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</si>
  <si>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</si>
  <si>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</si>
  <si>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</si>
  <si>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</si>
  <si>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</si>
  <si>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</si>
  <si>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</si>
  <si>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</si>
  <si>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</si>
  <si>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</si>
  <si>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</si>
  <si>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</si>
  <si>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</si>
  <si>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</si>
  <si>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</si>
  <si>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</si>
  <si>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</si>
  <si>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</si>
  <si>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</si>
  <si>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</si>
  <si>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</si>
  <si>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</si>
  <si>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</si>
  <si>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</si>
  <si>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</si>
  <si>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</si>
  <si>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</si>
  <si>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</si>
  <si>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</si>
  <si>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</si>
  <si>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</si>
  <si>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</si>
  <si>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</si>
  <si>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</si>
  <si>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</si>
  <si>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</si>
  <si>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</si>
  <si>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</si>
  <si>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</si>
  <si>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</si>
  <si>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</si>
  <si>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</si>
  <si>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</si>
  <si>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</si>
  <si>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</si>
  <si>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</si>
  <si>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</si>
  <si>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</si>
  <si>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</si>
  <si>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</si>
  <si>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</si>
  <si>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</si>
  <si>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</si>
  <si>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</si>
  <si>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</si>
  <si>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</si>
  <si>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</si>
  <si>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</si>
  <si>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</si>
  <si>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</si>
  <si>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</si>
  <si>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</si>
  <si>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</si>
  <si>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</si>
  <si>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</si>
  <si>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</si>
  <si>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</si>
  <si>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</si>
  <si>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</si>
  <si>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</si>
  <si>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</si>
  <si>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</si>
  <si>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</si>
  <si>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</si>
  <si>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</si>
  <si>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</si>
  <si>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</si>
  <si>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</si>
  <si>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</si>
  <si>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</si>
  <si>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</si>
  <si>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</si>
  <si>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</si>
  <si>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</si>
  <si>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</si>
  <si>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</si>
  <si>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</si>
  <si>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</si>
  <si>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</si>
  <si>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</si>
  <si>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</si>
  <si>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</si>
  <si>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</si>
  <si>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</si>
  <si>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</si>
  <si>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</si>
  <si>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</si>
  <si>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</si>
  <si>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</si>
  <si>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</si>
  <si>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</si>
  <si>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</si>
  <si>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</si>
  <si>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</si>
  <si>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</si>
  <si>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</si>
  <si>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</si>
  <si>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</si>
  <si>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</si>
  <si>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</si>
  <si>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</si>
  <si>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</si>
  <si>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</si>
  <si>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</si>
  <si>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</si>
  <si>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</si>
  <si>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</si>
  <si>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</si>
  <si>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</si>
  <si>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</si>
  <si>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</si>
  <si>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</si>
  <si>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</si>
  <si>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</si>
  <si>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</si>
  <si>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</si>
  <si>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</si>
  <si>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</si>
  <si>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</si>
  <si>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</si>
  <si>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</si>
  <si>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</si>
  <si>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</si>
  <si>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</si>
  <si>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</si>
  <si>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</si>
  <si>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</si>
  <si>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</si>
  <si>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</si>
  <si>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</si>
  <si>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</si>
  <si>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</si>
  <si>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</si>
  <si>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</si>
  <si>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</si>
  <si>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</si>
  <si>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</si>
  <si>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</si>
  <si>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</si>
  <si>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</si>
  <si>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</si>
  <si>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</si>
  <si>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</si>
  <si>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</si>
  <si>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</si>
  <si>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</si>
  <si>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</si>
  <si>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</si>
  <si>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</si>
  <si>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</si>
  <si>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</si>
  <si>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</si>
  <si>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</si>
  <si>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</si>
  <si>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</si>
  <si>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</si>
  <si>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</si>
  <si>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</si>
  <si>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</si>
  <si>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</si>
  <si>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</si>
  <si>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</si>
  <si>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</si>
  <si>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</si>
  <si>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</si>
  <si>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</si>
  <si>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</si>
  <si>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</si>
  <si>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</si>
  <si>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</si>
  <si>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</si>
  <si>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</si>
  <si>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</si>
  <si>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</si>
  <si>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</si>
  <si>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</si>
  <si>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</si>
  <si>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</si>
  <si>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</si>
  <si>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</si>
  <si>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</si>
  <si>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</si>
  <si>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</si>
  <si>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</si>
  <si>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</si>
  <si>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</si>
  <si>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</si>
  <si>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</si>
  <si>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</si>
  <si>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</si>
  <si>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</si>
  <si>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</si>
  <si>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</si>
  <si>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</si>
  <si>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</si>
  <si>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</si>
  <si>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</si>
  <si>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</si>
  <si>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</si>
  <si>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</si>
  <si>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</si>
  <si>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</si>
  <si>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</si>
  <si>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</si>
  <si>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</si>
  <si>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</si>
  <si>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</si>
  <si>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</si>
  <si>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</si>
  <si>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</si>
  <si>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</si>
  <si>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</si>
  <si>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</si>
  <si>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</si>
  <si>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</si>
  <si>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</si>
  <si>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</si>
  <si>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</si>
  <si>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</si>
  <si>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</si>
  <si>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</si>
  <si>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</si>
  <si>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</si>
  <si>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</si>
  <si>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</si>
  <si>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</si>
  <si>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</si>
  <si>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</si>
  <si>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</si>
  <si>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</si>
  <si>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</si>
  <si>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</si>
  <si>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</si>
  <si>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</si>
  <si>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</si>
  <si>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</si>
  <si>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</si>
  <si>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</si>
  <si>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</si>
  <si>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</si>
  <si>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</si>
  <si>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</si>
  <si>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</si>
  <si>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</si>
  <si>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</si>
  <si>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</si>
  <si>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</si>
  <si>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</si>
  <si>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</si>
  <si>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</si>
  <si>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</si>
  <si>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</si>
  <si>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</si>
  <si>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</si>
  <si>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</si>
  <si>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</si>
  <si>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</si>
  <si>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</si>
  <si>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</si>
  <si>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</si>
  <si>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</si>
  <si>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</si>
  <si>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</si>
  <si>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</si>
  <si>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</si>
  <si>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</si>
  <si>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</si>
  <si>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</si>
  <si>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</si>
  <si>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</si>
  <si>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</si>
  <si>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</si>
  <si>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</si>
  <si>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</si>
  <si>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</si>
  <si>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</si>
  <si>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</si>
  <si>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</si>
  <si>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</si>
  <si>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</si>
  <si>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</si>
  <si>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</si>
  <si>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</si>
  <si>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</si>
  <si>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</si>
  <si>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</si>
  <si>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</si>
  <si>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</si>
  <si>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</si>
  <si>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</si>
  <si>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</si>
  <si>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</si>
  <si>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</si>
  <si>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</si>
  <si>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</si>
  <si>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</si>
  <si>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</si>
  <si>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</si>
  <si>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</si>
  <si>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</si>
  <si>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</si>
  <si>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</si>
  <si>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</si>
  <si>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</si>
  <si>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</si>
  <si>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</si>
  <si>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</si>
  <si>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</si>
  <si>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</si>
  <si>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</si>
  <si>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</si>
  <si>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</si>
  <si>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</si>
  <si>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</si>
  <si>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</si>
  <si>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</si>
  <si>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</si>
  <si>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</si>
  <si>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</si>
  <si>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</si>
  <si>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</si>
  <si>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</si>
  <si>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</si>
  <si>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</si>
  <si>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</si>
  <si>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</si>
  <si>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</si>
  <si>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</si>
  <si>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</si>
  <si>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</si>
  <si>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</si>
  <si>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</si>
  <si>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</si>
  <si>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</si>
  <si>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</si>
  <si>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</si>
  <si>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</si>
  <si>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</si>
  <si>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</si>
  <si>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</si>
  <si>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</si>
  <si>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</si>
  <si>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</si>
  <si>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</si>
  <si>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</si>
  <si>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</si>
  <si>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</si>
  <si>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</si>
  <si>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</si>
  <si>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</si>
  <si>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</si>
  <si>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</si>
  <si>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</si>
  <si>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</si>
  <si>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</si>
  <si>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</si>
  <si>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</si>
  <si>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</si>
  <si>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</si>
  <si>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</si>
  <si>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</si>
  <si>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</si>
  <si>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</si>
  <si>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</si>
  <si>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</si>
  <si>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</si>
  <si>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</si>
  <si>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</si>
  <si>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</si>
  <si>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</si>
  <si>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</si>
  <si>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</si>
  <si>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</si>
  <si>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</si>
  <si>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</si>
  <si>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</si>
  <si>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</si>
  <si>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</si>
  <si>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</si>
  <si>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</si>
  <si>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</si>
  <si>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</si>
  <si>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</si>
  <si>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</si>
  <si>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</si>
  <si>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</si>
  <si>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</si>
  <si>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</si>
  <si>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</si>
  <si>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</si>
  <si>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</si>
  <si>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</si>
  <si>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https://rapo080302.wixsite.com/twosibi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</si>
  <si>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</si>
  <si>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</si>
  <si>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</si>
  <si>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</si>
  <si>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</si>
  <si>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</si>
  <si>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</si>
  <si>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</si>
  <si>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</si>
  <si>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</si>
  <si>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</si>
  <si>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</si>
  <si>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</si>
  <si>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</si>
  <si>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</si>
  <si>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</si>
  <si>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</si>
  <si>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</si>
  <si>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</si>
  <si>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</si>
  <si>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</si>
  <si>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</si>
  <si>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</si>
  <si>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</si>
  <si>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</si>
  <si>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</si>
  <si>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</si>
  <si>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</si>
  <si>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</si>
  <si>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</si>
  <si>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</si>
  <si>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</si>
  <si>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</si>
  <si>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</si>
  <si>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</si>
  <si>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</si>
  <si>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</si>
  <si>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</si>
  <si>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</si>
  <si>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</si>
  <si>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</si>
  <si>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</si>
  <si>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</si>
  <si>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</si>
  <si>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</si>
  <si>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</si>
  <si>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</si>
  <si>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</si>
  <si>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</si>
  <si>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</si>
  <si>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</si>
  <si>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</si>
  <si>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</si>
  <si>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</si>
  <si>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</si>
  <si>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</si>
  <si>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</si>
  <si>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</si>
  <si>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</si>
  <si>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</si>
  <si>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</si>
  <si>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</si>
  <si>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</si>
  <si>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</si>
  <si>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</si>
  <si>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</si>
  <si>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</si>
  <si>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</si>
  <si>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</si>
  <si>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</si>
  <si>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</si>
  <si>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</si>
  <si>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</si>
  <si>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</si>
  <si>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</si>
  <si>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</si>
  <si>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</si>
  <si>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</si>
  <si>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</si>
  <si>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</si>
  <si>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</si>
  <si>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</si>
  <si>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</si>
  <si>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</si>
  <si>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</si>
  <si>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</si>
  <si>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</si>
  <si>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</si>
  <si>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</si>
  <si>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</si>
  <si>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</si>
  <si>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</si>
  <si>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</si>
  <si>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</si>
  <si>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</si>
  <si>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</si>
  <si>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</si>
  <si>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</si>
  <si>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</si>
  <si>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</si>
  <si>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</si>
  <si>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</si>
  <si>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</si>
  <si>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</si>
  <si>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</si>
  <si>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</si>
  <si>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</si>
  <si>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</si>
  <si>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</si>
  <si>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</si>
  <si>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</si>
  <si>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</si>
  <si>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</si>
  <si>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</si>
  <si>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</si>
  <si>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</si>
  <si>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</si>
  <si>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</si>
  <si>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</si>
  <si>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</si>
  <si>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</si>
  <si>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</si>
  <si>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</si>
  <si>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</si>
  <si>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</si>
  <si>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</si>
  <si>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</si>
  <si>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</si>
  <si>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</si>
  <si>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</si>
  <si>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</si>
  <si>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</si>
  <si>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</si>
  <si>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</si>
  <si>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</si>
  <si>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</si>
  <si>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</si>
  <si>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</si>
  <si>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</si>
  <si>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</si>
  <si>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</si>
  <si>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</si>
  <si>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</si>
  <si>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</si>
  <si>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</si>
  <si>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</si>
  <si>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</si>
  <si>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</si>
  <si>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</si>
  <si>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</si>
  <si>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</si>
  <si>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</si>
  <si>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</si>
  <si>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</si>
  <si>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</si>
  <si>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</si>
  <si>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</si>
  <si>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</si>
  <si>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</si>
  <si>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</si>
  <si>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</si>
  <si>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</si>
  <si>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</si>
  <si>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</si>
  <si>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</si>
  <si>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</si>
  <si>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</si>
  <si>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</si>
  <si>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</si>
  <si>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</si>
  <si>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</si>
  <si>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</si>
  <si>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</si>
  <si>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</si>
  <si>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</si>
  <si>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</si>
  <si>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</si>
  <si>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</si>
  <si>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</si>
  <si>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</si>
  <si>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</si>
  <si>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</si>
  <si>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</si>
  <si>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</si>
  <si>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</si>
  <si>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</si>
  <si>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</si>
  <si>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</si>
  <si>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</si>
  <si>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</si>
  <si>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</si>
  <si>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</si>
  <si>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</si>
  <si>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</si>
  <si>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</si>
  <si>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</si>
  <si>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</si>
  <si>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</si>
  <si>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</si>
  <si>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</si>
  <si>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</si>
  <si>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</si>
  <si>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</si>
  <si>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</si>
  <si>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</si>
  <si>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</si>
  <si>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</si>
  <si>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</si>
  <si>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</si>
  <si>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</si>
  <si>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</si>
  <si>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</si>
  <si>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</si>
  <si>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</si>
  <si>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</si>
  <si>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</si>
  <si>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</si>
  <si>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</si>
  <si>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</si>
  <si>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</si>
  <si>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</si>
  <si>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</si>
  <si>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</si>
  <si>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</si>
  <si>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</si>
  <si>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</si>
  <si>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</si>
  <si>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</si>
  <si>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</si>
  <si>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</si>
  <si>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</si>
  <si>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</si>
  <si>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</si>
  <si>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</si>
  <si>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</si>
  <si>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</si>
  <si>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</si>
  <si>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</si>
  <si>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</si>
  <si>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</si>
  <si>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</si>
  <si>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</si>
  <si>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</si>
  <si>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</si>
  <si>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</si>
  <si>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</si>
  <si>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</si>
  <si>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</si>
  <si>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</si>
  <si>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</si>
  <si>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</si>
  <si>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</si>
  <si>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</si>
  <si>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</si>
  <si>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</si>
  <si>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</si>
  <si>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</si>
  <si>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</si>
  <si>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</si>
  <si>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</si>
  <si>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</si>
  <si>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</si>
  <si>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</si>
  <si>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</si>
  <si>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</si>
  <si>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</si>
  <si>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</si>
  <si>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</si>
  <si>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</si>
  <si>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</si>
  <si>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</si>
  <si>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</si>
  <si>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</si>
  <si>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</si>
  <si>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</si>
  <si>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</si>
  <si>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</si>
  <si>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</si>
  <si>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</si>
  <si>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</si>
  <si>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</si>
  <si>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</si>
  <si>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</si>
  <si>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</si>
  <si>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</si>
  <si>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</si>
  <si>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</si>
  <si>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</si>
  <si>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</si>
  <si>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</si>
  <si>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</si>
  <si>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</si>
  <si>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</si>
  <si>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</si>
  <si>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</si>
  <si>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</si>
  <si>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</si>
  <si>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</si>
  <si>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</si>
  <si>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</si>
  <si>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</si>
  <si>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</si>
  <si>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</si>
  <si>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</si>
  <si>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</si>
  <si>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</si>
  <si>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</si>
  <si>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</si>
  <si>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</si>
  <si>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</si>
  <si>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</si>
  <si>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</si>
  <si>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</si>
  <si>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</si>
  <si>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</si>
  <si>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</si>
  <si>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</si>
  <si>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</si>
  <si>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</si>
  <si>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</si>
  <si>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</si>
  <si>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</si>
  <si>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</si>
  <si>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</si>
  <si>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</si>
  <si>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</si>
  <si>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</si>
  <si>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</si>
  <si>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</si>
  <si>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</si>
  <si>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</si>
  <si>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</si>
  <si>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</si>
  <si>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</si>
  <si>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</si>
  <si>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</si>
  <si>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</si>
  <si>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</si>
  <si>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</si>
  <si>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</si>
  <si>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</si>
  <si>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</si>
  <si>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</si>
  <si>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</si>
  <si>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</si>
  <si>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</si>
  <si>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</si>
  <si>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</si>
  <si>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</si>
  <si>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</si>
  <si>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</si>
  <si>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</si>
  <si>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</si>
  <si>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</si>
  <si>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</si>
  <si>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</si>
  <si>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</si>
  <si>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</si>
  <si>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</si>
  <si>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</si>
  <si>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</si>
  <si>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</si>
  <si>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</si>
  <si>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</si>
  <si>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</si>
  <si>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</si>
  <si>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</si>
  <si>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</si>
  <si>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</si>
  <si>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</si>
  <si>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</si>
  <si>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</si>
  <si>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</si>
  <si>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</si>
  <si>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</si>
  <si>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</si>
  <si>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</si>
  <si>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</si>
  <si>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</si>
  <si>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</si>
  <si>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</si>
  <si>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</si>
  <si>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</si>
  <si>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</si>
  <si>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</si>
  <si>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</si>
  <si>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</si>
  <si>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</si>
  <si>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</si>
  <si>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</si>
  <si>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</si>
  <si>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</si>
  <si>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</si>
  <si>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</si>
  <si>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</si>
  <si>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</si>
  <si>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</si>
  <si>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</si>
  <si>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</si>
  <si>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</si>
  <si>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</si>
  <si>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</si>
  <si>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</si>
  <si>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</si>
  <si>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</si>
  <si>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</si>
  <si>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</si>
  <si>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</si>
  <si>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</si>
  <si>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</si>
  <si>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</si>
  <si>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</si>
  <si>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</si>
  <si>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</si>
  <si>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</si>
  <si>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</si>
  <si>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</si>
  <si>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</si>
  <si>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</si>
  <si>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</si>
  <si>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</si>
  <si>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</si>
  <si>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</si>
  <si>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</si>
  <si>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</si>
  <si>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</si>
  <si>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</si>
  <si>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</si>
  <si>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</si>
  <si>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</si>
  <si>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</si>
  <si>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</si>
  <si>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</si>
  <si>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</si>
  <si>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</si>
  <si>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</si>
  <si>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</si>
  <si>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</si>
  <si>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</si>
  <si>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</si>
  <si>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</si>
  <si>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</si>
  <si>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</si>
  <si>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</si>
  <si>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</si>
  <si>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</si>
  <si>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</si>
  <si>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</si>
  <si>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</si>
  <si>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</si>
  <si>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</si>
  <si>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</si>
  <si>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</si>
  <si>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</si>
  <si>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</si>
  <si>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</si>
  <si>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</si>
  <si>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</si>
  <si>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</si>
  <si>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</si>
  <si>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</si>
  <si>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</si>
  <si>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宇宙・天体、哺乳類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</si>
  <si>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</si>
  <si>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</si>
  <si>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</si>
  <si>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</si>
  <si>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</si>
  <si>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</si>
  <si>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</si>
  <si>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</si>
  <si>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</si>
  <si>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</si>
  <si>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</si>
  <si>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</si>
  <si>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</si>
  <si>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</si>
  <si>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</si>
  <si>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</si>
  <si>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</si>
  <si>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</si>
  <si>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</si>
  <si>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</si>
  <si>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</si>
  <si>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</si>
  <si>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</si>
  <si>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</si>
  <si>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</si>
  <si>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</si>
  <si>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</si>
  <si>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</si>
  <si>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</si>
  <si>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</si>
  <si>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</si>
  <si>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</si>
  <si>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</si>
  <si>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</si>
  <si>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</si>
  <si>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</si>
  <si>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</si>
  <si>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</si>
  <si>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</si>
  <si>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</si>
  <si>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</si>
  <si>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</si>
  <si>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</si>
  <si>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</si>
  <si>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</si>
  <si>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</si>
  <si>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</si>
  <si>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</si>
  <si>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</si>
  <si>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</si>
  <si>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</si>
  <si>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</si>
  <si>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</si>
  <si>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</si>
  <si>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</si>
  <si>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</si>
  <si>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</si>
  <si>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</si>
  <si>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</si>
  <si>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</si>
  <si>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</si>
  <si>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</si>
  <si>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</si>
  <si>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</si>
  <si>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</si>
  <si>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</si>
  <si>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</si>
  <si>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</si>
  <si>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</si>
  <si>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</si>
  <si>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</si>
  <si>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</si>
  <si>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</si>
  <si>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元ヤン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</si>
  <si>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</si>
  <si>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</si>
  <si>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</si>
  <si>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</si>
  <si>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</si>
  <si>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</si>
  <si>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</si>
  <si>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</si>
  <si>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</si>
  <si>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</si>
  <si>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</si>
  <si>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</si>
  <si>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</si>
  <si>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</si>
  <si>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</si>
  <si>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</si>
  <si>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</si>
  <si>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</si>
  <si>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</si>
  <si>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</si>
  <si>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</si>
  <si>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</si>
  <si>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</si>
  <si>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</si>
  <si>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</si>
  <si>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</si>
  <si>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</si>
  <si>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</si>
  <si>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</si>
  <si>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</si>
  <si>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</si>
  <si>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</si>
  <si>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</si>
  <si>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</si>
  <si>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</si>
  <si>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</si>
  <si>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</si>
  <si>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</si>
  <si>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</si>
  <si>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</si>
  <si>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</si>
  <si>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</si>
  <si>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</si>
  <si>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</si>
  <si>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</si>
  <si>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</si>
  <si>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https://bowlroll.net/user/891946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</si>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</sst>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NumberFormat="1" applyFont="1">
      <alignment vertical="center"/>
    </xf>
    <xf numFmtId="0" fontId="3" fillId="0" borderId="0" xfId="0" applyNumberFormat="1" applyFont="1" applyAlignment="1">
      <alignment horizontal="left" vertical="center"/>
    </xf>
    <xf numFmtId="176" fontId="3" fillId="6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76" headerRowDxfId="74" dataDxfId="73" tableBorderDxfId="72">
  <autoFilter ref="A1:Z276" xr:uid="{AFDEA6E0-6891-40ED-8736-87CEEF9CED2F}"/>
  <sortState xmlns:xlrd2="http://schemas.microsoft.com/office/spreadsheetml/2017/richdata2" ref="A2:Z276">
    <sortCondition ref="A1:A276"/>
  </sortState>
  <tableColumns count="26">
    <tableColumn id="7" xr3:uid="{9D671CE8-205F-4EC4-AF57-C49043815D5D}" name="番号" totalsRowLabel="集計" dataDxfId="71" totalsRowDxfId="70"/>
    <tableColumn id="1" xr3:uid="{BC0E7496-4241-40F3-92D1-BFEC8E2F21B0}" name="画像" dataDxfId="69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8" totalsRowDxfId="67"/>
    <tableColumn id="3" xr3:uid="{1CD1AB40-A0B3-43E1-8992-FB5152113AF0}" name="なまえ" dataDxfId="66" totalsRowDxfId="65"/>
    <tableColumn id="4" xr3:uid="{3A18F89A-C86D-435E-8081-BFA7EDB53407}" name="Name" dataDxfId="64" totalsRowDxfId="63"/>
    <tableColumn id="5" xr3:uid="{465CE434-66FF-4581-97B6-92FB1196AA88}" name="リンク" dataDxfId="62" totalsRowDxfId="61"/>
    <tableColumn id="6" xr3:uid="{C8A231EF-CEE1-4EDF-9F79-E20B4EE26A3B}" name="作品タグ" dataDxfId="60" totalsRowDxfId="59"/>
    <tableColumn id="21" xr3:uid="{A3F04976-FEAF-4AB6-883A-CBF50885B75B}" name="性別" dataDxfId="58" totalsRowDxfId="57"/>
    <tableColumn id="20" xr3:uid="{1BC45536-DCFC-46D8-8A1D-7CA1DB3A4086}" name="種族タグ" dataDxfId="56" totalsRowDxfId="55"/>
    <tableColumn id="22" xr3:uid="{A500EE07-F0A6-4CFF-83B6-145BEF44F05E}" name="モチーフタグ" dataDxfId="54" totalsRowDxfId="53"/>
    <tableColumn id="26" xr3:uid="{2B96D442-9F1D-4AD2-BE19-F53862387B36}" name="属性タグ" dataDxfId="52" totalsRowDxfId="51"/>
    <tableColumn id="23" xr3:uid="{C7A460FE-A76F-44CC-BA42-F2EDCB5166B0}" name="職業タグ" dataDxfId="50" totalsRowDxfId="49"/>
    <tableColumn id="24" xr3:uid="{13CD4112-798D-4D06-B448-3A060DFAF850}" name="小物タグ" dataDxfId="48" totalsRowDxfId="47"/>
    <tableColumn id="25" xr3:uid="{BB31FC48-2C53-4F77-9754-878F1123A640}" name="身体的特徴タグ" dataDxfId="46" totalsRowDxfId="45"/>
    <tableColumn id="14" xr3:uid="{419D2296-96F6-49B6-A101-8BE8083A1FF8}" name="グッズ許可・許可" dataDxfId="44" totalsRowDxfId="43"/>
    <tableColumn id="10" xr3:uid="{A3DF9BE0-B684-4FD2-9C65-44C5CE7A0DC3}" name="描画状況" totalsRowFunction="count" dataDxfId="42" totalsRowDxfId="41"/>
    <tableColumn id="9" xr3:uid="{02AE6379-3B3C-4BB2-A47F-0A695072C3A9}" name="列1" dataDxfId="40" totalsRowDxfId="39">
      <calculatedColumnFormula>テーブル1[[#This Row],[リンク]]&amp;テーブル1[[#This Row],[描画状況]]</calculatedColumnFormula>
    </tableColumn>
    <tableColumn id="13" xr3:uid="{823DB8CC-CE55-4F0C-AE72-2EE293521925}" name="列2" dataDxfId="38" dataCellStyle="パーセント">
      <calculatedColumnFormula>1-(COUNTIF(Q:Q,_xlfn.TEXTJOIN(",",TRUE,テーブル1[[#This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7" totalsRowDxfId="36" dataCellStyle="パーセント">
      <calculatedColumnFormula>IFERROR(IF(テーブル1[[#This Row],[描画状況]]="",RAND()+(テーブル1[[#This Row],[列2]]*100),""),RAND())</calculatedColumnFormula>
    </tableColumn>
    <tableColumn id="8" xr3:uid="{757FA2CC-BDF6-4D0F-991C-824CC2AFBB2A}" name="投稿状況" totalsRowFunction="custom" dataDxfId="35" totalsRowDxfId="34">
      <totalsRowFormula>COUNTIF(テーブル1[投稿状況],"")</totalsRowFormula>
    </tableColumn>
    <tableColumn id="11" xr3:uid="{81D4E3E6-4E02-4A2D-B6F1-0BB82B392F85}" name="乱数B" dataDxfId="33" totalsRowDxfId="32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31" totalsRowDxfId="30">
      <calculatedColumnFormula>"|&amp;image("&amp;テーブル1[[#This Row],[画像]]&amp;".png,width=100,height=100)"</calculatedColumnFormula>
    </tableColumn>
    <tableColumn id="16" xr3:uid="{AC31EEC7-EDA4-4933-B34D-6F013BAC07AB}" name="|名前" dataDxfId="29" totalsRowDxfId="28">
      <calculatedColumnFormula>"|MIDDLE:​"&amp;テーブル1[[#This Row],[名前]]</calculatedColumnFormula>
    </tableColumn>
    <tableColumn id="17" xr3:uid="{5631FE5D-E14B-45F0-9DC6-C07DDBCF063D}" name="|なまえ" dataDxfId="27" totalsRowDxfId="26">
      <calculatedColumnFormula>"|MIDDLE:​"&amp;テーブル1[[#This Row],[なまえ]]</calculatedColumnFormula>
    </tableColumn>
    <tableColumn id="18" xr3:uid="{1D34E550-311D-4181-9DE5-9513280D0029}" name="|Name" dataDxfId="25" totalsRowDxfId="24">
      <calculatedColumnFormula>"|MIDDLE:​"&amp;テーブル1[[#This Row],[Name]]</calculatedColumnFormula>
    </tableColumn>
    <tableColumn id="19" xr3:uid="{742CFAB1-9F2D-444A-A881-F762695DCCB1}" name="|キャラクター情報リンク|" dataDxfId="23" totalsRowDxfId="22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76" totalsRowShown="0" headerRowDxfId="21" dataDxfId="20">
  <autoFilter ref="A1:N276" xr:uid="{E4C87AB3-D453-4364-A868-37CD257B126C}"/>
  <tableColumns count="14">
    <tableColumn id="1" xr3:uid="{1E92C13E-0744-4588-9D96-A833A7BD4B23}" name="id" dataDxfId="19">
      <calculatedColumnFormula>テーブル1[[#This Row],[番号]]</calculatedColumnFormula>
    </tableColumn>
    <tableColumn id="2" xr3:uid="{BFFC27FC-5A70-42B5-935F-18B299D9A450}" name="name" dataDxfId="18">
      <calculatedColumnFormula>テーブル1[[#This Row],[名前]]</calculatedColumnFormula>
    </tableColumn>
    <tableColumn id="3" xr3:uid="{376B9D63-7024-4C39-A1F3-F8A88D986D2E}" name="kana" dataDxfId="17">
      <calculatedColumnFormula>テーブル1[[#This Row],[なまえ]]</calculatedColumnFormula>
    </tableColumn>
    <tableColumn id="4" xr3:uid="{3A4FC950-495C-4C11-B6DB-96CE6A55121C}" name="romaji" dataDxfId="16">
      <calculatedColumnFormula>テーブル1[[#This Row],[Name]]</calculatedColumnFormula>
    </tableColumn>
    <tableColumn id="5" xr3:uid="{B264791E-28AE-437A-AA33-4258BDE55BAA}" name="icon" dataDxfId="15">
      <calculatedColumnFormula>"image/"&amp;テーブル1[[#This Row],[画像]]&amp;".png"</calculatedColumnFormula>
    </tableColumn>
    <tableColumn id="6" xr3:uid="{857A780E-B021-402A-872A-1CBFFEF7F813}" name="url" dataDxfId="14">
      <calculatedColumnFormula>テーブル1[[#This Row],[リンク]]</calculatedColumnFormula>
    </tableColumn>
    <tableColumn id="7" xr3:uid="{54796813-8C4A-4907-9B54-8EC5819BC55C}" name="workTags" dataDxfId="13">
      <calculatedColumnFormula>SUBSTITUTE(テーブル1[[#This Row],[作品タグ]],"、","|")</calculatedColumnFormula>
    </tableColumn>
    <tableColumn id="8" xr3:uid="{C71938D1-4F25-43A4-AC89-6B4F6A5026A2}" name="gender" dataDxfId="12">
      <calculatedColumnFormula>テーブル1[[#This Row],[性別]]&amp;""</calculatedColumnFormula>
    </tableColumn>
    <tableColumn id="9" xr3:uid="{39305227-2E4A-4CF9-88DD-B221FEC21124}" name="種族タグ" dataDxfId="11">
      <calculatedColumnFormula>SUBSTITUTE(テーブル1[[#This Row],[種族タグ]],"、","|")</calculatedColumnFormula>
    </tableColumn>
    <tableColumn id="13" xr3:uid="{B62C6CC3-DFD5-40D0-9E39-6AE6C719FF5E}" name="モチーフタグ" dataDxfId="10">
      <calculatedColumnFormula>SUBSTITUTE(テーブル1[[#This Row],[モチーフタグ]],"、","|")</calculatedColumnFormula>
    </tableColumn>
    <tableColumn id="14" xr3:uid="{F7330F03-94E9-4728-B627-57B809D1D253}" name="属性タグ" dataDxfId="9">
      <calculatedColumnFormula>SUBSTITUTE(テーブル1[[#This Row],[属性タグ]],"、","|")</calculatedColumnFormula>
    </tableColumn>
    <tableColumn id="10" xr3:uid="{4C1B4E5B-0816-4E7B-B94D-DABFCF9BB4A5}" name="職業タグ" dataDxfId="8">
      <calculatedColumnFormula>SUBSTITUTE(テーブル1[[#This Row],[職業タグ]],"、","|")</calculatedColumnFormula>
    </tableColumn>
    <tableColumn id="11" xr3:uid="{C1145559-52E6-4141-BB43-03D7F9D319F4}" name="小物タグ" dataDxfId="7">
      <calculatedColumnFormula>SUBSTITUTE(テーブル1[[#This Row],[小物タグ]],"、","|")</calculatedColumnFormula>
    </tableColumn>
    <tableColumn id="12" xr3:uid="{1869C5D2-E7D3-4710-BDB3-B35F4A761BEE}" name="身体的特徴タグ" dataDxfId="6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bowlroll.net/user/891946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bowlroll.net/user/891946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natsunomikan.crayonsite.com/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table" Target="../tables/table1.xm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rapo080302.wixsite.com/twosibi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0" Type="http://schemas.openxmlformats.org/officeDocument/2006/relationships/hyperlink" Target="https://uu.getuploader.com/mirakibonoutau" TargetMode="External"/><Relationship Id="rId225" Type="http://schemas.openxmlformats.org/officeDocument/2006/relationships/hyperlink" Target="https://mohumohuton.web.fc2.com/makimiya/index.html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78" Type="http://schemas.openxmlformats.org/officeDocument/2006/relationships/hyperlink" Target="https://keineron.wixsite.com/index" TargetMode="External"/><Relationship Id="rId94" Type="http://schemas.openxmlformats.org/officeDocument/2006/relationships/hyperlink" Target="https://nanarabo626.studio.site/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48" Type="http://schemas.openxmlformats.org/officeDocument/2006/relationships/hyperlink" Target="https://zaregotohitori.wixsite.com/ritsudokishidoku" TargetMode="External"/><Relationship Id="rId164" Type="http://schemas.openxmlformats.org/officeDocument/2006/relationships/hyperlink" Target="https://mackerel178.wixsite.com/yuusensuizokukan" TargetMode="External"/><Relationship Id="rId169" Type="http://schemas.openxmlformats.org/officeDocument/2006/relationships/hyperlink" Target="https://bowlroll.net/user/946776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0"/>
  <sheetViews>
    <sheetView tabSelected="1" zoomScaleNormal="100" workbookViewId="0">
      <pane xSplit="1" ySplit="1" topLeftCell="B259" activePane="bottomRight" state="frozen"/>
      <selection pane="topRight" activeCell="B1" sqref="B1"/>
      <selection pane="bottomLeft" activeCell="A2" sqref="A2"/>
      <selection pane="bottomRight" activeCell="A276" sqref="A276"/>
    </sheetView>
  </sheetViews>
  <sheetFormatPr defaultColWidth="8.6640625" defaultRowHeight="20.149999999999999" customHeight="1" x14ac:dyDescent="0.35"/>
  <cols>
    <col min="1" max="1" width="6.86328125" style="20" bestFit="1" customWidth="1"/>
    <col min="2" max="2" width="23.86328125" style="23" bestFit="1" customWidth="1"/>
    <col min="3" max="3" width="15.265625" style="24" bestFit="1" customWidth="1"/>
    <col min="4" max="4" width="18.19921875" style="23" bestFit="1" customWidth="1"/>
    <col min="5" max="5" width="18.46484375" style="23" bestFit="1" customWidth="1"/>
    <col min="6" max="6" width="45.46484375" style="23" bestFit="1" customWidth="1"/>
    <col min="7" max="7" width="17.06640625" style="23" bestFit="1" customWidth="1"/>
    <col min="8" max="13" width="17.06640625" style="23" customWidth="1"/>
    <col min="14" max="14" width="22.265625" style="23" bestFit="1" customWidth="1"/>
    <col min="15" max="15" width="13.59765625" style="1" bestFit="1" customWidth="1"/>
    <col min="16" max="16" width="9.46484375" style="1" bestFit="1" customWidth="1"/>
    <col min="17" max="17" width="42.86328125" style="24" hidden="1" customWidth="1"/>
    <col min="18" max="18" width="6.86328125" style="17" hidden="1" customWidth="1"/>
    <col min="19" max="19" width="10.46484375" style="16" hidden="1" customWidth="1"/>
    <col min="20" max="20" width="9.46484375" style="1" bestFit="1" customWidth="1"/>
    <col min="21" max="21" width="9.46484375" style="24" hidden="1" customWidth="1"/>
    <col min="22" max="22" width="42.46484375" style="23" bestFit="1" customWidth="1"/>
    <col min="23" max="23" width="22.6640625" style="23" bestFit="1" customWidth="1"/>
    <col min="24" max="24" width="24.86328125" style="23" bestFit="1" customWidth="1"/>
    <col min="25" max="25" width="25.265625" style="23" bestFit="1" customWidth="1"/>
    <col min="26" max="26" width="52.59765625" style="23" bestFit="1" customWidth="1"/>
    <col min="27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1232</v>
      </c>
      <c r="L1" s="1" t="s">
        <v>662</v>
      </c>
      <c r="M1" s="1" t="s">
        <v>663</v>
      </c>
      <c r="N1" s="1" t="s">
        <v>1290</v>
      </c>
      <c r="O1" s="1" t="s">
        <v>594</v>
      </c>
      <c r="P1" s="1" t="s">
        <v>404</v>
      </c>
      <c r="Q1" s="1" t="s">
        <v>486</v>
      </c>
      <c r="R1" s="17" t="s">
        <v>487</v>
      </c>
      <c r="S1" s="22" t="s">
        <v>422</v>
      </c>
      <c r="T1" s="1" t="s">
        <v>6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759</v>
      </c>
      <c r="E2" s="23" t="s">
        <v>927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1182</v>
      </c>
      <c r="O2" s="1" t="s">
        <v>592</v>
      </c>
      <c r="P2" s="1" t="s">
        <v>547</v>
      </c>
      <c r="Q2" s="24" t="str">
        <f>テーブル1[[#This Row],[リンク]]&amp;テーブル1[[#This Row],[描画状況]]</f>
        <v>https://mitoristu.wixsite.com/kousaibako済</v>
      </c>
      <c r="R2" s="17">
        <f>1-(COUNTIF(Q:Q,_xlfn.TEXTJOIN(",",TRUE,テーブル1[[#This Row],[リンク]],テーブル1[[#This Row],[描画状況]]))/COUNTIF(F:F,テーブル1[[#This Row],[リンク]]))</f>
        <v>1</v>
      </c>
      <c r="S2" s="16" t="str">
        <f ca="1">IFERROR(IF(テーブル1[[#This Row],[描画状況]]="",RAND()+(テーブル1[[#This Row],[列2]]*100),""),RAND())</f>
        <v/>
      </c>
      <c r="T2" s="1" t="s">
        <v>12</v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760</v>
      </c>
      <c r="E3" s="23" t="s">
        <v>928</v>
      </c>
      <c r="F3" s="15" t="s">
        <v>1303</v>
      </c>
      <c r="G3" s="23" t="s">
        <v>129</v>
      </c>
      <c r="H3" s="23" t="s">
        <v>1302</v>
      </c>
      <c r="I3" s="23" t="s">
        <v>665</v>
      </c>
      <c r="L3" s="23" t="s">
        <v>1183</v>
      </c>
      <c r="M3" s="23" t="s">
        <v>1163</v>
      </c>
      <c r="N3" s="23" t="s">
        <v>1278</v>
      </c>
      <c r="P3" s="1" t="s">
        <v>547</v>
      </c>
      <c r="Q3" s="24" t="str">
        <f>テーブル1[[#This Row],[リンク]]&amp;テーブル1[[#This Row],[描画状況]]</f>
        <v>https://sereinrain113.wixsite.com/999sereinrain済</v>
      </c>
      <c r="R3" s="17">
        <f>1-(COUNTIF(Q:Q,_xlfn.TEXTJOIN(",",TRUE,テーブル1[[#This Row],[リンク]],テーブル1[[#This Row],[描画状況]]))/COUNTIF(F:F,テーブル1[[#This Row],[リンク]]))</f>
        <v>1</v>
      </c>
      <c r="S3" s="16" t="str">
        <f ca="1">IFERROR(IF(テーブル1[[#This Row],[描画状況]]="",RAND()+(テーブル1[[#This Row],[列2]]*100),""),RAND())</f>
        <v/>
      </c>
      <c r="T3" s="1" t="s">
        <v>12</v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1184</v>
      </c>
      <c r="L4" s="23" t="s">
        <v>1183</v>
      </c>
      <c r="N4" s="23" t="s">
        <v>1211</v>
      </c>
      <c r="O4" s="1" t="s">
        <v>593</v>
      </c>
      <c r="P4" s="1" t="s">
        <v>547</v>
      </c>
      <c r="Q4" s="24" t="str">
        <f>テーブル1[[#This Row],[リンク]]&amp;テーブル1[[#This Row],[描画状況]]</f>
        <v>https://cloudcatch1224.wixsite.com/godsfoot済</v>
      </c>
      <c r="R4" s="17">
        <f>1-(COUNTIF(Q:Q,_xlfn.TEXTJOIN(",",TRUE,テーブル1[[#This Row],[リンク]],テーブル1[[#This Row],[描画状況]]))/COUNTIF(F:F,テーブル1[[#This Row],[リンク]]))</f>
        <v>1</v>
      </c>
      <c r="S4" s="16" t="str">
        <f ca="1">IFERROR(IF(テーブル1[[#This Row],[描画状況]]="",RAND()+(テーブル1[[#This Row],[列2]]*100),""),RAND())</f>
        <v/>
      </c>
      <c r="T4" s="1" t="s">
        <v>12</v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761</v>
      </c>
      <c r="E5" s="23" t="s">
        <v>929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1165</v>
      </c>
      <c r="P5" s="1" t="s">
        <v>547</v>
      </c>
      <c r="Q5" s="24" t="str">
        <f>テーブル1[[#This Row],[リンク]]&amp;テーブル1[[#This Row],[描画状況]]</f>
        <v>https://mechanicalgirl.jp済</v>
      </c>
      <c r="R5" s="17">
        <f>1-(COUNTIF(Q:Q,_xlfn.TEXTJOIN(",",TRUE,テーブル1[[#This Row],[リンク]],テーブル1[[#This Row],[描画状況]]))/COUNTIF(F:F,テーブル1[[#This Row],[リンク]]))</f>
        <v>1</v>
      </c>
      <c r="S5" s="16" t="str">
        <f ca="1">IFERROR(IF(テーブル1[[#This Row],[描画状況]]="",RAND()+(テーブル1[[#This Row],[列2]]*100),""),RAND())</f>
        <v/>
      </c>
      <c r="T5" s="1" t="s">
        <v>12</v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762</v>
      </c>
      <c r="E6" s="23" t="s">
        <v>930</v>
      </c>
      <c r="F6" s="2" t="s">
        <v>230</v>
      </c>
      <c r="G6" s="23" t="s">
        <v>231</v>
      </c>
      <c r="H6" s="23" t="s">
        <v>658</v>
      </c>
      <c r="I6" s="23" t="s">
        <v>1110</v>
      </c>
      <c r="J6" s="23" t="s">
        <v>1174</v>
      </c>
      <c r="M6" s="23" t="s">
        <v>1164</v>
      </c>
      <c r="N6" s="23" t="s">
        <v>1185</v>
      </c>
      <c r="P6" s="1" t="s">
        <v>547</v>
      </c>
      <c r="Q6" s="24" t="str">
        <f>テーブル1[[#This Row],[リンク]]&amp;テーブル1[[#This Row],[描画状況]]</f>
        <v>https://torinosu-hikikomori.jimdofree.com済</v>
      </c>
      <c r="R6" s="17">
        <f>1-(COUNTIF(Q:Q,_xlfn.TEXTJOIN(",",TRUE,テーブル1[[#This Row],[リンク]],テーブル1[[#This Row],[描画状況]]))/COUNTIF(F:F,テーブル1[[#This Row],[リンク]]))</f>
        <v>1</v>
      </c>
      <c r="S6" s="16" t="str">
        <f ca="1">IFERROR(IF(テーブル1[[#This Row],[描画状況]]="",RAND()+(テーブル1[[#This Row],[列2]]*100),""),RAND())</f>
        <v/>
      </c>
      <c r="T6" s="1" t="s">
        <v>12</v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24" t="str">
        <f>テーブル1[[#This Row],[リンク]]&amp;テーブル1[[#This Row],[描画状況]]</f>
        <v>https://kuroi9603.wixsite.com/delu-lab-south済</v>
      </c>
      <c r="R7" s="17">
        <f>1-(COUNTIF(Q:Q,_xlfn.TEXTJOIN(",",TRUE,テーブル1[[#This Row],[リンク]],テーブル1[[#This Row],[描画状況]]))/COUNTIF(F:F,テーブル1[[#This Row],[リンク]]))</f>
        <v>1</v>
      </c>
      <c r="S7" s="16" t="str">
        <f ca="1">IFERROR(IF(テーブル1[[#This Row],[描画状況]]="",RAND()+(テーブル1[[#This Row],[列2]]*100),""),RAND())</f>
        <v/>
      </c>
      <c r="T7" s="1" t="s">
        <v>12</v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763</v>
      </c>
      <c r="E8" s="23" t="s">
        <v>931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1163</v>
      </c>
      <c r="N8" s="23" t="s">
        <v>1186</v>
      </c>
      <c r="O8" s="1" t="s">
        <v>592</v>
      </c>
      <c r="P8" s="1" t="s">
        <v>547</v>
      </c>
      <c r="Q8" s="24" t="str">
        <f>テーブル1[[#This Row],[リンク]]&amp;テーブル1[[#This Row],[描画状況]]</f>
        <v>https://seirentoybox.jimdofree.com済</v>
      </c>
      <c r="R8" s="17">
        <f>1-(COUNTIF(Q:Q,_xlfn.TEXTJOIN(",",TRUE,テーブル1[[#This Row],[リンク]],テーブル1[[#This Row],[描画状況]]))/COUNTIF(F:F,テーブル1[[#This Row],[リンク]]))</f>
        <v>1</v>
      </c>
      <c r="S8" s="16" t="str">
        <f ca="1">IFERROR(IF(テーブル1[[#This Row],[描画状況]]="",RAND()+(テーブル1[[#This Row],[列2]]*100),""),RAND())</f>
        <v/>
      </c>
      <c r="T8" s="1" t="s">
        <v>12</v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764</v>
      </c>
      <c r="E9" s="23" t="s">
        <v>932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1185</v>
      </c>
      <c r="P9" s="1" t="s">
        <v>547</v>
      </c>
      <c r="Q9" s="24" t="str">
        <f>テーブル1[[#This Row],[リンク]]&amp;テーブル1[[#This Row],[描画状況]]</f>
        <v>https://utausuzuminnya.jimdofree.com済</v>
      </c>
      <c r="R9" s="17">
        <f>1-(COUNTIF(Q:Q,_xlfn.TEXTJOIN(",",TRUE,テーブル1[[#This Row],[リンク]],テーブル1[[#This Row],[描画状況]]))/COUNTIF(F:F,テーブル1[[#This Row],[リンク]]))</f>
        <v>1</v>
      </c>
      <c r="S9" s="16" t="str">
        <f ca="1">IFERROR(IF(テーブル1[[#This Row],[描画状況]]="",RAND()+(テーブル1[[#This Row],[列2]]*100),""),RAND())</f>
        <v/>
      </c>
      <c r="T9" s="1" t="s">
        <v>12</v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765</v>
      </c>
      <c r="E10" s="23" t="s">
        <v>933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1173</v>
      </c>
      <c r="M10" s="23" t="s">
        <v>1162</v>
      </c>
      <c r="N10" s="23" t="s">
        <v>1273</v>
      </c>
      <c r="P10" s="1" t="s">
        <v>547</v>
      </c>
      <c r="Q10" s="24" t="str">
        <f>テーブル1[[#This Row],[リンク]]&amp;テーブル1[[#This Row],[描画状況]]</f>
        <v>https://sabaneko.amebaownd.com済</v>
      </c>
      <c r="R10" s="17">
        <f>1-(COUNTIF(Q:Q,_xlfn.TEXTJOIN(",",TRUE,テーブル1[[#This Row],[リンク]],テーブル1[[#This Row],[描画状況]]))/COUNTIF(F:F,テーブル1[[#This Row],[リンク]]))</f>
        <v>1</v>
      </c>
      <c r="S10" s="16" t="str">
        <f ca="1">IFERROR(IF(テーブル1[[#This Row],[描画状況]]="",RAND()+(テーブル1[[#This Row],[列2]]*100),""),RAND())</f>
        <v/>
      </c>
      <c r="T10" s="1" t="s">
        <v>12</v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1313</v>
      </c>
      <c r="K11" s="23" t="s">
        <v>1314</v>
      </c>
      <c r="N11" s="23" t="s">
        <v>1279</v>
      </c>
      <c r="P11" s="1" t="s">
        <v>547</v>
      </c>
      <c r="Q11" s="24" t="str">
        <f>テーブル1[[#This Row],[リンク]]&amp;テーブル1[[#This Row],[描画状況]]</f>
        <v>https://inudanuki.wixsite.com/gottaniomotyabako済</v>
      </c>
      <c r="R11" s="17">
        <f>1-(COUNTIF(Q:Q,_xlfn.TEXTJOIN(",",TRUE,テーブル1[[#This Row],[リンク]],テーブル1[[#This Row],[描画状況]]))/COUNTIF(F:F,テーブル1[[#This Row],[リンク]]))</f>
        <v>1</v>
      </c>
      <c r="S11" s="16" t="str">
        <f ca="1">IFERROR(IF(テーブル1[[#This Row],[描画状況]]="",RAND()+(テーブル1[[#This Row],[列2]]*100),""),RAND())</f>
        <v/>
      </c>
      <c r="T11" s="1" t="s">
        <v>12</v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766</v>
      </c>
      <c r="E12" s="23" t="s">
        <v>934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1187</v>
      </c>
      <c r="M12" s="23" t="s">
        <v>1163</v>
      </c>
      <c r="O12" s="1" t="s">
        <v>629</v>
      </c>
      <c r="P12" s="1" t="s">
        <v>547</v>
      </c>
      <c r="Q12" s="24" t="str">
        <f>テーブル1[[#This Row],[リンク]]&amp;テーブル1[[#This Row],[描画状況]]</f>
        <v>https://tourist100f.wixsite.com/utakata-kosyo済</v>
      </c>
      <c r="R12" s="17">
        <f>1-(COUNTIF(Q:Q,_xlfn.TEXTJOIN(",",TRUE,テーブル1[[#This Row],[リンク]],テーブル1[[#This Row],[描画状況]]))/COUNTIF(F:F,テーブル1[[#This Row],[リンク]]))</f>
        <v>1</v>
      </c>
      <c r="S12" s="16" t="str">
        <f ca="1">IFERROR(IF(テーブル1[[#This Row],[描画状況]]="",RAND()+(テーブル1[[#This Row],[列2]]*100),""),RAND())</f>
        <v/>
      </c>
      <c r="T12" s="1" t="s">
        <v>12</v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767</v>
      </c>
      <c r="E13" s="23" t="s">
        <v>935</v>
      </c>
      <c r="F13" s="23" t="s">
        <v>278</v>
      </c>
      <c r="G13" s="23" t="s">
        <v>274</v>
      </c>
      <c r="H13" s="23" t="s">
        <v>658</v>
      </c>
      <c r="M13" s="23" t="s">
        <v>1165</v>
      </c>
      <c r="O13" s="1" t="s">
        <v>590</v>
      </c>
      <c r="P13" s="1" t="s">
        <v>547</v>
      </c>
      <c r="Q13" s="24" t="str">
        <f>テーブル1[[#This Row],[リンク]]&amp;テーブル1[[#This Row],[描画状況]]</f>
        <v>-済</v>
      </c>
      <c r="R13" s="17">
        <f>1-(COUNTIF(Q:Q,_xlfn.TEXTJOIN(",",TRUE,テーブル1[[#This Row],[リンク]],テーブル1[[#This Row],[描画状況]]))/COUNTIF(F:F,テーブル1[[#This Row],[リンク]]))</f>
        <v>1</v>
      </c>
      <c r="S13" s="16" t="str">
        <f ca="1">IFERROR(IF(テーブル1[[#This Row],[描画状況]]="",RAND()+(テーブル1[[#This Row],[列2]]*100),""),RAND())</f>
        <v/>
      </c>
      <c r="T13" s="1" t="s">
        <v>12</v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1173</v>
      </c>
      <c r="N14" s="23" t="s">
        <v>1188</v>
      </c>
      <c r="P14" s="1" t="s">
        <v>547</v>
      </c>
      <c r="Q14" s="24" t="str">
        <f>テーブル1[[#This Row],[リンク]]&amp;テーブル1[[#This Row],[描画状況]]</f>
        <v>https://sites.google.com/view/tokakobo済</v>
      </c>
      <c r="R14" s="17">
        <f>1-(COUNTIF(Q:Q,_xlfn.TEXTJOIN(",",TRUE,テーブル1[[#This Row],[リンク]],テーブル1[[#This Row],[描画状況]]))/COUNTIF(F:F,テーブル1[[#This Row],[リンク]]))</f>
        <v>1</v>
      </c>
      <c r="S14" s="16" t="str">
        <f ca="1">IFERROR(IF(テーブル1[[#This Row],[描画状況]]="",RAND()+(テーブル1[[#This Row],[列2]]*100),""),RAND())</f>
        <v/>
      </c>
      <c r="T14" s="1" t="s">
        <v>12</v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768</v>
      </c>
      <c r="E15" s="23" t="s">
        <v>936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1189</v>
      </c>
      <c r="N15" s="23" t="s">
        <v>1190</v>
      </c>
      <c r="P15" s="1" t="s">
        <v>547</v>
      </c>
      <c r="Q15" s="24" t="str">
        <f>テーブル1[[#This Row],[リンク]]&amp;テーブル1[[#This Row],[描画状況]]</f>
        <v>https://torinosu-hikikomori.jimdofree.com済</v>
      </c>
      <c r="R15" s="17">
        <f>1-(COUNTIF(Q:Q,_xlfn.TEXTJOIN(",",TRUE,テーブル1[[#This Row],[リンク]],テーブル1[[#This Row],[描画状況]]))/COUNTIF(F:F,テーブル1[[#This Row],[リンク]]))</f>
        <v>1</v>
      </c>
      <c r="S15" s="16" t="str">
        <f ca="1">IFERROR(IF(テーブル1[[#This Row],[描画状況]]="",RAND()+(テーブル1[[#This Row],[列2]]*100),""),RAND())</f>
        <v/>
      </c>
      <c r="T15" s="1" t="s">
        <v>12</v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1191</v>
      </c>
      <c r="N16" s="23" t="s">
        <v>1279</v>
      </c>
      <c r="O16" s="1" t="s">
        <v>592</v>
      </c>
      <c r="P16" s="1" t="s">
        <v>547</v>
      </c>
      <c r="Q16" s="24" t="str">
        <f>テーブル1[[#This Row],[リンク]]&amp;テーブル1[[#This Row],[描画状況]]</f>
        <v>https://ichistart.wixsite.com/official/respiaker済</v>
      </c>
      <c r="R16" s="17">
        <f>1-(COUNTIF(Q:Q,_xlfn.TEXTJOIN(",",TRUE,テーブル1[[#This Row],[リンク]],テーブル1[[#This Row],[描画状況]]))/COUNTIF(F:F,テーブル1[[#This Row],[リンク]]))</f>
        <v>1</v>
      </c>
      <c r="S16" s="16" t="str">
        <f ca="1">IFERROR(IF(テーブル1[[#This Row],[描画状況]]="",RAND()+(テーブル1[[#This Row],[列2]]*100),""),RAND())</f>
        <v/>
      </c>
      <c r="T16" s="1" t="s">
        <v>12</v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769</v>
      </c>
      <c r="E17" s="23" t="s">
        <v>937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1309</v>
      </c>
      <c r="M17" s="23" t="s">
        <v>1171</v>
      </c>
      <c r="O17" s="1" t="s">
        <v>592</v>
      </c>
      <c r="P17" s="1" t="s">
        <v>547</v>
      </c>
      <c r="Q17" s="24" t="str">
        <f>テーブル1[[#This Row],[リンク]]&amp;テーブル1[[#This Row],[描画状況]]</f>
        <v>https://vividseekers.utau.sorairomarch.com済</v>
      </c>
      <c r="R17" s="17">
        <f>1-(COUNTIF(Q:Q,_xlfn.TEXTJOIN(",",TRUE,テーブル1[[#This Row],[リンク]],テーブル1[[#This Row],[描画状況]]))/COUNTIF(F:F,テーブル1[[#This Row],[リンク]]))</f>
        <v>1</v>
      </c>
      <c r="S17" s="16" t="str">
        <f ca="1">IFERROR(IF(テーブル1[[#This Row],[描画状況]]="",RAND()+(テーブル1[[#This Row],[列2]]*100),""),RAND())</f>
        <v/>
      </c>
      <c r="T17" s="1" t="s">
        <v>12</v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770</v>
      </c>
      <c r="E18" s="23" t="s">
        <v>938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1310</v>
      </c>
      <c r="M18" s="23" t="s">
        <v>1171</v>
      </c>
      <c r="O18" s="1" t="s">
        <v>592</v>
      </c>
      <c r="P18" s="1" t="s">
        <v>547</v>
      </c>
      <c r="Q18" s="24" t="str">
        <f>テーブル1[[#This Row],[リンク]]&amp;テーブル1[[#This Row],[描画状況]]</f>
        <v>https://vividseekers.utau.sorairomarch.com済</v>
      </c>
      <c r="R18" s="17">
        <f>1-(COUNTIF(Q:Q,_xlfn.TEXTJOIN(",",TRUE,テーブル1[[#This Row],[リンク]],テーブル1[[#This Row],[描画状況]]))/COUNTIF(F:F,テーブル1[[#This Row],[リンク]]))</f>
        <v>1</v>
      </c>
      <c r="S18" s="16" t="str">
        <f ca="1">IFERROR(IF(テーブル1[[#This Row],[描画状況]]="",RAND()+(テーブル1[[#This Row],[列2]]*100),""),RAND())</f>
        <v/>
      </c>
      <c r="T18" s="1" t="s">
        <v>12</v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939</v>
      </c>
      <c r="F19" s="15" t="s">
        <v>676</v>
      </c>
      <c r="G19" s="23" t="s">
        <v>39</v>
      </c>
      <c r="H19" s="23" t="s">
        <v>658</v>
      </c>
      <c r="M19" s="23" t="s">
        <v>1212</v>
      </c>
      <c r="O19" s="1" t="s">
        <v>593</v>
      </c>
      <c r="P19" s="1" t="s">
        <v>547</v>
      </c>
      <c r="Q19" s="24" t="str">
        <f>テーブル1[[#This Row],[リンク]]&amp;テーブル1[[#This Row],[描画状況]]</f>
        <v>https://ameutaulii.wixsite.com/telepathycapsule済</v>
      </c>
      <c r="R19" s="17">
        <f>1-(COUNTIF(Q:Q,_xlfn.TEXTJOIN(",",TRUE,テーブル1[[#This Row],[リンク]],テーブル1[[#This Row],[描画状況]]))/COUNTIF(F:F,テーブル1[[#This Row],[リンク]]))</f>
        <v>1</v>
      </c>
      <c r="S19" s="16" t="str">
        <f ca="1">IFERROR(IF(テーブル1[[#This Row],[描画状況]]="",RAND()+(テーブル1[[#This Row],[列2]]*100),""),RAND())</f>
        <v/>
      </c>
      <c r="T19" s="1" t="s">
        <v>12</v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771</v>
      </c>
      <c r="E20" s="23" t="s">
        <v>940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1165</v>
      </c>
      <c r="P20" s="1" t="s">
        <v>547</v>
      </c>
      <c r="Q20" s="24" t="str">
        <f>テーブル1[[#This Row],[リンク]]&amp;テーブル1[[#This Row],[描画状況]]</f>
        <v>https://kasaneteto.jp済</v>
      </c>
      <c r="R20" s="17">
        <f>1-(COUNTIF(Q:Q,_xlfn.TEXTJOIN(",",TRUE,テーブル1[[#This Row],[リンク]],テーブル1[[#This Row],[描画状況]]))/COUNTIF(F:F,テーブル1[[#This Row],[リンク]]))</f>
        <v>1</v>
      </c>
      <c r="S20" s="16" t="str">
        <f ca="1">IFERROR(IF(テーブル1[[#This Row],[描画状況]]="",RAND()+(テーブル1[[#This Row],[列2]]*100),""),RAND())</f>
        <v/>
      </c>
      <c r="T20" s="1" t="s">
        <v>12</v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772</v>
      </c>
      <c r="E21" s="23" t="s">
        <v>941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24" t="str">
        <f>テーブル1[[#This Row],[リンク]]&amp;テーブル1[[#This Row],[描画状況]]</f>
        <v>https://kasaneteto.jp済</v>
      </c>
      <c r="R21" s="17">
        <f>1-(COUNTIF(Q:Q,_xlfn.TEXTJOIN(",",TRUE,テーブル1[[#This Row],[リンク]],テーブル1[[#This Row],[描画状況]]))/COUNTIF(F:F,テーブル1[[#This Row],[リンク]]))</f>
        <v>1</v>
      </c>
      <c r="S21" s="16" t="str">
        <f ca="1">IFERROR(IF(テーブル1[[#This Row],[描画状況]]="",RAND()+(テーブル1[[#This Row],[列2]]*100),""),RAND())</f>
        <v/>
      </c>
      <c r="T21" s="1" t="s">
        <v>12</v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773</v>
      </c>
      <c r="E22" s="23" t="s">
        <v>942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1213</v>
      </c>
      <c r="O22" s="1" t="s">
        <v>592</v>
      </c>
      <c r="P22" s="1" t="s">
        <v>547</v>
      </c>
      <c r="Q22" s="24" t="str">
        <f>テーブル1[[#This Row],[リンク]]&amp;テーブル1[[#This Row],[描画状況]]</f>
        <v>https://bowlroll.net/user/980255済</v>
      </c>
      <c r="R22" s="17">
        <f>1-(COUNTIF(Q:Q,_xlfn.TEXTJOIN(",",TRUE,テーブル1[[#This Row],[リンク]],テーブル1[[#This Row],[描画状況]]))/COUNTIF(F:F,テーブル1[[#This Row],[リンク]]))</f>
        <v>1</v>
      </c>
      <c r="S22" s="16" t="str">
        <f ca="1">IFERROR(IF(テーブル1[[#This Row],[描画状況]]="",RAND()+(テーブル1[[#This Row],[列2]]*100),""),RAND())</f>
        <v/>
      </c>
      <c r="T22" s="1" t="s">
        <v>12</v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1193</v>
      </c>
      <c r="M23" s="23" t="s">
        <v>1214</v>
      </c>
      <c r="N23" s="23" t="s">
        <v>1190</v>
      </c>
      <c r="O23" s="1" t="s">
        <v>629</v>
      </c>
      <c r="P23" s="1" t="s">
        <v>547</v>
      </c>
      <c r="Q23" s="24" t="str">
        <f>テーブル1[[#This Row],[リンク]]&amp;テーブル1[[#This Row],[描画状況]]</f>
        <v>https://kurukuru2suuzi.wixsite.com/kuzutokaze済</v>
      </c>
      <c r="R23" s="17">
        <f>1-(COUNTIF(Q:Q,_xlfn.TEXTJOIN(",",TRUE,テーブル1[[#This Row],[リンク]],テーブル1[[#This Row],[描画状況]]))/COUNTIF(F:F,テーブル1[[#This Row],[リンク]]))</f>
        <v>1</v>
      </c>
      <c r="S23" s="16" t="str">
        <f ca="1">IFERROR(IF(テーブル1[[#This Row],[描画状況]]="",RAND()+(テーブル1[[#This Row],[列2]]*100),""),RAND())</f>
        <v/>
      </c>
      <c r="T23" s="1" t="s">
        <v>12</v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1251</v>
      </c>
      <c r="M24" s="23" t="s">
        <v>1163</v>
      </c>
      <c r="O24" s="1" t="s">
        <v>592</v>
      </c>
      <c r="P24" s="1" t="s">
        <v>547</v>
      </c>
      <c r="Q24" s="24" t="str">
        <f>テーブル1[[#This Row],[リンク]]&amp;テーブル1[[#This Row],[描画状況]]</f>
        <v>https://seirentoybox.jimdofree.com済</v>
      </c>
      <c r="R24" s="17">
        <f>1-(COUNTIF(Q:Q,_xlfn.TEXTJOIN(",",TRUE,テーブル1[[#This Row],[リンク]],テーブル1[[#This Row],[描画状況]]))/COUNTIF(F:F,テーブル1[[#This Row],[リンク]]))</f>
        <v>1</v>
      </c>
      <c r="S24" s="16" t="str">
        <f ca="1">IFERROR(IF(テーブル1[[#This Row],[描画状況]]="",RAND()+(テーブル1[[#This Row],[列2]]*100),""),RAND())</f>
        <v/>
      </c>
      <c r="T24" s="1" t="s">
        <v>12</v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1166</v>
      </c>
      <c r="N25" s="23" t="s">
        <v>1190</v>
      </c>
      <c r="O25" s="1" t="s">
        <v>629</v>
      </c>
      <c r="P25" s="1" t="s">
        <v>547</v>
      </c>
      <c r="Q25" s="24" t="str">
        <f>テーブル1[[#This Row],[リンク]]&amp;テーブル1[[#This Row],[描画状況]]</f>
        <v>https://moqujc.wixsite.com/mqtop済</v>
      </c>
      <c r="R25" s="17">
        <f>1-(COUNTIF(Q:Q,_xlfn.TEXTJOIN(",",TRUE,テーブル1[[#This Row],[リンク]],テーブル1[[#This Row],[描画状況]]))/COUNTIF(F:F,テーブル1[[#This Row],[リンク]]))</f>
        <v>1</v>
      </c>
      <c r="S25" s="16" t="str">
        <f ca="1">IFERROR(IF(テーブル1[[#This Row],[描画状況]]="",RAND()+(テーブル1[[#This Row],[列2]]*100),""),RAND())</f>
        <v/>
      </c>
      <c r="T25" s="1" t="s">
        <v>12</v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774</v>
      </c>
      <c r="E26" s="23" t="s">
        <v>943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1194</v>
      </c>
      <c r="N26" s="23" t="s">
        <v>1215</v>
      </c>
      <c r="O26" s="1" t="s">
        <v>629</v>
      </c>
      <c r="P26" s="1" t="s">
        <v>547</v>
      </c>
      <c r="Q26" s="24" t="str">
        <f>テーブル1[[#This Row],[リンク]]&amp;テーブル1[[#This Row],[描画状況]]</f>
        <v>https://itsuriutau.wixsite.com/kanadeshia済</v>
      </c>
      <c r="R26" s="17">
        <f>1-(COUNTIF(Q:Q,_xlfn.TEXTJOIN(",",TRUE,テーブル1[[#This Row],[リンク]],テーブル1[[#This Row],[描画状況]]))/COUNTIF(F:F,テーブル1[[#This Row],[リンク]]))</f>
        <v>1</v>
      </c>
      <c r="S26" s="16" t="str">
        <f ca="1">IFERROR(IF(テーブル1[[#This Row],[描画状況]]="",RAND()+(テーブル1[[#This Row],[列2]]*100),""),RAND())</f>
        <v/>
      </c>
      <c r="T26" s="1" t="s">
        <v>12</v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775</v>
      </c>
      <c r="E27" s="23" t="s">
        <v>944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1194</v>
      </c>
      <c r="N27" s="23" t="s">
        <v>1195</v>
      </c>
      <c r="O27" s="1" t="s">
        <v>629</v>
      </c>
      <c r="P27" s="1" t="s">
        <v>547</v>
      </c>
      <c r="Q27" s="24" t="str">
        <f>テーブル1[[#This Row],[リンク]]&amp;テーブル1[[#This Row],[描画状況]]</f>
        <v>https://itsuriutau.wixsite.com/kanadeshia済</v>
      </c>
      <c r="R27" s="17">
        <f>1-(COUNTIF(Q:Q,_xlfn.TEXTJOIN(",",TRUE,テーブル1[[#This Row],[リンク]],テーブル1[[#This Row],[描画状況]]))/COUNTIF(F:F,テーブル1[[#This Row],[リンク]]))</f>
        <v>1</v>
      </c>
      <c r="S27" s="16" t="str">
        <f ca="1">IFERROR(IF(テーブル1[[#This Row],[描画状況]]="",RAND()+(テーブル1[[#This Row],[列2]]*100),""),RAND())</f>
        <v/>
      </c>
      <c r="T27" s="1" t="s">
        <v>12</v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776</v>
      </c>
      <c r="E28" s="23" t="s">
        <v>945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1196</v>
      </c>
      <c r="K28" s="23" t="s">
        <v>1197</v>
      </c>
      <c r="O28" s="1" t="s">
        <v>592</v>
      </c>
      <c r="P28" s="1" t="s">
        <v>547</v>
      </c>
      <c r="Q28" s="24" t="str">
        <f>テーブル1[[#This Row],[リンク]]&amp;テーブル1[[#This Row],[描画状況]]</f>
        <v>https://kinomihautaimas.wixsite.com/dongurihiroba済</v>
      </c>
      <c r="R28" s="17">
        <f>1-(COUNTIF(Q:Q,_xlfn.TEXTJOIN(",",TRUE,テーブル1[[#This Row],[リンク]],テーブル1[[#This Row],[描画状況]]))/COUNTIF(F:F,テーブル1[[#This Row],[リンク]]))</f>
        <v>1</v>
      </c>
      <c r="S28" s="16" t="str">
        <f ca="1">IFERROR(IF(テーブル1[[#This Row],[描画状況]]="",RAND()+(テーブル1[[#This Row],[列2]]*100),""),RAND())</f>
        <v/>
      </c>
      <c r="T28" s="1" t="s">
        <v>12</v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777</v>
      </c>
      <c r="E29" s="23" t="s">
        <v>946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24" t="str">
        <f>テーブル1[[#This Row],[リンク]]&amp;テーブル1[[#This Row],[描画状況]]</f>
        <v>https://kaitoramma.chu.jp済</v>
      </c>
      <c r="R29" s="17">
        <f>1-(COUNTIF(Q:Q,_xlfn.TEXTJOIN(",",TRUE,テーブル1[[#This Row],[リンク]],テーブル1[[#This Row],[描画状況]]))/COUNTIF(F:F,テーブル1[[#This Row],[リンク]]))</f>
        <v>1</v>
      </c>
      <c r="S29" s="16" t="str">
        <f ca="1">IFERROR(IF(テーブル1[[#This Row],[描画状況]]="",RAND()+(テーブル1[[#This Row],[列2]]*100),""),RAND())</f>
        <v/>
      </c>
      <c r="T29" s="1" t="s">
        <v>12</v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778</v>
      </c>
      <c r="E30" s="23" t="s">
        <v>947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1170</v>
      </c>
      <c r="P30" s="1" t="s">
        <v>547</v>
      </c>
      <c r="Q30" s="24" t="str">
        <f>テーブル1[[#This Row],[リンク]]&amp;テーブル1[[#This Row],[描画状況]]</f>
        <v>https://kaitoramma.chu.jp済</v>
      </c>
      <c r="R30" s="17">
        <f>1-(COUNTIF(Q:Q,_xlfn.TEXTJOIN(",",TRUE,テーブル1[[#This Row],[リンク]],テーブル1[[#This Row],[描画状況]]))/COUNTIF(F:F,テーブル1[[#This Row],[リンク]]))</f>
        <v>1</v>
      </c>
      <c r="S30" s="16" t="str">
        <f ca="1">IFERROR(IF(テーブル1[[#This Row],[描画状況]]="",RAND()+(テーブル1[[#This Row],[列2]]*100),""),RAND())</f>
        <v/>
      </c>
      <c r="T30" s="1" t="s">
        <v>12</v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24" t="str">
        <f>テーブル1[[#This Row],[リンク]]&amp;テーブル1[[#This Row],[描画状況]]</f>
        <v>https://utaunanaproplus.wixsite.com/of-web済</v>
      </c>
      <c r="R31" s="17">
        <f>1-(COUNTIF(Q:Q,_xlfn.TEXTJOIN(",",TRUE,テーブル1[[#This Row],[リンク]],テーブル1[[#This Row],[描画状況]]))/COUNTIF(F:F,テーブル1[[#This Row],[リンク]]))</f>
        <v>1</v>
      </c>
      <c r="S31" s="16" t="str">
        <f ca="1">IFERROR(IF(テーブル1[[#This Row],[描画状況]]="",RAND()+(テーブル1[[#This Row],[列2]]*100),""),RAND())</f>
        <v/>
      </c>
      <c r="T31" s="1" t="s">
        <v>12</v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779</v>
      </c>
      <c r="E32" s="23" t="s">
        <v>948</v>
      </c>
      <c r="F32" s="2" t="s">
        <v>197</v>
      </c>
      <c r="G32" s="23" t="s">
        <v>198</v>
      </c>
      <c r="H32" s="23" t="s">
        <v>658</v>
      </c>
      <c r="I32" s="23" t="s">
        <v>1311</v>
      </c>
      <c r="K32" s="23" t="s">
        <v>1251</v>
      </c>
      <c r="L32" s="23" t="s">
        <v>1189</v>
      </c>
      <c r="M32" s="23" t="s">
        <v>1266</v>
      </c>
      <c r="N32" s="23" t="s">
        <v>1198</v>
      </c>
      <c r="O32" s="1" t="s">
        <v>592</v>
      </c>
      <c r="P32" s="1" t="s">
        <v>547</v>
      </c>
      <c r="Q32" s="24" t="str">
        <f>テーブル1[[#This Row],[リンク]]&amp;テーブル1[[#This Row],[描画状況]]</f>
        <v>https://seirentoybox.jimdofree.com済</v>
      </c>
      <c r="R32" s="17">
        <f>1-(COUNTIF(Q:Q,_xlfn.TEXTJOIN(",",TRUE,テーブル1[[#This Row],[リンク]],テーブル1[[#This Row],[描画状況]]))/COUNTIF(F:F,テーブル1[[#This Row],[リンク]]))</f>
        <v>1</v>
      </c>
      <c r="S32" s="16" t="str">
        <f ca="1">IFERROR(IF(テーブル1[[#This Row],[描画状況]]="",RAND()+(テーブル1[[#This Row],[列2]]*100),""),RAND())</f>
        <v/>
      </c>
      <c r="T32" s="1" t="s">
        <v>12</v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780</v>
      </c>
      <c r="E33" s="23" t="s">
        <v>949</v>
      </c>
      <c r="F33" s="15" t="s">
        <v>175</v>
      </c>
      <c r="G33" s="23" t="s">
        <v>176</v>
      </c>
      <c r="H33" s="23" t="s">
        <v>659</v>
      </c>
      <c r="I33" s="23" t="s">
        <v>714</v>
      </c>
      <c r="K33" s="23" t="s">
        <v>1305</v>
      </c>
      <c r="L33" s="23" t="s">
        <v>1199</v>
      </c>
      <c r="M33" s="23" t="s">
        <v>1170</v>
      </c>
      <c r="N33" s="23" t="s">
        <v>1216</v>
      </c>
      <c r="O33" s="1" t="s">
        <v>629</v>
      </c>
      <c r="P33" s="1" t="s">
        <v>547</v>
      </c>
      <c r="Q33" s="24" t="str">
        <f>テーブル1[[#This Row],[リンク]]&amp;テーブル1[[#This Row],[描画状況]]</f>
        <v>https://nyaruru.wixsite.com/s-p-w済</v>
      </c>
      <c r="R33" s="17">
        <f>1-(COUNTIF(Q:Q,_xlfn.TEXTJOIN(",",TRUE,テーブル1[[#This Row],[リンク]],テーブル1[[#This Row],[描画状況]]))/COUNTIF(F:F,テーブル1[[#This Row],[リンク]]))</f>
        <v>1</v>
      </c>
      <c r="S33" s="16" t="str">
        <f ca="1">IFERROR(IF(テーブル1[[#This Row],[描画状況]]="",RAND()+(テーブル1[[#This Row],[列2]]*100),""),RAND())</f>
        <v/>
      </c>
      <c r="T33" s="1" t="s">
        <v>12</v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781</v>
      </c>
      <c r="E34" s="23" t="s">
        <v>950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1169</v>
      </c>
      <c r="N34" s="23" t="s">
        <v>1217</v>
      </c>
      <c r="O34" s="1" t="s">
        <v>592</v>
      </c>
      <c r="P34" s="1" t="s">
        <v>547</v>
      </c>
      <c r="Q34" s="24" t="str">
        <f>テーブル1[[#This Row],[リンク]]&amp;テーブル1[[#This Row],[描画状況]]</f>
        <v>https://kinomihautaimas.wixsite.com/dongurihiroba済</v>
      </c>
      <c r="R34" s="17">
        <f>1-(COUNTIF(Q:Q,_xlfn.TEXTJOIN(",",TRUE,テーブル1[[#This Row],[リンク]],テーブル1[[#This Row],[描画状況]]))/COUNTIF(F:F,テーブル1[[#This Row],[リンク]]))</f>
        <v>1</v>
      </c>
      <c r="S34" s="16" t="str">
        <f ca="1">IFERROR(IF(テーブル1[[#This Row],[描画状況]]="",RAND()+(テーブル1[[#This Row],[列2]]*100),""),RAND())</f>
        <v/>
      </c>
      <c r="T34" s="1" t="s">
        <v>12</v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782</v>
      </c>
      <c r="E35" s="23" t="s">
        <v>951</v>
      </c>
      <c r="F35" s="2" t="s">
        <v>245</v>
      </c>
      <c r="G35" s="23" t="s">
        <v>246</v>
      </c>
      <c r="H35" s="23" t="s">
        <v>659</v>
      </c>
      <c r="I35" s="23" t="s">
        <v>1313</v>
      </c>
      <c r="K35" s="23" t="s">
        <v>1249</v>
      </c>
      <c r="L35" s="23" t="s">
        <v>1199</v>
      </c>
      <c r="M35" s="23" t="s">
        <v>1200</v>
      </c>
      <c r="N35" s="23" t="s">
        <v>1190</v>
      </c>
      <c r="P35" s="1" t="s">
        <v>547</v>
      </c>
      <c r="Q35" s="24" t="str">
        <f>テーブル1[[#This Row],[リンク]]&amp;テーブル1[[#This Row],[描画状況]]</f>
        <v>https://utaunanaproplus.wixsite.com/of-web済</v>
      </c>
      <c r="R35" s="17">
        <f>1-(COUNTIF(Q:Q,_xlfn.TEXTJOIN(",",TRUE,テーブル1[[#This Row],[リンク]],テーブル1[[#This Row],[描画状況]]))/COUNTIF(F:F,テーブル1[[#This Row],[リンク]]))</f>
        <v>1</v>
      </c>
      <c r="S35" s="16" t="str">
        <f ca="1">IFERROR(IF(テーブル1[[#This Row],[描画状況]]="",RAND()+(テーブル1[[#This Row],[列2]]*100),""),RAND())</f>
        <v/>
      </c>
      <c r="T35" s="1" t="s">
        <v>12</v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783</v>
      </c>
      <c r="E36" s="23" t="s">
        <v>952</v>
      </c>
      <c r="F36" s="2" t="s">
        <v>175</v>
      </c>
      <c r="G36" s="23" t="s">
        <v>178</v>
      </c>
      <c r="H36" s="23" t="s">
        <v>659</v>
      </c>
      <c r="I36" s="23" t="s">
        <v>702</v>
      </c>
      <c r="K36" s="23" t="s">
        <v>1291</v>
      </c>
      <c r="L36" s="23" t="s">
        <v>1293</v>
      </c>
      <c r="M36" s="23" t="s">
        <v>1166</v>
      </c>
      <c r="N36" s="23" t="s">
        <v>1279</v>
      </c>
      <c r="O36" s="1" t="s">
        <v>629</v>
      </c>
      <c r="P36" s="1" t="s">
        <v>547</v>
      </c>
      <c r="Q36" s="24" t="str">
        <f>テーブル1[[#This Row],[リンク]]&amp;テーブル1[[#This Row],[描画状況]]</f>
        <v>https://nyaruru.wixsite.com/s-p-w済</v>
      </c>
      <c r="R36" s="17">
        <f>1-(COUNTIF(Q:Q,_xlfn.TEXTJOIN(",",TRUE,テーブル1[[#This Row],[リンク]],テーブル1[[#This Row],[描画状況]]))/COUNTIF(F:F,テーブル1[[#This Row],[リンク]]))</f>
        <v>1</v>
      </c>
      <c r="S36" s="16" t="str">
        <f ca="1">IFERROR(IF(テーブル1[[#This Row],[描画状況]]="",RAND()+(テーブル1[[#This Row],[列2]]*100),""),RAND())</f>
        <v/>
      </c>
      <c r="T36" s="1" t="s">
        <v>12</v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784</v>
      </c>
      <c r="E37" s="23" t="s">
        <v>953</v>
      </c>
      <c r="F37" s="15" t="s">
        <v>72</v>
      </c>
      <c r="G37" s="23" t="s">
        <v>1098</v>
      </c>
      <c r="H37" s="23" t="s">
        <v>659</v>
      </c>
      <c r="I37" s="23" t="s">
        <v>665</v>
      </c>
      <c r="L37" s="23" t="s">
        <v>1194</v>
      </c>
      <c r="M37" s="23" t="s">
        <v>1162</v>
      </c>
      <c r="O37" s="1" t="s">
        <v>592</v>
      </c>
      <c r="P37" s="1" t="s">
        <v>547</v>
      </c>
      <c r="Q37" s="24" t="str">
        <f>テーブル1[[#This Row],[リンク]]&amp;テーブル1[[#This Row],[描画状況]]</f>
        <v>https://hznonoka.wixsite.com/utau済</v>
      </c>
      <c r="R37" s="17">
        <f>1-(COUNTIF(Q:Q,_xlfn.TEXTJOIN(",",TRUE,テーブル1[[#This Row],[リンク]],テーブル1[[#This Row],[描画状況]]))/COUNTIF(F:F,テーブル1[[#This Row],[リンク]]))</f>
        <v>1</v>
      </c>
      <c r="S37" s="16" t="str">
        <f ca="1">IFERROR(IF(テーブル1[[#This Row],[描画状況]]="",RAND()+(テーブル1[[#This Row],[列2]]*100),""),RAND())</f>
        <v/>
      </c>
      <c r="T37" s="1" t="s">
        <v>12</v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785</v>
      </c>
      <c r="E38" s="23" t="s">
        <v>954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1201</v>
      </c>
      <c r="N38" s="23" t="s">
        <v>1279</v>
      </c>
      <c r="O38" s="1" t="s">
        <v>629</v>
      </c>
      <c r="P38" s="1" t="s">
        <v>547</v>
      </c>
      <c r="Q38" s="24" t="str">
        <f>テーブル1[[#This Row],[リンク]]&amp;テーブル1[[#This Row],[描画状況]]</f>
        <v>https://nichikuniku1129063.wixsite.com/website-3済</v>
      </c>
      <c r="R38" s="17">
        <f>1-(COUNTIF(Q:Q,_xlfn.TEXTJOIN(",",TRUE,テーブル1[[#This Row],[リンク]],テーブル1[[#This Row],[描画状況]]))/COUNTIF(F:F,テーブル1[[#This Row],[リンク]]))</f>
        <v>1</v>
      </c>
      <c r="S38" s="16" t="str">
        <f ca="1">IFERROR(IF(テーブル1[[#This Row],[描画状況]]="",RAND()+(テーブル1[[#This Row],[列2]]*100),""),RAND())</f>
        <v/>
      </c>
      <c r="T38" s="1" t="s">
        <v>12</v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24" t="str">
        <f>テーブル1[[#This Row],[リンク]]&amp;テーブル1[[#This Row],[描画状況]]</f>
        <v>https://subarumusicstore.studio.site済</v>
      </c>
      <c r="R39" s="17">
        <f>1-(COUNTIF(Q:Q,_xlfn.TEXTJOIN(",",TRUE,テーブル1[[#This Row],[リンク]],テーブル1[[#This Row],[描画状況]]))/COUNTIF(F:F,テーブル1[[#This Row],[リンク]]))</f>
        <v>1</v>
      </c>
      <c r="S39" s="16" t="str">
        <f ca="1">IFERROR(IF(テーブル1[[#This Row],[描画状況]]="",RAND()+(テーブル1[[#This Row],[列2]]*100),""),RAND())</f>
        <v/>
      </c>
      <c r="T39" s="1" t="s">
        <v>12</v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1202</v>
      </c>
      <c r="O40" s="1" t="s">
        <v>593</v>
      </c>
      <c r="P40" s="1" t="s">
        <v>547</v>
      </c>
      <c r="Q40" s="24" t="str">
        <f>テーブル1[[#This Row],[リンク]]&amp;テーブル1[[#This Row],[描画状況]]</f>
        <v>http://park2.wakwak.com/~mbox/vo/hk/hkfre.htm済</v>
      </c>
      <c r="R40" s="17">
        <f>1-(COUNTIF(Q:Q,_xlfn.TEXTJOIN(",",TRUE,テーブル1[[#This Row],[リンク]],テーブル1[[#This Row],[描画状況]]))/COUNTIF(F:F,テーブル1[[#This Row],[リンク]]))</f>
        <v>1</v>
      </c>
      <c r="S40" s="16" t="str">
        <f ca="1">IFERROR(IF(テーブル1[[#This Row],[描画状況]]="",RAND()+(テーブル1[[#This Row],[列2]]*100),""),RAND())</f>
        <v/>
      </c>
      <c r="T40" s="1" t="s">
        <v>12</v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786</v>
      </c>
      <c r="E41" s="23" t="s">
        <v>955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24" t="str">
        <f>テーブル1[[#This Row],[リンク]]&amp;テーブル1[[#This Row],[描画状況]]</f>
        <v>https://keineron.wixsite.com/index済</v>
      </c>
      <c r="R41" s="17">
        <f>1-(COUNTIF(Q:Q,_xlfn.TEXTJOIN(",",TRUE,テーブル1[[#This Row],[リンク]],テーブル1[[#This Row],[描画状況]]))/COUNTIF(F:F,テーブル1[[#This Row],[リンク]]))</f>
        <v>1</v>
      </c>
      <c r="S41" s="16" t="str">
        <f ca="1">IFERROR(IF(テーブル1[[#This Row],[描画状況]]="",RAND()+(テーブル1[[#This Row],[列2]]*100),""),RAND())</f>
        <v/>
      </c>
      <c r="T41" s="1" t="s">
        <v>12</v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1172</v>
      </c>
      <c r="N42" s="23" t="s">
        <v>1274</v>
      </c>
      <c r="O42" s="1" t="s">
        <v>629</v>
      </c>
      <c r="P42" s="1" t="s">
        <v>547</v>
      </c>
      <c r="Q42" s="24" t="str">
        <f>テーブル1[[#This Row],[リンク]]&amp;テーブル1[[#This Row],[描画状況]]</f>
        <v>https://kurukuru2suuzi.wixsite.com/kuzutokaze済</v>
      </c>
      <c r="R42" s="17">
        <f>1-(COUNTIF(Q:Q,_xlfn.TEXTJOIN(",",TRUE,テーブル1[[#This Row],[リンク]],テーブル1[[#This Row],[描画状況]]))/COUNTIF(F:F,テーブル1[[#This Row],[リンク]]))</f>
        <v>1</v>
      </c>
      <c r="S42" s="16" t="str">
        <f ca="1">IFERROR(IF(テーブル1[[#This Row],[描画状況]]="",RAND()+(テーブル1[[#This Row],[列2]]*100),""),RAND())</f>
        <v/>
      </c>
      <c r="T42" s="1" t="s">
        <v>12</v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24" t="str">
        <f>テーブル1[[#This Row],[リンク]]&amp;テーブル1[[#This Row],[描画状況]]</f>
        <v>https://kakokyu102krbs.wixsite.com/greenmilky済</v>
      </c>
      <c r="R43" s="17">
        <f>1-(COUNTIF(Q:Q,_xlfn.TEXTJOIN(",",TRUE,テーブル1[[#This Row],[リンク]],テーブル1[[#This Row],[描画状況]]))/COUNTIF(F:F,テーブル1[[#This Row],[リンク]]))</f>
        <v>1</v>
      </c>
      <c r="S43" s="16" t="str">
        <f ca="1">IFERROR(IF(テーブル1[[#This Row],[描画状況]]="",RAND()+(テーブル1[[#This Row],[列2]]*100),""),RAND())</f>
        <v/>
      </c>
      <c r="T43" s="1" t="s">
        <v>12</v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787</v>
      </c>
      <c r="E44" s="23" t="s">
        <v>956</v>
      </c>
      <c r="F44" s="27" t="s">
        <v>57</v>
      </c>
      <c r="G44" s="23" t="s">
        <v>58</v>
      </c>
      <c r="H44" s="23" t="s">
        <v>659</v>
      </c>
      <c r="I44" s="23" t="s">
        <v>1306</v>
      </c>
      <c r="J44" s="23" t="s">
        <v>1173</v>
      </c>
      <c r="K44" s="23" t="s">
        <v>1307</v>
      </c>
      <c r="N44" s="23" t="s">
        <v>1280</v>
      </c>
      <c r="O44" s="1" t="s">
        <v>593</v>
      </c>
      <c r="P44" s="1" t="s">
        <v>547</v>
      </c>
      <c r="Q44" s="24" t="str">
        <f>テーブル1[[#This Row],[リンク]]&amp;テーブル1[[#This Row],[描画状況]]</f>
        <v>https://chunyinhui021.wixsite.com/mutyuusaisei済</v>
      </c>
      <c r="R44" s="17">
        <f>1-(COUNTIF(Q:Q,_xlfn.TEXTJOIN(",",TRUE,テーブル1[[#This Row],[リンク]],テーブル1[[#This Row],[描画状況]]))/COUNTIF(F:F,テーブル1[[#This Row],[リンク]]))</f>
        <v>1</v>
      </c>
      <c r="S44" s="16" t="str">
        <f ca="1">IFERROR(IF(テーブル1[[#This Row],[描画状況]]="",RAND()+(テーブル1[[#This Row],[列2]]*100),""),RAND())</f>
        <v/>
      </c>
      <c r="T44" s="1" t="s">
        <v>12</v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1202</v>
      </c>
      <c r="M45" s="23" t="s">
        <v>1164</v>
      </c>
      <c r="P45" s="1" t="s">
        <v>547</v>
      </c>
      <c r="Q45" s="24" t="str">
        <f>テーブル1[[#This Row],[リンク]]&amp;テーブル1[[#This Row],[描画状況]]</f>
        <v>https://utauudon.wixsite.com/origamisyokudou済</v>
      </c>
      <c r="R45" s="17">
        <f>1-(COUNTIF(Q:Q,_xlfn.TEXTJOIN(",",TRUE,テーブル1[[#This Row],[リンク]],テーブル1[[#This Row],[描画状況]]))/COUNTIF(F:F,テーブル1[[#This Row],[リンク]]))</f>
        <v>1</v>
      </c>
      <c r="S45" s="16" t="str">
        <f ca="1">IFERROR(IF(テーブル1[[#This Row],[描画状況]]="",RAND()+(テーブル1[[#This Row],[列2]]*100),""),RAND())</f>
        <v/>
      </c>
      <c r="T45" s="1" t="s">
        <v>12</v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788</v>
      </c>
      <c r="E46" s="23" t="s">
        <v>957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1218</v>
      </c>
      <c r="M46" s="23" t="s">
        <v>1270</v>
      </c>
      <c r="O46" s="1" t="s">
        <v>592</v>
      </c>
      <c r="P46" s="1" t="s">
        <v>547</v>
      </c>
      <c r="Q46" s="24" t="str">
        <f>テーブル1[[#This Row],[リンク]]&amp;テーブル1[[#This Row],[描画状況]]</f>
        <v>https://hinagitsune-utau.wixsite.com/utaukokorone済</v>
      </c>
      <c r="R46" s="17">
        <f>1-(COUNTIF(Q:Q,_xlfn.TEXTJOIN(",",TRUE,テーブル1[[#This Row],[リンク]],テーブル1[[#This Row],[描画状況]]))/COUNTIF(F:F,テーブル1[[#This Row],[リンク]]))</f>
        <v>1</v>
      </c>
      <c r="S46" s="16" t="str">
        <f ca="1">IFERROR(IF(テーブル1[[#This Row],[描画状況]]="",RAND()+(テーブル1[[#This Row],[列2]]*100),""),RAND())</f>
        <v/>
      </c>
      <c r="T46" s="1" t="s">
        <v>12</v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789</v>
      </c>
      <c r="E47" s="23" t="s">
        <v>958</v>
      </c>
      <c r="F47" s="2" t="s">
        <v>157</v>
      </c>
      <c r="G47" s="23" t="s">
        <v>158</v>
      </c>
      <c r="P47" s="1" t="s">
        <v>547</v>
      </c>
      <c r="Q47" s="24" t="str">
        <f>テーブル1[[#This Row],[リンク]]&amp;テーブル1[[#This Row],[描画状況]]</f>
        <v>https://nananasyrup.wixsite.com/13kka済</v>
      </c>
      <c r="R47" s="17">
        <f>1-(COUNTIF(Q:Q,_xlfn.TEXTJOIN(",",TRUE,テーブル1[[#This Row],[リンク]],テーブル1[[#This Row],[描画状況]]))/COUNTIF(F:F,テーブル1[[#This Row],[リンク]]))</f>
        <v>1</v>
      </c>
      <c r="S47" s="16" t="str">
        <f ca="1">IFERROR(IF(テーブル1[[#This Row],[描画状況]]="",RAND()+(テーブル1[[#This Row],[列2]]*100),""),RAND())</f>
        <v/>
      </c>
      <c r="T47" s="1" t="s">
        <v>12</v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1162</v>
      </c>
      <c r="N48" s="23" t="s">
        <v>1281</v>
      </c>
      <c r="O48" s="1" t="s">
        <v>629</v>
      </c>
      <c r="P48" s="1" t="s">
        <v>547</v>
      </c>
      <c r="Q48" s="24" t="str">
        <f>テーブル1[[#This Row],[リンク]]&amp;テーブル1[[#This Row],[描画状況]]</f>
        <v>https://nichikuniku1129063.wixsite.com/website-3済</v>
      </c>
      <c r="R48" s="17">
        <f>1-(COUNTIF(Q:Q,_xlfn.TEXTJOIN(",",TRUE,テーブル1[[#This Row],[リンク]],テーブル1[[#This Row],[描画状況]]))/COUNTIF(F:F,テーブル1[[#This Row],[リンク]]))</f>
        <v>1</v>
      </c>
      <c r="S48" s="16" t="str">
        <f ca="1">IFERROR(IF(テーブル1[[#This Row],[描画状況]]="",RAND()+(テーブル1[[#This Row],[列2]]*100),""),RAND())</f>
        <v/>
      </c>
      <c r="T48" s="1" t="s">
        <v>12</v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24" t="str">
        <f>テーブル1[[#This Row],[リンク]]&amp;テーブル1[[#This Row],[描画状況]]</f>
        <v>https://ne510channel.wixsite.com/website済</v>
      </c>
      <c r="R49" s="17">
        <f>1-(COUNTIF(Q:Q,_xlfn.TEXTJOIN(",",TRUE,テーブル1[[#This Row],[リンク]],テーブル1[[#This Row],[描画状況]]))/COUNTIF(F:F,テーブル1[[#This Row],[リンク]]))</f>
        <v>1</v>
      </c>
      <c r="S49" s="16" t="str">
        <f ca="1">IFERROR(IF(テーブル1[[#This Row],[描画状況]]="",RAND()+(テーブル1[[#This Row],[列2]]*100),""),RAND())</f>
        <v/>
      </c>
      <c r="T49" s="1" t="s">
        <v>12</v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1303</v>
      </c>
      <c r="G50" s="23" t="s">
        <v>132</v>
      </c>
      <c r="P50" s="1" t="s">
        <v>547</v>
      </c>
      <c r="Q50" s="24" t="str">
        <f>テーブル1[[#This Row],[リンク]]&amp;テーブル1[[#This Row],[描画状況]]</f>
        <v>https://sereinrain113.wixsite.com/999sereinrain済</v>
      </c>
      <c r="R50" s="17">
        <f>1-(COUNTIF(Q:Q,_xlfn.TEXTJOIN(",",TRUE,テーブル1[[#This Row],[リンク]],テーブル1[[#This Row],[描画状況]]))/COUNTIF(F:F,テーブル1[[#This Row],[リンク]]))</f>
        <v>1</v>
      </c>
      <c r="S50" s="16" t="str">
        <f ca="1">IFERROR(IF(テーブル1[[#This Row],[描画状況]]="",RAND()+(テーブル1[[#This Row],[列2]]*100),""),RAND())</f>
        <v/>
      </c>
      <c r="T50" s="1" t="s">
        <v>12</v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790</v>
      </c>
      <c r="E51" s="23" t="s">
        <v>959</v>
      </c>
      <c r="F51" s="2" t="s">
        <v>261</v>
      </c>
      <c r="G51" s="23" t="s">
        <v>262</v>
      </c>
      <c r="P51" s="1" t="s">
        <v>547</v>
      </c>
      <c r="Q51" s="24" t="str">
        <f>テーブル1[[#This Row],[リンク]]&amp;テーブル1[[#This Row],[描画状況]]</f>
        <v>https://witchdoll.jimdofree.com済</v>
      </c>
      <c r="R51" s="17">
        <f>1-(COUNTIF(Q:Q,_xlfn.TEXTJOIN(",",TRUE,テーブル1[[#This Row],[リンク]],テーブル1[[#This Row],[描画状況]]))/COUNTIF(F:F,テーブル1[[#This Row],[リンク]]))</f>
        <v>1</v>
      </c>
      <c r="S51" s="16" t="str">
        <f ca="1">IFERROR(IF(テーブル1[[#This Row],[描画状況]]="",RAND()+(テーブル1[[#This Row],[列2]]*100),""),RAND())</f>
        <v/>
      </c>
      <c r="T51" s="1" t="s">
        <v>12</v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791</v>
      </c>
      <c r="E52" s="23" t="s">
        <v>960</v>
      </c>
      <c r="F52" s="2" t="s">
        <v>237</v>
      </c>
      <c r="G52" s="23" t="s">
        <v>238</v>
      </c>
      <c r="P52" s="1" t="s">
        <v>547</v>
      </c>
      <c r="Q52" s="24" t="str">
        <f>テーブル1[[#This Row],[リンク]]&amp;テーブル1[[#This Row],[描画状況]]</f>
        <v>https://tsukimiya0728.wixsite.com/silverbullet済</v>
      </c>
      <c r="R52" s="17">
        <f>1-(COUNTIF(Q:Q,_xlfn.TEXTJOIN(",",TRUE,テーブル1[[#This Row],[リンク]],テーブル1[[#This Row],[描画状況]]))/COUNTIF(F:F,テーブル1[[#This Row],[リンク]]))</f>
        <v>1</v>
      </c>
      <c r="S52" s="16" t="str">
        <f ca="1">IFERROR(IF(テーブル1[[#This Row],[描画状況]]="",RAND()+(テーブル1[[#This Row],[列2]]*100),""),RAND())</f>
        <v/>
      </c>
      <c r="T52" s="1" t="s">
        <v>12</v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1201</v>
      </c>
      <c r="O53" s="1" t="s">
        <v>629</v>
      </c>
      <c r="P53" s="1" t="s">
        <v>547</v>
      </c>
      <c r="Q53" s="24" t="str">
        <f>テーブル1[[#This Row],[リンク]]&amp;テーブル1[[#This Row],[描画状況]]</f>
        <v>https://nichikuniku1129063.wixsite.com/website-3済</v>
      </c>
      <c r="R53" s="17">
        <f>1-(COUNTIF(Q:Q,_xlfn.TEXTJOIN(",",TRUE,テーブル1[[#This Row],[リンク]],テーブル1[[#This Row],[描画状況]]))/COUNTIF(F:F,テーブル1[[#This Row],[リンク]]))</f>
        <v>1</v>
      </c>
      <c r="S53" s="16" t="str">
        <f ca="1">IFERROR(IF(テーブル1[[#This Row],[描画状況]]="",RAND()+(テーブル1[[#This Row],[列2]]*100),""),RAND())</f>
        <v/>
      </c>
      <c r="T53" s="1" t="s">
        <v>12</v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792</v>
      </c>
      <c r="E54" s="23" t="s">
        <v>961</v>
      </c>
      <c r="F54" s="15" t="s">
        <v>660</v>
      </c>
      <c r="G54" s="23" t="s">
        <v>53</v>
      </c>
      <c r="O54" s="1" t="s">
        <v>593</v>
      </c>
      <c r="P54" s="1" t="s">
        <v>547</v>
      </c>
      <c r="Q54" s="24" t="str">
        <f>テーブル1[[#This Row],[リンク]]&amp;テーブル1[[#This Row],[描画状況]]</f>
        <v>https://utau.kurotsuka.xyz済</v>
      </c>
      <c r="R54" s="17">
        <f>1-(COUNTIF(Q:Q,_xlfn.TEXTJOIN(",",TRUE,テーブル1[[#This Row],[リンク]],テーブル1[[#This Row],[描画状況]]))/COUNTIF(F:F,テーブル1[[#This Row],[リンク]]))</f>
        <v>1</v>
      </c>
      <c r="S54" s="16" t="str">
        <f ca="1">IFERROR(IF(テーブル1[[#This Row],[描画状況]]="",RAND()+(テーブル1[[#This Row],[列2]]*100),""),RAND())</f>
        <v/>
      </c>
      <c r="T54" s="1" t="s">
        <v>12</v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1273</v>
      </c>
      <c r="O55" s="1" t="s">
        <v>629</v>
      </c>
      <c r="P55" s="1" t="s">
        <v>547</v>
      </c>
      <c r="Q55" s="24" t="str">
        <f>テーブル1[[#This Row],[リンク]]&amp;テーブル1[[#This Row],[描画状況]]</f>
        <v>https://kakokyu102krbs.wixsite.com/greenmilky済</v>
      </c>
      <c r="R55" s="17">
        <f>1-(COUNTIF(Q:Q,_xlfn.TEXTJOIN(",",TRUE,テーブル1[[#This Row],[リンク]],テーブル1[[#This Row],[描画状況]]))/COUNTIF(F:F,テーブル1[[#This Row],[リンク]]))</f>
        <v>1</v>
      </c>
      <c r="S55" s="16" t="str">
        <f ca="1">IFERROR(IF(テーブル1[[#This Row],[描画状況]]="",RAND()+(テーブル1[[#This Row],[列2]]*100),""),RAND())</f>
        <v/>
      </c>
      <c r="T55" s="1" t="s">
        <v>12</v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24" t="str">
        <f>テーブル1[[#This Row],[リンク]]&amp;テーブル1[[#This Row],[描画状況]]</f>
        <v>https://shinri517.wixsite.com/shinri0517済</v>
      </c>
      <c r="R56" s="17">
        <f>1-(COUNTIF(Q:Q,_xlfn.TEXTJOIN(",",TRUE,テーブル1[[#This Row],[リンク]],テーブル1[[#This Row],[描画状況]]))/COUNTIF(F:F,テーブル1[[#This Row],[リンク]]))</f>
        <v>1</v>
      </c>
      <c r="S56" s="16" t="str">
        <f ca="1">IFERROR(IF(テーブル1[[#This Row],[描画状況]]="",RAND()+(テーブル1[[#This Row],[列2]]*100),""),RAND())</f>
        <v/>
      </c>
      <c r="T56" s="1" t="s">
        <v>12</v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24" t="str">
        <f>テーブル1[[#This Row],[リンク]]&amp;テーブル1[[#This Row],[描画状況]]</f>
        <v>https://minazukiringo.wixsite.com/amatsubu済</v>
      </c>
      <c r="R57" s="17">
        <f>1-(COUNTIF(Q:Q,_xlfn.TEXTJOIN(",",TRUE,テーブル1[[#This Row],[リンク]],テーブル1[[#This Row],[描画状況]]))/COUNTIF(F:F,テーブル1[[#This Row],[リンク]]))</f>
        <v>1</v>
      </c>
      <c r="S57" s="16" t="str">
        <f ca="1">IFERROR(IF(テーブル1[[#This Row],[描画状況]]="",RAND()+(テーブル1[[#This Row],[列2]]*100),""),RAND())</f>
        <v/>
      </c>
      <c r="T57" s="1" t="s">
        <v>12</v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793</v>
      </c>
      <c r="E58" s="23" t="s">
        <v>962</v>
      </c>
      <c r="F58" s="2" t="s">
        <v>43</v>
      </c>
      <c r="G58" s="23" t="s">
        <v>44</v>
      </c>
      <c r="O58" s="1" t="s">
        <v>593</v>
      </c>
      <c r="P58" s="1" t="s">
        <v>547</v>
      </c>
      <c r="Q58" s="24" t="str">
        <f>テーブル1[[#This Row],[リンク]]&amp;テーブル1[[#This Row],[描画状況]]</f>
        <v>https://bellsworks.wixsite.com/bellsworks済</v>
      </c>
      <c r="R58" s="17">
        <f>1-(COUNTIF(Q:Q,_xlfn.TEXTJOIN(",",TRUE,テーブル1[[#This Row],[リンク]],テーブル1[[#This Row],[描画状況]]))/COUNTIF(F:F,テーブル1[[#This Row],[リンク]]))</f>
        <v>1</v>
      </c>
      <c r="S58" s="16" t="str">
        <f ca="1">IFERROR(IF(テーブル1[[#This Row],[描画状況]]="",RAND()+(テーブル1[[#This Row],[列2]]*100),""),RAND())</f>
        <v/>
      </c>
      <c r="T58" s="1" t="s">
        <v>12</v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794</v>
      </c>
      <c r="E59" s="23" t="s">
        <v>963</v>
      </c>
      <c r="F59" s="2" t="s">
        <v>43</v>
      </c>
      <c r="G59" s="23" t="s">
        <v>44</v>
      </c>
      <c r="O59" s="1" t="s">
        <v>593</v>
      </c>
      <c r="P59" s="1" t="s">
        <v>547</v>
      </c>
      <c r="Q59" s="24" t="str">
        <f>テーブル1[[#This Row],[リンク]]&amp;テーブル1[[#This Row],[描画状況]]</f>
        <v>https://bellsworks.wixsite.com/bellsworks済</v>
      </c>
      <c r="R59" s="17">
        <f>1-(COUNTIF(Q:Q,_xlfn.TEXTJOIN(",",TRUE,テーブル1[[#This Row],[リンク]],テーブル1[[#This Row],[描画状況]]))/COUNTIF(F:F,テーブル1[[#This Row],[リンク]]))</f>
        <v>1</v>
      </c>
      <c r="S59" s="16" t="str">
        <f ca="1">IFERROR(IF(テーブル1[[#This Row],[描画状況]]="",RAND()+(テーブル1[[#This Row],[列2]]*100),""),RAND())</f>
        <v/>
      </c>
      <c r="T59" s="1" t="s">
        <v>12</v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795</v>
      </c>
      <c r="E60" s="23" t="s">
        <v>964</v>
      </c>
      <c r="F60" s="2" t="s">
        <v>188</v>
      </c>
      <c r="G60" s="23" t="s">
        <v>189</v>
      </c>
      <c r="P60" s="1" t="s">
        <v>547</v>
      </c>
      <c r="Q60" s="24" t="str">
        <f>テーブル1[[#This Row],[リンク]]&amp;テーブル1[[#This Row],[描画状況]]</f>
        <v>https://offlamingo21.wixsite.com/amato-seiun済</v>
      </c>
      <c r="R60" s="17">
        <f>1-(COUNTIF(Q:Q,_xlfn.TEXTJOIN(",",TRUE,テーブル1[[#This Row],[リンク]],テーブル1[[#This Row],[描画状況]]))/COUNTIF(F:F,テーブル1[[#This Row],[リンク]]))</f>
        <v>1</v>
      </c>
      <c r="S60" s="16" t="str">
        <f ca="1">IFERROR(IF(テーブル1[[#This Row],[描画状況]]="",RAND()+(テーブル1[[#This Row],[列2]]*100),""),RAND())</f>
        <v/>
      </c>
      <c r="T60" s="1" t="s">
        <v>12</v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796</v>
      </c>
      <c r="E61" s="23" t="s">
        <v>965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1173</v>
      </c>
      <c r="O61" s="1" t="s">
        <v>593</v>
      </c>
      <c r="P61" s="1" t="s">
        <v>547</v>
      </c>
      <c r="Q61" s="24" t="str">
        <f>テーブル1[[#This Row],[リンク]]&amp;テーブル1[[#This Row],[描画状況]]</f>
        <v>http://park2.wakwak.com/~mbox/vo/hk/hkfre.htm済</v>
      </c>
      <c r="R61" s="17">
        <f>1-(COUNTIF(Q:Q,_xlfn.TEXTJOIN(",",TRUE,テーブル1[[#This Row],[リンク]],テーブル1[[#This Row],[描画状況]]))/COUNTIF(F:F,テーブル1[[#This Row],[リンク]]))</f>
        <v>1</v>
      </c>
      <c r="S61" s="16" t="str">
        <f ca="1">IFERROR(IF(テーブル1[[#This Row],[描画状況]]="",RAND()+(テーブル1[[#This Row],[列2]]*100),""),RAND())</f>
        <v/>
      </c>
      <c r="T61" s="1" t="s">
        <v>12</v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797</v>
      </c>
      <c r="E62" s="23" t="s">
        <v>966</v>
      </c>
      <c r="F62" s="2" t="s">
        <v>190</v>
      </c>
      <c r="G62" s="23" t="s">
        <v>191</v>
      </c>
      <c r="P62" s="1" t="s">
        <v>547</v>
      </c>
      <c r="Q62" s="24" t="str">
        <f>テーブル1[[#This Row],[リンク]]&amp;テーブル1[[#This Row],[描画状況]]</f>
        <v>https://rinnneuta.wixsite.com/my-site-2?s=09済</v>
      </c>
      <c r="R62" s="17">
        <f>1-(COUNTIF(Q:Q,_xlfn.TEXTJOIN(",",TRUE,テーブル1[[#This Row],[リンク]],テーブル1[[#This Row],[描画状況]]))/COUNTIF(F:F,テーブル1[[#This Row],[リンク]]))</f>
        <v>1</v>
      </c>
      <c r="S62" s="16" t="str">
        <f ca="1">IFERROR(IF(テーブル1[[#This Row],[描画状況]]="",RAND()+(テーブル1[[#This Row],[列2]]*100),""),RAND())</f>
        <v/>
      </c>
      <c r="T62" s="1" t="s">
        <v>12</v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798</v>
      </c>
      <c r="E63" s="23" t="s">
        <v>967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1203</v>
      </c>
      <c r="L63" s="23" t="s">
        <v>1202</v>
      </c>
      <c r="M63" s="24" t="s">
        <v>1165</v>
      </c>
      <c r="N63" s="23" t="s">
        <v>1278</v>
      </c>
      <c r="O63" s="1" t="s">
        <v>629</v>
      </c>
      <c r="P63" s="1" t="s">
        <v>547</v>
      </c>
      <c r="Q63" s="24" t="str">
        <f>テーブル1[[#This Row],[リンク]]&amp;テーブル1[[#This Row],[描画状況]]</f>
        <v>https://lenskkpb.wixsite.com/len-sakaki-official済</v>
      </c>
      <c r="R63" s="17">
        <f>1-(COUNTIF(Q:Q,_xlfn.TEXTJOIN(",",TRUE,テーブル1[[#This Row],[リンク]],テーブル1[[#This Row],[描画状況]]))/COUNTIF(F:F,テーブル1[[#This Row],[リンク]]))</f>
        <v>1</v>
      </c>
      <c r="S63" s="16" t="str">
        <f ca="1">IFERROR(IF(テーブル1[[#This Row],[描画状況]]="",RAND()+(テーブル1[[#This Row],[列2]]*100),""),RAND())</f>
        <v/>
      </c>
      <c r="T63" s="1" t="s">
        <v>12</v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799</v>
      </c>
      <c r="E64" s="23" t="s">
        <v>968</v>
      </c>
      <c r="F64" s="26" t="s">
        <v>55</v>
      </c>
      <c r="G64" s="23" t="s">
        <v>56</v>
      </c>
      <c r="O64" s="1" t="s">
        <v>592</v>
      </c>
      <c r="P64" s="1" t="s">
        <v>547</v>
      </c>
      <c r="Q64" s="24" t="str">
        <f>テーブル1[[#This Row],[リンク]]&amp;テーブル1[[#This Row],[描画状況]]</f>
        <v>https://chaka000.wixsite.com/chaka済</v>
      </c>
      <c r="R64" s="17">
        <f>1-(COUNTIF(Q:Q,_xlfn.TEXTJOIN(",",TRUE,テーブル1[[#This Row],[リンク]],テーブル1[[#This Row],[描画状況]]))/COUNTIF(F:F,テーブル1[[#This Row],[リンク]]))</f>
        <v>1</v>
      </c>
      <c r="S64" s="16" t="str">
        <f ca="1">IFERROR(IF(テーブル1[[#This Row],[描画状況]]="",RAND()+(テーブル1[[#This Row],[列2]]*100),""),RAND())</f>
        <v/>
      </c>
      <c r="T64" s="1" t="s">
        <v>12</v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1165</v>
      </c>
      <c r="O65" s="1" t="s">
        <v>592</v>
      </c>
      <c r="P65" s="1" t="s">
        <v>547</v>
      </c>
      <c r="Q65" s="24" t="str">
        <f>テーブル1[[#This Row],[リンク]]&amp;テーブル1[[#This Row],[描画状況]]</f>
        <v>https://ichistart.wixsite.com/official/respiaker済</v>
      </c>
      <c r="R65" s="17">
        <f>1-(COUNTIF(Q:Q,_xlfn.TEXTJOIN(",",TRUE,テーブル1[[#This Row],[リンク]],テーブル1[[#This Row],[描画状況]]))/COUNTIF(F:F,テーブル1[[#This Row],[リンク]]))</f>
        <v>1</v>
      </c>
      <c r="S65" s="16" t="str">
        <f ca="1">IFERROR(IF(テーブル1[[#This Row],[描画状況]]="",RAND()+(テーブル1[[#This Row],[列2]]*100),""),RAND())</f>
        <v/>
      </c>
      <c r="T65" s="1" t="s">
        <v>12</v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800</v>
      </c>
      <c r="E66" s="23" t="s">
        <v>969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1282</v>
      </c>
      <c r="O66" s="1" t="s">
        <v>593</v>
      </c>
      <c r="P66" s="1" t="s">
        <v>547</v>
      </c>
      <c r="Q66" s="24" t="str">
        <f>テーブル1[[#This Row],[リンク]]&amp;テーブル1[[#This Row],[描画状況]]</f>
        <v>https://chunyinhui021.wixsite.com/mutyuusaisei済</v>
      </c>
      <c r="R66" s="17">
        <f>1-(COUNTIF(Q:Q,_xlfn.TEXTJOIN(",",TRUE,テーブル1[[#This Row],[リンク]],テーブル1[[#This Row],[描画状況]]))/COUNTIF(F:F,テーブル1[[#This Row],[リンク]]))</f>
        <v>1</v>
      </c>
      <c r="S66" s="16" t="str">
        <f ca="1">IFERROR(IF(テーブル1[[#This Row],[描画状況]]="",RAND()+(テーブル1[[#This Row],[列2]]*100),""),RAND())</f>
        <v/>
      </c>
      <c r="T66" s="1" t="s">
        <v>12</v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801</v>
      </c>
      <c r="E67" s="23" t="s">
        <v>970</v>
      </c>
      <c r="F67" s="2" t="s">
        <v>271</v>
      </c>
      <c r="G67" s="23" t="s">
        <v>272</v>
      </c>
      <c r="P67" s="1" t="s">
        <v>547</v>
      </c>
      <c r="Q67" s="24" t="str">
        <f>テーブル1[[#This Row],[リンク]]&amp;テーブル1[[#This Row],[描画状況]]</f>
        <v>https://yukiichik.wixsite.com/kokofool/utau済</v>
      </c>
      <c r="R67" s="17">
        <f>1-(COUNTIF(Q:Q,_xlfn.TEXTJOIN(",",TRUE,テーブル1[[#This Row],[リンク]],テーブル1[[#This Row],[描画状況]]))/COUNTIF(F:F,テーブル1[[#This Row],[リンク]]))</f>
        <v>1</v>
      </c>
      <c r="S67" s="16" t="str">
        <f ca="1">IFERROR(IF(テーブル1[[#This Row],[描画状況]]="",RAND()+(テーブル1[[#This Row],[列2]]*100),""),RAND())</f>
        <v/>
      </c>
      <c r="T67" s="1" t="s">
        <v>12</v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802</v>
      </c>
      <c r="E68" s="23" t="s">
        <v>971</v>
      </c>
      <c r="F68" s="2" t="s">
        <v>157</v>
      </c>
      <c r="G68" s="23" t="s">
        <v>158</v>
      </c>
      <c r="P68" s="1" t="s">
        <v>547</v>
      </c>
      <c r="Q68" s="24" t="str">
        <f>テーブル1[[#This Row],[リンク]]&amp;テーブル1[[#This Row],[描画状況]]</f>
        <v>https://nananasyrup.wixsite.com/13kka済</v>
      </c>
      <c r="R68" s="17">
        <f>1-(COUNTIF(Q:Q,_xlfn.TEXTJOIN(",",TRUE,テーブル1[[#This Row],[リンク]],テーブル1[[#This Row],[描画状況]]))/COUNTIF(F:F,テーブル1[[#This Row],[リンク]]))</f>
        <v>1</v>
      </c>
      <c r="S68" s="16" t="str">
        <f ca="1">IFERROR(IF(テーブル1[[#This Row],[描画状況]]="",RAND()+(テーブル1[[#This Row],[列2]]*100),""),RAND())</f>
        <v/>
      </c>
      <c r="T68" s="1" t="s">
        <v>12</v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803</v>
      </c>
      <c r="E69" s="23" t="s">
        <v>972</v>
      </c>
      <c r="F69" s="2" t="s">
        <v>43</v>
      </c>
      <c r="G69" s="23" t="s">
        <v>44</v>
      </c>
      <c r="O69" s="1" t="s">
        <v>593</v>
      </c>
      <c r="P69" s="1" t="s">
        <v>547</v>
      </c>
      <c r="Q69" s="24" t="str">
        <f>テーブル1[[#This Row],[リンク]]&amp;テーブル1[[#This Row],[描画状況]]</f>
        <v>https://bellsworks.wixsite.com/bellsworks済</v>
      </c>
      <c r="R69" s="17">
        <f>1-(COUNTIF(Q:Q,_xlfn.TEXTJOIN(",",TRUE,テーブル1[[#This Row],[リンク]],テーブル1[[#This Row],[描画状況]]))/COUNTIF(F:F,テーブル1[[#This Row],[リンク]]))</f>
        <v>1</v>
      </c>
      <c r="S69" s="16" t="str">
        <f ca="1">IFERROR(IF(テーブル1[[#This Row],[描画状況]]="",RAND()+(テーブル1[[#This Row],[列2]]*100),""),RAND())</f>
        <v/>
      </c>
      <c r="T69" s="1" t="s">
        <v>12</v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804</v>
      </c>
      <c r="E70" s="23" t="s">
        <v>973</v>
      </c>
      <c r="F70" s="2" t="s">
        <v>261</v>
      </c>
      <c r="G70" s="23" t="s">
        <v>262</v>
      </c>
      <c r="P70" s="1" t="s">
        <v>547</v>
      </c>
      <c r="Q70" s="24" t="str">
        <f>テーブル1[[#This Row],[リンク]]&amp;テーブル1[[#This Row],[描画状況]]</f>
        <v>https://witchdoll.jimdofree.com済</v>
      </c>
      <c r="R70" s="17">
        <f>1-(COUNTIF(Q:Q,_xlfn.TEXTJOIN(",",TRUE,テーブル1[[#This Row],[リンク]],テーブル1[[#This Row],[描画状況]]))/COUNTIF(F:F,テーブル1[[#This Row],[リンク]]))</f>
        <v>1</v>
      </c>
      <c r="S70" s="16" t="str">
        <f ca="1">IFERROR(IF(テーブル1[[#This Row],[描画状況]]="",RAND()+(テーブル1[[#This Row],[列2]]*100),""),RAND())</f>
        <v/>
      </c>
      <c r="T70" s="1" t="s">
        <v>12</v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805</v>
      </c>
      <c r="E71" s="23" t="s">
        <v>974</v>
      </c>
      <c r="F71" s="2" t="s">
        <v>271</v>
      </c>
      <c r="G71" s="23" t="s">
        <v>272</v>
      </c>
      <c r="P71" s="1" t="s">
        <v>547</v>
      </c>
      <c r="Q71" s="24" t="str">
        <f>テーブル1[[#This Row],[リンク]]&amp;テーブル1[[#This Row],[描画状況]]</f>
        <v>https://yukiichik.wixsite.com/kokofool/utau済</v>
      </c>
      <c r="R71" s="17">
        <f>1-(COUNTIF(Q:Q,_xlfn.TEXTJOIN(",",TRUE,テーブル1[[#This Row],[リンク]],テーブル1[[#This Row],[描画状況]]))/COUNTIF(F:F,テーブル1[[#This Row],[リンク]]))</f>
        <v>1</v>
      </c>
      <c r="S71" s="16" t="str">
        <f ca="1">IFERROR(IF(テーブル1[[#This Row],[描画状況]]="",RAND()+(テーブル1[[#This Row],[列2]]*100),""),RAND())</f>
        <v/>
      </c>
      <c r="T71" s="1" t="s">
        <v>12</v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806</v>
      </c>
      <c r="E72" s="23" t="s">
        <v>975</v>
      </c>
      <c r="F72" s="2" t="s">
        <v>223</v>
      </c>
      <c r="G72" s="23" t="s">
        <v>224</v>
      </c>
      <c r="P72" s="1" t="s">
        <v>547</v>
      </c>
      <c r="Q72" s="24" t="str">
        <f>テーブル1[[#This Row],[リンク]]&amp;テーブル1[[#This Row],[描画状況]]</f>
        <v>https://suihankinonaka.wixsite.com/my-site-1済</v>
      </c>
      <c r="R72" s="17">
        <f>1-(COUNTIF(Q:Q,_xlfn.TEXTJOIN(",",TRUE,テーブル1[[#This Row],[リンク]],テーブル1[[#This Row],[描画状況]]))/COUNTIF(F:F,テーブル1[[#This Row],[リンク]]))</f>
        <v>1</v>
      </c>
      <c r="S72" s="16" t="str">
        <f ca="1">IFERROR(IF(テーブル1[[#This Row],[描画状況]]="",RAND()+(テーブル1[[#This Row],[列2]]*100),""),RAND())</f>
        <v/>
      </c>
      <c r="T72" s="1" t="s">
        <v>12</v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807</v>
      </c>
      <c r="E73" s="23" t="s">
        <v>976</v>
      </c>
      <c r="F73" s="2" t="s">
        <v>223</v>
      </c>
      <c r="G73" s="23" t="s">
        <v>224</v>
      </c>
      <c r="P73" s="1" t="s">
        <v>547</v>
      </c>
      <c r="Q73" s="24" t="str">
        <f>テーブル1[[#This Row],[リンク]]&amp;テーブル1[[#This Row],[描画状況]]</f>
        <v>https://suihankinonaka.wixsite.com/my-site-1済</v>
      </c>
      <c r="R73" s="17">
        <f>1-(COUNTIF(Q:Q,_xlfn.TEXTJOIN(",",TRUE,テーブル1[[#This Row],[リンク]],テーブル1[[#This Row],[描画状況]]))/COUNTIF(F:F,テーブル1[[#This Row],[リンク]]))</f>
        <v>1</v>
      </c>
      <c r="S73" s="16" t="str">
        <f ca="1">IFERROR(IF(テーブル1[[#This Row],[描画状況]]="",RAND()+(テーブル1[[#This Row],[列2]]*100),""),RAND())</f>
        <v/>
      </c>
      <c r="T73" s="1" t="s">
        <v>12</v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808</v>
      </c>
      <c r="E74" s="23" t="s">
        <v>977</v>
      </c>
      <c r="F74" s="2" t="s">
        <v>123</v>
      </c>
      <c r="G74" s="23" t="s">
        <v>124</v>
      </c>
      <c r="P74" s="1" t="s">
        <v>547</v>
      </c>
      <c r="Q74" s="24" t="str">
        <f>テーブル1[[#This Row],[リンク]]&amp;テーブル1[[#This Row],[描画状況]]</f>
        <v>https://lit.link/nemukoneko済</v>
      </c>
      <c r="R74" s="17">
        <f>1-(COUNTIF(Q:Q,_xlfn.TEXTJOIN(",",TRUE,テーブル1[[#This Row],[リンク]],テーブル1[[#This Row],[描画状況]]))/COUNTIF(F:F,テーブル1[[#This Row],[リンク]]))</f>
        <v>1</v>
      </c>
      <c r="S74" s="16" t="str">
        <f ca="1">IFERROR(IF(テーブル1[[#This Row],[描画状況]]="",RAND()+(テーブル1[[#This Row],[列2]]*100),""),RAND())</f>
        <v/>
      </c>
      <c r="T74" s="1" t="s">
        <v>12</v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809</v>
      </c>
      <c r="E75" s="23" t="s">
        <v>978</v>
      </c>
      <c r="F75" s="2" t="s">
        <v>41</v>
      </c>
      <c r="G75" s="23" t="s">
        <v>42</v>
      </c>
      <c r="O75" s="1" t="s">
        <v>592</v>
      </c>
      <c r="P75" s="1" t="s">
        <v>547</v>
      </c>
      <c r="Q75" s="24" t="str">
        <f>テーブル1[[#This Row],[リンク]]&amp;テーブル1[[#This Row],[描画状況]]</f>
        <v>https://amiseniamnu.wixsite.com/amisenia済</v>
      </c>
      <c r="R75" s="17">
        <f>1-(COUNTIF(Q:Q,_xlfn.TEXTJOIN(",",TRUE,テーブル1[[#This Row],[リンク]],テーブル1[[#This Row],[描画状況]]))/COUNTIF(F:F,テーブル1[[#This Row],[リンク]]))</f>
        <v>1</v>
      </c>
      <c r="S75" s="16" t="str">
        <f ca="1">IFERROR(IF(テーブル1[[#This Row],[描画状況]]="",RAND()+(テーブル1[[#This Row],[列2]]*100),""),RAND())</f>
        <v/>
      </c>
      <c r="T75" s="1" t="s">
        <v>12</v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1266</v>
      </c>
      <c r="O76" s="1" t="s">
        <v>592</v>
      </c>
      <c r="P76" s="1" t="s">
        <v>547</v>
      </c>
      <c r="Q76" s="24" t="str">
        <f>テーブル1[[#This Row],[リンク]]&amp;テーブル1[[#This Row],[描画状況]]</f>
        <v>https://seirentoybox.jimdofree.com済</v>
      </c>
      <c r="R76" s="17">
        <f>1-(COUNTIF(Q:Q,_xlfn.TEXTJOIN(",",TRUE,テーブル1[[#This Row],[リンク]],テーブル1[[#This Row],[描画状況]]))/COUNTIF(F:F,テーブル1[[#This Row],[リンク]]))</f>
        <v>1</v>
      </c>
      <c r="S76" s="16" t="str">
        <f ca="1">IFERROR(IF(テーブル1[[#This Row],[描画状況]]="",RAND()+(テーブル1[[#This Row],[列2]]*100),""),RAND())</f>
        <v/>
      </c>
      <c r="T76" s="1" t="s">
        <v>12</v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24" t="str">
        <f>テーブル1[[#This Row],[リンク]]&amp;テーブル1[[#This Row],[描画状況]]</f>
        <v>https://www.krnr.top済</v>
      </c>
      <c r="R77" s="17">
        <f>1-(COUNTIF(Q:Q,_xlfn.TEXTJOIN(",",TRUE,テーブル1[[#This Row],[リンク]],テーブル1[[#This Row],[描画状況]]))/COUNTIF(F:F,テーブル1[[#This Row],[リンク]]))</f>
        <v>1</v>
      </c>
      <c r="S77" s="16" t="str">
        <f ca="1">IFERROR(IF(テーブル1[[#This Row],[描画状況]]="",RAND()+(テーブル1[[#This Row],[列2]]*100),""),RAND())</f>
        <v/>
      </c>
      <c r="T77" s="1" t="s">
        <v>12</v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810</v>
      </c>
      <c r="E78" s="23" t="s">
        <v>979</v>
      </c>
      <c r="F78" s="2" t="s">
        <v>30</v>
      </c>
      <c r="G78" s="23" t="s">
        <v>31</v>
      </c>
      <c r="O78" s="1" t="s">
        <v>592</v>
      </c>
      <c r="P78" s="1" t="s">
        <v>547</v>
      </c>
      <c r="Q78" s="24" t="str">
        <f>テーブル1[[#This Row],[リンク]]&amp;テーブル1[[#This Row],[描画状況]]</f>
        <v>https://666not.wixsite.com/partition-voyage済</v>
      </c>
      <c r="R78" s="17">
        <f>1-(COUNTIF(Q:Q,_xlfn.TEXTJOIN(",",TRUE,テーブル1[[#This Row],[リンク]],テーブル1[[#This Row],[描画状況]]))/COUNTIF(F:F,テーブル1[[#This Row],[リンク]]))</f>
        <v>1</v>
      </c>
      <c r="S78" s="16" t="str">
        <f ca="1">IFERROR(IF(テーブル1[[#This Row],[描画状況]]="",RAND()+(テーブル1[[#This Row],[列2]]*100),""),RAND())</f>
        <v/>
      </c>
      <c r="T78" s="1" t="s">
        <v>12</v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811</v>
      </c>
      <c r="E79" s="23" t="s">
        <v>980</v>
      </c>
      <c r="F79" s="2" t="s">
        <v>190</v>
      </c>
      <c r="G79" s="23" t="s">
        <v>191</v>
      </c>
      <c r="P79" s="1" t="s">
        <v>547</v>
      </c>
      <c r="Q79" s="24" t="str">
        <f>テーブル1[[#This Row],[リンク]]&amp;テーブル1[[#This Row],[描画状況]]</f>
        <v>https://rinnneuta.wixsite.com/my-site-2?s=09済</v>
      </c>
      <c r="R79" s="17">
        <f>1-(COUNTIF(Q:Q,_xlfn.TEXTJOIN(",",TRUE,テーブル1[[#This Row],[リンク]],テーブル1[[#This Row],[描画状況]]))/COUNTIF(F:F,テーブル1[[#This Row],[リンク]]))</f>
        <v>1</v>
      </c>
      <c r="S79" s="16" t="str">
        <f ca="1">IFERROR(IF(テーブル1[[#This Row],[描画状況]]="",RAND()+(テーブル1[[#This Row],[列2]]*100),""),RAND())</f>
        <v/>
      </c>
      <c r="T79" s="1" t="s">
        <v>12</v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812</v>
      </c>
      <c r="E80" s="23" t="s">
        <v>981</v>
      </c>
      <c r="F80" s="2" t="s">
        <v>20</v>
      </c>
      <c r="G80" s="23" t="s">
        <v>25</v>
      </c>
      <c r="H80" s="23" t="s">
        <v>658</v>
      </c>
      <c r="I80" s="23" t="s">
        <v>1110</v>
      </c>
      <c r="J80" s="23" t="s">
        <v>1173</v>
      </c>
      <c r="M80" s="23" t="s">
        <v>1266</v>
      </c>
      <c r="N80" s="23" t="s">
        <v>1219</v>
      </c>
      <c r="O80" s="1" t="s">
        <v>593</v>
      </c>
      <c r="P80" s="1" t="s">
        <v>547</v>
      </c>
      <c r="Q80" s="24" t="str">
        <f>テーブル1[[#This Row],[リンク]]&amp;テーブル1[[#This Row],[描画状況]]</f>
        <v>http://park2.wakwak.com/~mbox/vo/hk/hkfre.htm済</v>
      </c>
      <c r="R80" s="17">
        <f>1-(COUNTIF(Q:Q,_xlfn.TEXTJOIN(",",TRUE,テーブル1[[#This Row],[リンク]],テーブル1[[#This Row],[描画状況]]))/COUNTIF(F:F,テーブル1[[#This Row],[リンク]]))</f>
        <v>1</v>
      </c>
      <c r="S80" s="16" t="str">
        <f ca="1">IFERROR(IF(テーブル1[[#This Row],[描画状況]]="",RAND()+(テーブル1[[#This Row],[列2]]*100),""),RAND())</f>
        <v/>
      </c>
      <c r="T80" s="1" t="s">
        <v>12</v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813</v>
      </c>
      <c r="E81" s="23" t="s">
        <v>982</v>
      </c>
      <c r="F81" s="2" t="s">
        <v>134</v>
      </c>
      <c r="G81" s="23" t="s">
        <v>135</v>
      </c>
      <c r="P81" s="1" t="s">
        <v>547</v>
      </c>
      <c r="Q81" s="24" t="str">
        <f>テーブル1[[#This Row],[リンク]]&amp;テーブル1[[#This Row],[描画状況]]</f>
        <v>https://lonelyapple011.wixsite.com/nadenade済</v>
      </c>
      <c r="R81" s="17">
        <f>1-(COUNTIF(Q:Q,_xlfn.TEXTJOIN(",",TRUE,テーブル1[[#This Row],[リンク]],テーブル1[[#This Row],[描画状況]]))/COUNTIF(F:F,テーブル1[[#This Row],[リンク]]))</f>
        <v>1</v>
      </c>
      <c r="S81" s="16" t="str">
        <f ca="1">IFERROR(IF(テーブル1[[#This Row],[描画状況]]="",RAND()+(テーブル1[[#This Row],[列2]]*100),""),RAND())</f>
        <v/>
      </c>
      <c r="T81" s="1" t="s">
        <v>12</v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1220</v>
      </c>
      <c r="N82" s="23" t="s">
        <v>1221</v>
      </c>
      <c r="O82" s="1" t="s">
        <v>629</v>
      </c>
      <c r="P82" s="1" t="s">
        <v>547</v>
      </c>
      <c r="Q82" s="24" t="str">
        <f>テーブル1[[#This Row],[リンク]]&amp;テーブル1[[#This Row],[描画状況]]</f>
        <v>https://nyaruru.wixsite.com/s-p-w済</v>
      </c>
      <c r="R82" s="17">
        <f>1-(COUNTIF(Q:Q,_xlfn.TEXTJOIN(",",TRUE,テーブル1[[#This Row],[リンク]],テーブル1[[#This Row],[描画状況]]))/COUNTIF(F:F,テーブル1[[#This Row],[リンク]]))</f>
        <v>1</v>
      </c>
      <c r="S82" s="16" t="str">
        <f ca="1">IFERROR(IF(テーブル1[[#This Row],[描画状況]]="",RAND()+(テーブル1[[#This Row],[列2]]*100),""),RAND())</f>
        <v/>
      </c>
      <c r="T82" s="1" t="s">
        <v>12</v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814</v>
      </c>
      <c r="E83" s="23" t="s">
        <v>983</v>
      </c>
      <c r="F83" s="2" t="s">
        <v>226</v>
      </c>
      <c r="G83" s="23" t="s">
        <v>227</v>
      </c>
      <c r="P83" s="1" t="s">
        <v>547</v>
      </c>
      <c r="Q83" s="24" t="str">
        <f>テーブル1[[#This Row],[リンク]]&amp;テーブル1[[#This Row],[描画状況]]</f>
        <v>https://sysynmnm.wixsite.com/oyasumi-zzz済</v>
      </c>
      <c r="R83" s="17">
        <f>1-(COUNTIF(Q:Q,_xlfn.TEXTJOIN(",",TRUE,テーブル1[[#This Row],[リンク]],テーブル1[[#This Row],[描画状況]]))/COUNTIF(F:F,テーブル1[[#This Row],[リンク]]))</f>
        <v>1</v>
      </c>
      <c r="S83" s="16" t="str">
        <f ca="1">IFERROR(IF(テーブル1[[#This Row],[描画状況]]="",RAND()+(テーブル1[[#This Row],[列2]]*100),""),RAND())</f>
        <v/>
      </c>
      <c r="T83" s="1" t="s">
        <v>12</v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815</v>
      </c>
      <c r="E84" s="23" t="s">
        <v>984</v>
      </c>
      <c r="F84" s="2" t="s">
        <v>226</v>
      </c>
      <c r="G84" s="23" t="s">
        <v>227</v>
      </c>
      <c r="P84" s="1" t="s">
        <v>547</v>
      </c>
      <c r="Q84" s="24" t="str">
        <f>テーブル1[[#This Row],[リンク]]&amp;テーブル1[[#This Row],[描画状況]]</f>
        <v>https://sysynmnm.wixsite.com/oyasumi-zzz済</v>
      </c>
      <c r="R84" s="17">
        <f>1-(COUNTIF(Q:Q,_xlfn.TEXTJOIN(",",TRUE,テーブル1[[#This Row],[リンク]],テーブル1[[#This Row],[描画状況]]))/COUNTIF(F:F,テーブル1[[#This Row],[リンク]]))</f>
        <v>1</v>
      </c>
      <c r="S84" s="16" t="str">
        <f ca="1">IFERROR(IF(テーブル1[[#This Row],[描画状況]]="",RAND()+(テーブル1[[#This Row],[列2]]*100),""),RAND())</f>
        <v/>
      </c>
      <c r="T84" s="1" t="s">
        <v>12</v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24" t="str">
        <f>テーブル1[[#This Row],[リンク]]&amp;テーブル1[[#This Row],[描画状況]]</f>
        <v>https://lit.link/nemukoneko済</v>
      </c>
      <c r="R85" s="17">
        <f>1-(COUNTIF(Q:Q,_xlfn.TEXTJOIN(",",TRUE,テーブル1[[#This Row],[リンク]],テーブル1[[#This Row],[描画状況]]))/COUNTIF(F:F,テーブル1[[#This Row],[リンク]]))</f>
        <v>1</v>
      </c>
      <c r="S85" s="16" t="str">
        <f ca="1">IFERROR(IF(テーブル1[[#This Row],[描画状況]]="",RAND()+(テーブル1[[#This Row],[列2]]*100),""),RAND())</f>
        <v/>
      </c>
      <c r="T85" s="1" t="s">
        <v>12</v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816</v>
      </c>
      <c r="E86" s="23" t="s">
        <v>985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24" t="str">
        <f>テーブル1[[#This Row],[リンク]]&amp;テーブル1[[#This Row],[描画状況]]</f>
        <v>-済</v>
      </c>
      <c r="R86" s="17">
        <f>1-(COUNTIF(Q:Q,_xlfn.TEXTJOIN(",",TRUE,テーブル1[[#This Row],[リンク]],テーブル1[[#This Row],[描画状況]]))/COUNTIF(F:F,テーブル1[[#This Row],[リンク]]))</f>
        <v>1</v>
      </c>
      <c r="S86" s="16" t="str">
        <f ca="1">IFERROR(IF(テーブル1[[#This Row],[描画状況]]="",RAND()+(テーブル1[[#This Row],[列2]]*100),""),RAND())</f>
        <v/>
      </c>
      <c r="T86" s="1" t="s">
        <v>12</v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986</v>
      </c>
      <c r="F87" s="2" t="s">
        <v>197</v>
      </c>
      <c r="G87" s="23" t="s">
        <v>198</v>
      </c>
      <c r="H87" s="23" t="s">
        <v>659</v>
      </c>
      <c r="I87" s="23" t="s">
        <v>1311</v>
      </c>
      <c r="K87" s="23" t="s">
        <v>1251</v>
      </c>
      <c r="L87" s="23" t="s">
        <v>1189</v>
      </c>
      <c r="M87" s="23" t="s">
        <v>1266</v>
      </c>
      <c r="N87" s="23" t="s">
        <v>1198</v>
      </c>
      <c r="O87" s="1" t="s">
        <v>592</v>
      </c>
      <c r="P87" s="1" t="s">
        <v>547</v>
      </c>
      <c r="Q87" s="24" t="str">
        <f>テーブル1[[#This Row],[リンク]]&amp;テーブル1[[#This Row],[描画状況]]</f>
        <v>https://seirentoybox.jimdofree.com済</v>
      </c>
      <c r="R87" s="17">
        <f>1-(COUNTIF(Q:Q,_xlfn.TEXTJOIN(",",TRUE,テーブル1[[#This Row],[リンク]],テーブル1[[#This Row],[描画状況]]))/COUNTIF(F:F,テーブル1[[#This Row],[リンク]]))</f>
        <v>1</v>
      </c>
      <c r="S87" s="16" t="str">
        <f ca="1">IFERROR(IF(テーブル1[[#This Row],[描画状況]]="",RAND()+(テーブル1[[#This Row],[列2]]*100),""),RAND())</f>
        <v/>
      </c>
      <c r="T87" s="1" t="s">
        <v>12</v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1163</v>
      </c>
      <c r="N88" s="23" t="s">
        <v>1190</v>
      </c>
      <c r="O88" s="1" t="s">
        <v>592</v>
      </c>
      <c r="P88" s="1" t="s">
        <v>547</v>
      </c>
      <c r="Q88" s="24" t="str">
        <f>テーブル1[[#This Row],[リンク]]&amp;テーブル1[[#This Row],[描画状況]]</f>
        <v>https://seirentoybox.jimdofree.com済</v>
      </c>
      <c r="R88" s="17">
        <f>1-(COUNTIF(Q:Q,_xlfn.TEXTJOIN(",",TRUE,テーブル1[[#This Row],[リンク]],テーブル1[[#This Row],[描画状況]]))/COUNTIF(F:F,テーブル1[[#This Row],[リンク]]))</f>
        <v>1</v>
      </c>
      <c r="S88" s="16" t="str">
        <f ca="1">IFERROR(IF(テーブル1[[#This Row],[描画状況]]="",RAND()+(テーブル1[[#This Row],[列2]]*100),""),RAND())</f>
        <v/>
      </c>
      <c r="T88" s="1" t="s">
        <v>12</v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24" t="str">
        <f>テーブル1[[#This Row],[リンク]]&amp;テーブル1[[#This Row],[描画状況]]</f>
        <v>https://abschandayo.wixsite.com/abschan済</v>
      </c>
      <c r="R89" s="17">
        <f>1-(COUNTIF(Q:Q,_xlfn.TEXTJOIN(",",TRUE,テーブル1[[#This Row],[リンク]],テーブル1[[#This Row],[描画状況]]))/COUNTIF(F:F,テーブル1[[#This Row],[リンク]]))</f>
        <v>1</v>
      </c>
      <c r="S89" s="16" t="str">
        <f ca="1">IFERROR(IF(テーブル1[[#This Row],[描画状況]]="",RAND()+(テーブル1[[#This Row],[列2]]*100),""),RAND())</f>
        <v/>
      </c>
      <c r="T89" s="1" t="s">
        <v>12</v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817</v>
      </c>
      <c r="E90" s="23" t="s">
        <v>987</v>
      </c>
      <c r="F90" s="2" t="s">
        <v>241</v>
      </c>
      <c r="G90" s="23" t="s">
        <v>242</v>
      </c>
      <c r="P90" s="1" t="s">
        <v>547</v>
      </c>
      <c r="Q90" s="24" t="str">
        <f>テーブル1[[#This Row],[リンク]]&amp;テーブル1[[#This Row],[描画状況]]</f>
        <v>https://uta-tsunagi.jimdofree.com済</v>
      </c>
      <c r="R90" s="17">
        <f>1-(COUNTIF(Q:Q,_xlfn.TEXTJOIN(",",TRUE,テーブル1[[#This Row],[リンク]],テーブル1[[#This Row],[描画状況]]))/COUNTIF(F:F,テーブル1[[#This Row],[リンク]]))</f>
        <v>1</v>
      </c>
      <c r="S90" s="16" t="str">
        <f ca="1">IFERROR(IF(テーブル1[[#This Row],[描画状況]]="",RAND()+(テーブル1[[#This Row],[列2]]*100),""),RAND())</f>
        <v/>
      </c>
      <c r="T90" s="1" t="s">
        <v>12</v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818</v>
      </c>
      <c r="E91" s="23" t="s">
        <v>988</v>
      </c>
      <c r="F91" s="2" t="s">
        <v>175</v>
      </c>
      <c r="G91" s="23" t="s">
        <v>184</v>
      </c>
      <c r="H91" s="23" t="s">
        <v>658</v>
      </c>
      <c r="I91" s="23" t="s">
        <v>702</v>
      </c>
      <c r="L91" s="23" t="s">
        <v>1202</v>
      </c>
      <c r="M91" s="23" t="s">
        <v>1162</v>
      </c>
      <c r="O91" s="1" t="s">
        <v>629</v>
      </c>
      <c r="P91" s="1" t="s">
        <v>547</v>
      </c>
      <c r="Q91" s="24" t="str">
        <f>テーブル1[[#This Row],[リンク]]&amp;テーブル1[[#This Row],[描画状況]]</f>
        <v>https://nyaruru.wixsite.com/s-p-w済</v>
      </c>
      <c r="R91" s="17">
        <f>1-(COUNTIF(Q:Q,_xlfn.TEXTJOIN(",",TRUE,テーブル1[[#This Row],[リンク]],テーブル1[[#This Row],[描画状況]]))/COUNTIF(F:F,テーブル1[[#This Row],[リンク]]))</f>
        <v>1</v>
      </c>
      <c r="S91" s="16" t="str">
        <f ca="1">IFERROR(IF(テーブル1[[#This Row],[描画状況]]="",RAND()+(テーブル1[[#This Row],[列2]]*100),""),RAND())</f>
        <v/>
      </c>
      <c r="T91" s="1" t="s">
        <v>12</v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819</v>
      </c>
      <c r="E92" s="23" t="s">
        <v>989</v>
      </c>
      <c r="F92" s="2" t="s">
        <v>175</v>
      </c>
      <c r="G92" s="23" t="s">
        <v>186</v>
      </c>
      <c r="H92" s="23" t="s">
        <v>658</v>
      </c>
      <c r="I92" s="23" t="s">
        <v>702</v>
      </c>
      <c r="L92" s="23" t="s">
        <v>1204</v>
      </c>
      <c r="M92" s="23" t="s">
        <v>1162</v>
      </c>
      <c r="O92" s="1" t="s">
        <v>629</v>
      </c>
      <c r="P92" s="1" t="s">
        <v>547</v>
      </c>
      <c r="Q92" s="24" t="str">
        <f>テーブル1[[#This Row],[リンク]]&amp;テーブル1[[#This Row],[描画状況]]</f>
        <v>https://nyaruru.wixsite.com/s-p-w済</v>
      </c>
      <c r="R92" s="17">
        <f>1-(COUNTIF(Q:Q,_xlfn.TEXTJOIN(",",TRUE,テーブル1[[#This Row],[リンク]],テーブル1[[#This Row],[描画状況]]))/COUNTIF(F:F,テーブル1[[#This Row],[リンク]]))</f>
        <v>1</v>
      </c>
      <c r="S92" s="16" t="str">
        <f ca="1">IFERROR(IF(テーブル1[[#This Row],[描画状況]]="",RAND()+(テーブル1[[#This Row],[列2]]*100),""),RAND())</f>
        <v/>
      </c>
      <c r="T92" s="1" t="s">
        <v>12</v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820</v>
      </c>
      <c r="E93" s="23" t="s">
        <v>990</v>
      </c>
      <c r="F93" s="2" t="s">
        <v>69</v>
      </c>
      <c r="G93" s="23" t="s">
        <v>70</v>
      </c>
      <c r="O93" s="1" t="s">
        <v>592</v>
      </c>
      <c r="P93" s="1" t="s">
        <v>547</v>
      </c>
      <c r="Q93" s="24" t="str">
        <f>テーブル1[[#This Row],[リンク]]&amp;テーブル1[[#This Row],[描画状況]]</f>
        <v>https://hosiyomi.jimdofree.com済</v>
      </c>
      <c r="R93" s="17">
        <f>1-(COUNTIF(Q:Q,_xlfn.TEXTJOIN(",",TRUE,テーブル1[[#This Row],[リンク]],テーブル1[[#This Row],[描画状況]]))/COUNTIF(F:F,テーブル1[[#This Row],[リンク]]))</f>
        <v>1</v>
      </c>
      <c r="S93" s="16" t="str">
        <f ca="1">IFERROR(IF(テーブル1[[#This Row],[描画状況]]="",RAND()+(テーブル1[[#This Row],[列2]]*100),""),RAND())</f>
        <v/>
      </c>
      <c r="T93" s="1" t="s">
        <v>12</v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1202</v>
      </c>
      <c r="O94" s="1" t="s">
        <v>593</v>
      </c>
      <c r="P94" s="1" t="s">
        <v>547</v>
      </c>
      <c r="Q94" s="24" t="str">
        <f>テーブル1[[#This Row],[リンク]]&amp;テーブル1[[#This Row],[描画状況]]</f>
        <v>http://park2.wakwak.com/~mbox/vo/hk/hkfre.htm済</v>
      </c>
      <c r="R94" s="17">
        <f>1-(COUNTIF(Q:Q,_xlfn.TEXTJOIN(",",TRUE,テーブル1[[#This Row],[リンク]],テーブル1[[#This Row],[描画状況]]))/COUNTIF(F:F,テーブル1[[#This Row],[リンク]]))</f>
        <v>1</v>
      </c>
      <c r="S94" s="16" t="str">
        <f ca="1">IFERROR(IF(テーブル1[[#This Row],[描画状況]]="",RAND()+(テーブル1[[#This Row],[列2]]*100),""),RAND())</f>
        <v/>
      </c>
      <c r="T94" s="1" t="s">
        <v>12</v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24" t="str">
        <f>テーブル1[[#This Row],[リンク]]&amp;テーブル1[[#This Row],[描画状況]]</f>
        <v>http://lllll17.web.fc2.com/index.html済</v>
      </c>
      <c r="R95" s="17">
        <f>1-(COUNTIF(Q:Q,_xlfn.TEXTJOIN(",",TRUE,テーブル1[[#This Row],[リンク]],テーブル1[[#This Row],[描画状況]]))/COUNTIF(F:F,テーブル1[[#This Row],[リンク]]))</f>
        <v>1</v>
      </c>
      <c r="S95" s="16" t="str">
        <f ca="1">IFERROR(IF(テーブル1[[#This Row],[描画状況]]="",RAND()+(テーブル1[[#This Row],[列2]]*100),""),RAND())</f>
        <v/>
      </c>
      <c r="T95" s="1" t="s">
        <v>12</v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24" t="str">
        <f>テーブル1[[#This Row],[リンク]]&amp;テーブル1[[#This Row],[描画状況]]</f>
        <v>http://lllll17.web.fc2.com/index.html済</v>
      </c>
      <c r="R96" s="17">
        <f>1-(COUNTIF(Q:Q,_xlfn.TEXTJOIN(",",TRUE,テーブル1[[#This Row],[リンク]],テーブル1[[#This Row],[描画状況]]))/COUNTIF(F:F,テーブル1[[#This Row],[リンク]]))</f>
        <v>1</v>
      </c>
      <c r="S96" s="16" t="str">
        <f ca="1">IFERROR(IF(テーブル1[[#This Row],[描画状況]]="",RAND()+(テーブル1[[#This Row],[列2]]*100),""),RAND())</f>
        <v/>
      </c>
      <c r="T96" s="1" t="s">
        <v>12</v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821</v>
      </c>
      <c r="E97" s="23" t="s">
        <v>991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1199</v>
      </c>
      <c r="N97" s="23" t="s">
        <v>1222</v>
      </c>
      <c r="O97" s="1" t="s">
        <v>629</v>
      </c>
      <c r="P97" s="1" t="s">
        <v>547</v>
      </c>
      <c r="Q97" s="24" t="str">
        <f>テーブル1[[#This Row],[リンク]]&amp;テーブル1[[#This Row],[描画状況]]</f>
        <v>https://nichikuniku1129063.wixsite.com/website-3済</v>
      </c>
      <c r="R97" s="17">
        <f>1-(COUNTIF(Q:Q,_xlfn.TEXTJOIN(",",TRUE,テーブル1[[#This Row],[リンク]],テーブル1[[#This Row],[描画状況]]))/COUNTIF(F:F,テーブル1[[#This Row],[リンク]]))</f>
        <v>1</v>
      </c>
      <c r="S97" s="16" t="str">
        <f ca="1">IFERROR(IF(テーブル1[[#This Row],[描画状況]]="",RAND()+(テーブル1[[#This Row],[列2]]*100),""),RAND())</f>
        <v/>
      </c>
      <c r="T97" s="1" t="s">
        <v>12</v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822</v>
      </c>
      <c r="E98" s="23" t="s">
        <v>992</v>
      </c>
      <c r="F98" s="2" t="s">
        <v>269</v>
      </c>
      <c r="G98" s="23" t="s">
        <v>270</v>
      </c>
      <c r="P98" s="1" t="s">
        <v>547</v>
      </c>
      <c r="Q98" s="24" t="str">
        <f>テーブル1[[#This Row],[リンク]]&amp;テーブル1[[#This Row],[描画状況]]</f>
        <v>https://www.postype.com/@utau-deepvocal-dalso済</v>
      </c>
      <c r="R98" s="17">
        <f>1-(COUNTIF(Q:Q,_xlfn.TEXTJOIN(",",TRUE,テーブル1[[#This Row],[リンク]],テーブル1[[#This Row],[描画状況]]))/COUNTIF(F:F,テーブル1[[#This Row],[リンク]]))</f>
        <v>1</v>
      </c>
      <c r="S98" s="16" t="str">
        <f ca="1">IFERROR(IF(テーブル1[[#This Row],[描画状況]]="",RAND()+(テーブル1[[#This Row],[列2]]*100),""),RAND())</f>
        <v/>
      </c>
      <c r="T98" s="1" t="s">
        <v>12</v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1186</v>
      </c>
      <c r="P99" s="1" t="s">
        <v>547</v>
      </c>
      <c r="Q99" s="24" t="str">
        <f>テーブル1[[#This Row],[リンク]]&amp;テーブル1[[#This Row],[描画状況]]</f>
        <v>https://utauudon.wixsite.com/origamisyokudou済</v>
      </c>
      <c r="R99" s="17">
        <f>1-(COUNTIF(Q:Q,_xlfn.TEXTJOIN(",",TRUE,テーブル1[[#This Row],[リンク]],テーブル1[[#This Row],[描画状況]]))/COUNTIF(F:F,テーブル1[[#This Row],[リンク]]))</f>
        <v>1</v>
      </c>
      <c r="S99" s="16" t="str">
        <f ca="1">IFERROR(IF(テーブル1[[#This Row],[描画状況]]="",RAND()+(テーブル1[[#This Row],[列2]]*100),""),RAND())</f>
        <v/>
      </c>
      <c r="T99" s="1" t="s">
        <v>12</v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823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1255</v>
      </c>
      <c r="L100" s="23" t="s">
        <v>1223</v>
      </c>
      <c r="P100" s="1" t="s">
        <v>547</v>
      </c>
      <c r="Q100" s="24" t="str">
        <f>テーブル1[[#This Row],[リンク]]&amp;テーブル1[[#This Row],[描画状況]]</f>
        <v>https://utauudon.wixsite.com/origamisyokudou済</v>
      </c>
      <c r="R100" s="17">
        <f>1-(COUNTIF(Q:Q,_xlfn.TEXTJOIN(",",TRUE,テーブル1[[#This Row],[リンク]],テーブル1[[#This Row],[描画状況]]))/COUNTIF(F:F,テーブル1[[#This Row],[リンク]]))</f>
        <v>1</v>
      </c>
      <c r="S100" s="16" t="str">
        <f ca="1">IFERROR(IF(テーブル1[[#This Row],[描画状況]]="",RAND()+(テーブル1[[#This Row],[列2]]*100),""),RAND())</f>
        <v/>
      </c>
      <c r="T100" s="1" t="s">
        <v>12</v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824</v>
      </c>
      <c r="E101" s="23" t="s">
        <v>993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1177</v>
      </c>
      <c r="L101" s="23" t="s">
        <v>1193</v>
      </c>
      <c r="M101" s="23" t="s">
        <v>1162</v>
      </c>
      <c r="P101" s="1" t="s">
        <v>547</v>
      </c>
      <c r="Q101" s="24" t="str">
        <f>テーブル1[[#This Row],[リンク]]&amp;テーブル1[[#This Row],[描画状況]]</f>
        <v>https://utausuzuminnya.jimdofree.com済</v>
      </c>
      <c r="R101" s="17">
        <f>1-(COUNTIF(Q:Q,_xlfn.TEXTJOIN(",",TRUE,テーブル1[[#This Row],[リンク]],テーブル1[[#This Row],[描画状況]]))/COUNTIF(F:F,テーブル1[[#This Row],[リンク]]))</f>
        <v>1</v>
      </c>
      <c r="S101" s="16" t="str">
        <f ca="1">IFERROR(IF(テーブル1[[#This Row],[描画状況]]="",RAND()+(テーブル1[[#This Row],[列2]]*100),""),RAND())</f>
        <v/>
      </c>
      <c r="T101" s="1" t="s">
        <v>12</v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1163</v>
      </c>
      <c r="N102" s="23" t="s">
        <v>1190</v>
      </c>
      <c r="O102" s="1" t="s">
        <v>629</v>
      </c>
      <c r="P102" s="1" t="s">
        <v>547</v>
      </c>
      <c r="Q102" s="24" t="str">
        <f>テーブル1[[#This Row],[リンク]]&amp;テーブル1[[#This Row],[描画状況]]</f>
        <v>https://moqujc.wixsite.com/mqtop済</v>
      </c>
      <c r="R102" s="17">
        <f>1-(COUNTIF(Q:Q,_xlfn.TEXTJOIN(",",TRUE,テーブル1[[#This Row],[リンク]],テーブル1[[#This Row],[描画状況]]))/COUNTIF(F:F,テーブル1[[#This Row],[リンク]]))</f>
        <v>1</v>
      </c>
      <c r="S102" s="16" t="str">
        <f ca="1">IFERROR(IF(テーブル1[[#This Row],[描画状況]]="",RAND()+(テーブル1[[#This Row],[列2]]*100),""),RAND())</f>
        <v/>
      </c>
      <c r="T102" s="1" t="s">
        <v>12</v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825</v>
      </c>
      <c r="E103" s="23" t="s">
        <v>994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24" t="str">
        <f>テーブル1[[#This Row],[リンク]]&amp;テーブル1[[#This Row],[描画状況]]</f>
        <v>https://utau.kurotsuka.xyz済</v>
      </c>
      <c r="R103" s="17">
        <f>1-(COUNTIF(Q:Q,_xlfn.TEXTJOIN(",",TRUE,テーブル1[[#This Row],[リンク]],テーブル1[[#This Row],[描画状況]]))/COUNTIF(F:F,テーブル1[[#This Row],[リンク]]))</f>
        <v>1</v>
      </c>
      <c r="S103" s="16" t="str">
        <f ca="1">IFERROR(IF(テーブル1[[#This Row],[描画状況]]="",RAND()+(テーブル1[[#This Row],[列2]]*100),""),RAND())</f>
        <v/>
      </c>
      <c r="T103" s="1" t="s">
        <v>12</v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826</v>
      </c>
      <c r="E104" s="23" t="s">
        <v>995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1187</v>
      </c>
      <c r="M104" s="23" t="s">
        <v>1163</v>
      </c>
      <c r="O104" s="1" t="s">
        <v>629</v>
      </c>
      <c r="P104" s="1" t="s">
        <v>547</v>
      </c>
      <c r="Q104" s="24" t="str">
        <f>テーブル1[[#This Row],[リンク]]&amp;テーブル1[[#This Row],[描画状況]]</f>
        <v>https://tourist100f.wixsite.com/utakata-kosyo済</v>
      </c>
      <c r="R104" s="17">
        <f>1-(COUNTIF(Q:Q,_xlfn.TEXTJOIN(",",TRUE,テーブル1[[#This Row],[リンク]],テーブル1[[#This Row],[描画状況]]))/COUNTIF(F:F,テーブル1[[#This Row],[リンク]]))</f>
        <v>1</v>
      </c>
      <c r="S104" s="16" t="str">
        <f ca="1">IFERROR(IF(テーブル1[[#This Row],[描画状況]]="",RAND()+(テーブル1[[#This Row],[列2]]*100),""),RAND())</f>
        <v/>
      </c>
      <c r="T104" s="1" t="s">
        <v>12</v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827</v>
      </c>
      <c r="E105" s="23" t="s">
        <v>996</v>
      </c>
      <c r="F105" s="2" t="s">
        <v>160</v>
      </c>
      <c r="G105" s="23" t="s">
        <v>161</v>
      </c>
      <c r="P105" s="1" t="s">
        <v>547</v>
      </c>
      <c r="Q105" s="24" t="str">
        <f>テーブル1[[#This Row],[リンク]]&amp;テーブル1[[#This Row],[描画状況]]</f>
        <v>https://nanyuanxiaojieji.wixsite.com/yuragine-kannsokujo済</v>
      </c>
      <c r="R105" s="17">
        <f>1-(COUNTIF(Q:Q,_xlfn.TEXTJOIN(",",TRUE,テーブル1[[#This Row],[リンク]],テーブル1[[#This Row],[描画状況]]))/COUNTIF(F:F,テーブル1[[#This Row],[リンク]]))</f>
        <v>1</v>
      </c>
      <c r="S105" s="16" t="str">
        <f ca="1">IFERROR(IF(テーブル1[[#This Row],[描画状況]]="",RAND()+(テーブル1[[#This Row],[列2]]*100),""),RAND())</f>
        <v/>
      </c>
      <c r="T105" s="1" t="s">
        <v>12</v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828</v>
      </c>
      <c r="E106" s="23" t="s">
        <v>997</v>
      </c>
      <c r="F106" s="15" t="s">
        <v>514</v>
      </c>
      <c r="G106" s="23" t="s">
        <v>280</v>
      </c>
      <c r="P106" s="1" t="s">
        <v>547</v>
      </c>
      <c r="Q106" s="24" t="str">
        <f>テーブル1[[#This Row],[リンク]]&amp;テーブル1[[#This Row],[描画状況]]</f>
        <v>https://long-sleeper.net済</v>
      </c>
      <c r="R106" s="17">
        <f>1-(COUNTIF(Q:Q,_xlfn.TEXTJOIN(",",TRUE,テーブル1[[#This Row],[リンク]],テーブル1[[#This Row],[描画状況]]))/COUNTIF(F:F,テーブル1[[#This Row],[リンク]]))</f>
        <v>1</v>
      </c>
      <c r="S106" s="16" t="str">
        <f ca="1">IFERROR(IF(テーブル1[[#This Row],[描画状況]]="",RAND()+(テーブル1[[#This Row],[列2]]*100),""),RAND())</f>
        <v/>
      </c>
      <c r="T106" s="1" t="s">
        <v>12</v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829</v>
      </c>
      <c r="E107" s="23" t="s">
        <v>998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1255</v>
      </c>
      <c r="L107" s="23" t="s">
        <v>1201</v>
      </c>
      <c r="M107" s="23" t="s">
        <v>1214</v>
      </c>
      <c r="N107" s="23" t="s">
        <v>1278</v>
      </c>
      <c r="O107" s="1" t="s">
        <v>629</v>
      </c>
      <c r="P107" s="1" t="s">
        <v>547</v>
      </c>
      <c r="Q107" s="24" t="str">
        <f>テーブル1[[#This Row],[リンク]]&amp;テーブル1[[#This Row],[描画状況]]</f>
        <v>https://nichikuniku1129063.wixsite.com/website-3済</v>
      </c>
      <c r="R107" s="17">
        <f>1-(COUNTIF(Q:Q,_xlfn.TEXTJOIN(",",TRUE,テーブル1[[#This Row],[リンク]],テーブル1[[#This Row],[描画状況]]))/COUNTIF(F:F,テーブル1[[#This Row],[リンク]]))</f>
        <v>1</v>
      </c>
      <c r="S107" s="16" t="str">
        <f ca="1">IFERROR(IF(テーブル1[[#This Row],[描画状況]]="",RAND()+(テーブル1[[#This Row],[列2]]*100),""),RAND())</f>
        <v/>
      </c>
      <c r="T107" s="1" t="s">
        <v>12</v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24" t="str">
        <f>テーブル1[[#This Row],[リンク]]&amp;テーブル1[[#This Row],[描画状況]]</f>
        <v>https://mareffys.wixsite.com/lalo済</v>
      </c>
      <c r="R108" s="17">
        <f>1-(COUNTIF(Q:Q,_xlfn.TEXTJOIN(",",TRUE,テーブル1[[#This Row],[リンク]],テーブル1[[#This Row],[描画状況]]))/COUNTIF(F:F,テーブル1[[#This Row],[リンク]]))</f>
        <v>1</v>
      </c>
      <c r="S108" s="16" t="str">
        <f ca="1">IFERROR(IF(テーブル1[[#This Row],[描画状況]]="",RAND()+(テーブル1[[#This Row],[列2]]*100),""),RAND())</f>
        <v/>
      </c>
      <c r="T108" s="1" t="s">
        <v>12</v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830</v>
      </c>
      <c r="E109" s="23" t="s">
        <v>999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1205</v>
      </c>
      <c r="N109" s="23" t="s">
        <v>1186</v>
      </c>
      <c r="O109" s="1" t="s">
        <v>592</v>
      </c>
      <c r="P109" s="1" t="s">
        <v>547</v>
      </c>
      <c r="Q109" s="24" t="str">
        <f>テーブル1[[#This Row],[リンク]]&amp;テーブル1[[#This Row],[描画状況]]</f>
        <v>https://seirentoybox.jimdofree.com済</v>
      </c>
      <c r="R109" s="17">
        <f>1-(COUNTIF(Q:Q,_xlfn.TEXTJOIN(",",TRUE,テーブル1[[#This Row],[リンク]],テーブル1[[#This Row],[描画状況]]))/COUNTIF(F:F,テーブル1[[#This Row],[リンク]]))</f>
        <v>1</v>
      </c>
      <c r="S109" s="16" t="str">
        <f ca="1">IFERROR(IF(テーブル1[[#This Row],[描画状況]]="",RAND()+(テーブル1[[#This Row],[列2]]*100),""),RAND())</f>
        <v/>
      </c>
      <c r="T109" s="1" t="s">
        <v>12</v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1195</v>
      </c>
      <c r="O110" s="1" t="s">
        <v>629</v>
      </c>
      <c r="P110" s="1" t="s">
        <v>547</v>
      </c>
      <c r="Q110" s="24" t="str">
        <f>テーブル1[[#This Row],[リンク]]&amp;テーブル1[[#This Row],[描画状況]]</f>
        <v>https://kakokyu102krbs.wixsite.com/greenmilky済</v>
      </c>
      <c r="R110" s="17">
        <f>1-(COUNTIF(Q:Q,_xlfn.TEXTJOIN(",",TRUE,テーブル1[[#This Row],[リンク]],テーブル1[[#This Row],[描画状況]]))/COUNTIF(F:F,テーブル1[[#This Row],[リンク]]))</f>
        <v>1</v>
      </c>
      <c r="S110" s="16" t="str">
        <f ca="1">IFERROR(IF(テーブル1[[#This Row],[描画状況]]="",RAND()+(テーブル1[[#This Row],[列2]]*100),""),RAND())</f>
        <v/>
      </c>
      <c r="T110" s="1" t="s">
        <v>12</v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831</v>
      </c>
      <c r="E111" s="23" t="s">
        <v>1000</v>
      </c>
      <c r="F111" s="2" t="s">
        <v>237</v>
      </c>
      <c r="G111" s="23" t="s">
        <v>238</v>
      </c>
      <c r="P111" s="1" t="s">
        <v>547</v>
      </c>
      <c r="Q111" s="24" t="str">
        <f>テーブル1[[#This Row],[リンク]]&amp;テーブル1[[#This Row],[描画状況]]</f>
        <v>https://tsukimiya0728.wixsite.com/silverbullet済</v>
      </c>
      <c r="R111" s="17">
        <f>1-(COUNTIF(Q:Q,_xlfn.TEXTJOIN(",",TRUE,テーブル1[[#This Row],[リンク]],テーブル1[[#This Row],[描画状況]]))/COUNTIF(F:F,テーブル1[[#This Row],[リンク]]))</f>
        <v>1</v>
      </c>
      <c r="S111" s="16" t="str">
        <f ca="1">IFERROR(IF(テーブル1[[#This Row],[描画状況]]="",RAND()+(テーブル1[[#This Row],[列2]]*100),""),RAND())</f>
        <v/>
      </c>
      <c r="T111" s="1" t="s">
        <v>12</v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1202</v>
      </c>
      <c r="M112" s="23" t="s">
        <v>1163</v>
      </c>
      <c r="N112" s="23" t="s">
        <v>1190</v>
      </c>
      <c r="O112" s="1" t="s">
        <v>592</v>
      </c>
      <c r="P112" s="1" t="s">
        <v>547</v>
      </c>
      <c r="Q112" s="24" t="str">
        <f>テーブル1[[#This Row],[リンク]]&amp;テーブル1[[#This Row],[描画状況]]</f>
        <v>https://bowlroll.net/user/980255済</v>
      </c>
      <c r="R112" s="17">
        <f>1-(COUNTIF(Q:Q,_xlfn.TEXTJOIN(",",TRUE,テーブル1[[#This Row],[リンク]],テーブル1[[#This Row],[描画状況]]))/COUNTIF(F:F,テーブル1[[#This Row],[リンク]]))</f>
        <v>1</v>
      </c>
      <c r="S112" s="16" t="str">
        <f ca="1">IFERROR(IF(テーブル1[[#This Row],[描画状況]]="",RAND()+(テーブル1[[#This Row],[列2]]*100),""),RAND())</f>
        <v/>
      </c>
      <c r="T112" s="1" t="s">
        <v>12</v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1269</v>
      </c>
      <c r="M113" s="23" t="s">
        <v>1167</v>
      </c>
      <c r="N113" s="23" t="s">
        <v>1224</v>
      </c>
      <c r="O113" s="1" t="s">
        <v>593</v>
      </c>
      <c r="P113" s="1" t="s">
        <v>547</v>
      </c>
      <c r="Q113" s="24" t="str">
        <f>テーブル1[[#This Row],[リンク]]&amp;テーブル1[[#This Row],[描画状況]]</f>
        <v>https://cloudcatch1224.wixsite.com/godsfoot済</v>
      </c>
      <c r="R113" s="17">
        <f>1-(COUNTIF(Q:Q,_xlfn.TEXTJOIN(",",TRUE,テーブル1[[#This Row],[リンク]],テーブル1[[#This Row],[描画状況]]))/COUNTIF(F:F,テーブル1[[#This Row],[リンク]]))</f>
        <v>1</v>
      </c>
      <c r="S113" s="16" t="str">
        <f ca="1">IFERROR(IF(テーブル1[[#This Row],[描画状況]]="",RAND()+(テーブル1[[#This Row],[列2]]*100),""),RAND())</f>
        <v/>
      </c>
      <c r="T113" s="1" t="s">
        <v>12</v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832</v>
      </c>
      <c r="E114" s="23" t="s">
        <v>1001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24" t="str">
        <f>テーブル1[[#This Row],[リンク]]&amp;テーブル1[[#This Row],[描画状況]]</f>
        <v>https://bellsworks.wixsite.com/bellsworks済</v>
      </c>
      <c r="R114" s="17">
        <f>1-(COUNTIF(Q:Q,_xlfn.TEXTJOIN(",",TRUE,テーブル1[[#This Row],[リンク]],テーブル1[[#This Row],[描画状況]]))/COUNTIF(F:F,テーブル1[[#This Row],[リンク]]))</f>
        <v>1</v>
      </c>
      <c r="S114" s="16" t="str">
        <f ca="1">IFERROR(IF(テーブル1[[#This Row],[描画状況]]="",RAND()+(テーブル1[[#This Row],[列2]]*100),""),RAND())</f>
        <v/>
      </c>
      <c r="T114" s="1" t="s">
        <v>426</v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833</v>
      </c>
      <c r="E115" s="23" t="s">
        <v>1002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24" t="str">
        <f>テーブル1[[#This Row],[リンク]]&amp;テーブル1[[#This Row],[描画状況]]</f>
        <v>https://bowlroll.net/file/333777済</v>
      </c>
      <c r="R115" s="17">
        <f>1-(COUNTIF(Q:Q,_xlfn.TEXTJOIN(",",TRUE,テーブル1[[#This Row],[リンク]],テーブル1[[#This Row],[描画状況]]))/COUNTIF(F:F,テーブル1[[#This Row],[リンク]]))</f>
        <v>1</v>
      </c>
      <c r="S115" s="16" t="str">
        <f ca="1">IFERROR(IF(テーブル1[[#This Row],[描画状況]]="",RAND()+(テーブル1[[#This Row],[列2]]*100),""),RAND())</f>
        <v/>
      </c>
      <c r="T115" s="1" t="s">
        <v>426</v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834</v>
      </c>
      <c r="E116" s="23" t="s">
        <v>1003</v>
      </c>
      <c r="F116" s="2" t="s">
        <v>164</v>
      </c>
      <c r="G116" s="23" t="s">
        <v>1099</v>
      </c>
      <c r="P116" s="1" t="s">
        <v>547</v>
      </c>
      <c r="Q116" s="24" t="str">
        <f>テーブル1[[#This Row],[リンク]]&amp;テーブル1[[#This Row],[描画状況]]</f>
        <v>https://ne510channel.wixsite.com/website済</v>
      </c>
      <c r="R116" s="17">
        <f>1-(COUNTIF(Q:Q,_xlfn.TEXTJOIN(",",TRUE,テーブル1[[#This Row],[リンク]],テーブル1[[#This Row],[描画状況]]))/COUNTIF(F:F,テーブル1[[#This Row],[リンク]]))</f>
        <v>1</v>
      </c>
      <c r="S116" s="16" t="str">
        <f ca="1">IFERROR(IF(テーブル1[[#This Row],[描画状況]]="",RAND()+(テーブル1[[#This Row],[列2]]*100),""),RAND())</f>
        <v/>
      </c>
      <c r="T116" s="1" t="s">
        <v>426</v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1180</v>
      </c>
      <c r="L117" s="23" t="s">
        <v>1183</v>
      </c>
      <c r="M117" s="23" t="s">
        <v>1165</v>
      </c>
      <c r="N117" s="23" t="s">
        <v>1283</v>
      </c>
      <c r="O117" s="1" t="s">
        <v>593</v>
      </c>
      <c r="P117" s="1" t="s">
        <v>547</v>
      </c>
      <c r="Q117" s="24" t="str">
        <f>テーブル1[[#This Row],[リンク]]&amp;テーブル1[[#This Row],[描画状況]]</f>
        <v>https://cloudcatch1224.wixsite.com/godsfoot済</v>
      </c>
      <c r="R117" s="17">
        <f>1-(COUNTIF(Q:Q,_xlfn.TEXTJOIN(",",TRUE,テーブル1[[#This Row],[リンク]],テーブル1[[#This Row],[描画状況]]))/COUNTIF(F:F,テーブル1[[#This Row],[リンク]]))</f>
        <v>1</v>
      </c>
      <c r="S117" s="16" t="str">
        <f ca="1">IFERROR(IF(テーブル1[[#This Row],[描画状況]]="",RAND()+(テーブル1[[#This Row],[列2]]*100),""),RAND())</f>
        <v/>
      </c>
      <c r="T117" s="1" t="s">
        <v>426</v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24" t="str">
        <f>テーブル1[[#This Row],[リンク]]&amp;テーブル1[[#This Row],[描画状況]]</f>
        <v>https://bellsworks.wixsite.com/bellsworks済</v>
      </c>
      <c r="R118" s="17">
        <f>1-(COUNTIF(Q:Q,_xlfn.TEXTJOIN(",",TRUE,テーブル1[[#This Row],[リンク]],テーブル1[[#This Row],[描画状況]]))/COUNTIF(F:F,テーブル1[[#This Row],[リンク]]))</f>
        <v>1</v>
      </c>
      <c r="S118" s="16" t="str">
        <f ca="1">IFERROR(IF(テーブル1[[#This Row],[描画状況]]="",RAND()+(テーブル1[[#This Row],[列2]]*100),""),RAND())</f>
        <v/>
      </c>
      <c r="T118" s="1" t="s">
        <v>426</v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835</v>
      </c>
      <c r="E119" s="23" t="s">
        <v>1004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24" t="str">
        <f>テーブル1[[#This Row],[リンク]]&amp;テーブル1[[#This Row],[描画状況]]</f>
        <v>https://flowerrocklove.wixsite.com/twilight-crisis済</v>
      </c>
      <c r="R119" s="17">
        <f>1-(COUNTIF(Q:Q,_xlfn.TEXTJOIN(",",TRUE,テーブル1[[#This Row],[リンク]],テーブル1[[#This Row],[描画状況]]))/COUNTIF(F:F,テーブル1[[#This Row],[リンク]]))</f>
        <v>1</v>
      </c>
      <c r="S119" s="16" t="str">
        <f ca="1">IFERROR(IF(テーブル1[[#This Row],[描画状況]]="",RAND()+(テーブル1[[#This Row],[列2]]*100),""),RAND())</f>
        <v/>
      </c>
      <c r="T119" s="1" t="s">
        <v>426</v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836</v>
      </c>
      <c r="E120" s="23" t="s">
        <v>1005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24" t="str">
        <f>テーブル1[[#This Row],[リンク]]&amp;テーブル1[[#This Row],[描画状況]]</f>
        <v>https://bellsworks.wixsite.com/bellsworks済</v>
      </c>
      <c r="R120" s="17">
        <f>1-(COUNTIF(Q:Q,_xlfn.TEXTJOIN(",",TRUE,テーブル1[[#This Row],[リンク]],テーブル1[[#This Row],[描画状況]]))/COUNTIF(F:F,テーブル1[[#This Row],[リンク]]))</f>
        <v>1</v>
      </c>
      <c r="S120" s="16" t="str">
        <f ca="1">IFERROR(IF(テーブル1[[#This Row],[描画状況]]="",RAND()+(テーブル1[[#This Row],[列2]]*100),""),RAND())</f>
        <v/>
      </c>
      <c r="T120" s="1" t="s">
        <v>426</v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24" t="str">
        <f>テーブル1[[#This Row],[リンク]]&amp;テーブル1[[#This Row],[描画状況]]</f>
        <v>https://mebisnori.wixsite.com/nori-mebis済</v>
      </c>
      <c r="R121" s="17">
        <f>1-(COUNTIF(Q:Q,_xlfn.TEXTJOIN(",",TRUE,テーブル1[[#This Row],[リンク]],テーブル1[[#This Row],[描画状況]]))/COUNTIF(F:F,テーブル1[[#This Row],[リンク]]))</f>
        <v>1</v>
      </c>
      <c r="S121" s="16" t="str">
        <f ca="1">IFERROR(IF(テーブル1[[#This Row],[描画状況]]="",RAND()+(テーブル1[[#This Row],[列2]]*100),""),RAND())</f>
        <v/>
      </c>
      <c r="T121" s="1" t="s">
        <v>426</v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837</v>
      </c>
      <c r="E122" s="23" t="s">
        <v>1006</v>
      </c>
      <c r="F122" s="2" t="s">
        <v>395</v>
      </c>
      <c r="G122" s="23" t="s">
        <v>396</v>
      </c>
      <c r="P122" s="1" t="s">
        <v>547</v>
      </c>
      <c r="Q122" s="24" t="str">
        <f>テーブル1[[#This Row],[リンク]]&amp;テーブル1[[#This Row],[描画状況]]</f>
        <v>https://zakrotsukumo.wixsite.com/utau-zerozero済</v>
      </c>
      <c r="R122" s="17">
        <f>1-(COUNTIF(Q:Q,_xlfn.TEXTJOIN(",",TRUE,テーブル1[[#This Row],[リンク]],テーブル1[[#This Row],[描画状況]]))/COUNTIF(F:F,テーブル1[[#This Row],[リンク]]))</f>
        <v>1</v>
      </c>
      <c r="S122" s="16" t="str">
        <f ca="1">IFERROR(IF(テーブル1[[#This Row],[描画状況]]="",RAND()+(テーブル1[[#This Row],[列2]]*100),""),RAND())</f>
        <v/>
      </c>
      <c r="T122" s="1" t="s">
        <v>426</v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838</v>
      </c>
      <c r="E123" s="23" t="s">
        <v>1007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24" t="str">
        <f>テーブル1[[#This Row],[リンク]]&amp;テーブル1[[#This Row],[描画状況]]</f>
        <v>https://bellsworks.wixsite.com/bellsworks済</v>
      </c>
      <c r="R123" s="17">
        <f>1-(COUNTIF(Q:Q,_xlfn.TEXTJOIN(",",TRUE,テーブル1[[#This Row],[リンク]],テーブル1[[#This Row],[描画状況]]))/COUNTIF(F:F,テーブル1[[#This Row],[リンク]]))</f>
        <v>1</v>
      </c>
      <c r="S123" s="16" t="str">
        <f ca="1">IFERROR(IF(テーブル1[[#This Row],[描画状況]]="",RAND()+(テーブル1[[#This Row],[列2]]*100),""),RAND())</f>
        <v/>
      </c>
      <c r="T123" s="1" t="s">
        <v>426</v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839</v>
      </c>
      <c r="E124" s="23" t="s">
        <v>1008</v>
      </c>
      <c r="F124" s="15" t="s">
        <v>160</v>
      </c>
      <c r="G124" s="23" t="s">
        <v>161</v>
      </c>
      <c r="P124" s="1" t="s">
        <v>547</v>
      </c>
      <c r="Q124" s="24" t="str">
        <f>テーブル1[[#This Row],[リンク]]&amp;テーブル1[[#This Row],[描画状況]]</f>
        <v>https://nanyuanxiaojieji.wixsite.com/yuragine-kannsokujo済</v>
      </c>
      <c r="R124" s="17">
        <f>1-(COUNTIF(Q:Q,_xlfn.TEXTJOIN(",",TRUE,テーブル1[[#This Row],[リンク]],テーブル1[[#This Row],[描画状況]]))/COUNTIF(F:F,テーブル1[[#This Row],[リンク]]))</f>
        <v>1</v>
      </c>
      <c r="S124" s="16" t="str">
        <f ca="1">IFERROR(IF(テーブル1[[#This Row],[描画状況]]="",RAND()+(テーブル1[[#This Row],[列2]]*100),""),RAND())</f>
        <v/>
      </c>
      <c r="T124" s="1" t="s">
        <v>426</v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24" t="str">
        <f>テーブル1[[#This Row],[リンク]]&amp;テーブル1[[#This Row],[描画状況]]</f>
        <v>https://mareffys.wixsite.com/lalo済</v>
      </c>
      <c r="R125" s="17">
        <f>1-(COUNTIF(Q:Q,_xlfn.TEXTJOIN(",",TRUE,テーブル1[[#This Row],[リンク]],テーブル1[[#This Row],[描画状況]]))/COUNTIF(F:F,テーブル1[[#This Row],[リンク]]))</f>
        <v>1</v>
      </c>
      <c r="S125" s="16" t="str">
        <f ca="1">IFERROR(IF(テーブル1[[#This Row],[描画状況]]="",RAND()+(テーブル1[[#This Row],[列2]]*100),""),RAND())</f>
        <v/>
      </c>
      <c r="T125" s="1" t="s">
        <v>426</v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24" t="str">
        <f>テーブル1[[#This Row],[リンク]]&amp;テーブル1[[#This Row],[描画状況]]</f>
        <v>https://shiromeneko162.wixsite.com/shiromean-official済</v>
      </c>
      <c r="R126" s="17">
        <f>1-(COUNTIF(Q:Q,_xlfn.TEXTJOIN(",",TRUE,テーブル1[[#This Row],[リンク]],テーブル1[[#This Row],[描画状況]]))/COUNTIF(F:F,テーブル1[[#This Row],[リンク]]))</f>
        <v>1</v>
      </c>
      <c r="S126" s="16" t="str">
        <f ca="1">IFERROR(IF(テーブル1[[#This Row],[描画状況]]="",RAND()+(テーブル1[[#This Row],[列2]]*100),""),RAND())</f>
        <v/>
      </c>
      <c r="T126" s="1" t="s">
        <v>426</v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24" t="str">
        <f>テーブル1[[#This Row],[リンク]]&amp;テーブル1[[#This Row],[描画状況]]</f>
        <v>https://mikawayanerutoko.jimdofree.com済</v>
      </c>
      <c r="R127" s="17">
        <f>1-(COUNTIF(Q:Q,_xlfn.TEXTJOIN(",",TRUE,テーブル1[[#This Row],[リンク]],テーブル1[[#This Row],[描画状況]]))/COUNTIF(F:F,テーブル1[[#This Row],[リンク]]))</f>
        <v>1</v>
      </c>
      <c r="S127" s="16" t="str">
        <f ca="1">IFERROR(IF(テーブル1[[#This Row],[描画状況]]="",RAND()+(テーブル1[[#This Row],[列2]]*100),""),RAND())</f>
        <v/>
      </c>
      <c r="T127" s="1" t="s">
        <v>426</v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24" t="str">
        <f>テーブル1[[#This Row],[リンク]]&amp;テーブル1[[#This Row],[描画状況]]</f>
        <v>https://bellsworks.wixsite.com/bellsworks済</v>
      </c>
      <c r="R128" s="17">
        <f>1-(COUNTIF(Q:Q,_xlfn.TEXTJOIN(",",TRUE,テーブル1[[#This Row],[リンク]],テーブル1[[#This Row],[描画状況]]))/COUNTIF(F:F,テーブル1[[#This Row],[リンク]]))</f>
        <v>1</v>
      </c>
      <c r="S128" s="16" t="str">
        <f ca="1">IFERROR(IF(テーブル1[[#This Row],[描画状況]]="",RAND()+(テーブル1[[#This Row],[列2]]*100),""),RAND())</f>
        <v/>
      </c>
      <c r="T128" s="1" t="s">
        <v>426</v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840</v>
      </c>
      <c r="E129" s="23" t="s">
        <v>1009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24" t="str">
        <f>テーブル1[[#This Row],[リンク]]&amp;テーブル1[[#This Row],[描画状況]]</f>
        <v>https://bellsworks.wixsite.com/bellsworks済</v>
      </c>
      <c r="R129" s="17">
        <f>1-(COUNTIF(Q:Q,_xlfn.TEXTJOIN(",",TRUE,テーブル1[[#This Row],[リンク]],テーブル1[[#This Row],[描画状況]]))/COUNTIF(F:F,テーブル1[[#This Row],[リンク]]))</f>
        <v>1</v>
      </c>
      <c r="S129" s="16" t="str">
        <f ca="1">IFERROR(IF(テーブル1[[#This Row],[描画状況]]="",RAND()+(テーブル1[[#This Row],[列2]]*100),""),RAND())</f>
        <v/>
      </c>
      <c r="T129" s="1" t="s">
        <v>426</v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841</v>
      </c>
      <c r="E130" s="23" t="s">
        <v>1010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1170</v>
      </c>
      <c r="P130" s="1" t="s">
        <v>547</v>
      </c>
      <c r="Q130" s="24" t="str">
        <f>テーブル1[[#This Row],[リンク]]&amp;テーブル1[[#This Row],[描画状況]]</f>
        <v>https://kaitoramma.chu.jp済</v>
      </c>
      <c r="R130" s="17">
        <f>1-(COUNTIF(Q:Q,_xlfn.TEXTJOIN(",",TRUE,テーブル1[[#This Row],[リンク]],テーブル1[[#This Row],[描画状況]]))/COUNTIF(F:F,テーブル1[[#This Row],[リンク]]))</f>
        <v>1</v>
      </c>
      <c r="S130" s="16" t="str">
        <f ca="1">IFERROR(IF(テーブル1[[#This Row],[描画状況]]="",RAND()+(テーブル1[[#This Row],[列2]]*100),""),RAND())</f>
        <v/>
      </c>
      <c r="T130" s="1" t="s">
        <v>426</v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24" t="str">
        <f>テーブル1[[#This Row],[リンク]]&amp;テーブル1[[#This Row],[描画状況]]</f>
        <v>https://kuroi9603.wixsite.com/delu-lab-south済</v>
      </c>
      <c r="R131" s="17">
        <f>1-(COUNTIF(Q:Q,_xlfn.TEXTJOIN(",",TRUE,テーブル1[[#This Row],[リンク]],テーブル1[[#This Row],[描画状況]]))/COUNTIF(F:F,テーブル1[[#This Row],[リンク]]))</f>
        <v>1</v>
      </c>
      <c r="S131" s="16" t="str">
        <f ca="1">IFERROR(IF(テーブル1[[#This Row],[描画状況]]="",RAND()+(テーブル1[[#This Row],[列2]]*100),""),RAND())</f>
        <v/>
      </c>
      <c r="T131" s="1" t="s">
        <v>426</v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842</v>
      </c>
      <c r="E132" s="23" t="s">
        <v>1011</v>
      </c>
      <c r="F132" s="2" t="s">
        <v>391</v>
      </c>
      <c r="G132" s="23" t="s">
        <v>393</v>
      </c>
      <c r="P132" s="1" t="s">
        <v>547</v>
      </c>
      <c r="Q132" s="24" t="str">
        <f>テーブル1[[#This Row],[リンク]]&amp;テーブル1[[#This Row],[描画状況]]</f>
        <v>https://okome32500.wixsite.com/onekomochi済</v>
      </c>
      <c r="R132" s="17">
        <f>1-(COUNTIF(Q:Q,_xlfn.TEXTJOIN(",",TRUE,テーブル1[[#This Row],[リンク]],テーブル1[[#This Row],[描画状況]]))/COUNTIF(F:F,テーブル1[[#This Row],[リンク]]))</f>
        <v>1</v>
      </c>
      <c r="S132" s="16" t="str">
        <f ca="1">IFERROR(IF(テーブル1[[#This Row],[描画状況]]="",RAND()+(テーブル1[[#This Row],[列2]]*100),""),RAND())</f>
        <v/>
      </c>
      <c r="T132" s="1" t="s">
        <v>426</v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843</v>
      </c>
      <c r="E133" s="23" t="s">
        <v>1012</v>
      </c>
      <c r="F133" s="2" t="s">
        <v>223</v>
      </c>
      <c r="G133" s="23" t="s">
        <v>224</v>
      </c>
      <c r="P133" s="1" t="s">
        <v>547</v>
      </c>
      <c r="Q133" s="24" t="str">
        <f>テーブル1[[#This Row],[リンク]]&amp;テーブル1[[#This Row],[描画状況]]</f>
        <v>https://suihankinonaka.wixsite.com/my-site-1済</v>
      </c>
      <c r="R133" s="17">
        <f>1-(COUNTIF(Q:Q,_xlfn.TEXTJOIN(",",TRUE,テーブル1[[#This Row],[リンク]],テーブル1[[#This Row],[描画状況]]))/COUNTIF(F:F,テーブル1[[#This Row],[リンク]]))</f>
        <v>1</v>
      </c>
      <c r="S133" s="16" t="str">
        <f ca="1">IFERROR(IF(テーブル1[[#This Row],[描画状況]]="",RAND()+(テーブル1[[#This Row],[列2]]*100),""),RAND())</f>
        <v/>
      </c>
      <c r="T133" s="1" t="s">
        <v>426</v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844</v>
      </c>
      <c r="E134" s="23" t="s">
        <v>1013</v>
      </c>
      <c r="F134" s="2" t="s">
        <v>160</v>
      </c>
      <c r="G134" s="23" t="s">
        <v>161</v>
      </c>
      <c r="P134" s="1" t="s">
        <v>547</v>
      </c>
      <c r="Q134" s="24" t="str">
        <f>テーブル1[[#This Row],[リンク]]&amp;テーブル1[[#This Row],[描画状況]]</f>
        <v>https://nanyuanxiaojieji.wixsite.com/yuragine-kannsokujo済</v>
      </c>
      <c r="R134" s="17">
        <f>1-(COUNTIF(Q:Q,_xlfn.TEXTJOIN(",",TRUE,テーブル1[[#This Row],[リンク]],テーブル1[[#This Row],[描画状況]]))/COUNTIF(F:F,テーブル1[[#This Row],[リンク]]))</f>
        <v>1</v>
      </c>
      <c r="S134" s="16" t="str">
        <f ca="1">IFERROR(IF(テーブル1[[#This Row],[描画状況]]="",RAND()+(テーブル1[[#This Row],[列2]]*100),""),RAND())</f>
        <v/>
      </c>
      <c r="T134" s="1" t="s">
        <v>426</v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845</v>
      </c>
      <c r="E135" s="23" t="s">
        <v>1014</v>
      </c>
      <c r="F135" s="2" t="s">
        <v>454</v>
      </c>
      <c r="G135" s="23" t="s">
        <v>456</v>
      </c>
      <c r="P135" s="1" t="s">
        <v>547</v>
      </c>
      <c r="Q135" s="24" t="str">
        <f>テーブル1[[#This Row],[リンク]]&amp;テーブル1[[#This Row],[描画状況]]</f>
        <v>https://osomatsu-poid.wixsite.com/konari-san-chi済</v>
      </c>
      <c r="R135" s="17">
        <f>1-(COUNTIF(Q:Q,_xlfn.TEXTJOIN(",",TRUE,テーブル1[[#This Row],[リンク]],テーブル1[[#This Row],[描画状況]]))/COUNTIF(F:F,テーブル1[[#This Row],[リンク]]))</f>
        <v>1</v>
      </c>
      <c r="S135" s="16" t="str">
        <f ca="1">IFERROR(IF(テーブル1[[#This Row],[描画状況]]="",RAND()+(テーブル1[[#This Row],[列2]]*100),""),RAND())</f>
        <v/>
      </c>
      <c r="T135" s="1" t="s">
        <v>457</v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846</v>
      </c>
      <c r="E136" s="23" t="s">
        <v>1015</v>
      </c>
      <c r="F136" s="2" t="s">
        <v>313</v>
      </c>
      <c r="G136" s="23" t="s">
        <v>314</v>
      </c>
      <c r="P136" s="1" t="s">
        <v>547</v>
      </c>
      <c r="Q136" s="24" t="str">
        <f>テーブル1[[#This Row],[リンク]]&amp;テーブル1[[#This Row],[描画状況]]</f>
        <v>https://sites.google.com/view/fukuma-utau/top済</v>
      </c>
      <c r="R136" s="17">
        <f>1-(COUNTIF(Q:Q,_xlfn.TEXTJOIN(",",TRUE,テーブル1[[#This Row],[リンク]],テーブル1[[#This Row],[描画状況]]))/COUNTIF(F:F,テーブル1[[#This Row],[リンク]]))</f>
        <v>1</v>
      </c>
      <c r="S136" s="16" t="str">
        <f ca="1">IFERROR(IF(テーブル1[[#This Row],[描画状況]]="",RAND()+(テーブル1[[#This Row],[列2]]*100),""),RAND())</f>
        <v/>
      </c>
      <c r="T136" s="1" t="s">
        <v>457</v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847</v>
      </c>
      <c r="E137" s="23" t="s">
        <v>1016</v>
      </c>
      <c r="F137" s="2" t="s">
        <v>223</v>
      </c>
      <c r="G137" s="23" t="s">
        <v>224</v>
      </c>
      <c r="P137" s="1" t="s">
        <v>547</v>
      </c>
      <c r="Q137" s="24" t="str">
        <f>テーブル1[[#This Row],[リンク]]&amp;テーブル1[[#This Row],[描画状況]]</f>
        <v>https://suihankinonaka.wixsite.com/my-site-1済</v>
      </c>
      <c r="R137" s="17">
        <f>1-(COUNTIF(Q:Q,_xlfn.TEXTJOIN(",",TRUE,テーブル1[[#This Row],[リンク]],テーブル1[[#This Row],[描画状況]]))/COUNTIF(F:F,テーブル1[[#This Row],[リンク]]))</f>
        <v>1</v>
      </c>
      <c r="S137" s="16" t="str">
        <f ca="1">IFERROR(IF(テーブル1[[#This Row],[描画状況]]="",RAND()+(テーブル1[[#This Row],[列2]]*100),""),RAND())</f>
        <v/>
      </c>
      <c r="T137" s="1" t="s">
        <v>457</v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848</v>
      </c>
      <c r="E138" s="23" t="s">
        <v>1017</v>
      </c>
      <c r="F138" s="2" t="s">
        <v>83</v>
      </c>
      <c r="G138" s="23" t="s">
        <v>84</v>
      </c>
      <c r="H138" s="23" t="s">
        <v>658</v>
      </c>
      <c r="I138" s="23" t="s">
        <v>1315</v>
      </c>
      <c r="K138" s="23" t="s">
        <v>1249</v>
      </c>
      <c r="M138" s="23" t="s">
        <v>1163</v>
      </c>
      <c r="N138" s="23" t="s">
        <v>1278</v>
      </c>
      <c r="P138" s="1" t="s">
        <v>547</v>
      </c>
      <c r="Q138" s="24" t="str">
        <f>テーブル1[[#This Row],[リンク]]&amp;テーブル1[[#This Row],[描画状況]]</f>
        <v>https://inudanuki.wixsite.com/gottaniomotyabako済</v>
      </c>
      <c r="R138" s="17">
        <f>1-(COUNTIF(Q:Q,_xlfn.TEXTJOIN(",",TRUE,テーブル1[[#This Row],[リンク]],テーブル1[[#This Row],[描画状況]]))/COUNTIF(F:F,テーブル1[[#This Row],[リンク]]))</f>
        <v>1</v>
      </c>
      <c r="S138" s="16" t="str">
        <f ca="1">IFERROR(IF(テーブル1[[#This Row],[描画状況]]="",RAND()+(テーブル1[[#This Row],[列2]]*100),""),RAND())</f>
        <v/>
      </c>
      <c r="T138" s="1" t="s">
        <v>457</v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849</v>
      </c>
      <c r="E139" s="23" t="s">
        <v>1018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24" t="str">
        <f>テーブル1[[#This Row],[リンク]]&amp;テーブル1[[#This Row],[描画状況]]</f>
        <v>https://ametro.jimdofree.com済</v>
      </c>
      <c r="R139" s="17">
        <f>1-(COUNTIF(Q:Q,_xlfn.TEXTJOIN(",",TRUE,テーブル1[[#This Row],[リンク]],テーブル1[[#This Row],[描画状況]]))/COUNTIF(F:F,テーブル1[[#This Row],[リンク]]))</f>
        <v>1</v>
      </c>
      <c r="S139" s="16" t="str">
        <f ca="1">IFERROR(IF(テーブル1[[#This Row],[描画状況]]="",RAND()+(テーブル1[[#This Row],[列2]]*100),""),RAND())</f>
        <v/>
      </c>
      <c r="T139" s="1" t="s">
        <v>457</v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850</v>
      </c>
      <c r="E140" s="23" t="s">
        <v>1019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24" t="str">
        <f>テーブル1[[#This Row],[リンク]]&amp;テーブル1[[#This Row],[描画状況]]</f>
        <v>https://bellsworks.wixsite.com/bellsworks済</v>
      </c>
      <c r="R140" s="17">
        <f>1-(COUNTIF(Q:Q,_xlfn.TEXTJOIN(",",TRUE,テーブル1[[#This Row],[リンク]],テーブル1[[#This Row],[描画状況]]))/COUNTIF(F:F,テーブル1[[#This Row],[リンク]]))</f>
        <v>1</v>
      </c>
      <c r="S140" s="16" t="str">
        <f ca="1">IFERROR(IF(テーブル1[[#This Row],[描画状況]]="",RAND()+(テーブル1[[#This Row],[列2]]*100),""),RAND())</f>
        <v/>
      </c>
      <c r="T140" s="1" t="s">
        <v>457</v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851</v>
      </c>
      <c r="E141" s="23" t="s">
        <v>1020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24" t="str">
        <f>テーブル1[[#This Row],[リンク]]&amp;テーブル1[[#This Row],[描画状況]]</f>
        <v>https://bowlroll.net/file/336695済</v>
      </c>
      <c r="R141" s="17">
        <f>1-(COUNTIF(Q:Q,_xlfn.TEXTJOIN(",",TRUE,テーブル1[[#This Row],[リンク]],テーブル1[[#This Row],[描画状況]]))/COUNTIF(F:F,テーブル1[[#This Row],[リンク]]))</f>
        <v>1</v>
      </c>
      <c r="S141" s="16" t="str">
        <f ca="1">IFERROR(IF(テーブル1[[#This Row],[描画状況]]="",RAND()+(テーブル1[[#This Row],[列2]]*100),""),RAND())</f>
        <v/>
      </c>
      <c r="T141" s="1" t="s">
        <v>457</v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852</v>
      </c>
      <c r="E142" s="23" t="s">
        <v>1021</v>
      </c>
      <c r="F142" s="2" t="s">
        <v>364</v>
      </c>
      <c r="G142" s="23" t="s">
        <v>371</v>
      </c>
      <c r="P142" s="1" t="s">
        <v>547</v>
      </c>
      <c r="Q142" s="24" t="str">
        <f>テーブル1[[#This Row],[リンク]]&amp;テーブル1[[#This Row],[描画状況]]</f>
        <v>https://sites.google.com/view/qsuke-garden/home済</v>
      </c>
      <c r="R142" s="17">
        <f>1-(COUNTIF(Q:Q,_xlfn.TEXTJOIN(",",TRUE,テーブル1[[#This Row],[リンク]],テーブル1[[#This Row],[描画状況]]))/COUNTIF(F:F,テーブル1[[#This Row],[リンク]]))</f>
        <v>1</v>
      </c>
      <c r="S142" s="16" t="str">
        <f ca="1">IFERROR(IF(テーブル1[[#This Row],[描画状況]]="",RAND()+(テーブル1[[#This Row],[列2]]*100),""),RAND())</f>
        <v/>
      </c>
      <c r="T142" s="1" t="s">
        <v>457</v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853</v>
      </c>
      <c r="E143" s="23" t="s">
        <v>1022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24" t="str">
        <f>テーブル1[[#This Row],[リンク]]&amp;テーブル1[[#This Row],[描画状況]]</f>
        <v>https://bowlroll.net/user/700434済</v>
      </c>
      <c r="R143" s="17">
        <f>1-(COUNTIF(Q:Q,_xlfn.TEXTJOIN(",",TRUE,テーブル1[[#This Row],[リンク]],テーブル1[[#This Row],[描画状況]]))/COUNTIF(F:F,テーブル1[[#This Row],[リンク]]))</f>
        <v>1</v>
      </c>
      <c r="S143" s="16" t="str">
        <f ca="1">IFERROR(IF(テーブル1[[#This Row],[描画状況]]="",RAND()+(テーブル1[[#This Row],[列2]]*100),""),RAND())</f>
        <v/>
      </c>
      <c r="T143" s="1" t="s">
        <v>457</v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854</v>
      </c>
      <c r="E144" s="23" t="s">
        <v>1023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1305</v>
      </c>
      <c r="L144" s="23" t="s">
        <v>1193</v>
      </c>
      <c r="M144" s="23" t="s">
        <v>1170</v>
      </c>
      <c r="O144" s="1" t="s">
        <v>592</v>
      </c>
      <c r="P144" s="1" t="s">
        <v>547</v>
      </c>
      <c r="Q144" s="24" t="str">
        <f>テーブル1[[#This Row],[リンク]]&amp;テーブル1[[#This Row],[描画状況]]</f>
        <v>https://kinomihautaimas.wixsite.com/dongurihiroba済</v>
      </c>
      <c r="R144" s="17">
        <f>1-(COUNTIF(Q:Q,_xlfn.TEXTJOIN(",",TRUE,テーブル1[[#This Row],[リンク]],テーブル1[[#This Row],[描画状況]]))/COUNTIF(F:F,テーブル1[[#This Row],[リンク]]))</f>
        <v>1</v>
      </c>
      <c r="S144" s="16" t="str">
        <f ca="1">IFERROR(IF(テーブル1[[#This Row],[描画状況]]="",RAND()+(テーブル1[[#This Row],[列2]]*100),""),RAND())</f>
        <v/>
      </c>
      <c r="T144" s="1" t="s">
        <v>457</v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855</v>
      </c>
      <c r="E145" s="23" t="s">
        <v>1024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24" t="str">
        <f>テーブル1[[#This Row],[リンク]]&amp;テーブル1[[#This Row],[描画状況]]</f>
        <v>https://bellsworks.wixsite.com/bellsworks済</v>
      </c>
      <c r="R145" s="17">
        <f>1-(COUNTIF(Q:Q,_xlfn.TEXTJOIN(",",TRUE,テーブル1[[#This Row],[リンク]],テーブル1[[#This Row],[描画状況]]))/COUNTIF(F:F,テーブル1[[#This Row],[リンク]]))</f>
        <v>1</v>
      </c>
      <c r="S145" s="16" t="str">
        <f ca="1">IFERROR(IF(テーブル1[[#This Row],[描画状況]]="",RAND()+(テーブル1[[#This Row],[列2]]*100),""),RAND())</f>
        <v/>
      </c>
      <c r="T145" s="1" t="s">
        <v>457</v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856</v>
      </c>
      <c r="E146" s="23" t="s">
        <v>1025</v>
      </c>
      <c r="F146" s="2" t="s">
        <v>355</v>
      </c>
      <c r="G146" s="23" t="s">
        <v>356</v>
      </c>
      <c r="P146" s="1" t="s">
        <v>547</v>
      </c>
      <c r="Q146" s="24" t="str">
        <f>テーブル1[[#This Row],[リンク]]&amp;テーブル1[[#This Row],[描画状況]]</f>
        <v>https://kairi0utau.wixsite.com/arugamamanouta済</v>
      </c>
      <c r="R146" s="17">
        <f>1-(COUNTIF(Q:Q,_xlfn.TEXTJOIN(",",TRUE,テーブル1[[#This Row],[リンク]],テーブル1[[#This Row],[描画状況]]))/COUNTIF(F:F,テーブル1[[#This Row],[リンク]]))</f>
        <v>1</v>
      </c>
      <c r="S146" s="16" t="str">
        <f ca="1">IFERROR(IF(テーブル1[[#This Row],[描画状況]]="",RAND()+(テーブル1[[#This Row],[列2]]*100),""),RAND())</f>
        <v/>
      </c>
      <c r="T146" s="1" t="s">
        <v>457</v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857</v>
      </c>
      <c r="E147" s="23" t="s">
        <v>1026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24" t="str">
        <f>テーブル1[[#This Row],[リンク]]&amp;テーブル1[[#This Row],[描画状況]]</f>
        <v>https://ametro.jimdofree.com済</v>
      </c>
      <c r="R147" s="17">
        <f>1-(COUNTIF(Q:Q,_xlfn.TEXTJOIN(",",TRUE,テーブル1[[#This Row],[リンク]],テーブル1[[#This Row],[描画状況]]))/COUNTIF(F:F,テーブル1[[#This Row],[リンク]]))</f>
        <v>1</v>
      </c>
      <c r="S147" s="16" t="str">
        <f ca="1">IFERROR(IF(テーブル1[[#This Row],[描画状況]]="",RAND()+(テーブル1[[#This Row],[列2]]*100),""),RAND())</f>
        <v/>
      </c>
      <c r="T147" s="1" t="s">
        <v>457</v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858</v>
      </c>
      <c r="E148" s="23" t="s">
        <v>1027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1173</v>
      </c>
      <c r="N148" s="23" t="s">
        <v>1279</v>
      </c>
      <c r="P148" s="1" t="s">
        <v>547</v>
      </c>
      <c r="Q148" s="24" t="str">
        <f>テーブル1[[#This Row],[リンク]]&amp;テーブル1[[#This Row],[描画状況]]</f>
        <v>https://inudanuki.wixsite.com/gottaniomotyabako済</v>
      </c>
      <c r="R148" s="17">
        <f>1-(COUNTIF(Q:Q,_xlfn.TEXTJOIN(",",TRUE,テーブル1[[#This Row],[リンク]],テーブル1[[#This Row],[描画状況]]))/COUNTIF(F:F,テーブル1[[#This Row],[リンク]]))</f>
        <v>1</v>
      </c>
      <c r="S148" s="16" t="str">
        <f ca="1">IFERROR(IF(テーブル1[[#This Row],[描画状況]]="",RAND()+(テーブル1[[#This Row],[列2]]*100),""),RAND())</f>
        <v/>
      </c>
      <c r="T148" s="1" t="s">
        <v>457</v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24" t="str">
        <f>テーブル1[[#This Row],[リンク]]&amp;テーブル1[[#This Row],[描画状況]]</f>
        <v>https://cmamizki.wixsite.com/edelstein済</v>
      </c>
      <c r="R149" s="17">
        <f>1-(COUNTIF(Q:Q,_xlfn.TEXTJOIN(",",TRUE,テーブル1[[#This Row],[リンク]],テーブル1[[#This Row],[描画状況]]))/COUNTIF(F:F,テーブル1[[#This Row],[リンク]]))</f>
        <v>1</v>
      </c>
      <c r="S149" s="16" t="str">
        <f ca="1">IFERROR(IF(テーブル1[[#This Row],[描画状況]]="",RAND()+(テーブル1[[#This Row],[列2]]*100),""),RAND())</f>
        <v/>
      </c>
      <c r="T149" s="1" t="s">
        <v>457</v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859</v>
      </c>
      <c r="E150" s="23" t="s">
        <v>1028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24" t="str">
        <f>テーブル1[[#This Row],[リンク]]&amp;テーブル1[[#This Row],[描画状況]]</f>
        <v>https://hinoyuzirenraku.wixsite.com/mu-neneo済</v>
      </c>
      <c r="R150" s="17">
        <f>1-(COUNTIF(Q:Q,_xlfn.TEXTJOIN(",",TRUE,テーブル1[[#This Row],[リンク]],テーブル1[[#This Row],[描画状況]]))/COUNTIF(F:F,テーブル1[[#This Row],[リンク]]))</f>
        <v>1</v>
      </c>
      <c r="S150" s="16" t="str">
        <f ca="1">IFERROR(IF(テーブル1[[#This Row],[描画状況]]="",RAND()+(テーブル1[[#This Row],[列2]]*100),""),RAND())</f>
        <v/>
      </c>
      <c r="T150" s="1" t="s">
        <v>457</v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860</v>
      </c>
      <c r="E151" s="23" t="s">
        <v>1029</v>
      </c>
      <c r="F151" s="2" t="s">
        <v>395</v>
      </c>
      <c r="G151" s="23" t="s">
        <v>396</v>
      </c>
      <c r="P151" s="1" t="s">
        <v>547</v>
      </c>
      <c r="Q151" s="24" t="str">
        <f>テーブル1[[#This Row],[リンク]]&amp;テーブル1[[#This Row],[描画状況]]</f>
        <v>https://zakrotsukumo.wixsite.com/utau-zerozero済</v>
      </c>
      <c r="R151" s="17">
        <f>1-(COUNTIF(Q:Q,_xlfn.TEXTJOIN(",",TRUE,テーブル1[[#This Row],[リンク]],テーブル1[[#This Row],[描画状況]]))/COUNTIF(F:F,テーブル1[[#This Row],[リンク]]))</f>
        <v>1</v>
      </c>
      <c r="S151" s="16" t="str">
        <f ca="1">IFERROR(IF(テーブル1[[#This Row],[描画状況]]="",RAND()+(テーブル1[[#This Row],[列2]]*100),""),RAND())</f>
        <v/>
      </c>
      <c r="T151" s="1" t="s">
        <v>457</v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861</v>
      </c>
      <c r="E152" s="23" t="s">
        <v>1030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24" t="str">
        <f>テーブル1[[#This Row],[リンク]]&amp;テーブル1[[#This Row],[描画状況]]</f>
        <v>https://bellsworks.wixsite.com/bellsworks済</v>
      </c>
      <c r="R152" s="17">
        <f>1-(COUNTIF(Q:Q,_xlfn.TEXTJOIN(",",TRUE,テーブル1[[#This Row],[リンク]],テーブル1[[#This Row],[描画状況]]))/COUNTIF(F:F,テーブル1[[#This Row],[リンク]]))</f>
        <v>1</v>
      </c>
      <c r="S152" s="16" t="str">
        <f ca="1">IFERROR(IF(テーブル1[[#This Row],[描画状況]]="",RAND()+(テーブル1[[#This Row],[列2]]*100),""),RAND())</f>
        <v/>
      </c>
      <c r="T152" s="1" t="s">
        <v>457</v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24" t="str">
        <f>テーブル1[[#This Row],[リンク]]&amp;テーブル1[[#This Row],[描画状況]]</f>
        <v>https://kairi0utau.wixsite.com/arugamamanouta済</v>
      </c>
      <c r="R153" s="17">
        <f>1-(COUNTIF(Q:Q,_xlfn.TEXTJOIN(",",TRUE,テーブル1[[#This Row],[リンク]],テーブル1[[#This Row],[描画状況]]))/COUNTIF(F:F,テーブル1[[#This Row],[リンク]]))</f>
        <v>1</v>
      </c>
      <c r="S153" s="16" t="str">
        <f ca="1">IFERROR(IF(テーブル1[[#This Row],[描画状況]]="",RAND()+(テーブル1[[#This Row],[列2]]*100),""),RAND())</f>
        <v/>
      </c>
      <c r="T153" s="1" t="s">
        <v>457</v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862</v>
      </c>
      <c r="E154" s="23" t="s">
        <v>1031</v>
      </c>
      <c r="F154" s="2" t="s">
        <v>432</v>
      </c>
      <c r="G154" s="23" t="s">
        <v>433</v>
      </c>
      <c r="P154" s="1" t="s">
        <v>547</v>
      </c>
      <c r="Q154" s="24" t="str">
        <f>テーブル1[[#This Row],[リンク]]&amp;テーブル1[[#This Row],[描画状況]]</f>
        <v>https://makurakue.wixsite.com/kemononokemono済</v>
      </c>
      <c r="R154" s="17">
        <f>1-(COUNTIF(Q:Q,_xlfn.TEXTJOIN(",",TRUE,テーブル1[[#This Row],[リンク]],テーブル1[[#This Row],[描画状況]]))/COUNTIF(F:F,テーブル1[[#This Row],[リンク]]))</f>
        <v>1</v>
      </c>
      <c r="S154" s="16" t="str">
        <f ca="1">IFERROR(IF(テーブル1[[#This Row],[描画状況]]="",RAND()+(テーブル1[[#This Row],[列2]]*100),""),RAND())</f>
        <v/>
      </c>
      <c r="T154" s="1" t="s">
        <v>457</v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863</v>
      </c>
      <c r="E155" s="23" t="s">
        <v>1032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24" t="str">
        <f>テーブル1[[#This Row],[リンク]]&amp;テーブル1[[#This Row],[描画状況]]</f>
        <v>https://askdance.wixsite.com/monitor-room/monitor-room済</v>
      </c>
      <c r="R155" s="17">
        <f>1-(COUNTIF(Q:Q,_xlfn.TEXTJOIN(",",TRUE,テーブル1[[#This Row],[リンク]],テーブル1[[#This Row],[描画状況]]))/COUNTIF(F:F,テーブル1[[#This Row],[リンク]]))</f>
        <v>1</v>
      </c>
      <c r="S155" s="16" t="str">
        <f ca="1">IFERROR(IF(テーブル1[[#This Row],[描画状況]]="",RAND()+(テーブル1[[#This Row],[列2]]*100),""),RAND())</f>
        <v/>
      </c>
      <c r="T155" s="1" t="s">
        <v>457</v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864</v>
      </c>
      <c r="E156" s="23" t="s">
        <v>1033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1255</v>
      </c>
      <c r="P156" s="1" t="s">
        <v>547</v>
      </c>
      <c r="Q156" s="24" t="str">
        <f>テーブル1[[#This Row],[リンク]]&amp;テーブル1[[#This Row],[描画状況]]</f>
        <v>https://kaitoramma.chu.jp済</v>
      </c>
      <c r="R156" s="17">
        <f>1-(COUNTIF(Q:Q,_xlfn.TEXTJOIN(",",TRUE,テーブル1[[#This Row],[リンク]],テーブル1[[#This Row],[描画状況]]))/COUNTIF(F:F,テーブル1[[#This Row],[リンク]]))</f>
        <v>1</v>
      </c>
      <c r="S156" s="16" t="str">
        <f ca="1">IFERROR(IF(テーブル1[[#This Row],[描画状況]]="",RAND()+(テーブル1[[#This Row],[列2]]*100),""),RAND())</f>
        <v/>
      </c>
      <c r="T156" s="1" t="s">
        <v>457</v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865</v>
      </c>
      <c r="E157" s="23" t="s">
        <v>1034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24" t="str">
        <f>テーブル1[[#This Row],[リンク]]&amp;テーブル1[[#This Row],[描画状況]]</f>
        <v>https://bowlroll.net/user/973681済</v>
      </c>
      <c r="R157" s="17">
        <f>1-(COUNTIF(Q:Q,_xlfn.TEXTJOIN(",",TRUE,テーブル1[[#This Row],[リンク]],テーブル1[[#This Row],[描画状況]]))/COUNTIF(F:F,テーブル1[[#This Row],[リンク]]))</f>
        <v>1</v>
      </c>
      <c r="S157" s="16" t="str">
        <f ca="1">IFERROR(IF(テーブル1[[#This Row],[描画状況]]="",RAND()+(テーブル1[[#This Row],[列2]]*100),""),RAND())</f>
        <v/>
      </c>
      <c r="T157" s="1" t="s">
        <v>457</v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1180</v>
      </c>
      <c r="L158" s="23" t="s">
        <v>1201</v>
      </c>
      <c r="N158" s="23" t="s">
        <v>1188</v>
      </c>
      <c r="O158" s="1" t="s">
        <v>629</v>
      </c>
      <c r="P158" s="1" t="s">
        <v>547</v>
      </c>
      <c r="Q158" s="24" t="str">
        <f>テーブル1[[#This Row],[リンク]]&amp;テーブル1[[#This Row],[描画状況]]</f>
        <v>https://nyaruru.wixsite.com/s-p-w済</v>
      </c>
      <c r="R158" s="17">
        <f>1-(COUNTIF(Q:Q,_xlfn.TEXTJOIN(",",TRUE,テーブル1[[#This Row],[リンク]],テーブル1[[#This Row],[描画状況]]))/COUNTIF(F:F,テーブル1[[#This Row],[リンク]]))</f>
        <v>1</v>
      </c>
      <c r="S158" s="16" t="str">
        <f ca="1">IFERROR(IF(テーブル1[[#This Row],[描画状況]]="",RAND()+(テーブル1[[#This Row],[列2]]*100),""),RAND())</f>
        <v/>
      </c>
      <c r="T158" s="1" t="s">
        <v>457</v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866</v>
      </c>
      <c r="E159" s="24" t="s">
        <v>1035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24" t="str">
        <f>テーブル1[[#This Row],[リンク]]&amp;テーブル1[[#This Row],[描画状況]]</f>
        <v>https://flowerrocklove.wixsite.com/twilight-crisis済</v>
      </c>
      <c r="R159" s="17">
        <f>1-(COUNTIF(Q:Q,_xlfn.TEXTJOIN(",",TRUE,テーブル1[[#This Row],[リンク]],テーブル1[[#This Row],[描画状況]]))/COUNTIF(F:F,テーブル1[[#This Row],[リンク]]))</f>
        <v>1</v>
      </c>
      <c r="S159" s="16" t="str">
        <f ca="1">IFERROR(IF(テーブル1[[#This Row],[描画状況]]="",RAND()+(テーブル1[[#This Row],[列2]]*100),""),RAND())</f>
        <v/>
      </c>
      <c r="T159" s="1" t="s">
        <v>457</v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867</v>
      </c>
      <c r="E160" s="23" t="s">
        <v>1036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24" t="str">
        <f>テーブル1[[#This Row],[リンク]]&amp;テーブル1[[#This Row],[描画状況]]</f>
        <v>https://www.mackhouse-soft.com済</v>
      </c>
      <c r="R160" s="17">
        <f>1-(COUNTIF(Q:Q,_xlfn.TEXTJOIN(",",TRUE,テーブル1[[#This Row],[リンク]],テーブル1[[#This Row],[描画状況]]))/COUNTIF(F:F,テーブル1[[#This Row],[リンク]]))</f>
        <v>1</v>
      </c>
      <c r="S160" s="16" t="str">
        <f ca="1">IFERROR(IF(テーブル1[[#This Row],[描画状況]]="",RAND()+(テーブル1[[#This Row],[列2]]*100),""),RAND())</f>
        <v/>
      </c>
      <c r="T160" s="1" t="s">
        <v>457</v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868</v>
      </c>
      <c r="E161" s="23" t="s">
        <v>1037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24" t="str">
        <f>テーブル1[[#This Row],[リンク]]&amp;テーブル1[[#This Row],[描画状況]]</f>
        <v>https://bellsworks.wixsite.com/bellsworks済</v>
      </c>
      <c r="R161" s="17">
        <f>1-(COUNTIF(Q:Q,_xlfn.TEXTJOIN(",",TRUE,テーブル1[[#This Row],[リンク]],テーブル1[[#This Row],[描画状況]]))/COUNTIF(F:F,テーブル1[[#This Row],[リンク]]))</f>
        <v>1</v>
      </c>
      <c r="S161" s="16" t="str">
        <f ca="1">IFERROR(IF(テーブル1[[#This Row],[描画状況]]="",RAND()+(テーブル1[[#This Row],[列2]]*100),""),RAND())</f>
        <v/>
      </c>
      <c r="T161" s="1" t="s">
        <v>457</v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869</v>
      </c>
      <c r="E162" s="23" t="s">
        <v>1038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24" t="str">
        <f>テーブル1[[#This Row],[リンク]]&amp;テーブル1[[#This Row],[描画状況]]</f>
        <v>https://teapartyandmugshelf.wixsite.com/my-site-1済</v>
      </c>
      <c r="R162" s="17">
        <f>1-(COUNTIF(Q:Q,_xlfn.TEXTJOIN(",",TRUE,テーブル1[[#This Row],[リンク]],テーブル1[[#This Row],[描画状況]]))/COUNTIF(F:F,テーブル1[[#This Row],[リンク]]))</f>
        <v>1</v>
      </c>
      <c r="S162" s="16" t="str">
        <f ca="1">IFERROR(IF(テーブル1[[#This Row],[描画状況]]="",RAND()+(テーブル1[[#This Row],[列2]]*100),""),RAND())</f>
        <v/>
      </c>
      <c r="T162" s="1" t="s">
        <v>457</v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24" t="str">
        <f>テーブル1[[#This Row],[リンク]]&amp;テーブル1[[#This Row],[描画状況]]</f>
        <v>https://ne510channel.wixsite.com/website済</v>
      </c>
      <c r="R163" s="17">
        <f>1-(COUNTIF(Q:Q,_xlfn.TEXTJOIN(",",TRUE,テーブル1[[#This Row],[リンク]],テーブル1[[#This Row],[描画状況]]))/COUNTIF(F:F,テーブル1[[#This Row],[リンク]]))</f>
        <v>1</v>
      </c>
      <c r="S163" s="16" t="str">
        <f ca="1">IFERROR(IF(テーブル1[[#This Row],[描画状況]]="",RAND()+(テーブル1[[#This Row],[列2]]*100),""),RAND())</f>
        <v/>
      </c>
      <c r="T163" s="1" t="s">
        <v>457</v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870</v>
      </c>
      <c r="E164" s="23" t="s">
        <v>1039</v>
      </c>
      <c r="F164" s="15" t="s">
        <v>479</v>
      </c>
      <c r="G164" s="23" t="s">
        <v>480</v>
      </c>
      <c r="P164" s="1" t="s">
        <v>547</v>
      </c>
      <c r="Q164" s="24" t="str">
        <f>テーブル1[[#This Row],[リンク]]&amp;テーブル1[[#This Row],[描画状況]]</f>
        <v>https://inumokoco.wixsite.com/sleep-church済</v>
      </c>
      <c r="R164" s="17">
        <f>1-(COUNTIF(Q:Q,_xlfn.TEXTJOIN(",",TRUE,テーブル1[[#This Row],[リンク]],テーブル1[[#This Row],[描画状況]]))/COUNTIF(F:F,テーブル1[[#This Row],[リンク]]))</f>
        <v>1</v>
      </c>
      <c r="S164" s="16" t="str">
        <f ca="1">IFERROR(IF(テーブル1[[#This Row],[描画状況]]="",RAND()+(テーブル1[[#This Row],[列2]]*100),""),RAND())</f>
        <v/>
      </c>
      <c r="T164" s="1" t="s">
        <v>457</v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871</v>
      </c>
      <c r="E165" s="23" t="s">
        <v>1040</v>
      </c>
      <c r="F165" s="2" t="s">
        <v>510</v>
      </c>
      <c r="G165" s="23" t="s">
        <v>511</v>
      </c>
      <c r="P165" s="1" t="s">
        <v>547</v>
      </c>
      <c r="Q165" s="24" t="str">
        <f>テーブル1[[#This Row],[リンク]]&amp;テーブル1[[#This Row],[描画状況]]</f>
        <v>https://zaregotohitori.wixsite.com/ritsudokishidoku済</v>
      </c>
      <c r="R165" s="17">
        <f>1-(COUNTIF(Q:Q,_xlfn.TEXTJOIN(",",TRUE,テーブル1[[#This Row],[リンク]],テーブル1[[#This Row],[描画状況]]))/COUNTIF(F:F,テーブル1[[#This Row],[リンク]]))</f>
        <v>1</v>
      </c>
      <c r="S165" s="16" t="str">
        <f ca="1">IFERROR(IF(テーブル1[[#This Row],[描画状況]]="",RAND()+(テーブル1[[#This Row],[列2]]*100),""),RAND())</f>
        <v/>
      </c>
      <c r="T165" s="1" t="s">
        <v>457</v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24" t="str">
        <f>テーブル1[[#This Row],[リンク]]&amp;テーブル1[[#This Row],[描画状況]]</f>
        <v>https://yautau.wixsite.com/0909済</v>
      </c>
      <c r="R166" s="17">
        <f>1-(COUNTIF(Q:Q,_xlfn.TEXTJOIN(",",TRUE,テーブル1[[#This Row],[リンク]],テーブル1[[#This Row],[描画状況]]))/COUNTIF(F:F,テーブル1[[#This Row],[リンク]]))</f>
        <v>1</v>
      </c>
      <c r="S166" s="16" t="str">
        <f ca="1">IFERROR(IF(テーブル1[[#This Row],[描画状況]]="",RAND()+(テーブル1[[#This Row],[列2]]*100),""),RAND())</f>
        <v/>
      </c>
      <c r="T166" s="1" t="s">
        <v>457</v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24" t="str">
        <f>テーブル1[[#This Row],[リンク]]&amp;テーブル1[[#This Row],[描画状況]]</f>
        <v>https://piku.page/@toitoitoi23済</v>
      </c>
      <c r="R167" s="17">
        <f>1-(COUNTIF(Q:Q,_xlfn.TEXTJOIN(",",TRUE,テーブル1[[#This Row],[リンク]],テーブル1[[#This Row],[描画状況]]))/COUNTIF(F:F,テーブル1[[#This Row],[リンク]]))</f>
        <v>1</v>
      </c>
      <c r="S167" s="16" t="str">
        <f ca="1">IFERROR(IF(テーブル1[[#This Row],[描画状況]]="",RAND()+(テーブル1[[#This Row],[列2]]*100),""),RAND())</f>
        <v/>
      </c>
      <c r="T167" s="1" t="s">
        <v>457</v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872</v>
      </c>
      <c r="E168" s="23" t="s">
        <v>1041</v>
      </c>
      <c r="F168" s="2" t="s">
        <v>432</v>
      </c>
      <c r="G168" s="23" t="s">
        <v>433</v>
      </c>
      <c r="P168" s="1" t="s">
        <v>547</v>
      </c>
      <c r="Q168" s="24" t="str">
        <f>テーブル1[[#This Row],[リンク]]&amp;テーブル1[[#This Row],[描画状況]]</f>
        <v>https://makurakue.wixsite.com/kemononokemono済</v>
      </c>
      <c r="R168" s="17">
        <f>1-(COUNTIF(Q:Q,_xlfn.TEXTJOIN(",",TRUE,テーブル1[[#This Row],[リンク]],テーブル1[[#This Row],[描画状況]]))/COUNTIF(F:F,テーブル1[[#This Row],[リンク]]))</f>
        <v>1</v>
      </c>
      <c r="S168" s="16" t="str">
        <f ca="1">IFERROR(IF(テーブル1[[#This Row],[描画状況]]="",RAND()+(テーブル1[[#This Row],[列2]]*100),""),RAND())</f>
        <v/>
      </c>
      <c r="T168" s="1" t="s">
        <v>457</v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24" t="str">
        <f>テーブル1[[#This Row],[リンク]]&amp;テーブル1[[#This Row],[描画状況]]</f>
        <v>https://nanarabo626.studio.site済</v>
      </c>
      <c r="R169" s="17">
        <f>1-(COUNTIF(Q:Q,_xlfn.TEXTJOIN(",",TRUE,テーブル1[[#This Row],[リンク]],テーブル1[[#This Row],[描画状況]]))/COUNTIF(F:F,テーブル1[[#This Row],[リンク]]))</f>
        <v>1</v>
      </c>
      <c r="S169" s="16" t="str">
        <f ca="1">IFERROR(IF(テーブル1[[#This Row],[描画状況]]="",RAND()+(テーブル1[[#This Row],[列2]]*100),""),RAND())</f>
        <v/>
      </c>
      <c r="T169" s="1" t="s">
        <v>457</v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873</v>
      </c>
      <c r="E170" s="23" t="s">
        <v>1042</v>
      </c>
      <c r="F170" s="2" t="s">
        <v>438</v>
      </c>
      <c r="G170" s="23" t="s">
        <v>439</v>
      </c>
      <c r="P170" s="1" t="s">
        <v>547</v>
      </c>
      <c r="Q170" s="24" t="str">
        <f>テーブル1[[#This Row],[リンク]]&amp;テーブル1[[#This Row],[描画状況]]</f>
        <v>https://kaedekatusaki.wixsite.com/yanagiroutyou済</v>
      </c>
      <c r="R170" s="17">
        <f>1-(COUNTIF(Q:Q,_xlfn.TEXTJOIN(",",TRUE,テーブル1[[#This Row],[リンク]],テーブル1[[#This Row],[描画状況]]))/COUNTIF(F:F,テーブル1[[#This Row],[リンク]]))</f>
        <v>1</v>
      </c>
      <c r="S170" s="16" t="str">
        <f ca="1">IFERROR(IF(テーブル1[[#This Row],[描画状況]]="",RAND()+(テーブル1[[#This Row],[列2]]*100),""),RAND())</f>
        <v/>
      </c>
      <c r="T170" s="1" t="s">
        <v>457</v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1279</v>
      </c>
      <c r="O171" s="1" t="s">
        <v>593</v>
      </c>
      <c r="P171" s="1" t="s">
        <v>547</v>
      </c>
      <c r="Q171" s="24" t="str">
        <f>テーブル1[[#This Row],[リンク]]&amp;テーブル1[[#This Row],[描画状況]]</f>
        <v>https://cloudcatch1224.wixsite.com/godsfoot済</v>
      </c>
      <c r="R171" s="17">
        <f>1-(COUNTIF(Q:Q,_xlfn.TEXTJOIN(",",TRUE,テーブル1[[#This Row],[リンク]],テーブル1[[#This Row],[描画状況]]))/COUNTIF(F:F,テーブル1[[#This Row],[リンク]]))</f>
        <v>1</v>
      </c>
      <c r="S171" s="16" t="str">
        <f ca="1">IFERROR(IF(テーブル1[[#This Row],[描画状況]]="",RAND()+(テーブル1[[#This Row],[列2]]*100),""),RAND())</f>
        <v/>
      </c>
      <c r="T171" s="1" t="s">
        <v>457</v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874</v>
      </c>
      <c r="E172" s="23" t="s">
        <v>1043</v>
      </c>
      <c r="F172" s="2" t="s">
        <v>364</v>
      </c>
      <c r="G172" s="23" t="s">
        <v>365</v>
      </c>
      <c r="P172" s="1" t="s">
        <v>547</v>
      </c>
      <c r="Q172" s="24" t="str">
        <f>テーブル1[[#This Row],[リンク]]&amp;テーブル1[[#This Row],[描画状況]]</f>
        <v>https://sites.google.com/view/qsuke-garden/home済</v>
      </c>
      <c r="R172" s="17">
        <f>1-(COUNTIF(Q:Q,_xlfn.TEXTJOIN(",",TRUE,テーブル1[[#This Row],[リンク]],テーブル1[[#This Row],[描画状況]]))/COUNTIF(F:F,テーブル1[[#This Row],[リンク]]))</f>
        <v>1</v>
      </c>
      <c r="S172" s="16" t="str">
        <f ca="1">IFERROR(IF(テーブル1[[#This Row],[描画状況]]="",RAND()+(テーブル1[[#This Row],[列2]]*100),""),RAND())</f>
        <v/>
      </c>
      <c r="T172" s="1" t="s">
        <v>457</v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24" t="str">
        <f>テーブル1[[#This Row],[リンク]]&amp;テーブル1[[#This Row],[描画状況]]</f>
        <v>https://nanarabo626.studio.site済</v>
      </c>
      <c r="R173" s="17">
        <f>1-(COUNTIF(Q:Q,_xlfn.TEXTJOIN(",",TRUE,テーブル1[[#This Row],[リンク]],テーブル1[[#This Row],[描画状況]]))/COUNTIF(F:F,テーブル1[[#This Row],[リンク]]))</f>
        <v>1</v>
      </c>
      <c r="S173" s="16" t="str">
        <f ca="1">IFERROR(IF(テーブル1[[#This Row],[描画状況]]="",RAND()+(テーブル1[[#This Row],[列2]]*100),""),RAND())</f>
        <v/>
      </c>
      <c r="T173" s="1" t="s">
        <v>457</v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24" t="str">
        <f>テーブル1[[#This Row],[リンク]]&amp;テーブル1[[#This Row],[描画状況]]</f>
        <v>https://makaron3264.wixsite.com/utauotoohana済</v>
      </c>
      <c r="R174" s="17">
        <f>1-(COUNTIF(Q:Q,_xlfn.TEXTJOIN(",",TRUE,テーブル1[[#This Row],[リンク]],テーブル1[[#This Row],[描画状況]]))/COUNTIF(F:F,テーブル1[[#This Row],[リンク]]))</f>
        <v>1</v>
      </c>
      <c r="S174" s="16" t="str">
        <f ca="1">IFERROR(IF(テーブル1[[#This Row],[描画状況]]="",RAND()+(テーブル1[[#This Row],[列2]]*100),""),RAND())</f>
        <v/>
      </c>
      <c r="T174" s="1" t="s">
        <v>457</v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875</v>
      </c>
      <c r="E175" s="23" t="s">
        <v>1044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24" t="str">
        <f>テーブル1[[#This Row],[リンク]]&amp;テーブル1[[#This Row],[描画状況]]</f>
        <v>https://bowlroll.net/user/973681済</v>
      </c>
      <c r="R175" s="17">
        <f>1-(COUNTIF(Q:Q,_xlfn.TEXTJOIN(",",TRUE,テーブル1[[#This Row],[リンク]],テーブル1[[#This Row],[描画状況]]))/COUNTIF(F:F,テーブル1[[#This Row],[リンク]]))</f>
        <v>1</v>
      </c>
      <c r="S175" s="16" t="str">
        <f ca="1">IFERROR(IF(テーブル1[[#This Row],[描画状況]]="",RAND()+(テーブル1[[#This Row],[列2]]*100),""),RAND())</f>
        <v/>
      </c>
      <c r="T175" s="1" t="s">
        <v>457</v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876</v>
      </c>
      <c r="E176" s="23" t="s">
        <v>1045</v>
      </c>
      <c r="F176" s="15" t="s">
        <v>500</v>
      </c>
      <c r="G176" s="23" t="s">
        <v>442</v>
      </c>
      <c r="P176" s="1" t="s">
        <v>547</v>
      </c>
      <c r="Q176" s="24" t="str">
        <f>テーブル1[[#This Row],[リンク]]&amp;テーブル1[[#This Row],[描画状況]]</f>
        <v>https://zsxcvhjnhh.wixsite.com/yukirakira済</v>
      </c>
      <c r="R176" s="17">
        <f>1-(COUNTIF(Q:Q,_xlfn.TEXTJOIN(",",TRUE,テーブル1[[#This Row],[リンク]],テーブル1[[#This Row],[描画状況]]))/COUNTIF(F:F,テーブル1[[#This Row],[リンク]]))</f>
        <v>1</v>
      </c>
      <c r="S176" s="16" t="str">
        <f ca="1">IFERROR(IF(テーブル1[[#This Row],[描画状況]]="",RAND()+(テーブル1[[#This Row],[列2]]*100),""),RAND())</f>
        <v/>
      </c>
      <c r="T176" s="1" t="s">
        <v>457</v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24" t="str">
        <f>テーブル1[[#This Row],[リンク]]&amp;テーブル1[[#This Row],[描画状況]]</f>
        <v>https://tropicalsamejima.wixsite.com/oyutau済</v>
      </c>
      <c r="R177" s="17">
        <f>1-(COUNTIF(Q:Q,_xlfn.TEXTJOIN(",",TRUE,テーブル1[[#This Row],[リンク]],テーブル1[[#This Row],[描画状況]]))/COUNTIF(F:F,テーブル1[[#This Row],[リンク]]))</f>
        <v>1</v>
      </c>
      <c r="S177" s="16" t="str">
        <f ca="1">IFERROR(IF(テーブル1[[#This Row],[描画状況]]="",RAND()+(テーブル1[[#This Row],[列2]]*100),""),RAND())</f>
        <v/>
      </c>
      <c r="T177" s="1" t="s">
        <v>457</v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877</v>
      </c>
      <c r="E178" s="23" t="s">
        <v>1046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24" t="str">
        <f>テーブル1[[#This Row],[リンク]]&amp;テーブル1[[#This Row],[描画状況]]</f>
        <v>https://bellsworks.wixsite.com/bellsworks済</v>
      </c>
      <c r="R178" s="17">
        <f>1-(COUNTIF(Q:Q,_xlfn.TEXTJOIN(",",TRUE,テーブル1[[#This Row],[リンク]],テーブル1[[#This Row],[描画状況]]))/COUNTIF(F:F,テーブル1[[#This Row],[リンク]]))</f>
        <v>1</v>
      </c>
      <c r="S178" s="16" t="str">
        <f ca="1">IFERROR(IF(テーブル1[[#This Row],[描画状況]]="",RAND()+(テーブル1[[#This Row],[列2]]*100),""),RAND())</f>
        <v/>
      </c>
      <c r="T178" s="1" t="s">
        <v>457</v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878</v>
      </c>
      <c r="E179" s="23" t="s">
        <v>1047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24" t="str">
        <f>テーブル1[[#This Row],[リンク]]&amp;テーブル1[[#This Row],[描画状況]]</f>
        <v>https://www.mackhouse-soft.com済</v>
      </c>
      <c r="R179" s="17">
        <f>1-(COUNTIF(Q:Q,_xlfn.TEXTJOIN(",",TRUE,テーブル1[[#This Row],[リンク]],テーブル1[[#This Row],[描画状況]]))/COUNTIF(F:F,テーブル1[[#This Row],[リンク]]))</f>
        <v>1</v>
      </c>
      <c r="S179" s="16" t="str">
        <f ca="1">IFERROR(IF(テーブル1[[#This Row],[描画状況]]="",RAND()+(テーブル1[[#This Row],[列2]]*100),""),RAND())</f>
        <v/>
      </c>
      <c r="T179" s="1" t="s">
        <v>457</v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1303</v>
      </c>
      <c r="G180" s="23" t="s">
        <v>299</v>
      </c>
      <c r="P180" s="1" t="s">
        <v>547</v>
      </c>
      <c r="Q180" s="24" t="str">
        <f>テーブル1[[#This Row],[リンク]]&amp;テーブル1[[#This Row],[描画状況]]</f>
        <v>https://sereinrain113.wixsite.com/999sereinrain済</v>
      </c>
      <c r="R180" s="17">
        <f>1-(COUNTIF(Q:Q,_xlfn.TEXTJOIN(",",TRUE,テーブル1[[#This Row],[リンク]],テーブル1[[#This Row],[描画状況]]))/COUNTIF(F:F,テーブル1[[#This Row],[リンク]]))</f>
        <v>1</v>
      </c>
      <c r="S180" s="16" t="str">
        <f ca="1">IFERROR(IF(テーブル1[[#This Row],[描画状況]]="",RAND()+(テーブル1[[#This Row],[列2]]*100),""),RAND())</f>
        <v/>
      </c>
      <c r="T180" s="1" t="s">
        <v>457</v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879</v>
      </c>
      <c r="E181" s="23" t="s">
        <v>1048</v>
      </c>
      <c r="F181" s="15" t="s">
        <v>435</v>
      </c>
      <c r="G181" s="23" t="s">
        <v>437</v>
      </c>
      <c r="P181" s="1" t="s">
        <v>547</v>
      </c>
      <c r="Q181" s="24" t="str">
        <f>テーブル1[[#This Row],[リンク]]&amp;テーブル1[[#This Row],[描画状況]]</f>
        <v>https://ma2bana7.wixsite.com/sssr済</v>
      </c>
      <c r="R181" s="17">
        <f>1-(COUNTIF(Q:Q,_xlfn.TEXTJOIN(",",TRUE,テーブル1[[#This Row],[リンク]],テーブル1[[#This Row],[描画状況]]))/COUNTIF(F:F,テーブル1[[#This Row],[リンク]]))</f>
        <v>1</v>
      </c>
      <c r="S181" s="16" t="str">
        <f ca="1">IFERROR(IF(テーブル1[[#This Row],[描画状況]]="",RAND()+(テーブル1[[#This Row],[列2]]*100),""),RAND())</f>
        <v/>
      </c>
      <c r="T181" s="1" t="s">
        <v>457</v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880</v>
      </c>
      <c r="E182" s="23" t="s">
        <v>1049</v>
      </c>
      <c r="F182" s="15" t="s">
        <v>489</v>
      </c>
      <c r="G182" s="23" t="s">
        <v>490</v>
      </c>
      <c r="P182" s="1" t="s">
        <v>547</v>
      </c>
      <c r="Q182" s="24" t="str">
        <f>テーブル1[[#This Row],[リンク]]&amp;テーブル1[[#This Row],[描画状況]]</f>
        <v>https://www.canon-voice.com済</v>
      </c>
      <c r="R182" s="17">
        <f>1-(COUNTIF(Q:Q,_xlfn.TEXTJOIN(",",TRUE,テーブル1[[#This Row],[リンク]],テーブル1[[#This Row],[描画状況]]))/COUNTIF(F:F,テーブル1[[#This Row],[リンク]]))</f>
        <v>1</v>
      </c>
      <c r="S182" s="16" t="str">
        <f ca="1">IFERROR(IF(テーブル1[[#This Row],[描画状況]]="",RAND()+(テーブル1[[#This Row],[列2]]*100),""),RAND())</f>
        <v/>
      </c>
      <c r="T182" s="1" t="s">
        <v>457</v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881</v>
      </c>
      <c r="E183" s="23" t="s">
        <v>1050</v>
      </c>
      <c r="F183" s="15" t="s">
        <v>538</v>
      </c>
      <c r="G183" s="23" t="s">
        <v>545</v>
      </c>
      <c r="P183" s="1" t="s">
        <v>547</v>
      </c>
      <c r="Q183" s="24" t="str">
        <f>テーブル1[[#This Row],[リンク]]&amp;テーブル1[[#This Row],[描画状況]]</f>
        <v>https://todosho1192.wixsite.com/my-site-3済</v>
      </c>
      <c r="R183" s="17">
        <f>1-(COUNTIF(Q:Q,_xlfn.TEXTJOIN(",",TRUE,テーブル1[[#This Row],[リンク]],テーブル1[[#This Row],[描画状況]]))/COUNTIF(F:F,テーブル1[[#This Row],[リンク]]))</f>
        <v>1</v>
      </c>
      <c r="S183" s="16" t="str">
        <f ca="1">IFERROR(IF(テーブル1[[#This Row],[描画状況]]="",RAND()+(テーブル1[[#This Row],[列2]]*100),""),RAND())</f>
        <v/>
      </c>
      <c r="T183" s="1" t="s">
        <v>457</v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882</v>
      </c>
      <c r="E184" s="23" t="s">
        <v>1051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24" t="str">
        <f>テーブル1[[#This Row],[リンク]]&amp;テーブル1[[#This Row],[描画状況]]</f>
        <v>https://ametro.jimdofree.com済</v>
      </c>
      <c r="R184" s="17">
        <f>1-(COUNTIF(Q:Q,_xlfn.TEXTJOIN(",",TRUE,テーブル1[[#This Row],[リンク]],テーブル1[[#This Row],[描画状況]]))/COUNTIF(F:F,テーブル1[[#This Row],[リンク]]))</f>
        <v>1</v>
      </c>
      <c r="S184" s="16" t="str">
        <f ca="1">IFERROR(IF(テーブル1[[#This Row],[描画状況]]="",RAND()+(テーブル1[[#This Row],[列2]]*100),""),RAND())</f>
        <v/>
      </c>
      <c r="T184" s="1" t="s">
        <v>457</v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883</v>
      </c>
      <c r="E185" s="23" t="s">
        <v>1052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1183</v>
      </c>
      <c r="M185" s="23" t="s">
        <v>1163</v>
      </c>
      <c r="N185" s="23" t="s">
        <v>1190</v>
      </c>
      <c r="O185" s="1" t="s">
        <v>592</v>
      </c>
      <c r="P185" s="1" t="s">
        <v>547</v>
      </c>
      <c r="Q185" s="24" t="str">
        <f>テーブル1[[#This Row],[リンク]]&amp;テーブル1[[#This Row],[描画状況]]</f>
        <v>https://bowlroll.net/user/980255済</v>
      </c>
      <c r="R185" s="17">
        <f>1-(COUNTIF(Q:Q,_xlfn.TEXTJOIN(",",TRUE,テーブル1[[#This Row],[リンク]],テーブル1[[#This Row],[描画状況]]))/COUNTIF(F:F,テーブル1[[#This Row],[リンク]]))</f>
        <v>1</v>
      </c>
      <c r="S185" s="16" t="str">
        <f ca="1">IFERROR(IF(テーブル1[[#This Row],[描画状況]]="",RAND()+(テーブル1[[#This Row],[列2]]*100),""),RAND())</f>
        <v/>
      </c>
      <c r="T185" s="1" t="s">
        <v>457</v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884</v>
      </c>
      <c r="E186" s="23" t="s">
        <v>1053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24" t="str">
        <f>テーブル1[[#This Row],[リンク]]&amp;テーブル1[[#This Row],[描画状況]]</f>
        <v>https://bellsworks.wixsite.com/bellsworks済</v>
      </c>
      <c r="R186" s="17">
        <f>1-(COUNTIF(Q:Q,_xlfn.TEXTJOIN(",",TRUE,テーブル1[[#This Row],[リンク]],テーブル1[[#This Row],[描画状況]]))/COUNTIF(F:F,テーブル1[[#This Row],[リンク]]))</f>
        <v>1</v>
      </c>
      <c r="S186" s="16" t="str">
        <f ca="1">IFERROR(IF(テーブル1[[#This Row],[描画状況]]="",RAND()+(テーブル1[[#This Row],[列2]]*100),""),RAND())</f>
        <v/>
      </c>
      <c r="T186" s="1" t="s">
        <v>457</v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1312</v>
      </c>
      <c r="O187" s="1" t="s">
        <v>592</v>
      </c>
      <c r="P187" s="1" t="s">
        <v>547</v>
      </c>
      <c r="Q187" s="24" t="str">
        <f>テーブル1[[#This Row],[リンク]]&amp;テーブル1[[#This Row],[描画状況]]</f>
        <v>https://seirentoybox.jimdofree.com済</v>
      </c>
      <c r="R187" s="17">
        <f>1-(COUNTIF(Q:Q,_xlfn.TEXTJOIN(",",TRUE,テーブル1[[#This Row],[リンク]],テーブル1[[#This Row],[描画状況]]))/COUNTIF(F:F,テーブル1[[#This Row],[リンク]]))</f>
        <v>1</v>
      </c>
      <c r="S187" s="16" t="str">
        <f ca="1">IFERROR(IF(テーブル1[[#This Row],[描画状況]]="",RAND()+(テーブル1[[#This Row],[列2]]*100),""),RAND())</f>
        <v/>
      </c>
      <c r="T187" s="1" t="s">
        <v>457</v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24" t="str">
        <f>テーブル1[[#This Row],[リンク]]&amp;テーブル1[[#This Row],[描画状況]]</f>
        <v>https://maybeanglo0mochi.wixsite.com/mochiyanosouko済</v>
      </c>
      <c r="R188" s="17">
        <f>1-(COUNTIF(Q:Q,_xlfn.TEXTJOIN(",",TRUE,テーブル1[[#This Row],[リンク]],テーブル1[[#This Row],[描画状況]]))/COUNTIF(F:F,テーブル1[[#This Row],[リンク]]))</f>
        <v>1</v>
      </c>
      <c r="S188" s="16" t="str">
        <f ca="1">IFERROR(IF(テーブル1[[#This Row],[描画状況]]="",RAND()+(テーブル1[[#This Row],[列2]]*100),""),RAND())</f>
        <v/>
      </c>
      <c r="T188" s="1" t="s">
        <v>457</v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885</v>
      </c>
      <c r="E189" s="23" t="s">
        <v>1054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24" t="str">
        <f>テーブル1[[#This Row],[リンク]]&amp;テーブル1[[#This Row],[描画状況]]</f>
        <v>https://bellsworks.wixsite.com/bellsworks済</v>
      </c>
      <c r="R189" s="17">
        <f>1-(COUNTIF(Q:Q,_xlfn.TEXTJOIN(",",TRUE,テーブル1[[#This Row],[リンク]],テーブル1[[#This Row],[描画状況]]))/COUNTIF(F:F,テーブル1[[#This Row],[リンク]]))</f>
        <v>1</v>
      </c>
      <c r="S189" s="16" t="str">
        <f ca="1">IFERROR(IF(テーブル1[[#This Row],[描画状況]]="",RAND()+(テーブル1[[#This Row],[列2]]*100),""),RAND())</f>
        <v/>
      </c>
      <c r="T189" s="1" t="s">
        <v>457</v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24" t="str">
        <f>テーブル1[[#This Row],[リンク]]&amp;テーブル1[[#This Row],[描画状況]]</f>
        <v>https://hakutoujelly.booth.pm/items/6496885済</v>
      </c>
      <c r="R190" s="17">
        <f>1-(COUNTIF(Q:Q,_xlfn.TEXTJOIN(",",TRUE,テーブル1[[#This Row],[リンク]],テーブル1[[#This Row],[描画状況]]))/COUNTIF(F:F,テーブル1[[#This Row],[リンク]]))</f>
        <v>1</v>
      </c>
      <c r="S190" s="16" t="str">
        <f ca="1">IFERROR(IF(テーブル1[[#This Row],[描画状況]]="",RAND()+(テーブル1[[#This Row],[列2]]*100),""),RAND())</f>
        <v/>
      </c>
      <c r="T190" s="1" t="s">
        <v>457</v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886</v>
      </c>
      <c r="E191" s="23" t="s">
        <v>1055</v>
      </c>
      <c r="F191" s="15" t="s">
        <v>411</v>
      </c>
      <c r="G191" s="23" t="s">
        <v>461</v>
      </c>
      <c r="H191" s="23" t="s">
        <v>659</v>
      </c>
      <c r="I191" s="23" t="s">
        <v>1236</v>
      </c>
      <c r="L191" s="23" t="s">
        <v>1194</v>
      </c>
      <c r="M191" s="23" t="s">
        <v>1163</v>
      </c>
      <c r="N191" s="23" t="s">
        <v>1338</v>
      </c>
      <c r="O191" s="1" t="s">
        <v>593</v>
      </c>
      <c r="P191" s="1" t="s">
        <v>547</v>
      </c>
      <c r="Q191" s="24" t="str">
        <f>テーブル1[[#This Row],[リンク]]&amp;テーブル1[[#This Row],[描画状況]]</f>
        <v>https://grskmot8.wixsite.com/kdarock済</v>
      </c>
      <c r="R191" s="17">
        <f>1-(COUNTIF(Q:Q,_xlfn.TEXTJOIN(",",TRUE,テーブル1[[#This Row],[リンク]],テーブル1[[#This Row],[描画状況]]))/COUNTIF(F:F,テーブル1[[#This Row],[リンク]]))</f>
        <v>1</v>
      </c>
      <c r="S191" s="16" t="str">
        <f ca="1">IFERROR(IF(テーブル1[[#This Row],[描画状況]]="",RAND()+(テーブル1[[#This Row],[列2]]*100),""),RAND())</f>
        <v/>
      </c>
      <c r="T191" s="1" t="s">
        <v>457</v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1303</v>
      </c>
      <c r="G192" s="23" t="s">
        <v>295</v>
      </c>
      <c r="P192" s="1" t="s">
        <v>547</v>
      </c>
      <c r="Q192" s="24" t="str">
        <f>テーブル1[[#This Row],[リンク]]&amp;テーブル1[[#This Row],[描画状況]]</f>
        <v>https://sereinrain113.wixsite.com/999sereinrain済</v>
      </c>
      <c r="R192" s="17">
        <f>1-(COUNTIF(Q:Q,_xlfn.TEXTJOIN(",",TRUE,テーブル1[[#This Row],[リンク]],テーブル1[[#This Row],[描画状況]]))/COUNTIF(F:F,テーブル1[[#This Row],[リンク]]))</f>
        <v>1</v>
      </c>
      <c r="S192" s="16" t="str">
        <f ca="1">IFERROR(IF(テーブル1[[#This Row],[描画状況]]="",RAND()+(テーブル1[[#This Row],[列2]]*100),""),RAND())</f>
        <v/>
      </c>
      <c r="T192" s="1" t="s">
        <v>457</v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887</v>
      </c>
      <c r="E193" s="23" t="s">
        <v>1056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24" t="str">
        <f>テーブル1[[#This Row],[リンク]]&amp;テーブル1[[#This Row],[描画状況]]</f>
        <v>https://bellsworks.wixsite.com/bellsworks済</v>
      </c>
      <c r="R193" s="17">
        <f>1-(COUNTIF(Q:Q,_xlfn.TEXTJOIN(",",TRUE,テーブル1[[#This Row],[リンク]],テーブル1[[#This Row],[描画状況]]))/COUNTIF(F:F,テーブル1[[#This Row],[リンク]]))</f>
        <v>1</v>
      </c>
      <c r="S193" s="16" t="str">
        <f ca="1">IFERROR(IF(テーブル1[[#This Row],[描画状況]]="",RAND()+(テーブル1[[#This Row],[列2]]*100),""),RAND())</f>
        <v/>
      </c>
      <c r="T193" s="1" t="s">
        <v>457</v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1175</v>
      </c>
      <c r="N194" s="23" t="s">
        <v>1275</v>
      </c>
      <c r="O194" s="1" t="s">
        <v>629</v>
      </c>
      <c r="P194" s="1" t="s">
        <v>547</v>
      </c>
      <c r="Q194" s="24" t="str">
        <f>テーブル1[[#This Row],[リンク]]&amp;テーブル1[[#This Row],[描画状況]]</f>
        <v>https://moqujc.wixsite.com/mqtop済</v>
      </c>
      <c r="R194" s="17">
        <f>1-(COUNTIF(Q:Q,_xlfn.TEXTJOIN(",",TRUE,テーブル1[[#This Row],[リンク]],テーブル1[[#This Row],[描画状況]]))/COUNTIF(F:F,テーブル1[[#This Row],[リンク]]))</f>
        <v>1</v>
      </c>
      <c r="S194" s="16" t="str">
        <f ca="1">IFERROR(IF(テーブル1[[#This Row],[描画状況]]="",RAND()+(テーブル1[[#This Row],[列2]]*100),""),RAND())</f>
        <v/>
      </c>
      <c r="T194" s="1" t="s">
        <v>457</v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888</v>
      </c>
      <c r="E195" s="23" t="s">
        <v>1057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24" t="str">
        <f>テーブル1[[#This Row],[リンク]]&amp;テーブル1[[#This Row],[描画状況]]</f>
        <v>https://bellsworks.wixsite.com/bellsworks済</v>
      </c>
      <c r="R195" s="17">
        <f>1-(COUNTIF(Q:Q,_xlfn.TEXTJOIN(",",TRUE,テーブル1[[#This Row],[リンク]],テーブル1[[#This Row],[描画状況]]))/COUNTIF(F:F,テーブル1[[#This Row],[リンク]]))</f>
        <v>1</v>
      </c>
      <c r="S195" s="16" t="str">
        <f ca="1">IFERROR(IF(テーブル1[[#This Row],[描画状況]]="",RAND()+(テーブル1[[#This Row],[列2]]*100),""),RAND())</f>
        <v/>
      </c>
      <c r="T195" s="1" t="s">
        <v>457</v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24" t="str">
        <f>テーブル1[[#This Row],[リンク]]&amp;テーブル1[[#This Row],[描画状況]]</f>
        <v>https://mebisnori.wixsite.com/nori-mebis済</v>
      </c>
      <c r="R196" s="17">
        <f>1-(COUNTIF(Q:Q,_xlfn.TEXTJOIN(",",TRUE,テーブル1[[#This Row],[リンク]],テーブル1[[#This Row],[描画状況]]))/COUNTIF(F:F,テーブル1[[#This Row],[リンク]]))</f>
        <v>1</v>
      </c>
      <c r="S196" s="16" t="str">
        <f ca="1">IFERROR(IF(テーブル1[[#This Row],[描画状況]]="",RAND()+(テーブル1[[#This Row],[列2]]*100),""),RAND())</f>
        <v/>
      </c>
      <c r="T196" s="1" t="s">
        <v>457</v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889</v>
      </c>
      <c r="E197" s="23" t="s">
        <v>1058</v>
      </c>
      <c r="F197" s="15" t="s">
        <v>1304</v>
      </c>
      <c r="G197" s="23" t="s">
        <v>377</v>
      </c>
      <c r="H197" s="23" t="s">
        <v>658</v>
      </c>
      <c r="I197" s="23" t="s">
        <v>1110</v>
      </c>
      <c r="J197" s="23" t="s">
        <v>1173</v>
      </c>
      <c r="N197" s="23" t="s">
        <v>1182</v>
      </c>
      <c r="O197" s="1" t="s">
        <v>629</v>
      </c>
      <c r="P197" s="1" t="s">
        <v>547</v>
      </c>
      <c r="Q197" s="24" t="str">
        <f>テーブル1[[#This Row],[リンク]]&amp;テーブル1[[#This Row],[描画状況]]</f>
        <v>https://utakata-utau330.studio.site済</v>
      </c>
      <c r="R197" s="17">
        <f>1-(COUNTIF(Q:Q,_xlfn.TEXTJOIN(",",TRUE,テーブル1[[#This Row],[リンク]],テーブル1[[#This Row],[描画状況]]))/COUNTIF(F:F,テーブル1[[#This Row],[リンク]]))</f>
        <v>1</v>
      </c>
      <c r="S197" s="16" t="str">
        <f ca="1">IFERROR(IF(テーブル1[[#This Row],[描画状況]]="",RAND()+(テーブル1[[#This Row],[列2]]*100),""),RAND())</f>
        <v/>
      </c>
      <c r="T197" s="1" t="s">
        <v>457</v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890</v>
      </c>
      <c r="E198" s="23" t="s">
        <v>1059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24" t="str">
        <f>テーブル1[[#This Row],[リンク]]&amp;テーブル1[[#This Row],[描画状況]]</f>
        <v>https://bellsworks.wixsite.com/bellsworks済</v>
      </c>
      <c r="R198" s="17">
        <f>1-(COUNTIF(Q:Q,_xlfn.TEXTJOIN(",",TRUE,テーブル1[[#This Row],[リンク]],テーブル1[[#This Row],[描画状況]]))/COUNTIF(F:F,テーブル1[[#This Row],[リンク]]))</f>
        <v>1</v>
      </c>
      <c r="S198" s="16" t="str">
        <f ca="1">IFERROR(IF(テーブル1[[#This Row],[描画状況]]="",RAND()+(テーブル1[[#This Row],[列2]]*100),""),RAND())</f>
        <v/>
      </c>
      <c r="T198" s="1" t="s">
        <v>457</v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891</v>
      </c>
      <c r="E199" s="23" t="s">
        <v>1060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24" t="str">
        <f>テーブル1[[#This Row],[リンク]]&amp;テーブル1[[#This Row],[描画状況]]</f>
        <v>http://shadeofgreen.web.fc2.com済</v>
      </c>
      <c r="R199" s="17">
        <f>1-(COUNTIF(Q:Q,_xlfn.TEXTJOIN(",",TRUE,テーブル1[[#This Row],[リンク]],テーブル1[[#This Row],[描画状況]]))/COUNTIF(F:F,テーブル1[[#This Row],[リンク]]))</f>
        <v>1</v>
      </c>
      <c r="S199" s="16" t="str">
        <f ca="1">IFERROR(IF(テーブル1[[#This Row],[描画状況]]="",RAND()+(テーブル1[[#This Row],[列2]]*100),""),RAND())</f>
        <v/>
      </c>
      <c r="T199" s="1" t="s">
        <v>457</v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892</v>
      </c>
      <c r="E200" s="23" t="s">
        <v>1061</v>
      </c>
      <c r="F200" s="15" t="s">
        <v>447</v>
      </c>
      <c r="G200" s="23" t="s">
        <v>448</v>
      </c>
      <c r="P200" s="1" t="s">
        <v>547</v>
      </c>
      <c r="Q200" s="24" t="str">
        <f>テーブル1[[#This Row],[リンク]]&amp;テーブル1[[#This Row],[描画状況]]</f>
        <v>https://yukimiyashimusho.jimdofree.com済</v>
      </c>
      <c r="R200" s="17">
        <f>1-(COUNTIF(Q:Q,_xlfn.TEXTJOIN(",",TRUE,テーブル1[[#This Row],[リンク]],テーブル1[[#This Row],[描画状況]]))/COUNTIF(F:F,テーブル1[[#This Row],[リンク]]))</f>
        <v>1</v>
      </c>
      <c r="S200" s="16" t="str">
        <f ca="1">IFERROR(IF(テーブル1[[#This Row],[描画状況]]="",RAND()+(テーブル1[[#This Row],[列2]]*100),""),RAND())</f>
        <v/>
      </c>
      <c r="T200" s="1" t="s">
        <v>457</v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24" t="str">
        <f>テーブル1[[#This Row],[リンク]]&amp;テーブル1[[#This Row],[描画状況]]</f>
        <v>https://jiwajiwakirinn.wixsite.com/sakurada済</v>
      </c>
      <c r="R201" s="17">
        <f>1-(COUNTIF(Q:Q,_xlfn.TEXTJOIN(",",TRUE,テーブル1[[#This Row],[リンク]],テーブル1[[#This Row],[描画状況]]))/COUNTIF(F:F,テーブル1[[#This Row],[リンク]]))</f>
        <v>1</v>
      </c>
      <c r="S201" s="16" t="str">
        <f ca="1">IFERROR(IF(テーブル1[[#This Row],[描画状況]]="",RAND()+(テーブル1[[#This Row],[列2]]*100),""),RAND())</f>
        <v/>
      </c>
      <c r="T201" s="1" t="s">
        <v>457</v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893</v>
      </c>
      <c r="E202" s="23" t="s">
        <v>1062</v>
      </c>
      <c r="F202" s="2" t="s">
        <v>576</v>
      </c>
      <c r="G202" s="23" t="s">
        <v>577</v>
      </c>
      <c r="P202" s="1" t="s">
        <v>547</v>
      </c>
      <c r="Q202" s="24" t="str">
        <f>テーブル1[[#This Row],[リンク]]&amp;テーブル1[[#This Row],[描画状況]]</f>
        <v>https://m.blog.naver.com/string_legacy/224045016399済</v>
      </c>
      <c r="R202" s="17">
        <f>1-(COUNTIF(Q:Q,_xlfn.TEXTJOIN(",",TRUE,テーブル1[[#This Row],[リンク]],テーブル1[[#This Row],[描画状況]]))/COUNTIF(F:F,テーブル1[[#This Row],[リンク]]))</f>
        <v>1</v>
      </c>
      <c r="S202" s="16" t="str">
        <f ca="1">IFERROR(IF(テーブル1[[#This Row],[描画状況]]="",RAND()+(テーブル1[[#This Row],[列2]]*100),""),RAND())</f>
        <v/>
      </c>
      <c r="T202" s="1" t="s">
        <v>457</v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894</v>
      </c>
      <c r="E203" s="23" t="s">
        <v>1063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24" t="str">
        <f>テーブル1[[#This Row],[リンク]]&amp;テーブル1[[#This Row],[描画状況]]</f>
        <v>https://abiencearray.carrd.co済</v>
      </c>
      <c r="R203" s="17">
        <f>1-(COUNTIF(Q:Q,_xlfn.TEXTJOIN(",",TRUE,テーブル1[[#This Row],[リンク]],テーブル1[[#This Row],[描画状況]]))/COUNTIF(F:F,テーブル1[[#This Row],[リンク]]))</f>
        <v>1</v>
      </c>
      <c r="S203" s="16" t="str">
        <f ca="1">IFERROR(IF(テーブル1[[#This Row],[描画状況]]="",RAND()+(テーブル1[[#This Row],[列2]]*100),""),RAND())</f>
        <v/>
      </c>
      <c r="T203" s="1" t="s">
        <v>457</v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24" t="str">
        <f>テーブル1[[#This Row],[リンク]]&amp;テーブル1[[#This Row],[描画状況]]</f>
        <v>https://todosho1192.wixsite.com/my-site-3済</v>
      </c>
      <c r="R204" s="17">
        <f>1-(COUNTIF(Q:Q,_xlfn.TEXTJOIN(",",TRUE,テーブル1[[#This Row],[リンク]],テーブル1[[#This Row],[描画状況]]))/COUNTIF(F:F,テーブル1[[#This Row],[リンク]]))</f>
        <v>1</v>
      </c>
      <c r="S204" s="16" t="str">
        <f ca="1">IFERROR(IF(テーブル1[[#This Row],[描画状況]]="",RAND()+(テーブル1[[#This Row],[列2]]*100),""),RAND())</f>
        <v/>
      </c>
      <c r="T204" s="1" t="s">
        <v>457</v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895</v>
      </c>
      <c r="E205" s="23" t="s">
        <v>1064</v>
      </c>
      <c r="F205" s="30" t="s">
        <v>757</v>
      </c>
      <c r="G205" s="23" t="s">
        <v>574</v>
      </c>
      <c r="P205" s="1" t="s">
        <v>547</v>
      </c>
      <c r="Q205" s="24" t="str">
        <f>テーブル1[[#This Row],[リンク]]&amp;テーブル1[[#This Row],[描画状況]]</f>
        <v>https://rapo080302.wixsite.com/twosibi済</v>
      </c>
      <c r="R205" s="17">
        <f>1-(COUNTIF(Q:Q,_xlfn.TEXTJOIN(",",TRUE,テーブル1[[#This Row],[リンク]],テーブル1[[#This Row],[描画状況]]))/COUNTIF(F:F,テーブル1[[#This Row],[リンク]]))</f>
        <v>1</v>
      </c>
      <c r="S205" s="16" t="str">
        <f ca="1">IFERROR(IF(テーブル1[[#This Row],[描画状況]]="",RAND()+(テーブル1[[#This Row],[列2]]*100),""),RAND())</f>
        <v/>
      </c>
      <c r="T205" s="1" t="s">
        <v>457</v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|MIDDLE:​&amp;link(配布所はこちら){​https://rapo080302.wixsite.com/twosibi}|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896</v>
      </c>
      <c r="E206" s="23" t="s">
        <v>1065</v>
      </c>
      <c r="F206" s="15" t="s">
        <v>538</v>
      </c>
      <c r="G206" s="23" t="s">
        <v>544</v>
      </c>
      <c r="N206" s="23" t="s">
        <v>1279</v>
      </c>
      <c r="P206" s="1" t="s">
        <v>547</v>
      </c>
      <c r="Q206" s="24" t="str">
        <f>テーブル1[[#This Row],[リンク]]&amp;テーブル1[[#This Row],[描画状況]]</f>
        <v>https://todosho1192.wixsite.com/my-site-3済</v>
      </c>
      <c r="R206" s="17">
        <f>1-(COUNTIF(Q:Q,_xlfn.TEXTJOIN(",",TRUE,テーブル1[[#This Row],[リンク]],テーブル1[[#This Row],[描画状況]]))/COUNTIF(F:F,テーブル1[[#This Row],[リンク]]))</f>
        <v>1</v>
      </c>
      <c r="S206" s="16" t="str">
        <f ca="1">IFERROR(IF(テーブル1[[#This Row],[描画状況]]="",RAND()+(テーブル1[[#This Row],[列2]]*100),""),RAND())</f>
        <v/>
      </c>
      <c r="T206" s="1" t="s">
        <v>457</v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1255</v>
      </c>
      <c r="O207" s="1" t="s">
        <v>629</v>
      </c>
      <c r="P207" s="1" t="s">
        <v>547</v>
      </c>
      <c r="Q207" s="24" t="str">
        <f>テーブル1[[#This Row],[リンク]]&amp;テーブル1[[#This Row],[描画状況]]</f>
        <v>https://sites.google.com/view/ronku99済</v>
      </c>
      <c r="R207" s="17">
        <f>1-(COUNTIF(Q:Q,_xlfn.TEXTJOIN(",",TRUE,テーブル1[[#This Row],[リンク]],テーブル1[[#This Row],[描画状況]]))/COUNTIF(F:F,テーブル1[[#This Row],[リンク]]))</f>
        <v>1</v>
      </c>
      <c r="S207" s="16" t="str">
        <f ca="1">IFERROR(IF(テーブル1[[#This Row],[描画状況]]="",RAND()+(テーブル1[[#This Row],[列2]]*100),""),RAND())</f>
        <v/>
      </c>
      <c r="T207" s="1" t="s">
        <v>457</v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24" t="str">
        <f>テーブル1[[#This Row],[リンク]]&amp;テーブル1[[#This Row],[描画状況]]</f>
        <v>https://utau.fandom.com/wiki/Shizuruu済</v>
      </c>
      <c r="R208" s="17">
        <f>1-(COUNTIF(Q:Q,_xlfn.TEXTJOIN(",",TRUE,テーブル1[[#This Row],[リンク]],テーブル1[[#This Row],[描画状況]]))/COUNTIF(F:F,テーブル1[[#This Row],[リンク]]))</f>
        <v>1</v>
      </c>
      <c r="S208" s="16" t="str">
        <f ca="1">IFERROR(IF(テーブル1[[#This Row],[描画状況]]="",RAND()+(テーブル1[[#This Row],[列2]]*100),""),RAND())</f>
        <v/>
      </c>
      <c r="T208" s="1" t="s">
        <v>457</v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897</v>
      </c>
      <c r="E209" s="23" t="s">
        <v>1066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24" t="str">
        <f>テーブル1[[#This Row],[リンク]]&amp;テーブル1[[#This Row],[描画状況]]</f>
        <v>https://bellsworks.wixsite.com/bellsworks済</v>
      </c>
      <c r="R209" s="17">
        <f>1-(COUNTIF(Q:Q,_xlfn.TEXTJOIN(",",TRUE,テーブル1[[#This Row],[リンク]],テーブル1[[#This Row],[描画状況]]))/COUNTIF(F:F,テーブル1[[#This Row],[リンク]]))</f>
        <v>1</v>
      </c>
      <c r="S209" s="16" t="str">
        <f ca="1">IFERROR(IF(テーブル1[[#This Row],[描画状況]]="",RAND()+(テーブル1[[#This Row],[列2]]*100),""),RAND())</f>
        <v/>
      </c>
      <c r="T209" s="1" t="s">
        <v>457</v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898</v>
      </c>
      <c r="E210" s="23" t="s">
        <v>1067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24" t="str">
        <f>テーブル1[[#This Row],[リンク]]&amp;テーブル1[[#This Row],[描画状況]]</f>
        <v>https://sites.google.com/view/ronku99済</v>
      </c>
      <c r="R210" s="17">
        <f>1-(COUNTIF(Q:Q,_xlfn.TEXTJOIN(",",TRUE,テーブル1[[#This Row],[リンク]],テーブル1[[#This Row],[描画状況]]))/COUNTIF(F:F,テーブル1[[#This Row],[リンク]]))</f>
        <v>1</v>
      </c>
      <c r="S210" s="16" t="str">
        <f ca="1">IFERROR(IF(テーブル1[[#This Row],[描画状況]]="",RAND()+(テーブル1[[#This Row],[列2]]*100),""),RAND())</f>
        <v/>
      </c>
      <c r="T210" s="1" t="s">
        <v>457</v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24" t="str">
        <f>テーブル1[[#This Row],[リンク]]&amp;テーブル1[[#This Row],[描画状況]]</f>
        <v>https://cgamy40.wixsite.com/tsuraiuroyoi済</v>
      </c>
      <c r="R211" s="17">
        <f>1-(COUNTIF(Q:Q,_xlfn.TEXTJOIN(",",TRUE,テーブル1[[#This Row],[リンク]],テーブル1[[#This Row],[描画状況]]))/COUNTIF(F:F,テーブル1[[#This Row],[リンク]]))</f>
        <v>1</v>
      </c>
      <c r="S211" s="16" t="str">
        <f ca="1">IFERROR(IF(テーブル1[[#This Row],[描画状況]]="",RAND()+(テーブル1[[#This Row],[列2]]*100),""),RAND())</f>
        <v/>
      </c>
      <c r="T211" s="1" t="s">
        <v>457</v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1068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1165</v>
      </c>
      <c r="O212" s="1" t="s">
        <v>593</v>
      </c>
      <c r="P212" s="1" t="s">
        <v>547</v>
      </c>
      <c r="Q212" s="24" t="str">
        <f>テーブル1[[#This Row],[リンク]]&amp;テーブル1[[#This Row],[描画状況]]</f>
        <v>https://mackerel178.wixsite.com/yuusensuizokukan済</v>
      </c>
      <c r="R212" s="17">
        <f>1-(COUNTIF(Q:Q,_xlfn.TEXTJOIN(",",TRUE,テーブル1[[#This Row],[リンク]],テーブル1[[#This Row],[描画状況]]))/COUNTIF(F:F,テーブル1[[#This Row],[リンク]]))</f>
        <v>1</v>
      </c>
      <c r="S212" s="16" t="str">
        <f ca="1">IFERROR(IF(テーブル1[[#This Row],[描画状況]]="",RAND()+(テーブル1[[#This Row],[列2]]*100),""),RAND())</f>
        <v/>
      </c>
      <c r="T212" s="1" t="s">
        <v>457</v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1165</v>
      </c>
      <c r="N213" s="23" t="s">
        <v>1276</v>
      </c>
      <c r="O213" s="1" t="s">
        <v>593</v>
      </c>
      <c r="P213" s="1" t="s">
        <v>547</v>
      </c>
      <c r="Q213" s="24" t="str">
        <f>テーブル1[[#This Row],[リンク]]&amp;テーブル1[[#This Row],[描画状況]]</f>
        <v>https://mackerel178.wixsite.com/yuusensuizokukan済</v>
      </c>
      <c r="R213" s="17">
        <f>1-(COUNTIF(Q:Q,_xlfn.TEXTJOIN(",",TRUE,テーブル1[[#This Row],[リンク]],テーブル1[[#This Row],[描画状況]]))/COUNTIF(F:F,テーブル1[[#This Row],[リンク]]))</f>
        <v>1</v>
      </c>
      <c r="S213" s="16" t="str">
        <f ca="1">IFERROR(IF(テーブル1[[#This Row],[描画状況]]="",RAND()+(テーブル1[[#This Row],[列2]]*100),""),RAND())</f>
        <v/>
      </c>
      <c r="T213" s="1" t="s">
        <v>457</v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899</v>
      </c>
      <c r="E214" s="23" t="s">
        <v>1069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24" t="str">
        <f>テーブル1[[#This Row],[リンク]]&amp;テーブル1[[#This Row],[描画状況]]</f>
        <v>https://komagatabone.fc2.page済</v>
      </c>
      <c r="R214" s="17">
        <f>1-(COUNTIF(Q:Q,_xlfn.TEXTJOIN(",",TRUE,テーブル1[[#This Row],[リンク]],テーブル1[[#This Row],[描画状況]]))/COUNTIF(F:F,テーブル1[[#This Row],[リンク]]))</f>
        <v>1</v>
      </c>
      <c r="S214" s="16" t="str">
        <f ca="1">IFERROR(IF(テーブル1[[#This Row],[描画状況]]="",RAND()+(テーブル1[[#This Row],[列2]]*100),""),RAND())</f>
        <v/>
      </c>
      <c r="T214" s="1" t="s">
        <v>457</v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900</v>
      </c>
      <c r="E215" s="23" t="s">
        <v>1070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24" t="str">
        <f>テーブル1[[#This Row],[リンク]]&amp;テーブル1[[#This Row],[描画状況]]</f>
        <v>https://bowlroll.net/user/946776済</v>
      </c>
      <c r="R215" s="17">
        <f>1-(COUNTIF(Q:Q,_xlfn.TEXTJOIN(",",TRUE,テーブル1[[#This Row],[リンク]],テーブル1[[#This Row],[描画状況]]))/COUNTIF(F:F,テーブル1[[#This Row],[リンク]]))</f>
        <v>1</v>
      </c>
      <c r="S215" s="16" t="str">
        <f ca="1">IFERROR(IF(テーブル1[[#This Row],[描画状況]]="",RAND()+(テーブル1[[#This Row],[列2]]*100),""),RAND())</f>
        <v/>
      </c>
      <c r="T215" s="1" t="s">
        <v>457</v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901</v>
      </c>
      <c r="E216" s="23" t="s">
        <v>1071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1163</v>
      </c>
      <c r="N216" s="23" t="s">
        <v>1207</v>
      </c>
      <c r="O216" s="1" t="s">
        <v>592</v>
      </c>
      <c r="P216" s="1" t="s">
        <v>547</v>
      </c>
      <c r="Q216" s="24" t="str">
        <f>テーブル1[[#This Row],[リンク]]&amp;テーブル1[[#This Row],[描画状況]]</f>
        <v>https://bowlroll.net/user/980255済</v>
      </c>
      <c r="R216" s="17">
        <f>1-(COUNTIF(Q:Q,_xlfn.TEXTJOIN(",",TRUE,テーブル1[[#This Row],[リンク]],テーブル1[[#This Row],[描画状況]]))/COUNTIF(F:F,テーブル1[[#This Row],[リンク]]))</f>
        <v>1</v>
      </c>
      <c r="S216" s="16" t="str">
        <f ca="1">IFERROR(IF(テーブル1[[#This Row],[描画状況]]="",RAND()+(テーブル1[[#This Row],[列2]]*100),""),RAND())</f>
        <v/>
      </c>
      <c r="T216" s="1" t="s">
        <v>457</v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24" t="str">
        <f>テーブル1[[#This Row],[リンク]]&amp;テーブル1[[#This Row],[描画状況]]</f>
        <v>https://piku.page/@toitoitoi23済</v>
      </c>
      <c r="R217" s="17">
        <f>1-(COUNTIF(Q:Q,_xlfn.TEXTJOIN(",",TRUE,テーブル1[[#This Row],[リンク]],テーブル1[[#This Row],[描画状況]]))/COUNTIF(F:F,テーブル1[[#This Row],[リンク]]))</f>
        <v>1</v>
      </c>
      <c r="S217" s="16" t="str">
        <f ca="1">IFERROR(IF(テーブル1[[#This Row],[描画状況]]="",RAND()+(テーブル1[[#This Row],[列2]]*100),""),RAND())</f>
        <v/>
      </c>
      <c r="T217" s="1" t="s">
        <v>457</v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902</v>
      </c>
      <c r="E218" s="23" t="s">
        <v>1072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1183</v>
      </c>
      <c r="M218" s="23" t="s">
        <v>1163</v>
      </c>
      <c r="N218" s="23" t="s">
        <v>1207</v>
      </c>
      <c r="O218" s="1" t="s">
        <v>592</v>
      </c>
      <c r="P218" s="1" t="s">
        <v>547</v>
      </c>
      <c r="Q218" s="24" t="str">
        <f>テーブル1[[#This Row],[リンク]]&amp;テーブル1[[#This Row],[描画状況]]</f>
        <v>https://seirentoybox.jimdofree.com済</v>
      </c>
      <c r="R218" s="17">
        <f>1-(COUNTIF(Q:Q,_xlfn.TEXTJOIN(",",TRUE,テーブル1[[#This Row],[リンク]],テーブル1[[#This Row],[描画状況]]))/COUNTIF(F:F,テーブル1[[#This Row],[リンク]]))</f>
        <v>1</v>
      </c>
      <c r="S218" s="16" t="str">
        <f ca="1">IFERROR(IF(テーブル1[[#This Row],[描画状況]]="",RAND()+(テーブル1[[#This Row],[列2]]*100),""),RAND())</f>
        <v/>
      </c>
      <c r="T218" s="1" t="s">
        <v>457</v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903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24" t="str">
        <f>テーブル1[[#This Row],[リンク]]&amp;テーブル1[[#This Row],[描画状況]]</f>
        <v>https://mitoristu.wixsite.com/kousaibako済</v>
      </c>
      <c r="R219" s="17">
        <f>1-(COUNTIF(Q:Q,_xlfn.TEXTJOIN(",",TRUE,テーブル1[[#This Row],[リンク]],テーブル1[[#This Row],[描画状況]]))/COUNTIF(F:F,テーブル1[[#This Row],[リンク]]))</f>
        <v>1</v>
      </c>
      <c r="S219" s="16" t="str">
        <f ca="1">IFERROR(IF(テーブル1[[#This Row],[描画状況]]="",RAND()+(テーブル1[[#This Row],[列2]]*100),""),RAND())</f>
        <v/>
      </c>
      <c r="T219" s="1" t="s">
        <v>457</v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904</v>
      </c>
      <c r="E220" s="23" t="s">
        <v>1073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1162</v>
      </c>
      <c r="O220" s="1" t="s">
        <v>592</v>
      </c>
      <c r="P220" s="1" t="s">
        <v>547</v>
      </c>
      <c r="Q220" s="24" t="str">
        <f>テーブル1[[#This Row],[リンク]]&amp;テーブル1[[#This Row],[描画状況]]</f>
        <v>https://vividseekers.utau.sorairomarch.com済</v>
      </c>
      <c r="R220" s="17">
        <f>1-(COUNTIF(Q:Q,_xlfn.TEXTJOIN(",",TRUE,テーブル1[[#This Row],[リンク]],テーブル1[[#This Row],[描画状況]]))/COUNTIF(F:F,テーブル1[[#This Row],[リンク]]))</f>
        <v>1</v>
      </c>
      <c r="S220" s="16" t="str">
        <f ca="1">IFERROR(IF(テーブル1[[#This Row],[描画状況]]="",RAND()+(テーブル1[[#This Row],[列2]]*100),""),RAND())</f>
        <v/>
      </c>
      <c r="T220" s="1" t="s">
        <v>457</v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905</v>
      </c>
      <c r="E221" s="23" t="s">
        <v>1074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24" t="str">
        <f>テーブル1[[#This Row],[リンク]]&amp;テーブル1[[#This Row],[描画状況]]</f>
        <v>https://magnawitch.wixsite.com/seong-ah済</v>
      </c>
      <c r="R221" s="17">
        <f>1-(COUNTIF(Q:Q,_xlfn.TEXTJOIN(",",TRUE,テーブル1[[#This Row],[リンク]],テーブル1[[#This Row],[描画状況]]))/COUNTIF(F:F,テーブル1[[#This Row],[リンク]]))</f>
        <v>1</v>
      </c>
      <c r="S221" s="16" t="str">
        <f ca="1">IFERROR(IF(テーブル1[[#This Row],[描画状況]]="",RAND()+(テーブル1[[#This Row],[列2]]*100),""),RAND())</f>
        <v/>
      </c>
      <c r="T221" s="1" t="s">
        <v>457</v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24" t="str">
        <f>テーブル1[[#This Row],[リンク]]&amp;テーブル1[[#This Row],[描画状況]]</f>
        <v>https://magnawitch.wixsite.com/seong-ah済</v>
      </c>
      <c r="R222" s="17">
        <f>1-(COUNTIF(Q:Q,_xlfn.TEXTJOIN(",",TRUE,テーブル1[[#This Row],[リンク]],テーブル1[[#This Row],[描画状況]]))/COUNTIF(F:F,テーブル1[[#This Row],[リンク]]))</f>
        <v>1</v>
      </c>
      <c r="S222" s="16" t="str">
        <f ca="1">IFERROR(IF(テーブル1[[#This Row],[描画状況]]="",RAND()+(テーブル1[[#This Row],[列2]]*100),""),RAND())</f>
        <v/>
      </c>
      <c r="T222" s="1" t="s">
        <v>457</v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906</v>
      </c>
      <c r="E223" s="23" t="s">
        <v>1075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24" t="str">
        <f>テーブル1[[#This Row],[リンク]]&amp;テーブル1[[#This Row],[描画状況]]</f>
        <v>https://magnawitch.wixsite.com/seong-ah済</v>
      </c>
      <c r="R223" s="17">
        <f>1-(COUNTIF(Q:Q,_xlfn.TEXTJOIN(",",TRUE,テーブル1[[#This Row],[リンク]],テーブル1[[#This Row],[描画状況]]))/COUNTIF(F:F,テーブル1[[#This Row],[リンク]]))</f>
        <v>1</v>
      </c>
      <c r="S223" s="16" t="str">
        <f ca="1">IFERROR(IF(テーブル1[[#This Row],[描画状況]]="",RAND()+(テーブル1[[#This Row],[列2]]*100),""),RAND())</f>
        <v/>
      </c>
      <c r="T223" s="1" t="s">
        <v>457</v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907</v>
      </c>
      <c r="E224" s="23" t="s">
        <v>1076</v>
      </c>
      <c r="F224" s="15" t="s">
        <v>636</v>
      </c>
      <c r="G224" s="23" t="s">
        <v>1100</v>
      </c>
      <c r="P224" s="1" t="s">
        <v>547</v>
      </c>
      <c r="Q224" s="24" t="str">
        <f>テーブル1[[#This Row],[リンク]]&amp;テーブル1[[#This Row],[描画状況]]</f>
        <v>https://toooru421.booth.pm/items/8151791済</v>
      </c>
      <c r="R224" s="17">
        <f>1-(COUNTIF(Q:Q,_xlfn.TEXTJOIN(",",TRUE,テーブル1[[#This Row],[リンク]],テーブル1[[#This Row],[描画状況]]))/COUNTIF(F:F,テーブル1[[#This Row],[リンク]]))</f>
        <v>1</v>
      </c>
      <c r="S224" s="16" t="str">
        <f ca="1">IFERROR(IF(テーブル1[[#This Row],[描画状況]]="",RAND()+(テーブル1[[#This Row],[列2]]*100),""),RAND())</f>
        <v/>
      </c>
      <c r="T224" s="1" t="s">
        <v>457</v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908</v>
      </c>
      <c r="E225" s="23" t="s">
        <v>1077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24" t="str">
        <f>テーブル1[[#This Row],[リンク]]&amp;テーブル1[[#This Row],[描画状況]]</f>
        <v>https://strife-horizon.weebly.com済</v>
      </c>
      <c r="R225" s="17">
        <f>1-(COUNTIF(Q:Q,_xlfn.TEXTJOIN(",",TRUE,テーブル1[[#This Row],[リンク]],テーブル1[[#This Row],[描画状況]]))/COUNTIF(F:F,テーブル1[[#This Row],[リンク]]))</f>
        <v>1</v>
      </c>
      <c r="S225" s="16" t="str">
        <f ca="1">IFERROR(IF(テーブル1[[#This Row],[描画状況]]="",RAND()+(テーブル1[[#This Row],[列2]]*100),""),RAND())</f>
        <v/>
      </c>
      <c r="T225" s="1" t="s">
        <v>457</v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1225</v>
      </c>
      <c r="O226" s="1" t="s">
        <v>629</v>
      </c>
      <c r="P226" s="1" t="s">
        <v>547</v>
      </c>
      <c r="Q226" s="24" t="str">
        <f>テーブル1[[#This Row],[リンク]]&amp;テーブル1[[#This Row],[描画状況]]</f>
        <v>https://bowlroll.net/user/946776済</v>
      </c>
      <c r="R226" s="17">
        <f>1-(COUNTIF(Q:Q,_xlfn.TEXTJOIN(",",TRUE,テーブル1[[#This Row],[リンク]],テーブル1[[#This Row],[描画状況]]))/COUNTIF(F:F,テーブル1[[#This Row],[リンク]]))</f>
        <v>1</v>
      </c>
      <c r="S226" s="16" t="str">
        <f ca="1">IFERROR(IF(テーブル1[[#This Row],[描画状況]]="",RAND()+(テーブル1[[#This Row],[列2]]*100),""),RAND())</f>
        <v/>
      </c>
      <c r="T226" s="1" t="s">
        <v>457</v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1078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1204</v>
      </c>
      <c r="N227" s="23" t="s">
        <v>1186</v>
      </c>
      <c r="O227" s="1" t="s">
        <v>629</v>
      </c>
      <c r="P227" s="1" t="s">
        <v>547</v>
      </c>
      <c r="Q227" s="24" t="str">
        <f>テーブル1[[#This Row],[リンク]]&amp;テーブル1[[#This Row],[描画状況]]</f>
        <v>https://bowlroll.net/user/946776済</v>
      </c>
      <c r="R227" s="17">
        <f>1-(COUNTIF(Q:Q,_xlfn.TEXTJOIN(",",TRUE,テーブル1[[#This Row],[リンク]],テーブル1[[#This Row],[描画状況]]))/COUNTIF(F:F,テーブル1[[#This Row],[リンク]]))</f>
        <v>1</v>
      </c>
      <c r="S227" s="16" t="str">
        <f ca="1">IFERROR(IF(テーブル1[[#This Row],[描画状況]]="",RAND()+(テーブル1[[#This Row],[列2]]*100),""),RAND())</f>
        <v/>
      </c>
      <c r="T227" s="1" t="s">
        <v>457</v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909</v>
      </c>
      <c r="E228" s="23" t="s">
        <v>1079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1295</v>
      </c>
      <c r="M228" s="23" t="s">
        <v>1226</v>
      </c>
      <c r="N228" s="23" t="s">
        <v>1284</v>
      </c>
      <c r="O228" s="1" t="s">
        <v>629</v>
      </c>
      <c r="P228" s="1" t="s">
        <v>547</v>
      </c>
      <c r="Q228" s="24" t="str">
        <f>テーブル1[[#This Row],[リンク]]&amp;テーブル1[[#This Row],[描画状況]]</f>
        <v>https://lclcofficial6565.wixsite.com/lclc済</v>
      </c>
      <c r="R228" s="17">
        <f>1-(COUNTIF(Q:Q,_xlfn.TEXTJOIN(",",TRUE,テーブル1[[#This Row],[リンク]],テーブル1[[#This Row],[描画状況]]))/COUNTIF(F:F,テーブル1[[#This Row],[リンク]]))</f>
        <v>1</v>
      </c>
      <c r="S228" s="16" t="str">
        <f ca="1">IFERROR(IF(テーブル1[[#This Row],[描画状況]]="",RAND()+(テーブル1[[#This Row],[列2]]*100),""),RAND())</f>
        <v/>
      </c>
      <c r="T228" s="1" t="s">
        <v>457</v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910</v>
      </c>
      <c r="E229" s="23" t="s">
        <v>1080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1165</v>
      </c>
      <c r="O229" s="1" t="s">
        <v>685</v>
      </c>
      <c r="P229" s="1" t="s">
        <v>547</v>
      </c>
      <c r="Q229" s="24" t="str">
        <f>テーブル1[[#This Row],[リンク]]&amp;テーブル1[[#This Row],[描画状況]]</f>
        <v>​https://kagerou009.hatenablog.com済</v>
      </c>
      <c r="R229" s="17">
        <f>1-(COUNTIF(Q:Q,_xlfn.TEXTJOIN(",",TRUE,テーブル1[[#This Row],[リンク]],テーブル1[[#This Row],[描画状況]]))/COUNTIF(F:F,テーブル1[[#This Row],[リンク]]))</f>
        <v>1</v>
      </c>
      <c r="S229" s="16" t="str">
        <f ca="1">IFERROR(IF(テーブル1[[#This Row],[描画状況]]="",RAND()+(テーブル1[[#This Row],[列2]]*100),""),RAND())</f>
        <v/>
      </c>
      <c r="T229" s="1" t="s">
        <v>457</v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1081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1189</v>
      </c>
      <c r="O230" s="1" t="s">
        <v>629</v>
      </c>
      <c r="P230" s="1" t="s">
        <v>547</v>
      </c>
      <c r="Q230" s="24" t="str">
        <f>テーブル1[[#This Row],[リンク]]&amp;テーブル1[[#This Row],[描画状況]]</f>
        <v>https://pessieuph.wixsite.com/meusycaseuphoria済</v>
      </c>
      <c r="R230" s="17">
        <f>1-(COUNTIF(Q:Q,_xlfn.TEXTJOIN(",",TRUE,テーブル1[[#This Row],[リンク]],テーブル1[[#This Row],[描画状況]]))/COUNTIF(F:F,テーブル1[[#This Row],[リンク]]))</f>
        <v>1</v>
      </c>
      <c r="S230" s="16" t="str">
        <f ca="1">IFERROR(IF(テーブル1[[#This Row],[描画状況]]="",RAND()+(テーブル1[[#This Row],[列2]]*100),""),RAND())</f>
        <v/>
      </c>
      <c r="T230" s="1" t="s">
        <v>457</v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911</v>
      </c>
      <c r="E231" s="23" t="s">
        <v>1082</v>
      </c>
      <c r="F231" s="29" t="s">
        <v>692</v>
      </c>
      <c r="G231" s="23" t="s">
        <v>693</v>
      </c>
      <c r="H231" s="23" t="s">
        <v>659</v>
      </c>
      <c r="I231" s="23" t="s">
        <v>1110</v>
      </c>
      <c r="J231" s="23" t="s">
        <v>1173</v>
      </c>
      <c r="M231" s="23" t="s">
        <v>1169</v>
      </c>
      <c r="N231" s="23" t="s">
        <v>1219</v>
      </c>
      <c r="O231" s="1" t="s">
        <v>629</v>
      </c>
      <c r="P231" s="1" t="s">
        <v>547</v>
      </c>
      <c r="Q231" s="24" t="str">
        <f>テーブル1[[#This Row],[リンク]]&amp;テーブル1[[#This Row],[描画状況]]</f>
        <v>https://arujinesarasa.wixsite.com/official済</v>
      </c>
      <c r="R231" s="17">
        <f>1-(COUNTIF(Q:Q,_xlfn.TEXTJOIN(",",TRUE,テーブル1[[#This Row],[リンク]],テーブル1[[#This Row],[描画状況]]))/COUNTIF(F:F,テーブル1[[#This Row],[リンク]]))</f>
        <v>1</v>
      </c>
      <c r="S231" s="16" t="str">
        <f ca="1">IFERROR(IF(テーブル1[[#This Row],[描画状況]]="",RAND()+(テーブル1[[#This Row],[列2]]*100),""),RAND())</f>
        <v/>
      </c>
      <c r="T231" s="1" t="s">
        <v>457</v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912</v>
      </c>
      <c r="E232" s="23" t="s">
        <v>1083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1209</v>
      </c>
      <c r="M232" s="23" t="s">
        <v>1162</v>
      </c>
      <c r="O232" s="1" t="s">
        <v>629</v>
      </c>
      <c r="P232" s="1" t="s">
        <v>547</v>
      </c>
      <c r="Q232" s="24" t="str">
        <f>テーブル1[[#This Row],[リンク]]&amp;テーブル1[[#This Row],[描画状況]]</f>
        <v>https://www.mizuiro.info/amagaelu済</v>
      </c>
      <c r="R232" s="17">
        <f>1-(COUNTIF(Q:Q,_xlfn.TEXTJOIN(",",TRUE,テーブル1[[#This Row],[リンク]],テーブル1[[#This Row],[描画状況]]))/COUNTIF(F:F,テーブル1[[#This Row],[リンク]]))</f>
        <v>1</v>
      </c>
      <c r="S232" s="16" t="str">
        <f ca="1">IFERROR(IF(テーブル1[[#This Row],[描画状況]]="",RAND()+(テーブル1[[#This Row],[列2]]*100),""),RAND())</f>
        <v/>
      </c>
      <c r="T232" s="1" t="s">
        <v>457</v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913</v>
      </c>
      <c r="E233" s="23" t="s">
        <v>1084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24" t="str">
        <f>テーブル1[[#This Row],[リンク]]&amp;テーブル1[[#This Row],[描画状況]]</f>
        <v>https://sites.google.com/view/arcobaleno-utau/home済</v>
      </c>
      <c r="R233" s="17">
        <f>1-(COUNTIF(Q:Q,_xlfn.TEXTJOIN(",",TRUE,テーブル1[[#This Row],[リンク]],テーブル1[[#This Row],[描画状況]]))/COUNTIF(F:F,テーブル1[[#This Row],[リンク]]))</f>
        <v>1</v>
      </c>
      <c r="S233" s="16" t="str">
        <f ca="1">IFERROR(IF(テーブル1[[#This Row],[描画状況]]="",RAND()+(テーブル1[[#This Row],[列2]]*100),""),RAND())</f>
        <v/>
      </c>
      <c r="T233" s="1" t="s">
        <v>457</v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914</v>
      </c>
      <c r="E234" s="23" t="s">
        <v>1085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1205</v>
      </c>
      <c r="M234" s="24" t="s">
        <v>1165</v>
      </c>
      <c r="N234" s="24" t="s">
        <v>1285</v>
      </c>
      <c r="O234" s="1" t="s">
        <v>629</v>
      </c>
      <c r="P234" s="1" t="s">
        <v>547</v>
      </c>
      <c r="Q234" s="24" t="str">
        <f>テーブル1[[#This Row],[リンク]]&amp;テーブル1[[#This Row],[描画状況]]</f>
        <v>https://lenskkpb.wixsite.com/len-sakaki-official済</v>
      </c>
      <c r="R234" s="17">
        <f>1-(COUNTIF(Q:Q,_xlfn.TEXTJOIN(",",TRUE,テーブル1[[#This Row],[リンク]],テーブル1[[#This Row],[描画状況]]))/COUNTIF(F:F,テーブル1[[#This Row],[リンク]]))</f>
        <v>1</v>
      </c>
      <c r="S234" s="16" t="str">
        <f ca="1">IFERROR(IF(テーブル1[[#This Row],[描画状況]]="",RAND()+(テーブル1[[#This Row],[列2]]*100),""),RAND())</f>
        <v/>
      </c>
      <c r="T234" s="1" t="s">
        <v>457</v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915</v>
      </c>
      <c r="E235" s="23" t="s">
        <v>1086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1202</v>
      </c>
      <c r="M235" s="24" t="s">
        <v>1165</v>
      </c>
      <c r="N235" s="24" t="s">
        <v>1286</v>
      </c>
      <c r="O235" s="1" t="s">
        <v>629</v>
      </c>
      <c r="P235" s="1" t="s">
        <v>547</v>
      </c>
      <c r="Q235" s="24" t="str">
        <f>テーブル1[[#This Row],[リンク]]&amp;テーブル1[[#This Row],[描画状況]]</f>
        <v>https://lenskkpb.wixsite.com/len-sakaki-official済</v>
      </c>
      <c r="R235" s="17">
        <f>1-(COUNTIF(Q:Q,_xlfn.TEXTJOIN(",",TRUE,テーブル1[[#This Row],[リンク]],テーブル1[[#This Row],[描画状況]]))/COUNTIF(F:F,テーブル1[[#This Row],[リンク]]))</f>
        <v>1</v>
      </c>
      <c r="S235" s="16" t="str">
        <f ca="1">IFERROR(IF(テーブル1[[#This Row],[描画状況]]="",RAND()+(テーブル1[[#This Row],[列2]]*100),""),RAND())</f>
        <v/>
      </c>
      <c r="T235" s="1" t="s">
        <v>457</v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916</v>
      </c>
      <c r="E236" s="23" t="s">
        <v>1087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1165</v>
      </c>
      <c r="N236" s="24" t="s">
        <v>1279</v>
      </c>
      <c r="O236" s="1" t="s">
        <v>629</v>
      </c>
      <c r="P236" s="1" t="s">
        <v>547</v>
      </c>
      <c r="Q236" s="24" t="str">
        <f>テーブル1[[#This Row],[リンク]]&amp;テーブル1[[#This Row],[描画状況]]</f>
        <v>https://lenskkpb.wixsite.com/len-sakaki-official済</v>
      </c>
      <c r="R236" s="17">
        <f>1-(COUNTIF(Q:Q,_xlfn.TEXTJOIN(",",TRUE,テーブル1[[#This Row],[リンク]],テーブル1[[#This Row],[描画状況]]))/COUNTIF(F:F,テーブル1[[#This Row],[リンク]]))</f>
        <v>1</v>
      </c>
      <c r="S236" s="16" t="str">
        <f ca="1">IFERROR(IF(テーブル1[[#This Row],[描画状況]]="",RAND()+(テーブル1[[#This Row],[列2]]*100),""),RAND())</f>
        <v/>
      </c>
      <c r="T236" s="1" t="s">
        <v>457</v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917</v>
      </c>
      <c r="E237" s="23" t="s">
        <v>1088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1179</v>
      </c>
      <c r="K237" s="24"/>
      <c r="L237" s="24"/>
      <c r="M237" s="24" t="s">
        <v>1165</v>
      </c>
      <c r="N237" s="24" t="s">
        <v>1188</v>
      </c>
      <c r="O237" s="1" t="s">
        <v>629</v>
      </c>
      <c r="P237" s="1" t="s">
        <v>547</v>
      </c>
      <c r="Q237" s="24" t="str">
        <f>テーブル1[[#This Row],[リンク]]&amp;テーブル1[[#This Row],[描画状況]]</f>
        <v>https://lenskkpb.wixsite.com/len-sakaki-official済</v>
      </c>
      <c r="R237" s="17">
        <f>1-(COUNTIF(Q:Q,_xlfn.TEXTJOIN(",",TRUE,テーブル1[[#This Row],[リンク]],テーブル1[[#This Row],[描画状況]]))/COUNTIF(F:F,テーブル1[[#This Row],[リンク]]))</f>
        <v>1</v>
      </c>
      <c r="S237" s="16" t="str">
        <f ca="1">IFERROR(IF(テーブル1[[#This Row],[描画状況]]="",RAND()+(テーブル1[[#This Row],[列2]]*100),""),RAND())</f>
        <v/>
      </c>
      <c r="T237" s="1" t="s">
        <v>457</v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1279</v>
      </c>
      <c r="O238" s="1" t="s">
        <v>629</v>
      </c>
      <c r="P238" s="1" t="s">
        <v>547</v>
      </c>
      <c r="Q238" s="24" t="str">
        <f>テーブル1[[#This Row],[リンク]]&amp;テーブル1[[#This Row],[描画状況]]</f>
        <v>https://lenskkpb.wixsite.com/len-sakaki-official済</v>
      </c>
      <c r="R238" s="17">
        <f>1-(COUNTIF(Q:Q,_xlfn.TEXTJOIN(",",TRUE,テーブル1[[#This Row],[リンク]],テーブル1[[#This Row],[描画状況]]))/COUNTIF(F:F,テーブル1[[#This Row],[リンク]]))</f>
        <v>1</v>
      </c>
      <c r="S238" s="16" t="str">
        <f ca="1">IFERROR(IF(テーブル1[[#This Row],[描画状況]]="",RAND()+(テーブル1[[#This Row],[列2]]*100),""),RAND())</f>
        <v/>
      </c>
      <c r="T238" s="1" t="s">
        <v>457</v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24" t="str">
        <f>テーブル1[[#This Row],[リンク]]&amp;テーブル1[[#This Row],[描画状況]]</f>
        <v>https://lenskkpb.wixsite.com/len-sakaki-official済</v>
      </c>
      <c r="R239" s="17">
        <f>1-(COUNTIF(Q:Q,_xlfn.TEXTJOIN(",",TRUE,テーブル1[[#This Row],[リンク]],テーブル1[[#This Row],[描画状況]]))/COUNTIF(F:F,テーブル1[[#This Row],[リンク]]))</f>
        <v>1</v>
      </c>
      <c r="S239" s="16" t="str">
        <f ca="1">IFERROR(IF(テーブル1[[#This Row],[描画状況]]="",RAND()+(テーブル1[[#This Row],[列2]]*100),""),RAND())</f>
        <v/>
      </c>
      <c r="T239" s="1" t="s">
        <v>457</v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1287</v>
      </c>
      <c r="O240" s="1" t="s">
        <v>629</v>
      </c>
      <c r="P240" s="1" t="s">
        <v>547</v>
      </c>
      <c r="Q240" s="24" t="str">
        <f>テーブル1[[#This Row],[リンク]]&amp;テーブル1[[#This Row],[描画状況]]</f>
        <v>https://lenskkpb.wixsite.com/len-sakaki-official済</v>
      </c>
      <c r="R240" s="17">
        <f>1-(COUNTIF(Q:Q,_xlfn.TEXTJOIN(",",TRUE,テーブル1[[#This Row],[リンク]],テーブル1[[#This Row],[描画状況]]))/COUNTIF(F:F,テーブル1[[#This Row],[リンク]]))</f>
        <v>1</v>
      </c>
      <c r="S240" s="16" t="str">
        <f ca="1">IFERROR(IF(テーブル1[[#This Row],[描画状況]]="",RAND()+(テーブル1[[#This Row],[列2]]*100),""),RAND())</f>
        <v/>
      </c>
      <c r="T240" s="1" t="s">
        <v>457</v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918</v>
      </c>
      <c r="E241" s="23" t="s">
        <v>1089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1176</v>
      </c>
      <c r="L241" s="24"/>
      <c r="M241" s="24"/>
      <c r="N241" s="24"/>
      <c r="O241" s="1" t="s">
        <v>629</v>
      </c>
      <c r="P241" s="1" t="s">
        <v>547</v>
      </c>
      <c r="Q241" s="24" t="str">
        <f>テーブル1[[#This Row],[リンク]]&amp;テーブル1[[#This Row],[描画状況]]</f>
        <v>https://lenskkpb.wixsite.com/len-sakaki-official済</v>
      </c>
      <c r="R241" s="17">
        <f>1-(COUNTIF(Q:Q,_xlfn.TEXTJOIN(",",TRUE,テーブル1[[#This Row],[リンク]],テーブル1[[#This Row],[描画状況]]))/COUNTIF(F:F,テーブル1[[#This Row],[リンク]]))</f>
        <v>1</v>
      </c>
      <c r="S241" s="16" t="str">
        <f ca="1">IFERROR(IF(テーブル1[[#This Row],[描画状況]]="",RAND()+(テーブル1[[#This Row],[列2]]*100),""),RAND())</f>
        <v/>
      </c>
      <c r="T241" s="1" t="s">
        <v>457</v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1278</v>
      </c>
      <c r="O242" s="1" t="s">
        <v>629</v>
      </c>
      <c r="P242" s="1" t="s">
        <v>547</v>
      </c>
      <c r="Q242" s="24" t="str">
        <f>テーブル1[[#This Row],[リンク]]&amp;テーブル1[[#This Row],[描画状況]]</f>
        <v>https://lenskkpb.wixsite.com/len-sakaki-official済</v>
      </c>
      <c r="R242" s="17">
        <f>1-(COUNTIF(Q:Q,_xlfn.TEXTJOIN(",",TRUE,テーブル1[[#This Row],[リンク]],テーブル1[[#This Row],[描画状況]]))/COUNTIF(F:F,テーブル1[[#This Row],[リンク]]))</f>
        <v>1</v>
      </c>
      <c r="S242" s="16" t="str">
        <f ca="1">IFERROR(IF(テーブル1[[#This Row],[描画状況]]="",RAND()+(テーブル1[[#This Row],[列2]]*100),""),RAND())</f>
        <v/>
      </c>
      <c r="T242" s="1" t="s">
        <v>457</v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919</v>
      </c>
      <c r="E243" s="23" t="s">
        <v>1090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1308</v>
      </c>
      <c r="L243" s="24" t="s">
        <v>1202</v>
      </c>
      <c r="M243" s="24" t="s">
        <v>1170</v>
      </c>
      <c r="N243" s="24" t="s">
        <v>1285</v>
      </c>
      <c r="O243" s="1" t="s">
        <v>629</v>
      </c>
      <c r="P243" s="1" t="s">
        <v>547</v>
      </c>
      <c r="Q243" s="24" t="str">
        <f>テーブル1[[#This Row],[リンク]]&amp;テーブル1[[#This Row],[描画状況]]</f>
        <v>https://lenskkpb.wixsite.com/len-sakaki-official済</v>
      </c>
      <c r="R243" s="17">
        <f>1-(COUNTIF(Q:Q,_xlfn.TEXTJOIN(",",TRUE,テーブル1[[#This Row],[リンク]],テーブル1[[#This Row],[描画状況]]))/COUNTIF(F:F,テーブル1[[#This Row],[リンク]]))</f>
        <v>1</v>
      </c>
      <c r="S243" s="16" t="str">
        <f ca="1">IFERROR(IF(テーブル1[[#This Row],[描画状況]]="",RAND()+(テーブル1[[#This Row],[列2]]*100),""),RAND())</f>
        <v/>
      </c>
      <c r="T243" s="1" t="s">
        <v>457</v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1285</v>
      </c>
      <c r="O244" s="1" t="s">
        <v>629</v>
      </c>
      <c r="P244" s="1" t="s">
        <v>547</v>
      </c>
      <c r="Q244" s="24" t="str">
        <f>テーブル1[[#This Row],[リンク]]&amp;テーブル1[[#This Row],[描画状況]]</f>
        <v>https://mitamayade.wixsite.com/mitama済</v>
      </c>
      <c r="R244" s="17">
        <f>1-(COUNTIF(Q:Q,_xlfn.TEXTJOIN(",",TRUE,テーブル1[[#This Row],[リンク]],テーブル1[[#This Row],[描画状況]]))/COUNTIF(F:F,テーブル1[[#This Row],[リンク]]))</f>
        <v>1</v>
      </c>
      <c r="S244" s="16" t="str">
        <f ca="1">IFERROR(IF(テーブル1[[#This Row],[描画状況]]="",RAND()+(テーブル1[[#This Row],[列2]]*100),""),RAND())</f>
        <v/>
      </c>
      <c r="T244" s="1" t="s">
        <v>457</v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24" t="str">
        <f>テーブル1[[#This Row],[リンク]]&amp;テーブル1[[#This Row],[描画状況]]</f>
        <v>https://lit.link/4ATEPQoK7bZP3auccNvRi28UQdf1済</v>
      </c>
      <c r="R245" s="17">
        <f>1-(COUNTIF(Q:Q,_xlfn.TEXTJOIN(",",TRUE,テーブル1[[#This Row],[リンク]],テーブル1[[#This Row],[描画状況]]))/COUNTIF(F:F,テーブル1[[#This Row],[リンク]]))</f>
        <v>1</v>
      </c>
      <c r="S245" s="16" t="str">
        <f ca="1">IFERROR(IF(テーブル1[[#This Row],[描画状況]]="",RAND()+(テーブル1[[#This Row],[列2]]*100),""),RAND())</f>
        <v/>
      </c>
      <c r="T245" s="1" t="s">
        <v>457</v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920</v>
      </c>
      <c r="E246" s="23" t="s">
        <v>1091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1285</v>
      </c>
      <c r="O246" s="1" t="s">
        <v>685</v>
      </c>
      <c r="P246" s="1" t="s">
        <v>547</v>
      </c>
      <c r="Q246" s="24" t="str">
        <f>テーブル1[[#This Row],[リンク]]&amp;テーブル1[[#This Row],[描画状況]]</f>
        <v>https://xi-voice.carrd.co済</v>
      </c>
      <c r="R246" s="17">
        <f>1-(COUNTIF(Q:Q,_xlfn.TEXTJOIN(",",TRUE,テーブル1[[#This Row],[リンク]],テーブル1[[#This Row],[描画状況]]))/COUNTIF(F:F,テーブル1[[#This Row],[リンク]]))</f>
        <v>1</v>
      </c>
      <c r="S246" s="16" t="str">
        <f ca="1">IFERROR(IF(テーブル1[[#This Row],[描画状況]]="",RAND()+(テーブル1[[#This Row],[列2]]*100),""),RAND())</f>
        <v/>
      </c>
      <c r="T246" s="1" t="s">
        <v>457</v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921</v>
      </c>
      <c r="E247" s="23" t="s">
        <v>1092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1178</v>
      </c>
      <c r="L247" s="24"/>
      <c r="M247" s="24" t="s">
        <v>1165</v>
      </c>
      <c r="N247" s="24"/>
      <c r="O247" s="1" t="s">
        <v>629</v>
      </c>
      <c r="P247" s="1" t="s">
        <v>547</v>
      </c>
      <c r="Q247" s="24" t="str">
        <f>テーブル1[[#This Row],[リンク]]&amp;テーブル1[[#This Row],[描画状況]]</f>
        <v>https://utau.fandom.com/wiki/Aisu_Kurimu済</v>
      </c>
      <c r="R247" s="17">
        <f>1-(COUNTIF(Q:Q,_xlfn.TEXTJOIN(",",TRUE,テーブル1[[#This Row],[リンク]],テーブル1[[#This Row],[描画状況]]))/COUNTIF(F:F,テーブル1[[#This Row],[リンク]]))</f>
        <v>1</v>
      </c>
      <c r="S247" s="16" t="str">
        <f ca="1">IFERROR(IF(テーブル1[[#This Row],[描画状況]]="",RAND()+(テーブル1[[#This Row],[列2]]*100),""),RAND())</f>
        <v/>
      </c>
      <c r="T247" s="1" t="s">
        <v>457</v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922</v>
      </c>
      <c r="E248" s="23" t="s">
        <v>1093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1187</v>
      </c>
      <c r="M248" s="24"/>
      <c r="N248" s="24"/>
      <c r="O248" s="1" t="s">
        <v>629</v>
      </c>
      <c r="P248" s="1" t="s">
        <v>547</v>
      </c>
      <c r="Q248" s="24" t="str">
        <f>テーブル1[[#This Row],[リンク]]&amp;テーブル1[[#This Row],[描画状況]]</f>
        <v>https://tourist100f.wixsite.com/utakata-kosyo済</v>
      </c>
      <c r="R248" s="17">
        <f>1-(COUNTIF(Q:Q,_xlfn.TEXTJOIN(",",TRUE,テーブル1[[#This Row],[リンク]],テーブル1[[#This Row],[描画状況]]))/COUNTIF(F:F,テーブル1[[#This Row],[リンク]]))</f>
        <v>1</v>
      </c>
      <c r="S248" s="16" t="str">
        <f ca="1">IFERROR(IF(テーブル1[[#This Row],[描画状況]]="",RAND()+(テーブル1[[#This Row],[列2]]*100),""),RAND())</f>
        <v/>
      </c>
      <c r="T248" s="1" t="s">
        <v>457</v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923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1170</v>
      </c>
      <c r="N249" s="24"/>
      <c r="O249" s="1" t="s">
        <v>629</v>
      </c>
      <c r="P249" s="1" t="s">
        <v>547</v>
      </c>
      <c r="Q249" s="24" t="str">
        <f>テーブル1[[#This Row],[リンク]]&amp;テーブル1[[#This Row],[描画状況]]</f>
        <v>https://tourist100f.wixsite.com/utakata-kosyo済</v>
      </c>
      <c r="R249" s="17">
        <f>1-(COUNTIF(Q:Q,_xlfn.TEXTJOIN(",",TRUE,テーブル1[[#This Row],[リンク]],テーブル1[[#This Row],[描画状況]]))/COUNTIF(F:F,テーブル1[[#This Row],[リンク]]))</f>
        <v>1</v>
      </c>
      <c r="S249" s="16" t="str">
        <f ca="1">IFERROR(IF(テーブル1[[#This Row],[描画状況]]="",RAND()+(テーブル1[[#This Row],[列2]]*100),""),RAND())</f>
        <v/>
      </c>
      <c r="T249" s="1" t="s">
        <v>457</v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1183</v>
      </c>
      <c r="M250" s="24" t="s">
        <v>1227</v>
      </c>
      <c r="N250" s="24" t="s">
        <v>1278</v>
      </c>
      <c r="O250" s="1" t="s">
        <v>629</v>
      </c>
      <c r="P250" s="1" t="s">
        <v>547</v>
      </c>
      <c r="Q250" s="24" t="str">
        <f>テーブル1[[#This Row],[リンク]]&amp;テーブル1[[#This Row],[描画状況]]</f>
        <v>https://haingyoi.wixsite.com/utau済</v>
      </c>
      <c r="R250" s="17">
        <f>1-(COUNTIF(Q:Q,_xlfn.TEXTJOIN(",",TRUE,テーブル1[[#This Row],[リンク]],テーブル1[[#This Row],[描画状況]]))/COUNTIF(F:F,テーブル1[[#This Row],[リンク]]))</f>
        <v>1</v>
      </c>
      <c r="S250" s="16" t="str">
        <f ca="1">IFERROR(IF(テーブル1[[#This Row],[描画状況]]="",RAND()+(テーブル1[[#This Row],[列2]]*100),""),RAND())</f>
        <v/>
      </c>
      <c r="T250" s="1" t="s">
        <v>457</v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924</v>
      </c>
      <c r="E251" s="23" t="s">
        <v>1094</v>
      </c>
      <c r="F251" s="15" t="s">
        <v>123</v>
      </c>
      <c r="G251" s="23" t="s">
        <v>753</v>
      </c>
      <c r="H251" s="24" t="s">
        <v>659</v>
      </c>
      <c r="I251" s="24" t="s">
        <v>1110</v>
      </c>
      <c r="J251" s="23" t="s">
        <v>1209</v>
      </c>
      <c r="M251" s="24"/>
      <c r="N251" s="24" t="s">
        <v>1228</v>
      </c>
      <c r="O251" s="1" t="s">
        <v>629</v>
      </c>
      <c r="P251" s="1" t="s">
        <v>547</v>
      </c>
      <c r="Q251" s="24" t="str">
        <f>テーブル1[[#This Row],[リンク]]&amp;テーブル1[[#This Row],[描画状況]]</f>
        <v>https://lit.link/nemukoneko済</v>
      </c>
      <c r="R251" s="17">
        <f>1-(COUNTIF(Q:Q,_xlfn.TEXTJOIN(",",TRUE,テーブル1[[#This Row],[リンク]],テーブル1[[#This Row],[描画状況]]))/COUNTIF(F:F,テーブル1[[#This Row],[リンク]]))</f>
        <v>1</v>
      </c>
      <c r="S251" s="16" t="str">
        <f ca="1">IFERROR(IF(テーブル1[[#This Row],[描画状況]]="",RAND()+(テーブル1[[#This Row],[列2]]*100),""),RAND())</f>
        <v/>
      </c>
      <c r="T251" s="1" t="s">
        <v>457</v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925</v>
      </c>
      <c r="E252" s="23" t="s">
        <v>1095</v>
      </c>
      <c r="F252" s="15" t="s">
        <v>123</v>
      </c>
      <c r="G252" s="24" t="s">
        <v>752</v>
      </c>
      <c r="H252" s="24" t="s">
        <v>659</v>
      </c>
      <c r="I252" s="24" t="s">
        <v>1111</v>
      </c>
      <c r="J252" s="23" t="s">
        <v>1174</v>
      </c>
      <c r="M252" s="24"/>
      <c r="N252" s="24"/>
      <c r="O252" s="1" t="s">
        <v>629</v>
      </c>
      <c r="P252" s="1" t="s">
        <v>547</v>
      </c>
      <c r="Q252" s="24" t="str">
        <f>テーブル1[[#This Row],[リンク]]&amp;テーブル1[[#This Row],[描画状況]]</f>
        <v>https://lit.link/nemukoneko済</v>
      </c>
      <c r="R252" s="17">
        <f>1-(COUNTIF(Q:Q,_xlfn.TEXTJOIN(",",TRUE,テーブル1[[#This Row],[リンク]],テーブル1[[#This Row],[描画状況]]))/COUNTIF(F:F,テーブル1[[#This Row],[リンク]]))</f>
        <v>1</v>
      </c>
      <c r="S252" s="16" t="str">
        <f ca="1">IFERROR(IF(テーブル1[[#This Row],[描画状況]]="",RAND()+(テーブル1[[#This Row],[列2]]*100),""),RAND())</f>
        <v/>
      </c>
      <c r="T252" s="1" t="s">
        <v>457</v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758</v>
      </c>
      <c r="E253" s="23" t="s">
        <v>1096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1173</v>
      </c>
      <c r="M253" s="24"/>
      <c r="N253" s="23" t="s">
        <v>1219</v>
      </c>
      <c r="O253" s="1" t="s">
        <v>629</v>
      </c>
      <c r="P253" s="1" t="s">
        <v>547</v>
      </c>
      <c r="Q253" s="24" t="str">
        <f>テーブル1[[#This Row],[リンク]]&amp;テーブル1[[#This Row],[描画状況]]</f>
        <v>https://note.com/lycopema/n/n7abddbef7b6e済</v>
      </c>
      <c r="R253" s="17">
        <f>1-(COUNTIF(Q:Q,_xlfn.TEXTJOIN(",",TRUE,テーブル1[[#This Row],[リンク]],テーブル1[[#This Row],[描画状況]]))/COUNTIF(F:F,テーブル1[[#This Row],[リンク]]))</f>
        <v>1</v>
      </c>
      <c r="S253" s="16" t="str">
        <f ca="1">IFERROR(IF(テーブル1[[#This Row],[描画状況]]="",RAND()+(テーブル1[[#This Row],[列2]]*100),""),RAND())</f>
        <v/>
      </c>
      <c r="T253" s="1" t="s">
        <v>457</v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1205</v>
      </c>
      <c r="M254" s="24" t="s">
        <v>1163</v>
      </c>
      <c r="N254" s="24"/>
      <c r="O254" s="1" t="s">
        <v>629</v>
      </c>
      <c r="P254" s="1" t="s">
        <v>547</v>
      </c>
      <c r="Q254" s="24" t="str">
        <f>テーブル1[[#This Row],[リンク]]&amp;テーブル1[[#This Row],[描画状況]]</f>
        <v>https://sites.google.com/view/ronku99済</v>
      </c>
      <c r="R254" s="17">
        <f>1-(COUNTIF(Q:Q,_xlfn.TEXTJOIN(",",TRUE,テーブル1[[#This Row],[リンク]],テーブル1[[#This Row],[描画状況]]))/COUNTIF(F:F,テーブル1[[#This Row],[リンク]]))</f>
        <v>1</v>
      </c>
      <c r="S254" s="16" t="str">
        <f ca="1">IFERROR(IF(テーブル1[[#This Row],[描画状況]]="",RAND()+(テーブル1[[#This Row],[列2]]*100),""),RAND())</f>
        <v/>
      </c>
      <c r="T254" s="1" t="s">
        <v>457</v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926</v>
      </c>
      <c r="E255" s="23" t="s">
        <v>1097</v>
      </c>
      <c r="F255" s="15" t="s">
        <v>751</v>
      </c>
      <c r="G255" s="24" t="s">
        <v>1112</v>
      </c>
      <c r="H255" s="24" t="s">
        <v>670</v>
      </c>
      <c r="I255" s="24" t="s">
        <v>1110</v>
      </c>
      <c r="J255" s="23" t="s">
        <v>1210</v>
      </c>
      <c r="M255" s="24" t="s">
        <v>1172</v>
      </c>
      <c r="N255" s="24" t="s">
        <v>1229</v>
      </c>
      <c r="O255" s="1" t="s">
        <v>629</v>
      </c>
      <c r="P255" s="1" t="s">
        <v>547</v>
      </c>
      <c r="Q255" s="24" t="str">
        <f>テーブル1[[#This Row],[リンク]]&amp;テーブル1[[#This Row],[描画状況]]</f>
        <v>https://hatonosuke5.booth.pm済</v>
      </c>
      <c r="R255" s="17">
        <f>1-(COUNTIF(Q:Q,_xlfn.TEXTJOIN(",",TRUE,テーブル1[[#This Row],[リンク]],テーブル1[[#This Row],[描画状況]]))/COUNTIF(F:F,テーブル1[[#This Row],[リンク]]))</f>
        <v>1</v>
      </c>
      <c r="S255" s="16" t="str">
        <f ca="1">IFERROR(IF(テーブル1[[#This Row],[描画状況]]="",RAND()+(テーブル1[[#This Row],[列2]]*100),""),RAND())</f>
        <v/>
      </c>
      <c r="T255" s="1" t="s">
        <v>457</v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1101</v>
      </c>
      <c r="D256" s="23" t="s">
        <v>1102</v>
      </c>
      <c r="E256" s="23" t="s">
        <v>1103</v>
      </c>
      <c r="F256" s="15" t="s">
        <v>1104</v>
      </c>
      <c r="G256" s="24" t="s">
        <v>1113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24" t="str">
        <f>テーブル1[[#This Row],[リンク]]&amp;テーブル1[[#This Row],[描画状況]]</f>
        <v>https://uu.getuploader.com/mirakibonoutau済</v>
      </c>
      <c r="R256" s="17">
        <f>1-(COUNTIF(Q:Q,_xlfn.TEXTJOIN(",",TRUE,テーブル1[[#This Row],[リンク]],テーブル1[[#This Row],[描画状況]]))/COUNTIF(F:F,テーブル1[[#This Row],[リンク]]))</f>
        <v>1</v>
      </c>
      <c r="S256" s="16" t="str">
        <f ca="1">IFERROR(IF(テーブル1[[#This Row],[描画状況]]="",RAND()+(テーブル1[[#This Row],[列2]]*100),""),RAND())</f>
        <v/>
      </c>
      <c r="T256" s="1" t="s">
        <v>457</v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1105</v>
      </c>
      <c r="D257" s="23" t="s">
        <v>1105</v>
      </c>
      <c r="E257" s="23" t="s">
        <v>1106</v>
      </c>
      <c r="F257" s="15" t="s">
        <v>724</v>
      </c>
      <c r="G257" s="24" t="s">
        <v>1114</v>
      </c>
      <c r="H257" s="24" t="s">
        <v>658</v>
      </c>
      <c r="I257" s="24" t="s">
        <v>665</v>
      </c>
      <c r="M257" s="24" t="s">
        <v>1165</v>
      </c>
      <c r="N257" s="24" t="s">
        <v>1279</v>
      </c>
      <c r="O257" s="1" t="s">
        <v>629</v>
      </c>
      <c r="P257" s="1" t="s">
        <v>547</v>
      </c>
      <c r="Q257" s="24" t="str">
        <f>テーブル1[[#This Row],[リンク]]&amp;テーブル1[[#This Row],[描画状況]]</f>
        <v>https://mitamayade.wixsite.com/mitama済</v>
      </c>
      <c r="R257" s="17">
        <f>1-(COUNTIF(Q:Q,_xlfn.TEXTJOIN(",",TRUE,テーブル1[[#This Row],[リンク]],テーブル1[[#This Row],[描画状況]]))/COUNTIF(F:F,テーブル1[[#This Row],[リンク]]))</f>
        <v>1</v>
      </c>
      <c r="S257" s="16" t="str">
        <f ca="1">IFERROR(IF(テーブル1[[#This Row],[描画状況]]="",RAND()+(テーブル1[[#This Row],[列2]]*100),""),RAND())</f>
        <v/>
      </c>
      <c r="T257" s="1" t="s">
        <v>457</v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1107</v>
      </c>
      <c r="D258" s="23" t="s">
        <v>1108</v>
      </c>
      <c r="E258" s="23" t="s">
        <v>1109</v>
      </c>
      <c r="F258" s="15" t="s">
        <v>1104</v>
      </c>
      <c r="G258" s="24" t="s">
        <v>1115</v>
      </c>
      <c r="H258" s="24" t="s">
        <v>670</v>
      </c>
      <c r="I258" s="24" t="s">
        <v>668</v>
      </c>
      <c r="M258" s="24"/>
      <c r="N258" s="24" t="s">
        <v>1188</v>
      </c>
      <c r="O258" s="1" t="s">
        <v>629</v>
      </c>
      <c r="P258" s="1" t="s">
        <v>547</v>
      </c>
      <c r="Q258" s="24" t="str">
        <f>テーブル1[[#This Row],[リンク]]&amp;テーブル1[[#This Row],[描画状況]]</f>
        <v>https://uu.getuploader.com/mirakibonoutau済</v>
      </c>
      <c r="R258" s="17">
        <f>1-(COUNTIF(Q:Q,_xlfn.TEXTJOIN(",",TRUE,テーブル1[[#This Row],[リンク]],テーブル1[[#This Row],[描画状況]]))/COUNTIF(F:F,テーブル1[[#This Row],[リンク]]))</f>
        <v>1</v>
      </c>
      <c r="S258" s="16" t="str">
        <f ca="1">IFERROR(IF(テーブル1[[#This Row],[描画状況]]="",RAND()+(テーブル1[[#This Row],[列2]]*100),""),RAND())</f>
        <v/>
      </c>
      <c r="T258" s="1" t="s">
        <v>457</v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1116</v>
      </c>
      <c r="D259" s="23" t="s">
        <v>1117</v>
      </c>
      <c r="E259" s="23" t="s">
        <v>1118</v>
      </c>
      <c r="F259" s="29" t="s">
        <v>1119</v>
      </c>
      <c r="G259" s="23" t="s">
        <v>1120</v>
      </c>
      <c r="H259" s="23" t="s">
        <v>659</v>
      </c>
      <c r="I259" s="23" t="s">
        <v>665</v>
      </c>
      <c r="K259" s="23" t="s">
        <v>1294</v>
      </c>
      <c r="L259" s="23" t="s">
        <v>1296</v>
      </c>
      <c r="M259" s="24" t="s">
        <v>1163</v>
      </c>
      <c r="N259" s="24" t="s">
        <v>1279</v>
      </c>
      <c r="O259" s="1" t="s">
        <v>629</v>
      </c>
      <c r="P259" s="1" t="s">
        <v>547</v>
      </c>
      <c r="Q259" s="24" t="str">
        <f>テーブル1[[#This Row],[リンク]]&amp;テーブル1[[#This Row],[描画状況]]</f>
        <v>https://sikiori.wepage.com済</v>
      </c>
      <c r="R259" s="17">
        <f>1-(COUNTIF(Q:Q,_xlfn.TEXTJOIN(",",TRUE,テーブル1[[#This Row],[リンク]],テーブル1[[#This Row],[描画状況]]))/COUNTIF(F:F,テーブル1[[#This Row],[リンク]]))</f>
        <v>1</v>
      </c>
      <c r="S259" s="16" t="str">
        <f ca="1">IFERROR(IF(テーブル1[[#This Row],[描画状況]]="",RAND()+(テーブル1[[#This Row],[列2]]*100),""),RAND())</f>
        <v/>
      </c>
      <c r="T259" s="1" t="s">
        <v>457</v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1121</v>
      </c>
      <c r="D260" s="23" t="s">
        <v>1122</v>
      </c>
      <c r="E260" s="23" t="s">
        <v>1123</v>
      </c>
      <c r="F260" s="29" t="s">
        <v>1119</v>
      </c>
      <c r="G260" s="23" t="s">
        <v>1120</v>
      </c>
      <c r="H260" s="23" t="s">
        <v>659</v>
      </c>
      <c r="I260" s="23" t="s">
        <v>665</v>
      </c>
      <c r="L260" s="23" t="s">
        <v>1187</v>
      </c>
      <c r="N260" s="24" t="s">
        <v>1279</v>
      </c>
      <c r="O260" s="1" t="s">
        <v>629</v>
      </c>
      <c r="P260" s="1" t="s">
        <v>547</v>
      </c>
      <c r="Q260" s="24" t="str">
        <f>テーブル1[[#This Row],[リンク]]&amp;テーブル1[[#This Row],[描画状況]]</f>
        <v>https://sikiori.wepage.com済</v>
      </c>
      <c r="R260" s="17">
        <f>1-(COUNTIF(Q:Q,_xlfn.TEXTJOIN(",",TRUE,テーブル1[[#This Row],[リンク]],テーブル1[[#This Row],[描画状況]]))/COUNTIF(F:F,テーブル1[[#This Row],[リンク]]))</f>
        <v>1</v>
      </c>
      <c r="S260" s="16" t="str">
        <f ca="1">IFERROR(IF(テーブル1[[#This Row],[描画状況]]="",RAND()+(テーブル1[[#This Row],[列2]]*100),""),RAND())</f>
        <v/>
      </c>
      <c r="T260" s="1" t="s">
        <v>457</v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1124</v>
      </c>
      <c r="D261" s="23" t="s">
        <v>1125</v>
      </c>
      <c r="E261" s="23" t="s">
        <v>1126</v>
      </c>
      <c r="F261" s="29" t="s">
        <v>1127</v>
      </c>
      <c r="G261" s="23" t="s">
        <v>1137</v>
      </c>
      <c r="H261" s="23" t="s">
        <v>659</v>
      </c>
      <c r="I261" s="23" t="s">
        <v>665</v>
      </c>
      <c r="L261" s="23" t="s">
        <v>1194</v>
      </c>
      <c r="M261" s="23" t="s">
        <v>1168</v>
      </c>
      <c r="O261" s="1" t="s">
        <v>629</v>
      </c>
      <c r="P261" s="1" t="s">
        <v>547</v>
      </c>
      <c r="Q261" s="24" t="str">
        <f>テーブル1[[#This Row],[リンク]]&amp;テーブル1[[#This Row],[描画状況]]</f>
        <v>https://mohumohuton.web.fc2.com/makimiya/index.html済</v>
      </c>
      <c r="R261" s="17">
        <f>1-(COUNTIF(Q:Q,_xlfn.TEXTJOIN(",",TRUE,テーブル1[[#This Row],[リンク]],テーブル1[[#This Row],[描画状況]]))/COUNTIF(F:F,テーブル1[[#This Row],[リンク]]))</f>
        <v>1</v>
      </c>
      <c r="S261" s="16" t="str">
        <f ca="1">IFERROR(IF(テーブル1[[#This Row],[描画状況]]="",RAND()+(テーブル1[[#This Row],[列2]]*100),""),RAND())</f>
        <v/>
      </c>
      <c r="T261" s="1" t="s">
        <v>457</v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1130</v>
      </c>
      <c r="D262" s="23" t="s">
        <v>1128</v>
      </c>
      <c r="E262" s="28" t="s">
        <v>1129</v>
      </c>
      <c r="F262" s="29" t="s">
        <v>643</v>
      </c>
      <c r="G262" s="23" t="s">
        <v>1136</v>
      </c>
      <c r="H262" s="23" t="s">
        <v>658</v>
      </c>
      <c r="I262" s="23" t="s">
        <v>1110</v>
      </c>
      <c r="J262" s="23" t="s">
        <v>1181</v>
      </c>
      <c r="O262" s="1" t="s">
        <v>629</v>
      </c>
      <c r="P262" s="1" t="s">
        <v>547</v>
      </c>
      <c r="Q262" s="24" t="str">
        <f>テーブル1[[#This Row],[リンク]]&amp;テーブル1[[#This Row],[描画状況]]</f>
        <v>https://bowlroll.net/user/946776済</v>
      </c>
      <c r="R262" s="17">
        <f>1-(COUNTIF(Q:Q,_xlfn.TEXTJOIN(",",TRUE,テーブル1[[#This Row],[リンク]],テーブル1[[#This Row],[描画状況]]))/COUNTIF(F:F,テーブル1[[#This Row],[リンク]]))</f>
        <v>1</v>
      </c>
      <c r="S262" s="16" t="str">
        <f ca="1">IFERROR(IF(テーブル1[[#This Row],[描画状況]]="",RAND()+(テーブル1[[#This Row],[列2]]*100),""),RAND())</f>
        <v/>
      </c>
      <c r="T262" s="1" t="s">
        <v>457</v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1131</v>
      </c>
      <c r="D263" s="23" t="s">
        <v>1132</v>
      </c>
      <c r="E263" s="23" t="s">
        <v>1133</v>
      </c>
      <c r="F263" s="29" t="s">
        <v>1134</v>
      </c>
      <c r="G263" s="23" t="s">
        <v>1135</v>
      </c>
      <c r="H263" s="23" t="s">
        <v>671</v>
      </c>
      <c r="I263" s="23" t="s">
        <v>675</v>
      </c>
      <c r="L263" s="23" t="s">
        <v>1201</v>
      </c>
      <c r="M263" s="23" t="s">
        <v>706</v>
      </c>
      <c r="N263" s="23" t="s">
        <v>1230</v>
      </c>
      <c r="O263" s="1" t="s">
        <v>629</v>
      </c>
      <c r="P263" s="1" t="s">
        <v>547</v>
      </c>
      <c r="Q263" s="24" t="str">
        <f>テーブル1[[#This Row],[リンク]]&amp;テーブル1[[#This Row],[描画状況]]</f>
        <v>https://suukedayo.wixsite.com/shiawasefairu済</v>
      </c>
      <c r="R263" s="17">
        <f>1-(COUNTIF(Q:Q,_xlfn.TEXTJOIN(",",TRUE,テーブル1[[#This Row],[リンク]],テーブル1[[#This Row],[描画状況]]))/COUNTIF(F:F,テーブル1[[#This Row],[リンク]]))</f>
        <v>1</v>
      </c>
      <c r="S263" s="16" t="str">
        <f ca="1">IFERROR(IF(テーブル1[[#This Row],[描画状況]]="",RAND()+(テーブル1[[#This Row],[列2]]*100),""),RAND())</f>
        <v/>
      </c>
      <c r="T263" s="1" t="s">
        <v>457</v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1139</v>
      </c>
      <c r="D264" s="23" t="s">
        <v>1140</v>
      </c>
      <c r="E264" s="23" t="s">
        <v>1141</v>
      </c>
      <c r="F264" s="29" t="s">
        <v>1161</v>
      </c>
      <c r="G264" s="23" t="s">
        <v>1160</v>
      </c>
      <c r="H264" s="23" t="s">
        <v>670</v>
      </c>
      <c r="I264" s="23" t="s">
        <v>1313</v>
      </c>
      <c r="K264" s="23" t="s">
        <v>1249</v>
      </c>
      <c r="L264" s="23" t="s">
        <v>1202</v>
      </c>
      <c r="M264" s="23" t="s">
        <v>1171</v>
      </c>
      <c r="N264" s="23" t="s">
        <v>1299</v>
      </c>
      <c r="O264" s="1" t="s">
        <v>629</v>
      </c>
      <c r="P264" s="1" t="s">
        <v>547</v>
      </c>
      <c r="Q264" s="24" t="str">
        <f>テーブル1[[#This Row],[リンク]]&amp;テーブル1[[#This Row],[描画状況]]</f>
        <v>https://nagimachi.wixsite.com/kairikonomachi済</v>
      </c>
      <c r="R264" s="17">
        <f>1-(COUNTIF(Q:Q,_xlfn.TEXTJOIN(",",TRUE,テーブル1[[#This Row],[リンク]],テーブル1[[#This Row],[描画状況]]))/COUNTIF(F:F,テーブル1[[#This Row],[リンク]]))</f>
        <v>1</v>
      </c>
      <c r="S264" s="16" t="str">
        <f ca="1">IFERROR(IF(テーブル1[[#This Row],[描画状況]]="",RAND()+(テーブル1[[#This Row],[列2]]*100),""),RAND())</f>
        <v/>
      </c>
      <c r="T264" s="1" t="s">
        <v>457</v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1138</v>
      </c>
      <c r="D265" s="23" t="s">
        <v>1142</v>
      </c>
      <c r="E265" s="23" t="s">
        <v>1143</v>
      </c>
      <c r="F265" s="29" t="s">
        <v>1161</v>
      </c>
      <c r="G265" s="23" t="s">
        <v>1160</v>
      </c>
      <c r="H265" s="23" t="s">
        <v>658</v>
      </c>
      <c r="I265" s="23" t="s">
        <v>665</v>
      </c>
      <c r="M265" s="23" t="s">
        <v>1298</v>
      </c>
      <c r="N265" s="23" t="s">
        <v>1299</v>
      </c>
      <c r="O265" s="1" t="s">
        <v>629</v>
      </c>
      <c r="P265" s="1" t="s">
        <v>547</v>
      </c>
      <c r="Q265" s="24" t="str">
        <f>テーブル1[[#This Row],[リンク]]&amp;テーブル1[[#This Row],[描画状況]]</f>
        <v>https://nagimachi.wixsite.com/kairikonomachi済</v>
      </c>
      <c r="R265" s="17">
        <f>1-(COUNTIF(Q:Q,_xlfn.TEXTJOIN(",",TRUE,テーブル1[[#This Row],[リンク]],テーブル1[[#This Row],[描画状況]]))/COUNTIF(F:F,テーブル1[[#This Row],[リンク]]))</f>
        <v>1</v>
      </c>
      <c r="S265" s="16" t="str">
        <f ca="1">IFERROR(IF(テーブル1[[#This Row],[描画状況]]="",RAND()+(テーブル1[[#This Row],[列2]]*100),""),RAND())</f>
        <v/>
      </c>
      <c r="T265" s="1" t="s">
        <v>457</v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1144</v>
      </c>
      <c r="D266" s="23" t="s">
        <v>1145</v>
      </c>
      <c r="E266" s="23" t="s">
        <v>1146</v>
      </c>
      <c r="F266" s="29" t="s">
        <v>1161</v>
      </c>
      <c r="G266" s="23" t="s">
        <v>1160</v>
      </c>
      <c r="H266" s="23" t="s">
        <v>670</v>
      </c>
      <c r="I266" s="23" t="s">
        <v>668</v>
      </c>
      <c r="J266" s="23" t="s">
        <v>1179</v>
      </c>
      <c r="M266" s="23" t="s">
        <v>1297</v>
      </c>
      <c r="N266" s="23" t="s">
        <v>1299</v>
      </c>
      <c r="O266" s="1" t="s">
        <v>629</v>
      </c>
      <c r="P266" s="1" t="s">
        <v>547</v>
      </c>
      <c r="Q266" s="24" t="str">
        <f>テーブル1[[#This Row],[リンク]]&amp;テーブル1[[#This Row],[描画状況]]</f>
        <v>https://nagimachi.wixsite.com/kairikonomachi済</v>
      </c>
      <c r="R266" s="17">
        <f>1-(COUNTIF(Q:Q,_xlfn.TEXTJOIN(",",TRUE,テーブル1[[#This Row],[リンク]],テーブル1[[#This Row],[描画状況]]))/COUNTIF(F:F,テーブル1[[#This Row],[リンク]]))</f>
        <v>1</v>
      </c>
      <c r="S266" s="16" t="str">
        <f ca="1">IFERROR(IF(テーブル1[[#This Row],[描画状況]]="",RAND()+(テーブル1[[#This Row],[列2]]*100),""),RAND())</f>
        <v/>
      </c>
      <c r="T266" s="1" t="s">
        <v>457</v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1147</v>
      </c>
      <c r="D267" s="23" t="s">
        <v>1148</v>
      </c>
      <c r="E267" s="23" t="s">
        <v>1149</v>
      </c>
      <c r="F267" s="29" t="s">
        <v>1161</v>
      </c>
      <c r="G267" s="23" t="s">
        <v>1160</v>
      </c>
      <c r="H267" s="23" t="s">
        <v>659</v>
      </c>
      <c r="I267" s="23" t="s">
        <v>668</v>
      </c>
      <c r="J267" s="23" t="s">
        <v>1179</v>
      </c>
      <c r="M267" s="23" t="s">
        <v>1297</v>
      </c>
      <c r="N267" s="23" t="s">
        <v>1300</v>
      </c>
      <c r="O267" s="1" t="s">
        <v>629</v>
      </c>
      <c r="P267" s="1" t="s">
        <v>547</v>
      </c>
      <c r="Q267" s="24" t="str">
        <f>テーブル1[[#This Row],[リンク]]&amp;テーブル1[[#This Row],[描画状況]]</f>
        <v>https://nagimachi.wixsite.com/kairikonomachi済</v>
      </c>
      <c r="R267" s="17">
        <f>1-(COUNTIF(Q:Q,_xlfn.TEXTJOIN(",",TRUE,テーブル1[[#This Row],[リンク]],テーブル1[[#This Row],[描画状況]]))/COUNTIF(F:F,テーブル1[[#This Row],[リンク]]))</f>
        <v>1</v>
      </c>
      <c r="S267" s="16" t="str">
        <f ca="1">IFERROR(IF(テーブル1[[#This Row],[描画状況]]="",RAND()+(テーブル1[[#This Row],[列2]]*100),""),RAND())</f>
        <v/>
      </c>
      <c r="T267" s="1" t="s">
        <v>457</v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1150</v>
      </c>
      <c r="D268" s="23" t="s">
        <v>1151</v>
      </c>
      <c r="E268" s="23" t="s">
        <v>1152</v>
      </c>
      <c r="F268" s="29" t="s">
        <v>1158</v>
      </c>
      <c r="G268" s="23" t="s">
        <v>1159</v>
      </c>
      <c r="H268" s="23" t="s">
        <v>659</v>
      </c>
      <c r="I268" s="23" t="s">
        <v>665</v>
      </c>
      <c r="L268" s="23" t="s">
        <v>1194</v>
      </c>
      <c r="M268" s="23" t="s">
        <v>1231</v>
      </c>
      <c r="O268" s="1" t="s">
        <v>629</v>
      </c>
      <c r="P268" s="1" t="s">
        <v>547</v>
      </c>
      <c r="Q268" s="24" t="str">
        <f>テーブル1[[#This Row],[リンク]]&amp;テーブル1[[#This Row],[描画状況]]</f>
        <v>http://utau.wikidot.com/utau:isshiki-suu済</v>
      </c>
      <c r="R268" s="17">
        <f>1-(COUNTIF(Q:Q,_xlfn.TEXTJOIN(",",TRUE,テーブル1[[#This Row],[リンク]],テーブル1[[#This Row],[描画状況]]))/COUNTIF(F:F,テーブル1[[#This Row],[リンク]]))</f>
        <v>1</v>
      </c>
      <c r="S268" s="16" t="str">
        <f ca="1">IFERROR(IF(テーブル1[[#This Row],[描画状況]]="",RAND()+(テーブル1[[#This Row],[列2]]*100),""),RAND())</f>
        <v/>
      </c>
      <c r="T268" s="1" t="s">
        <v>457</v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1153</v>
      </c>
      <c r="D269" s="23" t="s">
        <v>1154</v>
      </c>
      <c r="E269" s="28" t="s">
        <v>1155</v>
      </c>
      <c r="F269" s="29" t="s">
        <v>1156</v>
      </c>
      <c r="G269" s="23" t="s">
        <v>1157</v>
      </c>
      <c r="H269" s="23" t="s">
        <v>658</v>
      </c>
      <c r="I269" s="23" t="s">
        <v>665</v>
      </c>
      <c r="L269" s="23" t="s">
        <v>1194</v>
      </c>
      <c r="M269" s="23" t="s">
        <v>1301</v>
      </c>
      <c r="N269" s="23" t="s">
        <v>1188</v>
      </c>
      <c r="O269" s="1" t="s">
        <v>629</v>
      </c>
      <c r="P269" s="1" t="s">
        <v>547</v>
      </c>
      <c r="Q269" s="24" t="str">
        <f>テーブル1[[#This Row],[リンク]]&amp;テーブル1[[#This Row],[描画状況]]</f>
        <v>https://aisupiku.wixsite.com/tsuginesaiko済</v>
      </c>
      <c r="R269" s="17">
        <f>1-(COUNTIF(Q:Q,_xlfn.TEXTJOIN(",",TRUE,テーブル1[[#This Row],[リンク]],テーブル1[[#This Row],[描画状況]]))/COUNTIF(F:F,テーブル1[[#This Row],[リンク]]))</f>
        <v>1</v>
      </c>
      <c r="S269" s="16" t="str">
        <f ca="1">IFERROR(IF(テーブル1[[#This Row],[描画状況]]="",RAND()+(テーブル1[[#This Row],[列2]]*100),""),RAND())</f>
        <v/>
      </c>
      <c r="T269" s="1" t="s">
        <v>457</v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35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1316</v>
      </c>
      <c r="D270" s="23" t="s">
        <v>1317</v>
      </c>
      <c r="E270" s="23" t="s">
        <v>1318</v>
      </c>
      <c r="F270" s="29" t="s">
        <v>1344</v>
      </c>
      <c r="G270" s="23" t="s">
        <v>1345</v>
      </c>
      <c r="H270" s="23" t="s">
        <v>658</v>
      </c>
      <c r="I270" s="23" t="s">
        <v>1236</v>
      </c>
      <c r="J270" s="23" t="s">
        <v>1178</v>
      </c>
      <c r="L270" s="23" t="s">
        <v>1202</v>
      </c>
      <c r="M270" s="23" t="s">
        <v>1162</v>
      </c>
      <c r="N270" s="24"/>
      <c r="O270" s="1" t="s">
        <v>629</v>
      </c>
      <c r="Q270" s="24" t="str">
        <f>テーブル1[[#This Row],[リンク]]&amp;テーブル1[[#This Row],[描画状況]]</f>
        <v>https://natsunomikan.crayonsite.com</v>
      </c>
      <c r="R270" s="17">
        <f>1-(COUNTIF(Q:Q,_xlfn.TEXTJOIN(",",TRUE,テーブル1[[#This Row],[リンク]],テーブル1[[#This Row],[描画状況]]))/COUNTIF(F:F,テーブル1[[#This Row],[リンク]]))</f>
        <v>0</v>
      </c>
      <c r="S270" s="16">
        <f ca="1">IFERROR(IF(テーブル1[[#This Row],[描画状況]]="",RAND()+(テーブル1[[#This Row],[列2]]*100),""),RAND())</f>
        <v>0.26482895329414102</v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35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1319</v>
      </c>
      <c r="D271" s="23" t="s">
        <v>1320</v>
      </c>
      <c r="E271" s="23" t="s">
        <v>1321</v>
      </c>
      <c r="F271" s="3" t="s">
        <v>1341</v>
      </c>
      <c r="G271" s="23" t="s">
        <v>1339</v>
      </c>
      <c r="H271" s="23" t="s">
        <v>659</v>
      </c>
      <c r="I271" s="23" t="s">
        <v>1236</v>
      </c>
      <c r="L271" s="23" t="s">
        <v>1202</v>
      </c>
      <c r="M271" s="23" t="s">
        <v>1343</v>
      </c>
      <c r="N271" s="24"/>
      <c r="O271" s="1" t="s">
        <v>593</v>
      </c>
      <c r="Q271" s="24" t="str">
        <f>テーブル1[[#This Row],[リンク]]&amp;テーブル1[[#This Row],[描画状況]]</f>
        <v>https://bowlroll.net/user/891946</v>
      </c>
      <c r="R271" s="17">
        <f>1-(COUNTIF(Q:Q,_xlfn.TEXTJOIN(",",TRUE,テーブル1[[#This Row],[リンク]],テーブル1[[#This Row],[描画状況]]))/COUNTIF(F:F,テーブル1[[#This Row],[リンク]]))</f>
        <v>0</v>
      </c>
      <c r="S271" s="16">
        <f ca="1">IFERROR(IF(テーブル1[[#This Row],[描画状況]]="",RAND()+(テーブル1[[#This Row],[列2]]*100),""),RAND())</f>
        <v>0.77601562316873429</v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|MIDDLE:​&amp;link(配布所はこちら){​https://bowlroll.net/user/891946}|</v>
      </c>
    </row>
    <row r="272" spans="1:26" ht="20.149999999999999" customHeight="1" x14ac:dyDescent="0.35">
      <c r="A272" s="35">
        <v>271</v>
      </c>
      <c r="B272" s="3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1322</v>
      </c>
      <c r="D272" s="23" t="s">
        <v>1323</v>
      </c>
      <c r="E272" s="23" t="s">
        <v>1324</v>
      </c>
      <c r="F272" s="3" t="s">
        <v>1341</v>
      </c>
      <c r="G272" s="23" t="s">
        <v>1339</v>
      </c>
      <c r="H272" s="23" t="s">
        <v>659</v>
      </c>
      <c r="I272" s="23" t="s">
        <v>1236</v>
      </c>
      <c r="L272" s="23" t="s">
        <v>1202</v>
      </c>
      <c r="M272" s="23" t="s">
        <v>1266</v>
      </c>
      <c r="N272" s="24" t="s">
        <v>1262</v>
      </c>
      <c r="O272" s="1" t="s">
        <v>593</v>
      </c>
      <c r="Q272" s="34" t="str">
        <f>テーブル1[[#This Row],[リンク]]&amp;テーブル1[[#This Row],[描画状況]]</f>
        <v>https://bowlroll.net/user/891946</v>
      </c>
      <c r="R272" s="17">
        <f>1-(COUNTIF(Q:Q,_xlfn.TEXTJOIN(",",TRUE,テーブル1[[#This Row],[リンク]],テーブル1[[#This Row],[描画状況]]))/COUNTIF(F:F,テーブル1[[#This Row],[リンク]]))</f>
        <v>0</v>
      </c>
      <c r="S272" s="16">
        <f ca="1">IFERROR(IF(テーブル1[[#This Row],[描画状況]]="",RAND()+(テーブル1[[#This Row],[列2]]*100),""),RAND())</f>
        <v>0.38736704271767108</v>
      </c>
      <c r="U272" s="34" t="str">
        <f ca="1">IF(AND(テーブル1[[#This Row],[描画状況]]="済",テーブル1[[#This Row],[投稿状況]]=""),RAND(),"")</f>
        <v/>
      </c>
      <c r="V272" s="33" t="str">
        <f>"|&amp;image("&amp;テーブル1[[#This Row],[画像]]&amp;".png,width=100,height=100)"</f>
        <v>|&amp;image(fukumoto-naori.png,width=100,height=100)</v>
      </c>
      <c r="W272" s="33" t="str">
        <f>"|MIDDLE:​"&amp;テーブル1[[#This Row],[名前]]</f>
        <v>|MIDDLE:​復元治</v>
      </c>
      <c r="X272" s="33" t="str">
        <f>"|MIDDLE:​"&amp;テーブル1[[#This Row],[なまえ]]</f>
        <v>|MIDDLE:​ふくもと なおり</v>
      </c>
      <c r="Y272" s="33" t="str">
        <f>"|MIDDLE:​"&amp;テーブル1[[#This Row],[Name]]</f>
        <v>|MIDDLE:​Fukumoto Naori</v>
      </c>
      <c r="Z272" s="33" t="str">
        <f>"|MIDDLE:​&amp;link(配布所はこちら){​"&amp;テーブル1[[#This Row],[リンク]]&amp;"}|"</f>
        <v>|MIDDLE:​&amp;link(配布所はこちら){​https://bowlroll.net/user/891946}|</v>
      </c>
    </row>
    <row r="273" spans="1:26" ht="20.149999999999999" customHeight="1" x14ac:dyDescent="0.35">
      <c r="A273" s="35">
        <v>272</v>
      </c>
      <c r="B273" s="3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1325</v>
      </c>
      <c r="D273" s="23" t="s">
        <v>1327</v>
      </c>
      <c r="E273" s="23" t="s">
        <v>1326</v>
      </c>
      <c r="F273" s="3" t="s">
        <v>1341</v>
      </c>
      <c r="G273" s="23" t="s">
        <v>1340</v>
      </c>
      <c r="H273" s="23" t="s">
        <v>658</v>
      </c>
      <c r="I273" s="23" t="s">
        <v>1236</v>
      </c>
      <c r="J273" s="23" t="s">
        <v>1260</v>
      </c>
      <c r="M273" s="23" t="s">
        <v>1162</v>
      </c>
      <c r="N273" s="24" t="s">
        <v>1288</v>
      </c>
      <c r="O273" s="1" t="s">
        <v>593</v>
      </c>
      <c r="Q273" s="34" t="str">
        <f>テーブル1[[#This Row],[リンク]]&amp;テーブル1[[#This Row],[描画状況]]</f>
        <v>https://bowlroll.net/user/891946</v>
      </c>
      <c r="R273" s="17">
        <f>1-(COUNTIF(Q:Q,_xlfn.TEXTJOIN(",",TRUE,テーブル1[[#This Row],[リンク]],テーブル1[[#This Row],[描画状況]]))/COUNTIF(F:F,テーブル1[[#This Row],[リンク]]))</f>
        <v>0</v>
      </c>
      <c r="S273" s="16">
        <f ca="1">IFERROR(IF(テーブル1[[#This Row],[描画状況]]="",RAND()+(テーブル1[[#This Row],[列2]]*100),""),RAND())</f>
        <v>0.5144666246953824</v>
      </c>
      <c r="U273" s="34" t="str">
        <f ca="1">IF(AND(テーブル1[[#This Row],[描画状況]]="済",テーブル1[[#This Row],[投稿状況]]=""),RAND(),"")</f>
        <v/>
      </c>
      <c r="V273" s="33" t="str">
        <f>"|&amp;image("&amp;テーブル1[[#This Row],[画像]]&amp;".png,width=100,height=100)"</f>
        <v>|&amp;image(kawa-no-seseragi.png,width=100,height=100)</v>
      </c>
      <c r="W273" s="33" t="str">
        <f>"|MIDDLE:​"&amp;テーブル1[[#This Row],[名前]]</f>
        <v>|MIDDLE:​カワノセセラギ</v>
      </c>
      <c r="X273" s="33" t="str">
        <f>"|MIDDLE:​"&amp;テーブル1[[#This Row],[なまえ]]</f>
        <v>|MIDDLE:​かわのせせらぎ</v>
      </c>
      <c r="Y273" s="33" t="str">
        <f>"|MIDDLE:​"&amp;テーブル1[[#This Row],[Name]]</f>
        <v>|MIDDLE:​Kawa no Seseragi</v>
      </c>
      <c r="Z273" s="33" t="str">
        <f>"|MIDDLE:​&amp;link(配布所はこちら){​"&amp;テーブル1[[#This Row],[リンク]]&amp;"}|"</f>
        <v>|MIDDLE:​&amp;link(配布所はこちら){​https://bowlroll.net/user/891946}|</v>
      </c>
    </row>
    <row r="274" spans="1:26" ht="20.149999999999999" customHeight="1" x14ac:dyDescent="0.35">
      <c r="A274" s="35">
        <v>273</v>
      </c>
      <c r="B274" s="3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1328</v>
      </c>
      <c r="D274" s="23" t="s">
        <v>1329</v>
      </c>
      <c r="E274" s="23" t="s">
        <v>1330</v>
      </c>
      <c r="F274" s="3" t="s">
        <v>1341</v>
      </c>
      <c r="G274" s="23" t="s">
        <v>1340</v>
      </c>
      <c r="H274" s="23" t="s">
        <v>658</v>
      </c>
      <c r="I274" s="23" t="s">
        <v>1236</v>
      </c>
      <c r="J274" s="23" t="s">
        <v>1260</v>
      </c>
      <c r="M274" s="23" t="s">
        <v>1162</v>
      </c>
      <c r="N274" s="24" t="s">
        <v>1288</v>
      </c>
      <c r="O274" s="1" t="s">
        <v>593</v>
      </c>
      <c r="Q274" s="34" t="str">
        <f>テーブル1[[#This Row],[リンク]]&amp;テーブル1[[#This Row],[描画状況]]</f>
        <v>https://bowlroll.net/user/891946</v>
      </c>
      <c r="R274" s="17">
        <f>1-(COUNTIF(Q:Q,_xlfn.TEXTJOIN(",",TRUE,テーブル1[[#This Row],[リンク]],テーブル1[[#This Row],[描画状況]]))/COUNTIF(F:F,テーブル1[[#This Row],[リンク]]))</f>
        <v>0</v>
      </c>
      <c r="S274" s="16">
        <f ca="1">IFERROR(IF(テーブル1[[#This Row],[描画状況]]="",RAND()+(テーブル1[[#This Row],[列2]]*100),""),RAND())</f>
        <v>0.20047230497808988</v>
      </c>
      <c r="U274" s="34" t="str">
        <f ca="1">IF(AND(テーブル1[[#This Row],[描画状況]]="済",テーブル1[[#This Row],[投稿状況]]=""),RAND(),"")</f>
        <v/>
      </c>
      <c r="V274" s="33" t="str">
        <f>"|&amp;image("&amp;テーブル1[[#This Row],[画像]]&amp;".png,width=100,height=100)"</f>
        <v>|&amp;image(tori-no-saezuri.png,width=100,height=100)</v>
      </c>
      <c r="W274" s="33" t="str">
        <f>"|MIDDLE:​"&amp;テーブル1[[#This Row],[名前]]</f>
        <v>|MIDDLE:​トリノサエズリ</v>
      </c>
      <c r="X274" s="33" t="str">
        <f>"|MIDDLE:​"&amp;テーブル1[[#This Row],[なまえ]]</f>
        <v>|MIDDLE:​とりのさえずり</v>
      </c>
      <c r="Y274" s="33" t="str">
        <f>"|MIDDLE:​"&amp;テーブル1[[#This Row],[Name]]</f>
        <v>|MIDDLE:​Tori no Saezuri</v>
      </c>
      <c r="Z274" s="33" t="str">
        <f>"|MIDDLE:​&amp;link(配布所はこちら){​"&amp;テーブル1[[#This Row],[リンク]]&amp;"}|"</f>
        <v>|MIDDLE:​&amp;link(配布所はこちら){​https://bowlroll.net/user/891946}|</v>
      </c>
    </row>
    <row r="275" spans="1:26" ht="20.149999999999999" customHeight="1" x14ac:dyDescent="0.35">
      <c r="A275" s="35">
        <v>274</v>
      </c>
      <c r="B275" s="3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1331</v>
      </c>
      <c r="D275" s="23" t="s">
        <v>1332</v>
      </c>
      <c r="E275" s="23" t="s">
        <v>1333</v>
      </c>
      <c r="F275" s="29" t="s">
        <v>411</v>
      </c>
      <c r="G275" s="23" t="s">
        <v>461</v>
      </c>
      <c r="H275" s="23" t="s">
        <v>659</v>
      </c>
      <c r="I275" s="23" t="s">
        <v>1236</v>
      </c>
      <c r="K275" s="23" t="s">
        <v>1192</v>
      </c>
      <c r="M275" s="23" t="s">
        <v>1266</v>
      </c>
      <c r="N275" s="24" t="s">
        <v>1186</v>
      </c>
      <c r="O275" s="1" t="s">
        <v>593</v>
      </c>
      <c r="Q275" s="34" t="str">
        <f>テーブル1[[#This Row],[リンク]]&amp;テーブル1[[#This Row],[描画状況]]</f>
        <v>https://grskmot8.wixsite.com/kdarock</v>
      </c>
      <c r="R275" s="17">
        <f>1-(COUNTIF(Q:Q,_xlfn.TEXTJOIN(",",TRUE,テーブル1[[#This Row],[リンク]],テーブル1[[#This Row],[描画状況]]))/COUNTIF(F:F,テーブル1[[#This Row],[リンク]]))</f>
        <v>0.5</v>
      </c>
      <c r="S275" s="16">
        <f ca="1">IFERROR(IF(テーブル1[[#This Row],[描画状況]]="",RAND()+(テーブル1[[#This Row],[列2]]*100),""),RAND())</f>
        <v>50.108541244121916</v>
      </c>
      <c r="U275" s="34" t="str">
        <f ca="1">IF(AND(テーブル1[[#This Row],[描画状況]]="済",テーブル1[[#This Row],[投稿状況]]=""),RAND(),"")</f>
        <v/>
      </c>
      <c r="V275" s="33" t="str">
        <f>"|&amp;image("&amp;テーブル1[[#This Row],[画像]]&amp;".png,width=100,height=100)"</f>
        <v>|&amp;image(senjo-tsurugi.png,width=100,height=100)</v>
      </c>
      <c r="W275" s="33" t="str">
        <f>"|MIDDLE:​"&amp;テーブル1[[#This Row],[名前]]</f>
        <v>|MIDDLE:​剪除鶴偽</v>
      </c>
      <c r="X275" s="33" t="str">
        <f>"|MIDDLE:​"&amp;テーブル1[[#This Row],[なまえ]]</f>
        <v>|MIDDLE:​せんじょ つるぎ</v>
      </c>
      <c r="Y275" s="33" t="str">
        <f>"|MIDDLE:​"&amp;テーブル1[[#This Row],[Name]]</f>
        <v>|MIDDLE:​Senjo Tsurugi</v>
      </c>
      <c r="Z275" s="3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35">
        <v>275</v>
      </c>
      <c r="B276" s="3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1334</v>
      </c>
      <c r="D276" s="23" t="s">
        <v>1335</v>
      </c>
      <c r="E276" s="23" t="s">
        <v>1334</v>
      </c>
      <c r="F276" s="29" t="s">
        <v>1336</v>
      </c>
      <c r="G276" s="23" t="s">
        <v>1337</v>
      </c>
      <c r="H276" s="23" t="s">
        <v>671</v>
      </c>
      <c r="I276" s="23" t="s">
        <v>1237</v>
      </c>
      <c r="N276" s="24" t="s">
        <v>1342</v>
      </c>
      <c r="O276" s="1" t="s">
        <v>629</v>
      </c>
      <c r="Q276" s="34" t="str">
        <f>テーブル1[[#This Row],[リンク]]&amp;テーブル1[[#This Row],[描画状況]]</f>
        <v>https://lit.link/SHIROKUROlonely</v>
      </c>
      <c r="R276" s="17">
        <f>1-(COUNTIF(Q:Q,_xlfn.TEXTJOIN(",",TRUE,テーブル1[[#This Row],[リンク]],テーブル1[[#This Row],[描画状況]]))/COUNTIF(F:F,テーブル1[[#This Row],[リンク]]))</f>
        <v>0</v>
      </c>
      <c r="S276" s="16">
        <f ca="1">IFERROR(IF(テーブル1[[#This Row],[描画状況]]="",RAND()+(テーブル1[[#This Row],[列2]]*100),""),RAND())</f>
        <v>0.49393341996841655</v>
      </c>
      <c r="U276" s="34" t="str">
        <f ca="1">IF(AND(テーブル1[[#This Row],[描画状況]]="済",テーブル1[[#This Row],[投稿状況]]=""),RAND(),"")</f>
        <v/>
      </c>
      <c r="V276" s="33" t="str">
        <f>"|&amp;image("&amp;テーブル1[[#This Row],[画像]]&amp;".png,width=100,height=100)"</f>
        <v>|&amp;image(mk-Ⅰ.png,width=100,height=100)</v>
      </c>
      <c r="W276" s="33" t="str">
        <f>"|MIDDLE:​"&amp;テーブル1[[#This Row],[名前]]</f>
        <v>|MIDDLE:​Mk-Ⅰ</v>
      </c>
      <c r="X276" s="33" t="str">
        <f>"|MIDDLE:​"&amp;テーブル1[[#This Row],[なまえ]]</f>
        <v>|MIDDLE:​まーくわん</v>
      </c>
      <c r="Y276" s="33" t="str">
        <f>"|MIDDLE:​"&amp;テーブル1[[#This Row],[Name]]</f>
        <v>|MIDDLE:​Mk-Ⅰ</v>
      </c>
      <c r="Z276" s="3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N277" s="24"/>
    </row>
    <row r="278" spans="1:26" ht="20.149999999999999" customHeight="1" x14ac:dyDescent="0.35">
      <c r="N278" s="24"/>
    </row>
    <row r="279" spans="1:26" ht="20.149999999999999" customHeight="1" x14ac:dyDescent="0.35">
      <c r="N279" s="24"/>
    </row>
    <row r="280" spans="1:26" ht="20.149999999999999" customHeight="1" x14ac:dyDescent="0.35">
      <c r="N280" s="24"/>
    </row>
  </sheetData>
  <phoneticPr fontId="1"/>
  <conditionalFormatting sqref="A1:A1048576">
    <cfRule type="duplicateValues" dxfId="5" priority="4"/>
  </conditionalFormatting>
  <conditionalFormatting sqref="B1 B3:B1048576">
    <cfRule type="duplicateValues" dxfId="4" priority="5"/>
  </conditionalFormatting>
  <conditionalFormatting sqref="C1:C1048576">
    <cfRule type="duplicateValues" dxfId="3" priority="3"/>
  </conditionalFormatting>
  <conditionalFormatting sqref="G92">
    <cfRule type="duplicateValues" dxfId="2" priority="1"/>
  </conditionalFormatting>
  <conditionalFormatting sqref="G252:G258">
    <cfRule type="duplicateValues" dxfId="1" priority="26"/>
  </conditionalFormatting>
  <conditionalFormatting sqref="N278:N279 P1:U1048576">
    <cfRule type="cellIs" dxfId="0" priority="12" operator="equal">
      <formula>"済"</formula>
    </cfRule>
  </conditionalFormatting>
  <dataValidations count="3">
    <dataValidation type="list" allowBlank="1" showInputMessage="1" showErrorMessage="1" sqref="U263:U264 T2:T276" xr:uid="{05A634BD-4DB9-4CF6-97DC-6B95FBE6232B}">
      <formula1>"済,個別済"</formula1>
    </dataValidation>
    <dataValidation type="list" allowBlank="1" showInputMessage="1" showErrorMessage="1" sqref="O2:O276" xr:uid="{92493CA5-E237-4453-B08F-89E5ABEEA9EA}">
      <formula1>"〇 / 必要,〇 / 不要,×"</formula1>
    </dataValidation>
    <dataValidation type="list" allowBlank="1" showInputMessage="1" showErrorMessage="1" sqref="N278:N279 P2:P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2:F274" r:id="rId238" display="https://bowlroll.net/user/891946" xr:uid="{CA31B292-C0D3-467C-B0D6-CAC1242733EB}"/>
    <hyperlink ref="F270" r:id="rId239" xr:uid="{AD893D91-87A9-4EB3-99C6-C89865EA26D7}"/>
  </hyperlinks>
  <pageMargins left="0.7" right="0.7" top="0.75" bottom="0.75" header="0.3" footer="0.3"/>
  <tableParts count="1">
    <tablePart r:id="rId2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F2" sqref="F2:F12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1232</v>
      </c>
      <c r="E1" s="31" t="s">
        <v>1258</v>
      </c>
      <c r="F1" s="31" t="s">
        <v>1259</v>
      </c>
      <c r="G1" s="31" t="s">
        <v>1289</v>
      </c>
    </row>
    <row r="2" spans="1:7" x14ac:dyDescent="0.35">
      <c r="A2" t="s">
        <v>1292</v>
      </c>
      <c r="B2" t="s">
        <v>1234</v>
      </c>
      <c r="C2" t="s">
        <v>1203</v>
      </c>
      <c r="D2" t="s">
        <v>1208</v>
      </c>
      <c r="E2" t="s">
        <v>1269</v>
      </c>
      <c r="F2" t="s">
        <v>706</v>
      </c>
      <c r="G2" t="s">
        <v>1261</v>
      </c>
    </row>
    <row r="3" spans="1:7" x14ac:dyDescent="0.35">
      <c r="A3" t="s">
        <v>659</v>
      </c>
      <c r="B3" t="s">
        <v>1257</v>
      </c>
      <c r="C3" t="s">
        <v>1184</v>
      </c>
      <c r="D3" t="s">
        <v>1197</v>
      </c>
      <c r="E3" t="s">
        <v>1202</v>
      </c>
      <c r="F3" t="s">
        <v>1162</v>
      </c>
      <c r="G3" t="s">
        <v>1277</v>
      </c>
    </row>
    <row r="4" spans="1:7" x14ac:dyDescent="0.35">
      <c r="A4" t="s">
        <v>1233</v>
      </c>
      <c r="B4" t="s">
        <v>666</v>
      </c>
      <c r="C4" t="s">
        <v>1210</v>
      </c>
      <c r="D4" t="s">
        <v>1192</v>
      </c>
      <c r="E4" t="s">
        <v>1201</v>
      </c>
      <c r="F4" t="s">
        <v>1163</v>
      </c>
      <c r="G4" t="s">
        <v>1288</v>
      </c>
    </row>
    <row r="5" spans="1:7" x14ac:dyDescent="0.35">
      <c r="A5" t="s">
        <v>671</v>
      </c>
      <c r="B5" t="s">
        <v>1238</v>
      </c>
      <c r="C5" t="s">
        <v>1174</v>
      </c>
      <c r="D5" t="s">
        <v>1206</v>
      </c>
      <c r="E5" t="s">
        <v>1183</v>
      </c>
      <c r="F5" t="s">
        <v>1164</v>
      </c>
      <c r="G5" t="s">
        <v>1267</v>
      </c>
    </row>
    <row r="6" spans="1:7" x14ac:dyDescent="0.35">
      <c r="A6" t="s">
        <v>670</v>
      </c>
      <c r="B6" t="s">
        <v>1243</v>
      </c>
      <c r="C6" t="s">
        <v>1173</v>
      </c>
      <c r="D6" t="s">
        <v>1249</v>
      </c>
      <c r="E6" t="s">
        <v>1205</v>
      </c>
      <c r="F6" t="s">
        <v>1165</v>
      </c>
      <c r="G6" t="s">
        <v>1186</v>
      </c>
    </row>
    <row r="7" spans="1:7" x14ac:dyDescent="0.35">
      <c r="B7" t="s">
        <v>1242</v>
      </c>
      <c r="C7" t="s">
        <v>1175</v>
      </c>
      <c r="D7" t="s">
        <v>1251</v>
      </c>
      <c r="E7" t="s">
        <v>1204</v>
      </c>
      <c r="F7" t="s">
        <v>1263</v>
      </c>
      <c r="G7" t="s">
        <v>1190</v>
      </c>
    </row>
    <row r="8" spans="1:7" x14ac:dyDescent="0.35">
      <c r="B8" t="s">
        <v>1235</v>
      </c>
      <c r="C8" t="s">
        <v>1176</v>
      </c>
      <c r="D8" t="s">
        <v>1255</v>
      </c>
      <c r="E8" t="s">
        <v>1199</v>
      </c>
      <c r="F8" t="s">
        <v>1264</v>
      </c>
      <c r="G8" t="s">
        <v>1182</v>
      </c>
    </row>
    <row r="9" spans="1:7" x14ac:dyDescent="0.35">
      <c r="B9" t="s">
        <v>720</v>
      </c>
      <c r="C9" t="s">
        <v>1209</v>
      </c>
      <c r="D9" t="s">
        <v>1254</v>
      </c>
      <c r="E9" t="s">
        <v>1193</v>
      </c>
      <c r="F9" t="s">
        <v>1171</v>
      </c>
      <c r="G9" t="s">
        <v>1268</v>
      </c>
    </row>
    <row r="10" spans="1:7" x14ac:dyDescent="0.35">
      <c r="B10" t="s">
        <v>1247</v>
      </c>
      <c r="C10" t="s">
        <v>1180</v>
      </c>
      <c r="D10" t="s">
        <v>1253</v>
      </c>
      <c r="E10" t="s">
        <v>1187</v>
      </c>
      <c r="F10" t="s">
        <v>1170</v>
      </c>
      <c r="G10" t="s">
        <v>1198</v>
      </c>
    </row>
    <row r="11" spans="1:7" x14ac:dyDescent="0.35">
      <c r="B11" t="s">
        <v>1246</v>
      </c>
      <c r="C11" t="s">
        <v>1181</v>
      </c>
      <c r="E11" t="s">
        <v>1194</v>
      </c>
      <c r="F11" t="s">
        <v>1266</v>
      </c>
      <c r="G11" t="s">
        <v>1207</v>
      </c>
    </row>
    <row r="12" spans="1:7" x14ac:dyDescent="0.35">
      <c r="B12" t="s">
        <v>1237</v>
      </c>
      <c r="C12" t="s">
        <v>1179</v>
      </c>
      <c r="E12" t="s">
        <v>1189</v>
      </c>
      <c r="F12" t="s">
        <v>1200</v>
      </c>
      <c r="G12" t="s">
        <v>1185</v>
      </c>
    </row>
    <row r="13" spans="1:7" x14ac:dyDescent="0.35">
      <c r="B13" t="s">
        <v>1248</v>
      </c>
      <c r="C13" t="s">
        <v>1196</v>
      </c>
      <c r="E13" t="s">
        <v>1191</v>
      </c>
      <c r="G13" t="s">
        <v>1188</v>
      </c>
    </row>
    <row r="14" spans="1:7" x14ac:dyDescent="0.35">
      <c r="B14" t="s">
        <v>673</v>
      </c>
      <c r="C14" t="s">
        <v>1260</v>
      </c>
      <c r="G14" t="s">
        <v>1265</v>
      </c>
    </row>
    <row r="15" spans="1:7" x14ac:dyDescent="0.35">
      <c r="B15" t="s">
        <v>1240</v>
      </c>
      <c r="C15" t="s">
        <v>1178</v>
      </c>
      <c r="G15" t="s">
        <v>1271</v>
      </c>
    </row>
    <row r="16" spans="1:7" x14ac:dyDescent="0.35">
      <c r="B16" t="s">
        <v>1244</v>
      </c>
      <c r="G16" t="s">
        <v>1272</v>
      </c>
    </row>
    <row r="17" spans="2:7" x14ac:dyDescent="0.35">
      <c r="B17" t="s">
        <v>1239</v>
      </c>
      <c r="G17" t="s">
        <v>1195</v>
      </c>
    </row>
    <row r="18" spans="2:7" x14ac:dyDescent="0.35">
      <c r="B18" t="s">
        <v>1236</v>
      </c>
      <c r="G18" t="s">
        <v>1262</v>
      </c>
    </row>
    <row r="19" spans="2:7" x14ac:dyDescent="0.35">
      <c r="B19" t="s">
        <v>1241</v>
      </c>
    </row>
    <row r="20" spans="2:7" x14ac:dyDescent="0.35">
      <c r="B20" t="s">
        <v>1245</v>
      </c>
    </row>
    <row r="21" spans="2:7" x14ac:dyDescent="0.35">
      <c r="B21" t="s">
        <v>1110</v>
      </c>
    </row>
    <row r="22" spans="2:7" x14ac:dyDescent="0.35">
      <c r="B22" t="s">
        <v>1250</v>
      </c>
    </row>
    <row r="23" spans="2:7" x14ac:dyDescent="0.35">
      <c r="B23" t="s">
        <v>1256</v>
      </c>
    </row>
    <row r="24" spans="2:7" x14ac:dyDescent="0.35">
      <c r="B24" t="s">
        <v>1252</v>
      </c>
    </row>
  </sheetData>
  <sortState xmlns:xlrd2="http://schemas.microsoft.com/office/spreadsheetml/2017/richdata2" ref="D2:D10">
    <sortCondition ref="D2:D10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>
        <f ca="1">MATCH(C5,キャラ情報!C:C,0)</f>
        <v>274</v>
      </c>
    </row>
    <row r="5" spans="2:3" ht="30" customHeight="1" x14ac:dyDescent="0.35">
      <c r="B5" s="4" t="s">
        <v>406</v>
      </c>
      <c r="C5" s="6" t="str">
        <f ca="1">INDEX(キャラ情報!C:S,MATCH(MIN(キャラ情報!S:S),キャラ情報!S:S,0),1)</f>
        <v>トリノサエズリ</v>
      </c>
    </row>
    <row r="6" spans="2:3" ht="30" customHeight="1" x14ac:dyDescent="0.35">
      <c r="B6" s="4" t="s">
        <v>407</v>
      </c>
      <c r="C6" s="6" t="str">
        <f ca="1">INDEX(キャラ情報!C:S,MATCH(MIN(キャラ情報!S:S),キャラ情報!S:S,0),4)</f>
        <v>https://bowlroll.net/user/891946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 t="e">
        <f ca="1">MATCH(C12,キャラ情報!C:C,0)</f>
        <v>#N/A</v>
      </c>
    </row>
    <row r="12" spans="2:3" ht="30" customHeight="1" x14ac:dyDescent="0.35">
      <c r="B12" s="4" t="s">
        <v>406</v>
      </c>
      <c r="C12" s="6" t="e">
        <f ca="1">INDEX(キャラ情報!C:U,MATCH(MIN(キャラ情報!U:U),キャラ情報!U:U,0),1)</f>
        <v>#N/A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>"No."&amp;MAX(キャラ情報!A:A)+1&amp;"｜"</f>
        <v>No.276｜</v>
      </c>
      <c r="C17" s="12" t="e">
        <f ca="1">C12</f>
        <v>#N/A</v>
      </c>
    </row>
    <row r="18" spans="2:3" ht="30" customHeight="1" x14ac:dyDescent="0.35">
      <c r="B18" s="11" t="e">
        <f ca="1">INDEX(キャラ情報!C:G,MATCH(C12,キャラ情報!C:C,0),5)</f>
        <v>#N/A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76"/>
  <sheetViews>
    <sheetView topLeftCell="A236" zoomScale="50" zoomScaleNormal="50" workbookViewId="0">
      <selection activeCell="E280" sqref="E280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1232</v>
      </c>
      <c r="L1" s="1" t="s">
        <v>662</v>
      </c>
      <c r="M1" s="1" t="s">
        <v>663</v>
      </c>
      <c r="N1" s="1" t="s">
        <v>1289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/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/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</v>
      </c>
      <c r="J91" s="19" t="str">
        <f>SUBSTITUTE(テーブル1[[#This Row],[モチーフタグ]],"、","|")</f>
        <v/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</v>
      </c>
      <c r="J92" s="19" t="str">
        <f>SUBSTITUTE(テーブル1[[#This Row],[モチーフタグ]],"、","|")</f>
        <v/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https://rapo080302.wixsite.com/twosibi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36">
        <f>テーブル1[[#This Row],[番号]]</f>
        <v>269</v>
      </c>
      <c r="B270" s="36" t="str">
        <f>テーブル1[[#This Row],[名前]]</f>
        <v>夏乃みかん</v>
      </c>
      <c r="C270" s="36" t="str">
        <f>テーブル1[[#This Row],[なまえ]]</f>
        <v>なつの みかん</v>
      </c>
      <c r="D270" s="36" t="str">
        <f>テーブル1[[#This Row],[Name]]</f>
        <v>Natsuno Mikan</v>
      </c>
      <c r="E270" s="36" t="str">
        <f>"image/"&amp;テーブル1[[#This Row],[画像]]&amp;".png"</f>
        <v>image/natsuno-mikan.png</v>
      </c>
      <c r="F270" s="36" t="str">
        <f>テーブル1[[#This Row],[リンク]]</f>
        <v>https://natsunomikan.crayonsite.com</v>
      </c>
      <c r="G270" s="36" t="str">
        <f>SUBSTITUTE(テーブル1[[#This Row],[作品タグ]],"、","|")</f>
        <v>#夏乃みかん</v>
      </c>
      <c r="H270" s="36" t="str">
        <f>テーブル1[[#This Row],[性別]]&amp;""</f>
        <v>女性</v>
      </c>
      <c r="I270" s="36" t="str">
        <f>SUBSTITUTE(テーブル1[[#This Row],[種族タグ]],"、","|")</f>
        <v>人間</v>
      </c>
      <c r="J270" s="36" t="str">
        <f>SUBSTITUTE(テーブル1[[#This Row],[モチーフタグ]],"、","|")</f>
        <v>食べ物</v>
      </c>
      <c r="K270" s="36" t="str">
        <f>SUBSTITUTE(テーブル1[[#This Row],[属性タグ]],"、","|")</f>
        <v/>
      </c>
      <c r="L270" s="36" t="str">
        <f>SUBSTITUTE(テーブル1[[#This Row],[職業タグ]],"、","|")</f>
        <v>教育</v>
      </c>
      <c r="M270" s="36" t="str">
        <f>SUBSTITUTE(テーブル1[[#This Row],[小物タグ]],"、","|")</f>
        <v>髪飾り</v>
      </c>
      <c r="N270" s="36" t="str">
        <f>SUBSTITUTE(テーブル1[[#This Row],[身体的特徴タグ]],"、","|")</f>
        <v/>
      </c>
    </row>
    <row r="271" spans="1:14" ht="20.149999999999999" customHeight="1" x14ac:dyDescent="0.35">
      <c r="A271" s="36">
        <f>テーブル1[[#This Row],[番号]]</f>
        <v>270</v>
      </c>
      <c r="B271" s="36" t="str">
        <f>テーブル1[[#This Row],[名前]]</f>
        <v>壊田破</v>
      </c>
      <c r="C271" s="36" t="str">
        <f>テーブル1[[#This Row],[なまえ]]</f>
        <v>かいだ やぶる</v>
      </c>
      <c r="D271" s="36" t="str">
        <f>テーブル1[[#This Row],[Name]]</f>
        <v>Kaida Yaburu</v>
      </c>
      <c r="E271" s="36" t="str">
        <f>"image/"&amp;テーブル1[[#This Row],[画像]]&amp;".png"</f>
        <v>image/kaida-yaburu.png</v>
      </c>
      <c r="F271" s="36" t="str">
        <f>テーブル1[[#This Row],[リンク]]</f>
        <v>https://bowlroll.net/user/891946</v>
      </c>
      <c r="G271" s="36" t="str">
        <f>SUBSTITUTE(テーブル1[[#This Row],[作品タグ]],"、","|")</f>
        <v>#かわせみうたのじかん|#破と治</v>
      </c>
      <c r="H271" s="36" t="str">
        <f>テーブル1[[#This Row],[性別]]&amp;""</f>
        <v>男性</v>
      </c>
      <c r="I271" s="36" t="str">
        <f>SUBSTITUTE(テーブル1[[#This Row],[種族タグ]],"、","|")</f>
        <v>人間</v>
      </c>
      <c r="J271" s="36" t="str">
        <f>SUBSTITUTE(テーブル1[[#This Row],[モチーフタグ]],"、","|")</f>
        <v/>
      </c>
      <c r="K271" s="36" t="str">
        <f>SUBSTITUTE(テーブル1[[#This Row],[属性タグ]],"、","|")</f>
        <v/>
      </c>
      <c r="L271" s="36" t="str">
        <f>SUBSTITUTE(テーブル1[[#This Row],[職業タグ]],"、","|")</f>
        <v>教育</v>
      </c>
      <c r="M271" s="36" t="str">
        <f>SUBSTITUTE(テーブル1[[#This Row],[小物タグ]],"、","|")</f>
        <v>武器|服飾</v>
      </c>
      <c r="N271" s="36" t="str">
        <f>SUBSTITUTE(テーブル1[[#This Row],[身体的特徴タグ]],"、","|")</f>
        <v/>
      </c>
    </row>
    <row r="272" spans="1:14" ht="20.149999999999999" customHeight="1" x14ac:dyDescent="0.35">
      <c r="A272" s="36">
        <f>テーブル1[[#This Row],[番号]]</f>
        <v>271</v>
      </c>
      <c r="B272" s="36" t="str">
        <f>テーブル1[[#This Row],[名前]]</f>
        <v>復元治</v>
      </c>
      <c r="C272" s="36" t="str">
        <f>テーブル1[[#This Row],[なまえ]]</f>
        <v>ふくもと なおり</v>
      </c>
      <c r="D272" s="36" t="str">
        <f>テーブル1[[#This Row],[Name]]</f>
        <v>Fukumoto Naori</v>
      </c>
      <c r="E272" s="36" t="str">
        <f>"image/"&amp;テーブル1[[#This Row],[画像]]&amp;".png"</f>
        <v>image/fukumoto-naori.png</v>
      </c>
      <c r="F272" s="36" t="str">
        <f>テーブル1[[#This Row],[リンク]]</f>
        <v>https://bowlroll.net/user/891946</v>
      </c>
      <c r="G272" s="36" t="str">
        <f>SUBSTITUTE(テーブル1[[#This Row],[作品タグ]],"、","|")</f>
        <v>#かわせみうたのじかん|#破と治</v>
      </c>
      <c r="H272" s="36" t="str">
        <f>テーブル1[[#This Row],[性別]]&amp;""</f>
        <v>男性</v>
      </c>
      <c r="I272" s="36" t="str">
        <f>SUBSTITUTE(テーブル1[[#This Row],[種族タグ]],"、","|")</f>
        <v>人間</v>
      </c>
      <c r="J272" s="36" t="str">
        <f>SUBSTITUTE(テーブル1[[#This Row],[モチーフタグ]],"、","|")</f>
        <v/>
      </c>
      <c r="K272" s="36" t="str">
        <f>SUBSTITUTE(テーブル1[[#This Row],[属性タグ]],"、","|")</f>
        <v/>
      </c>
      <c r="L272" s="36" t="str">
        <f>SUBSTITUTE(テーブル1[[#This Row],[職業タグ]],"、","|")</f>
        <v>教育</v>
      </c>
      <c r="M272" s="36" t="str">
        <f>SUBSTITUTE(テーブル1[[#This Row],[小物タグ]],"、","|")</f>
        <v>服飾</v>
      </c>
      <c r="N272" s="36" t="str">
        <f>SUBSTITUTE(テーブル1[[#This Row],[身体的特徴タグ]],"、","|")</f>
        <v>傷・痕</v>
      </c>
    </row>
    <row r="273" spans="1:14" ht="20.149999999999999" customHeight="1" x14ac:dyDescent="0.35">
      <c r="A273" s="36">
        <f>テーブル1[[#This Row],[番号]]</f>
        <v>272</v>
      </c>
      <c r="B273" s="36" t="str">
        <f>テーブル1[[#This Row],[名前]]</f>
        <v>カワノセセラギ</v>
      </c>
      <c r="C273" s="36" t="str">
        <f>テーブル1[[#This Row],[なまえ]]</f>
        <v>かわのせせらぎ</v>
      </c>
      <c r="D273" s="36" t="str">
        <f>テーブル1[[#This Row],[Name]]</f>
        <v>Kawa no Seseragi</v>
      </c>
      <c r="E273" s="36" t="str">
        <f>"image/"&amp;テーブル1[[#This Row],[画像]]&amp;".png"</f>
        <v>image/kawa-no-seseragi.png</v>
      </c>
      <c r="F273" s="36" t="str">
        <f>テーブル1[[#This Row],[リンク]]</f>
        <v>https://bowlroll.net/user/891946</v>
      </c>
      <c r="G273" s="36" t="str">
        <f>SUBSTITUTE(テーブル1[[#This Row],[作品タグ]],"、","|")</f>
        <v>#かわせみうたのじかん|#さえずりながるる</v>
      </c>
      <c r="H273" s="36" t="str">
        <f>テーブル1[[#This Row],[性別]]&amp;""</f>
        <v>女性</v>
      </c>
      <c r="I273" s="36" t="str">
        <f>SUBSTITUTE(テーブル1[[#This Row],[種族タグ]],"、","|")</f>
        <v>人間</v>
      </c>
      <c r="J273" s="36" t="str">
        <f>SUBSTITUTE(テーブル1[[#This Row],[モチーフタグ]],"、","|")</f>
        <v>植物・自然</v>
      </c>
      <c r="K273" s="36" t="str">
        <f>SUBSTITUTE(テーブル1[[#This Row],[属性タグ]],"、","|")</f>
        <v/>
      </c>
      <c r="L273" s="36" t="str">
        <f>SUBSTITUTE(テーブル1[[#This Row],[職業タグ]],"、","|")</f>
        <v/>
      </c>
      <c r="M273" s="36" t="str">
        <f>SUBSTITUTE(テーブル1[[#This Row],[小物タグ]],"、","|")</f>
        <v>髪飾り</v>
      </c>
      <c r="N273" s="36" t="str">
        <f>SUBSTITUTE(テーブル1[[#This Row],[身体的特徴タグ]],"、","|")</f>
        <v>髪色</v>
      </c>
    </row>
    <row r="274" spans="1:14" ht="20.149999999999999" customHeight="1" x14ac:dyDescent="0.35">
      <c r="A274" s="36">
        <f>テーブル1[[#This Row],[番号]]</f>
        <v>273</v>
      </c>
      <c r="B274" s="36" t="str">
        <f>テーブル1[[#This Row],[名前]]</f>
        <v>トリノサエズリ</v>
      </c>
      <c r="C274" s="36" t="str">
        <f>テーブル1[[#This Row],[なまえ]]</f>
        <v>とりのさえずり</v>
      </c>
      <c r="D274" s="36" t="str">
        <f>テーブル1[[#This Row],[Name]]</f>
        <v>Tori no Saezuri</v>
      </c>
      <c r="E274" s="36" t="str">
        <f>"image/"&amp;テーブル1[[#This Row],[画像]]&amp;".png"</f>
        <v>image/tori-no-saezuri.png</v>
      </c>
      <c r="F274" s="36" t="str">
        <f>テーブル1[[#This Row],[リンク]]</f>
        <v>https://bowlroll.net/user/891946</v>
      </c>
      <c r="G274" s="36" t="str">
        <f>SUBSTITUTE(テーブル1[[#This Row],[作品タグ]],"、","|")</f>
        <v>#かわせみうたのじかん|#さえずりながるる</v>
      </c>
      <c r="H274" s="36" t="str">
        <f>テーブル1[[#This Row],[性別]]&amp;""</f>
        <v>女性</v>
      </c>
      <c r="I274" s="36" t="str">
        <f>SUBSTITUTE(テーブル1[[#This Row],[種族タグ]],"、","|")</f>
        <v>人間</v>
      </c>
      <c r="J274" s="36" t="str">
        <f>SUBSTITUTE(テーブル1[[#This Row],[モチーフタグ]],"、","|")</f>
        <v>植物・自然</v>
      </c>
      <c r="K274" s="36" t="str">
        <f>SUBSTITUTE(テーブル1[[#This Row],[属性タグ]],"、","|")</f>
        <v/>
      </c>
      <c r="L274" s="36" t="str">
        <f>SUBSTITUTE(テーブル1[[#This Row],[職業タグ]],"、","|")</f>
        <v/>
      </c>
      <c r="M274" s="36" t="str">
        <f>SUBSTITUTE(テーブル1[[#This Row],[小物タグ]],"、","|")</f>
        <v>髪飾り</v>
      </c>
      <c r="N274" s="36" t="str">
        <f>SUBSTITUTE(テーブル1[[#This Row],[身体的特徴タグ]],"、","|")</f>
        <v>髪色</v>
      </c>
    </row>
    <row r="275" spans="1:14" ht="20.149999999999999" customHeight="1" x14ac:dyDescent="0.35">
      <c r="A275" s="36">
        <f>テーブル1[[#This Row],[番号]]</f>
        <v>274</v>
      </c>
      <c r="B275" s="36" t="str">
        <f>テーブル1[[#This Row],[名前]]</f>
        <v>剪除鶴偽</v>
      </c>
      <c r="C275" s="36" t="str">
        <f>テーブル1[[#This Row],[なまえ]]</f>
        <v>せんじょ つるぎ</v>
      </c>
      <c r="D275" s="36" t="str">
        <f>テーブル1[[#This Row],[Name]]</f>
        <v>Senjo Tsurugi</v>
      </c>
      <c r="E275" s="36" t="str">
        <f>"image/"&amp;テーブル1[[#This Row],[画像]]&amp;".png"</f>
        <v>image/senjo-tsurugi.png</v>
      </c>
      <c r="F275" s="36" t="str">
        <f>テーブル1[[#This Row],[リンク]]</f>
        <v>https://grskmot8.wixsite.com/kdarock</v>
      </c>
      <c r="G275" s="36" t="str">
        <f>SUBSTITUTE(テーブル1[[#This Row],[作品タグ]],"、","|")</f>
        <v>#喜怒哀ROCK</v>
      </c>
      <c r="H275" s="36" t="str">
        <f>テーブル1[[#This Row],[性別]]&amp;""</f>
        <v>男性</v>
      </c>
      <c r="I275" s="36" t="str">
        <f>SUBSTITUTE(テーブル1[[#This Row],[種族タグ]],"、","|")</f>
        <v>人間</v>
      </c>
      <c r="J275" s="36" t="str">
        <f>SUBSTITUTE(テーブル1[[#This Row],[モチーフタグ]],"、","|")</f>
        <v/>
      </c>
      <c r="K275" s="36" t="str">
        <f>SUBSTITUTE(テーブル1[[#This Row],[属性タグ]],"、","|")</f>
        <v>ヤンキー</v>
      </c>
      <c r="L275" s="36" t="str">
        <f>SUBSTITUTE(テーブル1[[#This Row],[職業タグ]],"、","|")</f>
        <v/>
      </c>
      <c r="M275" s="36" t="str">
        <f>SUBSTITUTE(テーブル1[[#This Row],[小物タグ]],"、","|")</f>
        <v>服飾</v>
      </c>
      <c r="N275" s="36" t="str">
        <f>SUBSTITUTE(テーブル1[[#This Row],[身体的特徴タグ]],"、","|")</f>
        <v>目</v>
      </c>
    </row>
    <row r="276" spans="1:14" ht="20.149999999999999" customHeight="1" x14ac:dyDescent="0.35">
      <c r="A276" s="36">
        <f>テーブル1[[#This Row],[番号]]</f>
        <v>275</v>
      </c>
      <c r="B276" s="36" t="str">
        <f>テーブル1[[#This Row],[名前]]</f>
        <v>Mk-Ⅰ</v>
      </c>
      <c r="C276" s="36" t="str">
        <f>テーブル1[[#This Row],[なまえ]]</f>
        <v>まーくわん</v>
      </c>
      <c r="D276" s="36" t="str">
        <f>テーブル1[[#This Row],[Name]]</f>
        <v>Mk-Ⅰ</v>
      </c>
      <c r="E276" s="36" t="str">
        <f>"image/"&amp;テーブル1[[#This Row],[画像]]&amp;".png"</f>
        <v>image/mk-Ⅰ.png</v>
      </c>
      <c r="F276" s="36" t="str">
        <f>テーブル1[[#This Row],[リンク]]</f>
        <v>https://lit.link/SHIROKUROlonely</v>
      </c>
      <c r="G276" s="36" t="str">
        <f>SUBSTITUTE(テーブル1[[#This Row],[作品タグ]],"、","|")</f>
        <v>#虚トリエ</v>
      </c>
      <c r="H276" s="36" t="str">
        <f>テーブル1[[#This Row],[性別]]&amp;""</f>
        <v>無性別</v>
      </c>
      <c r="I276" s="36" t="str">
        <f>SUBSTITUTE(テーブル1[[#This Row],[種族タグ]],"、","|")</f>
        <v>機械</v>
      </c>
      <c r="J276" s="36" t="str">
        <f>SUBSTITUTE(テーブル1[[#This Row],[モチーフタグ]],"、","|")</f>
        <v/>
      </c>
      <c r="K276" s="36" t="str">
        <f>SUBSTITUTE(テーブル1[[#This Row],[属性タグ]],"、","|")</f>
        <v/>
      </c>
      <c r="L276" s="36" t="str">
        <f>SUBSTITUTE(テーブル1[[#This Row],[職業タグ]],"、","|")</f>
        <v/>
      </c>
      <c r="M276" s="36" t="str">
        <f>SUBSTITUTE(テーブル1[[#This Row],[小物タグ]],"、","|")</f>
        <v/>
      </c>
      <c r="N276" s="36" t="str">
        <f>SUBSTITUTE(テーブル1[[#This Row],[身体的特徴タグ]],"、","|")</f>
        <v>髪色|目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2026-08-08T15:42:07Z</dcterms:modified>
  <cp:category/>
  <cp:contentStatus/>
</cp:coreProperties>
</file>