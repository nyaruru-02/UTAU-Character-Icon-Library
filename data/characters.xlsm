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CBDA7E3C-B313-4EE0-B883-A401ED4AE543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7" i="9" l="1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Q280" i="1"/>
  <c r="U280" i="1"/>
  <c r="W280" i="1"/>
  <c r="X280" i="1"/>
  <c r="Y280" i="1"/>
  <c r="Z280" i="1"/>
  <c r="B279" i="1"/>
  <c r="E279" i="9" s="1"/>
  <c r="Q279" i="1"/>
  <c r="U279" i="1"/>
  <c r="V279" i="1"/>
  <c r="W279" i="1"/>
  <c r="X279" i="1"/>
  <c r="Y279" i="1"/>
  <c r="Z279" i="1"/>
  <c r="B278" i="1"/>
  <c r="E278" i="9" s="1"/>
  <c r="Q278" i="1"/>
  <c r="U278" i="1"/>
  <c r="V278" i="1"/>
  <c r="W278" i="1"/>
  <c r="X278" i="1"/>
  <c r="Y278" i="1"/>
  <c r="Z278" i="1"/>
  <c r="B277" i="1"/>
  <c r="E277" i="9" s="1"/>
  <c r="Q277" i="1"/>
  <c r="U277" i="1"/>
  <c r="V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Q276" i="1"/>
  <c r="U276" i="1"/>
  <c r="W276" i="1"/>
  <c r="X276" i="1"/>
  <c r="Y276" i="1"/>
  <c r="Z276" i="1"/>
  <c r="B275" i="1"/>
  <c r="Q275" i="1"/>
  <c r="U275" i="1"/>
  <c r="V275" i="1"/>
  <c r="W275" i="1"/>
  <c r="X275" i="1"/>
  <c r="Y275" i="1"/>
  <c r="Z275" i="1"/>
  <c r="B274" i="1"/>
  <c r="Q274" i="1"/>
  <c r="U274" i="1"/>
  <c r="W274" i="1"/>
  <c r="X274" i="1"/>
  <c r="Y274" i="1"/>
  <c r="Z274" i="1"/>
  <c r="B273" i="1"/>
  <c r="Q273" i="1"/>
  <c r="U273" i="1"/>
  <c r="W273" i="1"/>
  <c r="X273" i="1"/>
  <c r="Y273" i="1"/>
  <c r="Z273" i="1"/>
  <c r="B272" i="1"/>
  <c r="Q272" i="1"/>
  <c r="U272" i="1"/>
  <c r="W272" i="1"/>
  <c r="X272" i="1"/>
  <c r="Y272" i="1"/>
  <c r="Z272" i="1"/>
  <c r="B271" i="1"/>
  <c r="Q271" i="1"/>
  <c r="U271" i="1"/>
  <c r="W271" i="1"/>
  <c r="X271" i="1"/>
  <c r="Y271" i="1"/>
  <c r="Z271" i="1"/>
  <c r="B270" i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0" i="9"/>
  <c r="G132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38" i="9" s="1"/>
  <c r="G162" i="1"/>
  <c r="G44" i="9" s="1"/>
  <c r="G166" i="1"/>
  <c r="G85" i="9" s="1"/>
  <c r="G179" i="1"/>
  <c r="G207" i="1"/>
  <c r="G133" i="9" s="1"/>
  <c r="G208" i="1"/>
  <c r="G210" i="1"/>
  <c r="G258" i="9" s="1"/>
  <c r="G223" i="1"/>
  <c r="G50" i="9" s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V280" i="1" l="1"/>
  <c r="E280" i="9"/>
  <c r="E275" i="9"/>
  <c r="G89" i="9"/>
  <c r="G91" i="9"/>
  <c r="G228" i="9"/>
  <c r="G239" i="9"/>
  <c r="G124" i="9"/>
  <c r="G129" i="9"/>
  <c r="R280" i="1"/>
  <c r="S280" i="1" s="1"/>
  <c r="R279" i="1"/>
  <c r="S279" i="1" s="1"/>
  <c r="R278" i="1"/>
  <c r="S278" i="1" s="1"/>
  <c r="R277" i="1"/>
  <c r="S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<sst xmlns="http://schemas.openxmlformats.org/spreadsheetml/2006/main" count="2840" uniqueCount="1376">
  <si>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</si>
  <si>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</si>
  <si>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</si>
  <si>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</si>
  <si>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</si>
  <si>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</si>
  <si>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</si>
  <si>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</si>
  <si>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</si>
  <si>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</si>
  <si>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</si>
  <si>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</si>
  <si>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</si>
  <si>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</si>
  <si>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</si>
  <si>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</si>
  <si>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</si>
  <si>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</si>
  <si>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</si>
  <si>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</si>
  <si>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</si>
  <si>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</si>
  <si>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</si>
  <si>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</si>
  <si>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</si>
  <si>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</si>
  <si>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</si>
  <si>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</si>
  <si>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</si>
  <si>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</si>
  <si>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</si>
  <si>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</si>
  <si>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</si>
  <si>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</si>
  <si>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</si>
  <si>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</si>
  <si>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</si>
  <si>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</si>
  <si>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</si>
  <si>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</si>
  <si>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</si>
  <si>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</si>
  <si>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</si>
  <si>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</si>
  <si>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</si>
  <si>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</si>
  <si>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</si>
  <si>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</si>
  <si>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</si>
  <si>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</si>
  <si>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</si>
  <si>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</si>
  <si>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</si>
  <si>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</si>
  <si>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</si>
  <si>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</si>
  <si>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</si>
  <si>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</si>
  <si>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</si>
  <si>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</si>
  <si>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</si>
  <si>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</si>
  <si>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</si>
  <si>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</si>
  <si>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</si>
  <si>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</si>
  <si>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</si>
  <si>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</si>
  <si>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</si>
  <si>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</si>
  <si>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</si>
  <si>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</si>
  <si>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</si>
  <si>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</si>
  <si>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</si>
  <si>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</si>
  <si>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</si>
  <si>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</si>
  <si>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</si>
  <si>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</si>
  <si>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</si>
  <si>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</si>
  <si>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</si>
  <si>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</si>
  <si>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</si>
  <si>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</si>
  <si>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</si>
  <si>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</si>
  <si>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</si>
  <si>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</si>
  <si>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</si>
  <si>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</si>
  <si>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</si>
  <si>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</si>
  <si>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</si>
  <si>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</si>
  <si>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</si>
  <si>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</si>
  <si>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</si>
  <si>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</si>
  <si>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</si>
  <si>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</si>
  <si>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</si>
  <si>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</si>
  <si>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</si>
  <si>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</si>
  <si>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</si>
  <si>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</si>
  <si>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</si>
  <si>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</si>
  <si>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</si>
  <si>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</si>
  <si>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</si>
  <si>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</si>
  <si>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</si>
  <si>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</si>
  <si>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</si>
  <si>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</si>
  <si>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</si>
  <si>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</si>
  <si>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</si>
  <si>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</si>
  <si>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</si>
  <si>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</si>
  <si>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</si>
  <si>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</si>
  <si>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</si>
  <si>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</si>
  <si>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</si>
  <si>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</si>
  <si>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</si>
  <si>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</si>
  <si>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</si>
  <si>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</si>
  <si>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</si>
  <si>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</si>
  <si>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</si>
  <si>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</si>
  <si>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</si>
  <si>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</si>
  <si>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</si>
  <si>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</si>
  <si>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</si>
  <si>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</si>
  <si>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</si>
  <si>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</si>
  <si>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</si>
  <si>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</si>
  <si>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</si>
  <si>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</si>
  <si>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</si>
  <si>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</si>
  <si>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</si>
  <si>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</si>
  <si>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</si>
  <si>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</si>
  <si>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</si>
  <si>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</si>
  <si>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</si>
  <si>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</si>
  <si>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</si>
  <si>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</si>
  <si>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</si>
  <si>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</si>
  <si>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</si>
  <si>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</si>
  <si>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</si>
  <si>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</si>
  <si>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</si>
  <si>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</si>
  <si>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</si>
  <si>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</si>
  <si>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</si>
  <si>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</si>
  <si>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</si>
  <si>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</si>
  <si>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</si>
  <si>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</si>
  <si>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</si>
  <si>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</si>
  <si>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</si>
  <si>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</si>
  <si>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</si>
  <si>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</si>
  <si>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</si>
  <si>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</si>
  <si>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</si>
  <si>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</si>
  <si>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</si>
  <si>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</si>
  <si>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</si>
  <si>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</si>
  <si>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</si>
  <si>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</si>
  <si>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</si>
  <si>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</si>
  <si>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</si>
  <si>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</si>
  <si>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</si>
  <si>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</si>
  <si>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</si>
  <si>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</si>
  <si>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</si>
  <si>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</si>
  <si>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</si>
  <si>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</si>
  <si>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</si>
  <si>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</si>
  <si>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</si>
  <si>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</si>
  <si>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</si>
  <si>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</si>
  <si>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</si>
  <si>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</si>
  <si>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</si>
  <si>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</si>
  <si>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</si>
  <si>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</si>
  <si>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</si>
  <si>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</si>
  <si>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</si>
  <si>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</si>
  <si>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</si>
  <si>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</si>
  <si>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</si>
  <si>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</si>
  <si>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</si>
  <si>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</si>
  <si>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</si>
  <si>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</si>
  <si>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</si>
  <si>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</si>
  <si>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</si>
  <si>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</si>
  <si>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</si>
  <si>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</si>
  <si>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</si>
  <si>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</si>
  <si>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</si>
  <si>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</si>
  <si>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</si>
  <si>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</si>
  <si>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</si>
  <si>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</si>
  <si>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</si>
  <si>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</si>
  <si>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</si>
  <si>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</si>
  <si>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</si>
  <si>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</si>
  <si>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</si>
  <si>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</si>
  <si>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</si>
  <si>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</si>
  <si>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</si>
  <si>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</si>
  <si>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</si>
  <si>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</si>
  <si>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</si>
  <si>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</si>
  <si>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</si>
  <si>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</si>
  <si>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</si>
  <si>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</si>
  <si>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</si>
  <si>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</si>
  <si>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</si>
  <si>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</si>
  <si>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</si>
  <si>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</si>
  <si>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</si>
  <si>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</si>
  <si>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</si>
  <si>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</si>
  <si>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</si>
  <si>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</si>
  <si>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</si>
  <si>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</si>
  <si>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</si>
  <si>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</si>
  <si>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</si>
  <si>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</si>
  <si>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</si>
  <si>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</si>
  <si>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</si>
  <si>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</si>
  <si>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</si>
  <si>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</si>
  <si>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</si>
  <si>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</si>
  <si>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</si>
  <si>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</si>
  <si>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</si>
  <si>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</si>
  <si>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</si>
  <si>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</si>
  <si>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</si>
  <si>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</si>
  <si>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</si>
  <si>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</si>
  <si>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</si>
  <si>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</si>
  <si>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</si>
  <si>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</si>
  <si>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</si>
  <si>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</si>
  <si>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</si>
  <si>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</si>
  <si>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</si>
  <si>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</si>
  <si>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</si>
  <si>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</si>
  <si>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</si>
  <si>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</si>
  <si>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</si>
  <si>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</si>
  <si>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</si>
  <si>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</si>
  <si>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</si>
  <si>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</si>
  <si>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</si>
  <si>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</si>
  <si>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</si>
  <si>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</si>
  <si>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</si>
  <si>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</si>
  <si>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</si>
  <si>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</si>
  <si>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</si>
  <si>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</si>
  <si>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</si>
  <si>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</si>
  <si>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</si>
  <si>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</si>
  <si>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</si>
  <si>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</si>
  <si>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</si>
  <si>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</si>
  <si>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</si>
  <si>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</si>
  <si>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</si>
  <si>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</si>
  <si>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</si>
  <si>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</si>
  <si>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</si>
  <si>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</si>
  <si>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</si>
  <si>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</si>
  <si>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</si>
  <si>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</si>
  <si>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</si>
  <si>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</si>
  <si>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</si>
  <si>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</si>
  <si>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</si>
  <si>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</si>
  <si>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</si>
  <si>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</si>
  <si>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</si>
  <si>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</si>
  <si>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</si>
  <si>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</si>
  <si>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</si>
  <si>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</si>
  <si>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</si>
  <si>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</si>
  <si>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</si>
  <si>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</si>
  <si>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</si>
  <si>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</si>
  <si>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</si>
  <si>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</si>
  <si>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</si>
  <si>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</si>
  <si>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</si>
  <si>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</si>
  <si>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</si>
  <si>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</si>
  <si>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</si>
  <si>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</si>
  <si>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</si>
  <si>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</si>
  <si>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</si>
  <si>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</si>
  <si>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</si>
  <si>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</si>
  <si>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</si>
  <si>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</si>
  <si>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</si>
  <si>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</si>
  <si>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</si>
  <si>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</si>
  <si>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</si>
  <si>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</si>
  <si>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</si>
  <si>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</si>
  <si>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</si>
  <si>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</si>
  <si>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</si>
  <si>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</si>
  <si>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</si>
  <si>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</si>
  <si>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</si>
  <si>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</si>
  <si>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</si>
  <si>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</si>
  <si>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</si>
  <si>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</si>
  <si>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</si>
  <si>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</si>
  <si>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</si>
  <si>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</si>
  <si>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</si>
  <si>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</si>
  <si>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</si>
  <si>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</si>
  <si>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</si>
  <si>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</si>
  <si>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</si>
  <si>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</si>
  <si>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</si>
  <si>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</si>
  <si>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</si>
  <si>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</si>
  <si>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</si>
  <si>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</si>
  <si>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</si>
  <si>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</si>
  <si>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</si>
  <si>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</si>
  <si>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</si>
  <si>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</si>
  <si>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</si>
  <si>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</si>
  <si>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</si>
  <si>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</si>
  <si>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</si>
  <si>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</si>
  <si>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</si>
  <si>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</si>
  <si>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</si>
  <si>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</si>
  <si>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</si>
  <si>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</si>
  <si>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</si>
  <si>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</si>
  <si>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</si>
  <si>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</si>
  <si>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</si>
  <si>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</si>
  <si>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</si>
  <si>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</si>
  <si>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</si>
  <si>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</si>
  <si>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</si>
  <si>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</si>
  <si>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</si>
  <si>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</si>
  <si>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</si>
  <si>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</si>
  <si>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</si>
  <si>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</si>
  <si>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</si>
  <si>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</si>
  <si>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</si>
  <si>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</si>
  <si>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</si>
  <si>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</si>
  <si>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</si>
  <si>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</si>
  <si>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</si>
  <si>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</si>
  <si>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</si>
  <si>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</si>
  <si>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</si>
  <si>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</si>
  <si>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</si>
  <si>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</si>
  <si>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</si>
  <si>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</si>
  <si>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</si>
  <si>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</si>
  <si>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</si>
  <si>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</si>
  <si>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</si>
  <si>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</si>
  <si>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</si>
  <si>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</si>
  <si>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</si>
  <si>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</si>
  <si>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</si>
  <si>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</si>
  <si>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</si>
  <si>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</si>
  <si>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</si>
  <si>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</si>
  <si>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</si>
  <si>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</si>
  <si>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</si>
  <si>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</si>
  <si>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</si>
  <si>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</si>
  <si>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</si>
  <si>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</si>
  <si>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</si>
  <si>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</si>
  <si>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</si>
  <si>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</si>
  <si>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</si>
  <si>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</si>
  <si>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</si>
  <si>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</si>
  <si>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</si>
  <si>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</si>
  <si>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</si>
  <si>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</si>
  <si>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</si>
  <si>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</si>
  <si>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</si>
  <si>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</si>
  <si>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</si>
  <si>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</si>
  <si>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</si>
  <si>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</si>
  <si>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</si>
  <si>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</si>
  <si>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</si>
  <si>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</si>
  <si>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</si>
  <si>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</si>
  <si>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</si>
  <si>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</si>
  <si>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</si>
  <si>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</si>
  <si>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</si>
  <si>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</si>
  <si>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</si>
  <si>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</si>
  <si>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</si>
  <si>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</si>
  <si>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</si>
  <si>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</si>
  <si>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</si>
  <si>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</si>
  <si>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</si>
  <si>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</si>
  <si>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</si>
  <si>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</si>
  <si>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</si>
  <si>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</si>
  <si>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</si>
  <si>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</si>
  <si>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</si>
  <si>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</si>
  <si>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</si>
  <si>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</si>
  <si>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</si>
  <si>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</si>
  <si>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</si>
  <si>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</si>
  <si>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</si>
  <si>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</si>
  <si>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</si>
  <si>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</si>
  <si>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</si>
  <si>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</si>
  <si>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</si>
  <si>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</si>
  <si>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</si>
  <si>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</si>
  <si>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</si>
  <si>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</si>
  <si>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</si>
  <si>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</si>
  <si>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</si>
  <si>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</si>
  <si>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</si>
  <si>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</si>
  <si>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</si>
  <si>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</si>
  <si>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</si>
  <si>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</si>
  <si>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</si>
  <si>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</si>
  <si>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</si>
  <si>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</si>
  <si>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</si>
  <si>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</si>
  <si>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</si>
  <si>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</si>
  <si>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</si>
  <si>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</si>
  <si>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</si>
  <si>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</si>
  <si>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</si>
  <si>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</si>
  <si>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</si>
  <si>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</si>
  <si>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</si>
  <si>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</si>
  <si>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</si>
  <si>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</si>
  <si>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</si>
  <si>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</si>
  <si>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</si>
  <si>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</si>
  <si>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</si>
  <si>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</si>
  <si>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</si>
  <si>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</si>
  <si>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</si>
  <si>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</si>
  <si>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</si>
  <si>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</si>
  <si>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</si>
  <si>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</si>
  <si>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</si>
  <si>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</si>
  <si>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</si>
  <si>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</si>
  <si>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</si>
  <si>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</si>
  <si>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</si>
  <si>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</si>
  <si>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</si>
  <si>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</si>
  <si>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</si>
  <si>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</si>
  <si>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</si>
  <si>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</si>
  <si>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</si>
  <si>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</si>
  <si>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</si>
  <si>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</si>
  <si>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</si>
  <si>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</si>
  <si>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</si>
  <si>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</si>
  <si>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</si>
  <si>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</si>
  <si>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</si>
  <si>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</si>
  <si>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</si>
  <si>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</si>
  <si>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</si>
  <si>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</si>
  <si>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</si>
  <si>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</si>
  <si>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</si>
  <si>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</si>
  <si>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</si>
  <si>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</si>
  <si>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</si>
  <si>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</si>
  <si>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</si>
  <si>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</si>
  <si>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</si>
  <si>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</si>
  <si>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</si>
  <si>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</si>
  <si>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</si>
  <si>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</si>
  <si>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</si>
  <si>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</si>
  <si>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</si>
  <si>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</si>
  <si>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</si>
  <si>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</si>
  <si>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</si>
  <si>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</si>
  <si>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</si>
  <si>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</si>
  <si>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</si>
  <si>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</si>
  <si>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</si>
  <si>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</si>
  <si>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</si>
  <si>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</si>
  <si>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</si>
  <si>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</si>
  <si>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</si>
  <si>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</si>
  <si>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</si>
  <si>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</si>
  <si>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</si>
  <si>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</si>
  <si>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</si>
  <si>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</si>
  <si>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</si>
  <si>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</si>
  <si>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</si>
  <si>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</si>
  <si>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</si>
  <si>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</si>
  <si>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</si>
  <si>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</si>
  <si>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</si>
  <si>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</si>
  <si>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</si>
  <si>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</si>
  <si>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</si>
  <si>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</si>
  <si>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</si>
  <si>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</si>
  <si>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</si>
  <si>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</si>
  <si>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</si>
  <si>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</si>
  <si>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</si>
  <si>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</si>
  <si>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</si>
  <si>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</si>
  <si>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</si>
  <si>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</si>
  <si>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</si>
  <si>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</si>
  <si>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</si>
  <si>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</si>
  <si>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</si>
  <si>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</si>
  <si>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</si>
  <si>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</si>
  <si>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</si>
  <si>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</si>
  <si>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</si>
  <si>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</si>
  <si>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</si>
  <si>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</si>
  <si>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</si>
  <si>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</si>
  <si>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</si>
  <si>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</si>
  <si>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</si>
  <si>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</si>
  <si>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</si>
  <si>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</si>
  <si>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</si>
  <si>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</si>
  <si>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</si>
  <si>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</si>
  <si>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</si>
  <si>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</si>
  <si>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</si>
  <si>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</si>
  <si>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</si>
  <si>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</si>
  <si>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</si>
  <si>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</si>
  <si>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</si>
  <si>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</si>
  <si>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</si>
  <si>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</si>
  <si>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</si>
  <si>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</si>
  <si>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</si>
  <si>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</si>
  <si>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</si>
  <si>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</si>
  <si>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</si>
  <si>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</si>
  <si>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</si>
  <si>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</si>
  <si>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</si>
  <si>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</si>
  <si>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</si>
  <si>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</si>
  <si>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</si>
  <si>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</si>
  <si>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</si>
  <si>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</si>
  <si>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</si>
  <si>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</si>
  <si>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</si>
  <si>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</si>
  <si>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</si>
  <si>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</si>
  <si>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</si>
  <si>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</si>
  <si>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</si>
  <si>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</si>
  <si>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</si>
  <si>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</si>
  <si>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</si>
  <si>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</si>
  <si>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</si>
  <si>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</si>
  <si>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</si>
  <si>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</si>
  <si>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</si>
  <si>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</si>
  <si>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</si>
  <si>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</si>
  <si>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</si>
  <si>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</si>
  <si>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</si>
  <si>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</si>
  <si>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</si>
  <si>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</si>
  <si>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</si>
  <si>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</si>
  <si>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</si>
  <si>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</si>
  <si>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</si>
  <si>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</si>
  <si>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</si>
  <si>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</si>
  <si>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</si>
  <si>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</si>
  <si>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</si>
  <si>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</si>
  <si>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</si>
  <si>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</si>
  <si>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</si>
  <si>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</si>
  <si>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</si>
  <si>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</si>
  <si>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</si>
  <si>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</si>
  <si>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</si>
  <si>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</si>
  <si>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</si>
  <si>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</si>
  <si>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</si>
  <si>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</si>
  <si>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</si>
  <si>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</si>
  <si>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</si>
  <si>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</si>
  <si>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</si>
  <si>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</si>
  <si>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</si>
  <si>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</si>
  <si>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</si>
  <si>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</si>
  <si>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</si>
  <si>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</si>
  <si>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</si>
  <si>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</si>
  <si>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</si>
  <si>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</si>
  <si>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</si>
  <si>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</si>
  <si>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</si>
  <si>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</si>
  <si>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</si>
  <si>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</si>
  <si>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</si>
  <si>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</si>
  <si>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</si>
  <si>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</si>
  <si>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</si>
  <si>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</si>
  <si>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</si>
  <si>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</si>
  <si>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</si>
  <si>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</si>
  <si>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</si>
  <si>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</si>
  <si>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</si>
  <si>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</si>
  <si>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</si>
  <si>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</si>
  <si>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</si>
  <si>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</si>
  <si>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</si>
  <si>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</si>
  <si>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</si>
  <si>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</si>
  <si>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</si>
  <si>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</si>
  <si>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</si>
  <si>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</si>
  <si>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</si>
  <si>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</si>
  <si>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</si>
  <si>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</si>
  <si>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</si>
  <si>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</si>
  <si>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</si>
  <si>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</si>
  <si>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</si>
  <si>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</si>
  <si>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</si>
  <si>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</si>
  <si>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</si>
  <si>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</si>
  <si>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</si>
  <si>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</si>
  <si>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</si>
  <si>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</si>
  <si>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</si>
  <si>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</si>
  <si>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</si>
  <si>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</si>
  <si>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</si>
  <si>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</si>
  <si>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</si>
  <si>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</si>
  <si>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</si>
  <si>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</si>
  <si>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</si>
  <si>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</si>
  <si>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</si>
  <si>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</si>
  <si>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</si>
  <si>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</si>
  <si>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</si>
  <si>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</si>
  <si>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</si>
  <si>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</si>
  <si>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</si>
  <si>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</si>
  <si>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</si>
  <si>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</si>
  <si>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</si>
  <si>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</si>
  <si>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</si>
  <si>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</si>
  <si>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</si>
  <si>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</si>
  <si>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</si>
  <si>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</si>
  <si>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</si>
  <si>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</si>
  <si>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</si>
  <si>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</si>
  <si>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</si>
  <si>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</si>
  <si>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</si>
  <si>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</si>
  <si>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</si>
  <si>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</si>
  <si>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</si>
  <si>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</si>
  <si>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</si>
  <si>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</si>
  <si>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</si>
  <si>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</si>
  <si>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</si>
  <si>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</si>
  <si>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</si>
  <si>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</si>
  <si>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</si>
  <si>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</si>
  <si>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</si>
  <si>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</si>
  <si>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</si>
  <si>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</si>
  <si>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</si>
  <si>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</si>
  <si>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</si>
  <si>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</si>
  <si>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</si>
  <si>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</si>
  <si>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</si>
  <si>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</si>
  <si>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</si>
  <si>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</si>
  <si>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</si>
  <si>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</si>
  <si>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</si>
  <si>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</si>
  <si>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</si>
  <si>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</si>
  <si>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</si>
  <si>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</si>
  <si>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</si>
  <si>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</si>
  <si>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</si>
  <si>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</si>
  <si>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</si>
  <si>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</si>
  <si>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</si>
  <si>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</si>
  <si>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</si>
  <si>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</si>
  <si>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</si>
  <si>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</si>
  <si>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</si>
  <si>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</si>
  <si>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</si>
  <si>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</si>
  <si>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</si>
  <si>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</si>
  <si>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</si>
  <si>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</si>
  <si>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</si>
  <si>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</si>
  <si>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</si>
  <si>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</si>
  <si>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</si>
  <si>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</si>
  <si>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</si>
  <si>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</si>
  <si>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</si>
  <si>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</si>
  <si>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</si>
  <si>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</si>
  <si>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</si>
  <si>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</si>
  <si>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</si>
  <si>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</si>
  <si>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</si>
  <si>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</si>
  <si>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</si>
  <si>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</si>
  <si>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</si>
  <si>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</si>
  <si>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</si>
  <si>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</si>
  <si>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</si>
  <si>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</si>
  <si>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</si>
  <si>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</si>
  <si>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</si>
  <si>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</si>
  <si>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</si>
  <si>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</si>
  <si>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</si>
  <si>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</si>
  <si>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</si>
  <si>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</si>
  <si>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</si>
  <si>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</si>
  <si>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</si>
  <si>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</si>
  <si>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</si>
  <si>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</si>
  <si>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</si>
  <si>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</si>
  <si>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</si>
  <si>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</si>
  <si>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</si>
  <si>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</si>
  <si>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</si>
  <si>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</si>
  <si>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</si>
  <si>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</si>
  <si>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</si>
  <si>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</si>
  <si>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</si>
  <si>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</si>
  <si>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</si>
  <si>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</si>
  <si>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</si>
  <si>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</si>
  <si>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</si>
  <si>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</si>
  <si>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</si>
  <si>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</si>
  <si>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</si>
  <si>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</si>
  <si>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</si>
  <si>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</si>
  <si>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</si>
  <si>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</si>
  <si>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</si>
  <si>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</si>
  <si>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</si>
  <si>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</si>
  <si>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</si>
  <si>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</si>
  <si>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</si>
  <si>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</si>
  <si>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</si>
  <si>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</si>
  <si>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</si>
  <si>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</si>
  <si>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</si>
  <si>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</si>
  <si>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</si>
  <si>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</si>
  <si>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</si>
  <si>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</si>
  <si>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</si>
  <si>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</si>
  <si>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</si>
  <si>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</si>
  <si>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</si>
  <si>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</si>
  <si>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</si>
  <si>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</si>
  <si>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</si>
  <si>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</si>
  <si>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</si>
  <si>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</si>
  <si>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</si>
  <si>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</si>
  <si>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</si>
  <si>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</si>
  <si>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</si>
  <si>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</si>
  <si>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</si>
  <si>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</si>
  <si>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</si>
  <si>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</si>
  <si>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</si>
  <si>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</si>
  <si>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</si>
  <si>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</si>
  <si>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</si>
  <si>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</si>
  <si>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</si>
  <si>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</si>
  <si>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</si>
  <si>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</si>
  <si>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</si>
  <si>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</si>
  <si>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</si>
  <si>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</si>
  <si>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</si>
  <si>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</si>
  <si>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</si>
  <si>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</si>
  <si>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</si>
  <si>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</si>
  <si>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</si>
  <si>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</si>
  <si>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</si>
  <si>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</si>
  <si>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</si>
  <si>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</si>
  <si>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</si>
  <si>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</si>
  <si>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</si>
  <si>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</si>
  <si>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</si>
  <si>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</si>
  <si>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</si>
  <si>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</si>
  <si>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</si>
  <si>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</si>
  <si>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</si>
  <si>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</si>
  <si>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</si>
  <si>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</si>
  <si>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</si>
  <si>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</si>
  <si>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</si>
  <si>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</si>
  <si>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</si>
  <si>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</si>
  <si>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</si>
  <si>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</si>
  <si>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</si>
  <si>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</si>
  <si>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</si>
  <si>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</si>
  <si>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</si>
  <si>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</si>
  <si>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</si>
  <si>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</si>
  <si>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</si>
  <si>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</si>
  <si>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</si>
  <si>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</si>
  <si>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</si>
  <si>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</si>
  <si>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</si>
  <si>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</si>
  <si>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</si>
  <si>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</si>
  <si>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</si>
  <si>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</si>
  <si>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</si>
  <si>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</si>
  <si>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</si>
  <si>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</si>
  <si>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</si>
  <si>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</si>
  <si>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</si>
  <si>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</si>
  <si>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</si>
  <si>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</si>
  <si>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</si>
  <si>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</si>
  <si>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</si>
  <si>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</si>
  <si>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</si>
  <si>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</si>
  <si>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</si>
  <si>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</si>
  <si>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</si>
  <si>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</si>
  <si>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</si>
  <si>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</si>
  <si>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</si>
  <si>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</si>
  <si>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</si>
  <si>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</si>
  <si>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</si>
  <si>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</si>
  <si>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</si>
  <si>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</si>
  <si>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</si>
  <si>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</si>
  <si>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</si>
  <si>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</si>
  <si>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</si>
  <si>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</si>
  <si>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</si>
  <si>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</si>
  <si>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</si>
  <si>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</si>
  <si>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</si>
  <si>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</si>
  <si>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</si>
  <si>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</si>
  <si>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</si>
  <si>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</si>
  <si>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</si>
  <si>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</si>
  <si>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</si>
  <si>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</si>
  <si>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</si>
  <si>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</si>
  <si>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</si>
  <si>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</si>
  <si>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</si>
  <si>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</si>
  <si>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</si>
  <si>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</si>
  <si>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</si>
  <si>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</si>
  <si>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</si>
  <si>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</si>
  <si>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</si>
  <si>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</si>
  <si>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</si>
  <si>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</si>
  <si>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</si>
  <si>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</si>
  <si>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</si>
  <si>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</si>
  <si>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</si>
  <si>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</si>
  <si>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</si>
  <si>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</si>
  <si>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</si>
  <si>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</si>
  <si>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</si>
  <si>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</si>
  <si>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</si>
  <si>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</si>
  <si>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</si>
  <si>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</si>
  <si>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</si>
  <si>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</si>
  <si>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</si>
  <si>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</si>
  <si>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</si>
  <si>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</si>
  <si>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</si>
  <si>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</si>
  <si>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</si>
  <si>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</si>
  <si>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</si>
  <si>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</si>
  <si>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</si>
  <si>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</si>
  <si>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</si>
  <si>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</si>
  <si>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</si>
  <si>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</si>
  <si>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</si>
  <si>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</si>
  <si>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</si>
  <si>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</si>
  <si>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</si>
  <si>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</si>
  <si>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</si>
  <si>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</si>
  <si>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</si>
  <si>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</si>
  <si>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</si>
  <si>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</si>
  <si>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</si>
  <si>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</si>
  <si>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</si>
  <si>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</si>
  <si>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</si>
  <si>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</si>
  <si>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</si>
  <si>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</si>
  <si>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</si>
  <si>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</si>
  <si>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</si>
  <si>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</si>
  <si>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</si>
  <si>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</si>
  <si>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</si>
  <si>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</si>
  <si>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</si>
  <si>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</si>
  <si>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</si>
  <si>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</si>
  <si>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</si>
  <si>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</si>
  <si>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</si>
  <si>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</si>
  <si>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</si>
  <si>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</si>
  <si>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</si>
  <si>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</si>
  <si>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</si>
  <si>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</si>
  <si>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</si>
  <si>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</si>
  <si>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</si>
  <si>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</si>
  <si>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</si>
  <si>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</si>
  <si>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</si>
  <si>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</si>
  <si>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</si>
  <si>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</si>
  <si>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</si>
  <si>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</si>
  <si>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</si>
  <si>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</si>
  <si>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</si>
  <si>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</si>
  <si>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</si>
  <si>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</si>
  <si>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</si>
  <si>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</si>
  <si>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</si>
  <si>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</si>
  <si>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</si>
  <si>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</si>
  <si>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</si>
  <si>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</si>
  <si>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</si>
  <si>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</si>
  <si>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</si>
  <si>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</si>
  <si>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</si>
  <si>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</si>
  <si>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</si>
  <si>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</si>
  <si>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</si>
  <si>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</si>
  <si>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</si>
  <si>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</si>
  <si>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</si>
  <si>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</si>
  <si>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</si>
  <si>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</si>
  <si>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</si>
  <si>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</si>
  <si>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</si>
  <si>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</si>
  <si>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</si>
  <si>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</si>
  <si>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</si>
  <si>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</si>
  <si>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</si>
  <si>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</si>
  <si>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</si>
  <si>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</si>
  <si>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</si>
  <si>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</si>
  <si>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</si>
  <si>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</si>
  <si>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</si>
  <si>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</si>
  <si>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</si>
  <si>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</si>
  <si>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</si>
  <si>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</si>
  <si>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</si>
  <si>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</si>
  <si>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</si>
  <si>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</si>
  <si>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高身長</t>
    <phoneticPr fontId="1"/>
  </si>
  <si>
    <t>両性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</si>
</sst>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0" headerRowDxfId="68" dataDxfId="67" tableBorderDxfId="66">
  <autoFilter ref="A1:Z280" xr:uid="{AFDEA6E0-6891-40ED-8736-87CEEF9CED2F}"/>
  <sortState xmlns:xlrd2="http://schemas.microsoft.com/office/spreadsheetml/2017/richdata2" ref="A2:Z280">
    <sortCondition ref="A1:A280"/>
  </sortState>
  <tableColumns count="26">
    <tableColumn id="7" xr3:uid="{9D671CE8-205F-4EC4-AF57-C49043815D5D}" name="番号" totalsRowLabel="集計" dataDxfId="65" totalsRowDxfId="64"/>
    <tableColumn id="1" xr3:uid="{BC0E7496-4241-40F3-92D1-BFEC8E2F21B0}" name="画像" dataDxfId="63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2" totalsRowDxfId="61"/>
    <tableColumn id="3" xr3:uid="{1CD1AB40-A0B3-43E1-8992-FB5152113AF0}" name="なまえ" dataDxfId="60" totalsRowDxfId="59"/>
    <tableColumn id="4" xr3:uid="{3A18F89A-C86D-435E-8081-BFA7EDB53407}" name="Name" dataDxfId="58" totalsRowDxfId="57"/>
    <tableColumn id="5" xr3:uid="{465CE434-66FF-4581-97B6-92FB1196AA88}" name="リンク" dataDxfId="56" totalsRowDxfId="55"/>
    <tableColumn id="6" xr3:uid="{C8A231EF-CEE1-4EDF-9F79-E20B4EE26A3B}" name="作品タグ" dataDxfId="54" totalsRowDxfId="53"/>
    <tableColumn id="21" xr3:uid="{A3F04976-FEAF-4AB6-883A-CBF50885B75B}" name="性別" dataDxfId="52" totalsRowDxfId="51"/>
    <tableColumn id="20" xr3:uid="{1BC45536-DCFC-46D8-8A1D-7CA1DB3A4086}" name="種族タグ" dataDxfId="50" totalsRowDxfId="49"/>
    <tableColumn id="22" xr3:uid="{A500EE07-F0A6-4CFF-83B6-145BEF44F05E}" name="モチーフタグ" dataDxfId="48" totalsRowDxfId="47"/>
    <tableColumn id="26" xr3:uid="{2B96D442-9F1D-4AD2-BE19-F53862387B36}" name="属性タグ" dataDxfId="46" totalsRowDxfId="45"/>
    <tableColumn id="23" xr3:uid="{C7A460FE-A76F-44CC-BA42-F2EDCB5166B0}" name="職業タグ" dataDxfId="44" totalsRowDxfId="43"/>
    <tableColumn id="24" xr3:uid="{13CD4112-798D-4D06-B448-3A060DFAF850}" name="小物タグ" dataDxfId="42" totalsRowDxfId="41"/>
    <tableColumn id="25" xr3:uid="{BB31FC48-2C53-4F77-9754-878F1123A640}" name="身体的特徴タグ" dataDxfId="40" totalsRowDxfId="39"/>
    <tableColumn id="14" xr3:uid="{419D2296-96F6-49B6-A101-8BE8083A1FF8}" name="グッズ許可・許可" dataDxfId="38" totalsRowDxfId="37"/>
    <tableColumn id="10" xr3:uid="{A3DF9BE0-B684-4FD2-9C65-44C5CE7A0DC3}" name="描画状況" totalsRowFunction="count" dataDxfId="36" totalsRowDxfId="35"/>
    <tableColumn id="9" xr3:uid="{02AE6379-3B3C-4BB2-A47F-0A695072C3A9}" name="列1" dataDxfId="34" totalsRowDxfId="33">
      <calculatedColumnFormula>テーブル1[[#This Row],[リンク]]&amp;テーブル1[[#This Row],[描画状況]]</calculatedColumnFormula>
    </tableColumn>
    <tableColumn id="13" xr3:uid="{823DB8CC-CE55-4F0C-AE72-2EE293521925}" name="列2" dataDxfId="32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1" totalsRowDxfId="30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29" totalsRowDxfId="28">
      <totalsRowFormula>COUNTIF(テーブル1[投稿状況],"")</totalsRowFormula>
    </tableColumn>
    <tableColumn id="11" xr3:uid="{81D4E3E6-4E02-4A2D-B6F1-0BB82B392F85}" name="乱数B" dataDxfId="27" totalsRowDxfId="26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5" totalsRowDxfId="24">
      <calculatedColumnFormula>"|&amp;image("&amp;テーブル1[[#This Row],[画像]]&amp;".png,width=100,height=100)"</calculatedColumnFormula>
    </tableColumn>
    <tableColumn id="16" xr3:uid="{AC31EEC7-EDA4-4933-B34D-6F013BAC07AB}" name="|名前" dataDxfId="23" totalsRowDxfId="22">
      <calculatedColumnFormula>"|MIDDLE:​"&amp;テーブル1[[#This Row],[名前]]</calculatedColumnFormula>
    </tableColumn>
    <tableColumn id="17" xr3:uid="{5631FE5D-E14B-45F0-9DC6-C07DDBCF063D}" name="|なまえ" dataDxfId="21" totalsRowDxfId="20">
      <calculatedColumnFormula>"|MIDDLE:​"&amp;テーブル1[[#This Row],[なまえ]]</calculatedColumnFormula>
    </tableColumn>
    <tableColumn id="18" xr3:uid="{1D34E550-311D-4181-9DE5-9513280D0029}" name="|Name" dataDxfId="19" totalsRowDxfId="18">
      <calculatedColumnFormula>"|MIDDLE:​"&amp;テーブル1[[#This Row],[Name]]</calculatedColumnFormula>
    </tableColumn>
    <tableColumn id="19" xr3:uid="{742CFAB1-9F2D-444A-A881-F762695DCCB1}" name="|キャラクター情報リンク|" dataDxfId="17" totalsRowDxfId="16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0" totalsRowShown="0" headerRowDxfId="15" dataDxfId="14">
  <autoFilter ref="A1:N280" xr:uid="{E4C87AB3-D453-4364-A868-37CD257B126C}"/>
  <tableColumns count="14">
    <tableColumn id="1" xr3:uid="{1E92C13E-0744-4588-9D96-A833A7BD4B23}" name="id" dataDxfId="13">
      <calculatedColumnFormula>テーブル1[[#This Row],[番号]]</calculatedColumnFormula>
    </tableColumn>
    <tableColumn id="2" xr3:uid="{BFFC27FC-5A70-42B5-935F-18B299D9A450}" name="name" dataDxfId="12">
      <calculatedColumnFormula>テーブル1[[#This Row],[名前]]</calculatedColumnFormula>
    </tableColumn>
    <tableColumn id="3" xr3:uid="{376B9D63-7024-4C39-A1F3-F8A88D986D2E}" name="kana" dataDxfId="11">
      <calculatedColumnFormula>テーブル1[[#This Row],[なまえ]]</calculatedColumnFormula>
    </tableColumn>
    <tableColumn id="4" xr3:uid="{3A4FC950-495C-4C11-B6DB-96CE6A55121C}" name="romaji" dataDxfId="10">
      <calculatedColumnFormula>テーブル1[[#This Row],[Name]]</calculatedColumnFormula>
    </tableColumn>
    <tableColumn id="5" xr3:uid="{B264791E-28AE-437A-AA33-4258BDE55BAA}" name="icon" dataDxfId="9">
      <calculatedColumnFormula>"image/"&amp;テーブル1[[#This Row],[画像]]&amp;".png"</calculatedColumnFormula>
    </tableColumn>
    <tableColumn id="6" xr3:uid="{857A780E-B021-402A-872A-1CBFFEF7F813}" name="url" dataDxfId="8">
      <calculatedColumnFormula>テーブル1[[#This Row],[リンク]]</calculatedColumnFormula>
    </tableColumn>
    <tableColumn id="7" xr3:uid="{54796813-8C4A-4907-9B54-8EC5819BC55C}" name="workTags" dataDxfId="7">
      <calculatedColumnFormula>SUBSTITUTE(テーブル1[[#This Row],[作品タグ]],"、","|")</calculatedColumnFormula>
    </tableColumn>
    <tableColumn id="8" xr3:uid="{C71938D1-4F25-43A4-AC89-6B4F6A5026A2}" name="gender" dataDxfId="6">
      <calculatedColumnFormula>テーブル1[[#This Row],[性別]]&amp;""</calculatedColumnFormula>
    </tableColumn>
    <tableColumn id="9" xr3:uid="{39305227-2E4A-4CF9-88DD-B221FEC21124}" name="種族タグ" dataDxfId="5">
      <calculatedColumnFormula>SUBSTITUTE(テーブル1[[#This Row],[種族タグ]],"、","|")</calculatedColumnFormula>
    </tableColumn>
    <tableColumn id="13" xr3:uid="{B62C6CC3-DFD5-40D0-9E39-6AE6C719FF5E}" name="モチーフタグ" dataDxfId="4">
      <calculatedColumnFormula>SUBSTITUTE(テーブル1[[#This Row],[モチーフタグ]],"、","|")</calculatedColumnFormula>
    </tableColumn>
    <tableColumn id="14" xr3:uid="{F7330F03-94E9-4728-B627-57B809D1D253}" name="属性タグ" dataDxfId="3">
      <calculatedColumnFormula>SUBSTITUTE(テーブル1[[#This Row],[属性タグ]],"、","|")</calculatedColumnFormula>
    </tableColumn>
    <tableColumn id="10" xr3:uid="{4C1B4E5B-0816-4E7B-B94D-DABFCF9BB4A5}" name="職業タグ" dataDxfId="2">
      <calculatedColumnFormula>SUBSTITUTE(テーブル1[[#This Row],[職業タグ]],"、","|")</calculatedColumnFormula>
    </tableColumn>
    <tableColumn id="11" xr3:uid="{C1145559-52E6-4141-BB43-03D7F9D319F4}" name="小物タグ" dataDxfId="1">
      <calculatedColumnFormula>SUBSTITUTE(テーブル1[[#This Row],[小物タグ]],"、","|")</calculatedColumnFormula>
    </tableColumn>
    <tableColumn id="12" xr3:uid="{1869C5D2-E7D3-4710-BDB3-B35F4A761BEE}" name="身体的特徴タグ" dataDxfId="0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kugayaku1703.wixsite.com/typec1703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ites.google.com/view/yaguchi-web/uta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sekkenkaoru.wixsite.com/sekkenutauhaih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table" Target="../tables/table1.xm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3" ySplit="1" topLeftCell="D261" activePane="bottomRight" state="frozen"/>
      <selection pane="topRight" activeCell="D1" sqref="D1"/>
      <selection pane="bottomLeft" activeCell="A2" sqref="A2"/>
      <selection pane="bottomRight" activeCell="I277" sqref="I277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6" width="9.46484375" style="1" customWidth="1" outlineLevel="1"/>
    <col min="17" max="17" width="42.86328125" style="24" customWidth="1" outlineLevel="1"/>
    <col min="18" max="18" width="6.86328125" style="17" customWidth="1" outlineLevel="1"/>
    <col min="19" max="19" width="10.46484375" style="16" customWidth="1" outlineLevel="1"/>
    <col min="20" max="20" width="9.46484375" style="1" customWidth="1" outlineLevel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1289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1301</v>
      </c>
      <c r="G3" s="23" t="s">
        <v>129</v>
      </c>
      <c r="H3" s="23" t="s">
        <v>1300</v>
      </c>
      <c r="I3" s="23" t="s">
        <v>665</v>
      </c>
      <c r="L3" s="23" t="s">
        <v>1183</v>
      </c>
      <c r="M3" s="23" t="s">
        <v>1163</v>
      </c>
      <c r="N3" s="23" t="s">
        <v>1277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1272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1311</v>
      </c>
      <c r="K11" s="23" t="s">
        <v>1312</v>
      </c>
      <c r="N11" s="23" t="s">
        <v>1278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1278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1307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1308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1250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1309</v>
      </c>
      <c r="K32" s="23" t="s">
        <v>1250</v>
      </c>
      <c r="L32" s="23" t="s">
        <v>1189</v>
      </c>
      <c r="M32" s="23" t="s">
        <v>1265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1196</v>
      </c>
      <c r="K33" s="23" t="s">
        <v>1303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1311</v>
      </c>
      <c r="K35" s="23" t="s">
        <v>1248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1196</v>
      </c>
      <c r="K36" s="23" t="s">
        <v>1290</v>
      </c>
      <c r="L36" s="23" t="s">
        <v>1292</v>
      </c>
      <c r="M36" s="23" t="s">
        <v>1166</v>
      </c>
      <c r="N36" s="23" t="s">
        <v>1278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1278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1273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1304</v>
      </c>
      <c r="J44" s="23" t="s">
        <v>1173</v>
      </c>
      <c r="K44" s="23" t="s">
        <v>1305</v>
      </c>
      <c r="N44" s="23" t="s">
        <v>1279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1269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1280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1301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1272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1277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1281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1265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1265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1344</v>
      </c>
      <c r="N82" s="23" t="s">
        <v>1220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1309</v>
      </c>
      <c r="K87" s="23" t="s">
        <v>1250</v>
      </c>
      <c r="L87" s="23" t="s">
        <v>1189</v>
      </c>
      <c r="M87" s="23" t="s">
        <v>1265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1345</v>
      </c>
      <c r="J91" s="23" t="s">
        <v>1196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1345</v>
      </c>
      <c r="J92" s="23" t="s">
        <v>1196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1221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1254</v>
      </c>
      <c r="L100" s="23" t="s">
        <v>1222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1254</v>
      </c>
      <c r="L107" s="23" t="s">
        <v>1201</v>
      </c>
      <c r="M107" s="23" t="s">
        <v>1214</v>
      </c>
      <c r="N107" s="23" t="s">
        <v>1277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1268</v>
      </c>
      <c r="M113" s="23" t="s">
        <v>1167</v>
      </c>
      <c r="N113" s="23" t="s">
        <v>1223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1282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1313</v>
      </c>
      <c r="K138" s="23" t="s">
        <v>1248</v>
      </c>
      <c r="M138" s="23" t="s">
        <v>1163</v>
      </c>
      <c r="N138" s="23" t="s">
        <v>1277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1303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1278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1254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1278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1301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1310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1235</v>
      </c>
      <c r="L191" s="23" t="s">
        <v>1194</v>
      </c>
      <c r="M191" s="23" t="s">
        <v>1163</v>
      </c>
      <c r="N191" s="23" t="s">
        <v>1336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1301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1274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1302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1278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1254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1275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1224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1293</v>
      </c>
      <c r="M228" s="23" t="s">
        <v>1225</v>
      </c>
      <c r="N228" s="23" t="s">
        <v>1283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1284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1285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1278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1278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1286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1277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1306</v>
      </c>
      <c r="L243" s="24" t="s">
        <v>1202</v>
      </c>
      <c r="M243" s="24" t="s">
        <v>1170</v>
      </c>
      <c r="N243" s="24" t="s">
        <v>1284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1284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1284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1226</v>
      </c>
      <c r="N250" s="24" t="s">
        <v>1277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1227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1228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1278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1370</v>
      </c>
      <c r="L259" s="23" t="s">
        <v>1294</v>
      </c>
      <c r="M259" s="24" t="s">
        <v>1163</v>
      </c>
      <c r="N259" s="24" t="s">
        <v>1278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1278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1229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1311</v>
      </c>
      <c r="K264" s="23" t="s">
        <v>1248</v>
      </c>
      <c r="L264" s="23" t="s">
        <v>1202</v>
      </c>
      <c r="M264" s="23" t="s">
        <v>1171</v>
      </c>
      <c r="N264" s="23" t="s">
        <v>1297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1296</v>
      </c>
      <c r="N265" s="23" t="s">
        <v>1297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1295</v>
      </c>
      <c r="N266" s="23" t="s">
        <v>1297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1295</v>
      </c>
      <c r="N267" s="23" t="s">
        <v>1298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1230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1299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1314</v>
      </c>
      <c r="D270" s="23" t="s">
        <v>1315</v>
      </c>
      <c r="E270" s="23" t="s">
        <v>1316</v>
      </c>
      <c r="F270" s="29" t="s">
        <v>1342</v>
      </c>
      <c r="G270" s="23" t="s">
        <v>1343</v>
      </c>
      <c r="H270" s="23" t="s">
        <v>658</v>
      </c>
      <c r="I270" s="23" t="s">
        <v>1235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P270" s="1" t="s">
        <v>547</v>
      </c>
      <c r="Q270" s="24" t="str">
        <f>テーブル1[[#This Row],[リンク]]&amp;テーブル1[[#This Row],[描画状況]]</f>
        <v>https://natsunomikan.crayonsite.com済</v>
      </c>
      <c r="R270" s="17">
        <f>1-(COUNTIF(Q:Q,_xlfn.TEXTJOIN(",",TRUE,テーブル1[[#This Row],[リンク]],テーブル1[[#This Row],[描画状況]]))/COUNTIF(F:F,テーブル1[[#This Row],[リンク]]))</f>
        <v>1</v>
      </c>
      <c r="S270" s="16" t="str">
        <f ca="1">IFERROR(IF(テーブル1[[#This Row],[描画状況]]="",RAND()+(テーブル1[[#This Row],[列2]]*100),""),RAND())</f>
        <v/>
      </c>
      <c r="T270" s="1" t="s">
        <v>457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1317</v>
      </c>
      <c r="D271" s="23" t="s">
        <v>1318</v>
      </c>
      <c r="E271" s="23" t="s">
        <v>1319</v>
      </c>
      <c r="F271" s="3" t="s">
        <v>1339</v>
      </c>
      <c r="G271" s="23" t="s">
        <v>1337</v>
      </c>
      <c r="H271" s="23" t="s">
        <v>659</v>
      </c>
      <c r="I271" s="23" t="s">
        <v>1235</v>
      </c>
      <c r="L271" s="23" t="s">
        <v>1202</v>
      </c>
      <c r="M271" s="23" t="s">
        <v>1341</v>
      </c>
      <c r="N271" s="24"/>
      <c r="O271" s="1" t="s">
        <v>593</v>
      </c>
      <c r="P271" s="1" t="s">
        <v>547</v>
      </c>
      <c r="Q271" s="24" t="str">
        <f>テーブル1[[#This Row],[リンク]]&amp;テーブル1[[#This Row],[描画状況]]</f>
        <v>https://bowlroll.net/user/891946済</v>
      </c>
      <c r="R271" s="17">
        <f>1-(COUNTIF(Q:Q,_xlfn.TEXTJOIN(",",TRUE,テーブル1[[#This Row],[リンク]],テーブル1[[#This Row],[描画状況]]))/COUNTIF(F:F,テーブル1[[#This Row],[リンク]]))</f>
        <v>1</v>
      </c>
      <c r="S271" s="16" t="str">
        <f ca="1">IFERROR(IF(テーブル1[[#This Row],[描画状況]]="",RAND()+(テーブル1[[#This Row],[列2]]*100),""),RAND())</f>
        <v/>
      </c>
      <c r="T271" s="1" t="s">
        <v>457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1320</v>
      </c>
      <c r="D272" s="23" t="s">
        <v>1321</v>
      </c>
      <c r="E272" s="23" t="s">
        <v>1322</v>
      </c>
      <c r="F272" s="3" t="s">
        <v>1339</v>
      </c>
      <c r="G272" s="23" t="s">
        <v>1337</v>
      </c>
      <c r="H272" s="23" t="s">
        <v>659</v>
      </c>
      <c r="I272" s="23" t="s">
        <v>1235</v>
      </c>
      <c r="L272" s="23" t="s">
        <v>1202</v>
      </c>
      <c r="M272" s="23" t="s">
        <v>1265</v>
      </c>
      <c r="N272" s="24" t="s">
        <v>1261</v>
      </c>
      <c r="O272" s="1" t="s">
        <v>593</v>
      </c>
      <c r="P272" s="1" t="s">
        <v>547</v>
      </c>
      <c r="Q272" s="24" t="str">
        <f>テーブル1[[#This Row],[リンク]]&amp;テーブル1[[#This Row],[描画状況]]</f>
        <v>https://bowlroll.net/user/891946済</v>
      </c>
      <c r="R272" s="17">
        <f>1-(COUNTIF(Q:Q,_xlfn.TEXTJOIN(",",TRUE,テーブル1[[#This Row],[リンク]],テーブル1[[#This Row],[描画状況]]))/COUNTIF(F:F,テーブル1[[#This Row],[リンク]]))</f>
        <v>1</v>
      </c>
      <c r="S272" s="16" t="str">
        <f ca="1">IFERROR(IF(テーブル1[[#This Row],[描画状況]]="",RAND()+(テーブル1[[#This Row],[列2]]*100),""),RAND())</f>
        <v/>
      </c>
      <c r="T272" s="1" t="s">
        <v>457</v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1323</v>
      </c>
      <c r="D273" s="23" t="s">
        <v>1325</v>
      </c>
      <c r="E273" s="23" t="s">
        <v>1324</v>
      </c>
      <c r="F273" s="3" t="s">
        <v>1339</v>
      </c>
      <c r="G273" s="23" t="s">
        <v>1338</v>
      </c>
      <c r="H273" s="23" t="s">
        <v>658</v>
      </c>
      <c r="I273" s="23" t="s">
        <v>1235</v>
      </c>
      <c r="J273" s="23" t="s">
        <v>1259</v>
      </c>
      <c r="M273" s="23" t="s">
        <v>1162</v>
      </c>
      <c r="N273" s="24" t="s">
        <v>1287</v>
      </c>
      <c r="O273" s="1" t="s">
        <v>593</v>
      </c>
      <c r="P273" s="1" t="s">
        <v>547</v>
      </c>
      <c r="Q273" s="24" t="str">
        <f>テーブル1[[#This Row],[リンク]]&amp;テーブル1[[#This Row],[描画状況]]</f>
        <v>https://bowlroll.net/user/891946済</v>
      </c>
      <c r="R273" s="17">
        <f>1-(COUNTIF(Q:Q,_xlfn.TEXTJOIN(",",TRUE,テーブル1[[#This Row],[リンク]],テーブル1[[#This Row],[描画状況]]))/COUNTIF(F:F,テーブル1[[#This Row],[リンク]]))</f>
        <v>1</v>
      </c>
      <c r="S273" s="16" t="str">
        <f ca="1">IFERROR(IF(テーブル1[[#This Row],[描画状況]]="",RAND()+(テーブル1[[#This Row],[列2]]*100),""),RAND())</f>
        <v/>
      </c>
      <c r="T273" s="1" t="s">
        <v>457</v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1326</v>
      </c>
      <c r="D274" s="23" t="s">
        <v>1327</v>
      </c>
      <c r="E274" s="23" t="s">
        <v>1328</v>
      </c>
      <c r="F274" s="3" t="s">
        <v>1339</v>
      </c>
      <c r="G274" s="23" t="s">
        <v>1338</v>
      </c>
      <c r="H274" s="23" t="s">
        <v>658</v>
      </c>
      <c r="I274" s="23" t="s">
        <v>1235</v>
      </c>
      <c r="J274" s="23" t="s">
        <v>1259</v>
      </c>
      <c r="M274" s="23" t="s">
        <v>1162</v>
      </c>
      <c r="N274" s="24" t="s">
        <v>1287</v>
      </c>
      <c r="O274" s="1" t="s">
        <v>593</v>
      </c>
      <c r="P274" s="1" t="s">
        <v>547</v>
      </c>
      <c r="Q274" s="24" t="str">
        <f>テーブル1[[#This Row],[リンク]]&amp;テーブル1[[#This Row],[描画状況]]</f>
        <v>https://bowlroll.net/user/891946済</v>
      </c>
      <c r="R274" s="17">
        <f>1-(COUNTIF(Q:Q,_xlfn.TEXTJOIN(",",TRUE,テーブル1[[#This Row],[リンク]],テーブル1[[#This Row],[描画状況]]))/COUNTIF(F:F,テーブル1[[#This Row],[リンク]]))</f>
        <v>1</v>
      </c>
      <c r="S274" s="16" t="str">
        <f ca="1">IFERROR(IF(テーブル1[[#This Row],[描画状況]]="",RAND()+(テーブル1[[#This Row],[列2]]*100),""),RAND())</f>
        <v/>
      </c>
      <c r="T274" s="1" t="s">
        <v>457</v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1329</v>
      </c>
      <c r="D275" s="23" t="s">
        <v>1330</v>
      </c>
      <c r="E275" s="23" t="s">
        <v>1331</v>
      </c>
      <c r="F275" s="29" t="s">
        <v>411</v>
      </c>
      <c r="G275" s="23" t="s">
        <v>461</v>
      </c>
      <c r="H275" s="23" t="s">
        <v>659</v>
      </c>
      <c r="I275" s="23" t="s">
        <v>1235</v>
      </c>
      <c r="K275" s="23" t="s">
        <v>1192</v>
      </c>
      <c r="M275" s="23" t="s">
        <v>1265</v>
      </c>
      <c r="N275" s="24" t="s">
        <v>1186</v>
      </c>
      <c r="O275" s="1" t="s">
        <v>593</v>
      </c>
      <c r="P275" s="1" t="s">
        <v>547</v>
      </c>
      <c r="Q275" s="24" t="str">
        <f>テーブル1[[#This Row],[リンク]]&amp;テーブル1[[#This Row],[描画状況]]</f>
        <v>https://grskmot8.wixsite.com/kdarock済</v>
      </c>
      <c r="R275" s="17">
        <f>1-(COUNTIF(Q:Q,_xlfn.TEXTJOIN(",",TRUE,テーブル1[[#This Row],[リンク]],テーブル1[[#This Row],[描画状況]]))/COUNTIF(F:F,テーブル1[[#This Row],[リンク]]))</f>
        <v>1</v>
      </c>
      <c r="S275" s="16" t="str">
        <f ca="1">IFERROR(IF(テーブル1[[#This Row],[描画状況]]="",RAND()+(テーブル1[[#This Row],[列2]]*100),""),RAND())</f>
        <v/>
      </c>
      <c r="T275" s="1" t="s">
        <v>457</v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1332</v>
      </c>
      <c r="D276" s="23" t="s">
        <v>1333</v>
      </c>
      <c r="E276" s="23" t="s">
        <v>1332</v>
      </c>
      <c r="F276" s="29" t="s">
        <v>1334</v>
      </c>
      <c r="G276" s="23" t="s">
        <v>1335</v>
      </c>
      <c r="H276" s="23" t="s">
        <v>671</v>
      </c>
      <c r="I276" s="23" t="s">
        <v>1236</v>
      </c>
      <c r="N276" s="24" t="s">
        <v>1340</v>
      </c>
      <c r="O276" s="1" t="s">
        <v>629</v>
      </c>
      <c r="P276" s="1" t="s">
        <v>547</v>
      </c>
      <c r="Q276" s="24" t="str">
        <f>テーブル1[[#This Row],[リンク]]&amp;テーブル1[[#This Row],[描画状況]]</f>
        <v>https://lit.link/SHIROKUROlonely済</v>
      </c>
      <c r="R276" s="17">
        <f>1-(COUNTIF(Q:Q,_xlfn.TEXTJOIN(",",TRUE,テーブル1[[#This Row],[リンク]],テーブル1[[#This Row],[描画状況]]))/COUNTIF(F:F,テーブル1[[#This Row],[リンク]]))</f>
        <v>1</v>
      </c>
      <c r="S276" s="16" t="str">
        <f ca="1">IFERROR(IF(テーブル1[[#This Row],[描画状況]]="",RAND()+(テーブル1[[#This Row],[列2]]*100),""),RAND())</f>
        <v/>
      </c>
      <c r="T276" s="1" t="s">
        <v>457</v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33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1346</v>
      </c>
      <c r="D277" s="23" t="s">
        <v>1347</v>
      </c>
      <c r="E277" s="23" t="s">
        <v>1348</v>
      </c>
      <c r="F277" s="3" t="s">
        <v>1358</v>
      </c>
      <c r="G277" s="23" t="s">
        <v>1359</v>
      </c>
      <c r="H277" s="23" t="s">
        <v>1375</v>
      </c>
      <c r="I277" s="23" t="s">
        <v>1361</v>
      </c>
      <c r="J277" s="23" t="s">
        <v>1178</v>
      </c>
      <c r="K277" s="23" t="s">
        <v>1250</v>
      </c>
      <c r="N277" s="24" t="s">
        <v>1374</v>
      </c>
      <c r="O277" s="1" t="s">
        <v>629</v>
      </c>
      <c r="P277" s="1" t="s">
        <v>547</v>
      </c>
      <c r="Q277" s="24" t="str">
        <f>テーブル1[[#This Row],[リンク]]&amp;テーブル1[[#This Row],[描画状況]]</f>
        <v>https://kugayaku1703.wixsite.com/typec1703済</v>
      </c>
      <c r="R277" s="17">
        <f>1-(COUNTIF(Q:Q,_xlfn.TEXTJOIN(",",TRUE,テーブル1[[#This Row],[リンク]],テーブル1[[#This Row],[描画状況]]))/COUNTIF(F:F,テーブル1[[#This Row],[リンク]]))</f>
        <v>1</v>
      </c>
      <c r="S277" s="16" t="str">
        <f ca="1">IFERROR(IF(テーブル1[[#This Row],[描画状況]]="",RAND()+(テーブル1[[#This Row],[列2]]*100),""),RAND())</f>
        <v/>
      </c>
      <c r="U277" s="24">
        <f ca="1">IF(AND(テーブル1[[#This Row],[描画状況]]="済",テーブル1[[#This Row],[投稿状況]]=""),RAND(),"")</f>
        <v>0.9455267769705249</v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33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1349</v>
      </c>
      <c r="D278" s="23" t="s">
        <v>1350</v>
      </c>
      <c r="E278" s="23" t="s">
        <v>1351</v>
      </c>
      <c r="F278" s="3" t="s">
        <v>1358</v>
      </c>
      <c r="G278" s="23" t="s">
        <v>1360</v>
      </c>
      <c r="H278" s="23" t="s">
        <v>1300</v>
      </c>
      <c r="I278" s="23" t="s">
        <v>1373</v>
      </c>
      <c r="J278" s="23" t="s">
        <v>1178</v>
      </c>
      <c r="K278" s="23" t="s">
        <v>1250</v>
      </c>
      <c r="N278" s="24" t="s">
        <v>1362</v>
      </c>
      <c r="O278" s="1" t="s">
        <v>629</v>
      </c>
      <c r="Q278" s="24" t="str">
        <f>テーブル1[[#This Row],[リンク]]&amp;テーブル1[[#This Row],[描画状況]]</f>
        <v>https://kugayaku1703.wixsite.com/typec1703</v>
      </c>
      <c r="R278" s="17">
        <f>1-(COUNTIF(Q:Q,_xlfn.TEXTJOIN(",",TRUE,テーブル1[[#This Row],[リンク]],テーブル1[[#This Row],[描画状況]]))/COUNTIF(F:F,テーブル1[[#This Row],[リンク]]))</f>
        <v>0.5</v>
      </c>
      <c r="S278" s="16">
        <f ca="1">IFERROR(IF(テーブル1[[#This Row],[描画状況]]="",RAND()+(テーブル1[[#This Row],[列2]]*100),""),RAND())</f>
        <v>50.932357504936768</v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33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1352</v>
      </c>
      <c r="D279" s="23" t="s">
        <v>1353</v>
      </c>
      <c r="E279" s="23" t="s">
        <v>1354</v>
      </c>
      <c r="F279" s="29" t="s">
        <v>1364</v>
      </c>
      <c r="G279" s="23" t="s">
        <v>1363</v>
      </c>
      <c r="H279" s="23" t="s">
        <v>659</v>
      </c>
      <c r="I279" s="23" t="s">
        <v>1235</v>
      </c>
      <c r="K279" s="23" t="s">
        <v>1365</v>
      </c>
      <c r="L279" s="23" t="s">
        <v>1202</v>
      </c>
      <c r="N279" s="24" t="s">
        <v>1213</v>
      </c>
      <c r="O279" s="1" t="s">
        <v>629</v>
      </c>
      <c r="Q279" s="24" t="str">
        <f>テーブル1[[#This Row],[リンク]]&amp;テーブル1[[#This Row],[描画状況]]</f>
        <v>https://sites.google.com/view/yaguchi-web/utau</v>
      </c>
      <c r="R279" s="17">
        <f>1-(COUNTIF(Q:Q,_xlfn.TEXTJOIN(",",TRUE,テーブル1[[#This Row],[リンク]],テーブル1[[#This Row],[描画状況]]))/COUNTIF(F:F,テーブル1[[#This Row],[リンク]]))</f>
        <v>0</v>
      </c>
      <c r="S279" s="16">
        <f ca="1">IFERROR(IF(テーブル1[[#This Row],[描画状況]]="",RAND()+(テーブル1[[#This Row],[列2]]*100),""),RAND())</f>
        <v>0.14677915315305234</v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33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1355</v>
      </c>
      <c r="D280" s="23" t="s">
        <v>1356</v>
      </c>
      <c r="E280" s="23" t="s">
        <v>1357</v>
      </c>
      <c r="F280" s="29" t="s">
        <v>1367</v>
      </c>
      <c r="G280" s="23" t="s">
        <v>1369</v>
      </c>
      <c r="H280" s="23" t="s">
        <v>659</v>
      </c>
      <c r="I280" s="23" t="s">
        <v>1235</v>
      </c>
      <c r="K280" s="23" t="s">
        <v>1370</v>
      </c>
      <c r="L280" s="23" t="s">
        <v>1204</v>
      </c>
      <c r="M280" s="23" t="s">
        <v>1371</v>
      </c>
      <c r="N280" s="24" t="s">
        <v>1372</v>
      </c>
      <c r="O280" s="1" t="s">
        <v>629</v>
      </c>
      <c r="Q280" s="24" t="str">
        <f>テーブル1[[#This Row],[リンク]]&amp;テーブル1[[#This Row],[描画状況]]</f>
        <v>https://sekkenkaoru.wixsite.com/sekkenutauhaihu</v>
      </c>
      <c r="R280" s="17">
        <f>1-(COUNTIF(Q:Q,_xlfn.TEXTJOIN(",",TRUE,テーブル1[[#This Row],[リンク]],テーブル1[[#This Row],[描画状況]]))/COUNTIF(F:F,テーブル1[[#This Row],[リンク]]))</f>
        <v>0</v>
      </c>
      <c r="S280" s="16">
        <f ca="1">IFERROR(IF(テーブル1[[#This Row],[描画状況]]="",RAND()+(テーブル1[[#This Row],[列2]]*100),""),RAND())</f>
        <v>0.84224197655879651</v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P1:U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T2:T280" xr:uid="{05A634BD-4DB9-4CF6-97DC-6B95FBE6232B}">
      <formula1>"済,個別済"</formula1>
    </dataValidation>
    <dataValidation type="list" allowBlank="1" showInputMessage="1" showErrorMessage="1" sqref="O2:O280" xr:uid="{92493CA5-E237-4453-B08F-89E5ABEEA9EA}">
      <formula1>"〇 / 必要,〇 / 不要,×"</formula1>
    </dataValidation>
    <dataValidation type="list" allowBlank="1" showInputMessage="1" showErrorMessage="1" sqref="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  <hyperlink ref="F277" r:id="rId240" xr:uid="{FFC7865E-0200-468C-8C15-FA553CE62230}"/>
    <hyperlink ref="F278" r:id="rId241" xr:uid="{57AF4C83-615B-4876-B2FE-B2A71420F549}"/>
    <hyperlink ref="F279" r:id="rId242" xr:uid="{0FFDCF89-B5A3-490C-A408-F70AC573D53C}"/>
    <hyperlink ref="F280" r:id="rId243" xr:uid="{A7921E64-836F-46EB-A38F-065202CC2766}"/>
  </hyperlinks>
  <pageMargins left="0.7" right="0.7" top="0.75" bottom="0.75" header="0.3" footer="0.3"/>
  <tableParts count="1">
    <tablePart r:id="rId24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D14" sqref="D14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1231</v>
      </c>
      <c r="E1" s="31" t="s">
        <v>1257</v>
      </c>
      <c r="F1" s="31" t="s">
        <v>1258</v>
      </c>
      <c r="G1" s="31" t="s">
        <v>1288</v>
      </c>
    </row>
    <row r="2" spans="1:7" x14ac:dyDescent="0.35">
      <c r="A2" t="s">
        <v>1291</v>
      </c>
      <c r="B2" t="s">
        <v>1233</v>
      </c>
      <c r="C2" t="s">
        <v>1203</v>
      </c>
      <c r="D2" t="s">
        <v>1208</v>
      </c>
      <c r="E2" t="s">
        <v>1268</v>
      </c>
      <c r="F2" t="s">
        <v>706</v>
      </c>
      <c r="G2" t="s">
        <v>1260</v>
      </c>
    </row>
    <row r="3" spans="1:7" x14ac:dyDescent="0.35">
      <c r="A3" t="s">
        <v>659</v>
      </c>
      <c r="B3" t="s">
        <v>1256</v>
      </c>
      <c r="C3" t="s">
        <v>1184</v>
      </c>
      <c r="D3" t="s">
        <v>1368</v>
      </c>
      <c r="E3" t="s">
        <v>1202</v>
      </c>
      <c r="F3" t="s">
        <v>1162</v>
      </c>
      <c r="G3" t="s">
        <v>1276</v>
      </c>
    </row>
    <row r="4" spans="1:7" x14ac:dyDescent="0.35">
      <c r="A4" t="s">
        <v>1232</v>
      </c>
      <c r="B4" t="s">
        <v>666</v>
      </c>
      <c r="C4" t="s">
        <v>1210</v>
      </c>
      <c r="D4" t="s">
        <v>1366</v>
      </c>
      <c r="E4" t="s">
        <v>1201</v>
      </c>
      <c r="F4" t="s">
        <v>1163</v>
      </c>
      <c r="G4" t="s">
        <v>1287</v>
      </c>
    </row>
    <row r="5" spans="1:7" x14ac:dyDescent="0.35">
      <c r="A5" t="s">
        <v>671</v>
      </c>
      <c r="B5" t="s">
        <v>1237</v>
      </c>
      <c r="C5" t="s">
        <v>1174</v>
      </c>
      <c r="D5" t="s">
        <v>1197</v>
      </c>
      <c r="E5" t="s">
        <v>1183</v>
      </c>
      <c r="F5" t="s">
        <v>1164</v>
      </c>
      <c r="G5" t="s">
        <v>1266</v>
      </c>
    </row>
    <row r="6" spans="1:7" x14ac:dyDescent="0.35">
      <c r="A6" t="s">
        <v>670</v>
      </c>
      <c r="B6" t="s">
        <v>1242</v>
      </c>
      <c r="C6" t="s">
        <v>1173</v>
      </c>
      <c r="D6" t="s">
        <v>1192</v>
      </c>
      <c r="E6" t="s">
        <v>1205</v>
      </c>
      <c r="F6" t="s">
        <v>1165</v>
      </c>
      <c r="G6" t="s">
        <v>1186</v>
      </c>
    </row>
    <row r="7" spans="1:7" x14ac:dyDescent="0.35">
      <c r="B7" t="s">
        <v>1241</v>
      </c>
      <c r="C7" t="s">
        <v>1175</v>
      </c>
      <c r="D7" t="s">
        <v>1206</v>
      </c>
      <c r="E7" t="s">
        <v>1204</v>
      </c>
      <c r="F7" t="s">
        <v>1262</v>
      </c>
      <c r="G7" t="s">
        <v>1190</v>
      </c>
    </row>
    <row r="8" spans="1:7" x14ac:dyDescent="0.35">
      <c r="B8" t="s">
        <v>1234</v>
      </c>
      <c r="C8" t="s">
        <v>1176</v>
      </c>
      <c r="D8" t="s">
        <v>1248</v>
      </c>
      <c r="E8" t="s">
        <v>1199</v>
      </c>
      <c r="F8" t="s">
        <v>1263</v>
      </c>
      <c r="G8" t="s">
        <v>1182</v>
      </c>
    </row>
    <row r="9" spans="1:7" x14ac:dyDescent="0.35">
      <c r="B9" t="s">
        <v>720</v>
      </c>
      <c r="C9" t="s">
        <v>1209</v>
      </c>
      <c r="D9" t="s">
        <v>1250</v>
      </c>
      <c r="E9" t="s">
        <v>1193</v>
      </c>
      <c r="F9" t="s">
        <v>1171</v>
      </c>
      <c r="G9" t="s">
        <v>1267</v>
      </c>
    </row>
    <row r="10" spans="1:7" x14ac:dyDescent="0.35">
      <c r="B10" t="s">
        <v>1246</v>
      </c>
      <c r="C10" t="s">
        <v>1180</v>
      </c>
      <c r="D10" t="s">
        <v>1254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1245</v>
      </c>
      <c r="C11" t="s">
        <v>1181</v>
      </c>
      <c r="D11" t="s">
        <v>1253</v>
      </c>
      <c r="E11" t="s">
        <v>1194</v>
      </c>
      <c r="F11" t="s">
        <v>1265</v>
      </c>
      <c r="G11" t="s">
        <v>1207</v>
      </c>
    </row>
    <row r="12" spans="1:7" x14ac:dyDescent="0.35">
      <c r="B12" t="s">
        <v>1236</v>
      </c>
      <c r="C12" t="s">
        <v>1179</v>
      </c>
      <c r="D12" t="s">
        <v>1252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1247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1259</v>
      </c>
      <c r="G14" t="s">
        <v>1264</v>
      </c>
    </row>
    <row r="15" spans="1:7" x14ac:dyDescent="0.35">
      <c r="B15" t="s">
        <v>1239</v>
      </c>
      <c r="C15" t="s">
        <v>1178</v>
      </c>
      <c r="G15" t="s">
        <v>1270</v>
      </c>
    </row>
    <row r="16" spans="1:7" x14ac:dyDescent="0.35">
      <c r="B16" t="s">
        <v>1243</v>
      </c>
      <c r="G16" t="s">
        <v>1271</v>
      </c>
    </row>
    <row r="17" spans="2:7" x14ac:dyDescent="0.35">
      <c r="B17" t="s">
        <v>1238</v>
      </c>
      <c r="G17" t="s">
        <v>1195</v>
      </c>
    </row>
    <row r="18" spans="2:7" x14ac:dyDescent="0.35">
      <c r="B18" t="s">
        <v>1235</v>
      </c>
      <c r="G18" t="s">
        <v>1261</v>
      </c>
    </row>
    <row r="19" spans="2:7" x14ac:dyDescent="0.35">
      <c r="B19" t="s">
        <v>1240</v>
      </c>
    </row>
    <row r="20" spans="2:7" x14ac:dyDescent="0.35">
      <c r="B20" t="s">
        <v>1244</v>
      </c>
    </row>
    <row r="21" spans="2:7" x14ac:dyDescent="0.35">
      <c r="B21" t="s">
        <v>1110</v>
      </c>
    </row>
    <row r="22" spans="2:7" x14ac:dyDescent="0.35">
      <c r="B22" t="s">
        <v>1249</v>
      </c>
    </row>
    <row r="23" spans="2:7" x14ac:dyDescent="0.35">
      <c r="B23" t="s">
        <v>1255</v>
      </c>
    </row>
    <row r="24" spans="2:7" x14ac:dyDescent="0.35">
      <c r="B24" t="s">
        <v>1251</v>
      </c>
    </row>
  </sheetData>
  <sortState xmlns:xlrd2="http://schemas.microsoft.com/office/spreadsheetml/2017/richdata2" ref="D2:D12">
    <sortCondition ref="D2:D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>
        <f ca="1">MATCH(C5,キャラ情報!C:C,0)</f>
        <v>279</v>
      </c>
    </row>
    <row r="5" spans="2:3" ht="30" customHeight="1" x14ac:dyDescent="0.35">
      <c r="B5" s="4" t="s">
        <v>406</v>
      </c>
      <c r="C5" s="6" t="str">
        <f ca="1">INDEX(キャラ情報!C:S,MATCH(MIN(キャラ情報!S:S),キャラ情報!S:S,0),1)</f>
        <v>堕天ニル</v>
      </c>
    </row>
    <row r="6" spans="2:3" ht="30" customHeight="1" x14ac:dyDescent="0.35">
      <c r="B6" s="4" t="s">
        <v>407</v>
      </c>
      <c r="C6" s="6" t="str">
        <f ca="1">INDEX(キャラ情報!C:S,MATCH(MIN(キャラ情報!S:S),キャラ情報!S:S,0),4)</f>
        <v>https://sites.google.com/view/yaguchi-web/utau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277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タイプC_1703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No.280｜</v>
      </c>
      <c r="C17" s="12" t="str">
        <f ca="1">C12</f>
        <v>タイプC_1703</v>
      </c>
    </row>
    <row r="18" spans="2:3" ht="30" customHeight="1" x14ac:dyDescent="0.35">
      <c r="B18" s="11" t="str">
        <f ca="1">INDEX(キャラ情報!C:G,MATCH(C12,キャラ情報!C:C,0),5)</f>
        <v>#鮮腐林檎室、#タイプC_1703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0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1288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https://bowlroll.net/user/891946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https://bowlroll.net/user/891946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https://bowlroll.net/user/891946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https://bowlroll.net/user/891946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2026-08-09T14:58:52Z</dcterms:modified>
  <cp:category/>
  <cp:contentStatus/>
</cp:coreProperties>
</file>