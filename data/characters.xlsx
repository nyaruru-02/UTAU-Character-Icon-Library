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モノクロビリーフ\外部リンク\"/>
    </mc:Choice>
  </mc:AlternateContent>
  <xr:revisionPtr revIDLastSave="0" documentId="13_ncr:1_{0A32880E-FBB1-4261-A241-69A0945638F7}" xr6:coauthVersionLast="47" xr6:coauthVersionMax="47" xr10:uidLastSave="{00000000-0000-0000-0000-000000000000}"/>
  <bookViews>
    <workbookView xWindow="-110" yWindow="-110" windowWidth="25820" windowHeight="13900" xr2:uid="{78CF6334-6F78-4A6F-BD14-CB6FA7AB00CF}"/>
  </bookViews>
  <sheets>
    <sheet name="キャラ情報" sheetId="1" r:id="rId1"/>
    <sheet name="ガチャ" sheetId="6" r:id="rId2"/>
    <sheet name="csv変換" sheetId="9" r:id="rId3"/>
  </sheets>
  <definedNames>
    <definedName name="ワンポイントタグ">テーブル1[ワンポイントタグ]</definedName>
    <definedName name="種族タグ">テーブル1[種族タグ]</definedName>
    <definedName name="小物タグ">テーブル1[小物タグ]</definedName>
    <definedName name="職業タグ">テーブル1[職業タグ]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3" i="9" l="1"/>
  <c r="B233" i="9"/>
  <c r="C233" i="9"/>
  <c r="D233" i="9"/>
  <c r="F233" i="9"/>
  <c r="H233" i="9"/>
  <c r="I233" i="9"/>
  <c r="J233" i="9"/>
  <c r="K233" i="9"/>
  <c r="L233" i="9"/>
  <c r="G233" i="1"/>
  <c r="B233" i="1"/>
  <c r="O233" i="1"/>
  <c r="S233" i="1"/>
  <c r="T233" i="1"/>
  <c r="U233" i="1"/>
  <c r="V233" i="1"/>
  <c r="W233" i="1"/>
  <c r="X233" i="1"/>
  <c r="A232" i="9"/>
  <c r="B232" i="9"/>
  <c r="C232" i="9"/>
  <c r="D232" i="9"/>
  <c r="F232" i="9"/>
  <c r="G232" i="9"/>
  <c r="H232" i="9"/>
  <c r="I232" i="9"/>
  <c r="J232" i="9"/>
  <c r="K232" i="9"/>
  <c r="L232" i="9"/>
  <c r="B232" i="1"/>
  <c r="O232" i="1"/>
  <c r="S232" i="1"/>
  <c r="U232" i="1"/>
  <c r="V232" i="1"/>
  <c r="W232" i="1"/>
  <c r="X232" i="1"/>
  <c r="G229" i="9"/>
  <c r="A231" i="9"/>
  <c r="B231" i="9"/>
  <c r="C231" i="9"/>
  <c r="D231" i="9"/>
  <c r="F231" i="9"/>
  <c r="H231" i="9"/>
  <c r="I231" i="9"/>
  <c r="J231" i="9"/>
  <c r="K231" i="9"/>
  <c r="L231" i="9"/>
  <c r="B231" i="1"/>
  <c r="O231" i="1"/>
  <c r="S231" i="1"/>
  <c r="U231" i="1"/>
  <c r="V231" i="1"/>
  <c r="W231" i="1"/>
  <c r="X231" i="1"/>
  <c r="A230" i="9"/>
  <c r="B230" i="9"/>
  <c r="C230" i="9"/>
  <c r="D230" i="9"/>
  <c r="F230" i="9"/>
  <c r="H230" i="9"/>
  <c r="I230" i="9"/>
  <c r="J230" i="9"/>
  <c r="K230" i="9"/>
  <c r="L230" i="9"/>
  <c r="B234" i="1"/>
  <c r="O234" i="1"/>
  <c r="S234" i="1"/>
  <c r="U234" i="1"/>
  <c r="V234" i="1"/>
  <c r="W234" i="1"/>
  <c r="X234" i="1"/>
  <c r="B230" i="1"/>
  <c r="O230" i="1"/>
  <c r="S230" i="1"/>
  <c r="U230" i="1"/>
  <c r="V230" i="1"/>
  <c r="W230" i="1"/>
  <c r="X230" i="1"/>
  <c r="B441" i="1"/>
  <c r="O441" i="1"/>
  <c r="S441" i="1"/>
  <c r="U441" i="1"/>
  <c r="V441" i="1"/>
  <c r="W441" i="1"/>
  <c r="X441" i="1"/>
  <c r="B440" i="1"/>
  <c r="O440" i="1"/>
  <c r="S440" i="1"/>
  <c r="U440" i="1"/>
  <c r="V440" i="1"/>
  <c r="W440" i="1"/>
  <c r="X440" i="1"/>
  <c r="A228" i="9"/>
  <c r="A229" i="9"/>
  <c r="B228" i="9"/>
  <c r="B229" i="9"/>
  <c r="C228" i="9"/>
  <c r="C229" i="9"/>
  <c r="D228" i="9"/>
  <c r="D229" i="9"/>
  <c r="F228" i="9"/>
  <c r="F229" i="9"/>
  <c r="G228" i="9"/>
  <c r="H228" i="9"/>
  <c r="H229" i="9"/>
  <c r="I228" i="9"/>
  <c r="I229" i="9"/>
  <c r="J228" i="9"/>
  <c r="J229" i="9"/>
  <c r="K228" i="9"/>
  <c r="K229" i="9"/>
  <c r="L228" i="9"/>
  <c r="L229" i="9"/>
  <c r="B229" i="1"/>
  <c r="O229" i="1"/>
  <c r="S229" i="1"/>
  <c r="U229" i="1"/>
  <c r="V229" i="1"/>
  <c r="W229" i="1"/>
  <c r="X229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G2" i="9"/>
  <c r="B228" i="1"/>
  <c r="O228" i="1"/>
  <c r="S228" i="1"/>
  <c r="U228" i="1"/>
  <c r="V228" i="1"/>
  <c r="W228" i="1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K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I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7" i="9"/>
  <c r="G28" i="9"/>
  <c r="G29" i="9"/>
  <c r="G30" i="9"/>
  <c r="G31" i="9"/>
  <c r="G32" i="9"/>
  <c r="G33" i="9"/>
  <c r="G36" i="9"/>
  <c r="G37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3" i="9"/>
  <c r="G74" i="9"/>
  <c r="G75" i="9"/>
  <c r="G78" i="9"/>
  <c r="G79" i="9"/>
  <c r="G80" i="9"/>
  <c r="G81" i="9"/>
  <c r="G82" i="9"/>
  <c r="G83" i="9"/>
  <c r="G84" i="9"/>
  <c r="G85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4" i="9"/>
  <c r="G145" i="9"/>
  <c r="G146" i="9"/>
  <c r="G147" i="9"/>
  <c r="G148" i="9"/>
  <c r="G150" i="9"/>
  <c r="G151" i="9"/>
  <c r="G152" i="9"/>
  <c r="G153" i="9"/>
  <c r="G154" i="9"/>
  <c r="G155" i="9"/>
  <c r="G156" i="9"/>
  <c r="G157" i="9"/>
  <c r="G158" i="9"/>
  <c r="G159" i="9"/>
  <c r="G161" i="9"/>
  <c r="G163" i="9"/>
  <c r="G164" i="9"/>
  <c r="G165" i="9"/>
  <c r="G167" i="9"/>
  <c r="G168" i="9"/>
  <c r="G169" i="9"/>
  <c r="G170" i="9"/>
  <c r="G171" i="9"/>
  <c r="G177" i="9"/>
  <c r="G178" i="9"/>
  <c r="G180" i="9"/>
  <c r="G181" i="9"/>
  <c r="G182" i="9"/>
  <c r="G183" i="9"/>
  <c r="G184" i="9"/>
  <c r="G185" i="9"/>
  <c r="G186" i="9"/>
  <c r="G187" i="9"/>
  <c r="G188" i="9"/>
  <c r="G189" i="9"/>
  <c r="G197" i="9"/>
  <c r="G198" i="9"/>
  <c r="G199" i="9"/>
  <c r="G200" i="9"/>
  <c r="G201" i="9"/>
  <c r="G202" i="9"/>
  <c r="G203" i="9"/>
  <c r="G204" i="9"/>
  <c r="G205" i="9"/>
  <c r="G206" i="9"/>
  <c r="G209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4" i="9"/>
  <c r="G225" i="9"/>
  <c r="G226" i="9"/>
  <c r="G227" i="9"/>
  <c r="A226" i="9"/>
  <c r="A227" i="9"/>
  <c r="B226" i="9"/>
  <c r="B227" i="9"/>
  <c r="C226" i="9"/>
  <c r="C227" i="9"/>
  <c r="D226" i="9"/>
  <c r="D227" i="9"/>
  <c r="F226" i="9"/>
  <c r="F227" i="9"/>
  <c r="H226" i="9"/>
  <c r="H227" i="9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G86" i="1"/>
  <c r="G115" i="1"/>
  <c r="G143" i="1"/>
  <c r="G149" i="1"/>
  <c r="G160" i="1"/>
  <c r="G162" i="1"/>
  <c r="G166" i="1"/>
  <c r="G179" i="1"/>
  <c r="G207" i="1"/>
  <c r="G208" i="1"/>
  <c r="G210" i="1"/>
  <c r="G223" i="1"/>
  <c r="O227" i="1"/>
  <c r="S227" i="1"/>
  <c r="U227" i="1"/>
  <c r="V227" i="1"/>
  <c r="W227" i="1"/>
  <c r="G433" i="1"/>
  <c r="G428" i="1"/>
  <c r="G427" i="1"/>
  <c r="G426" i="1"/>
  <c r="G425" i="1"/>
  <c r="G424" i="1"/>
  <c r="G423" i="1"/>
  <c r="G422" i="1"/>
  <c r="G417" i="1"/>
  <c r="G416" i="1"/>
  <c r="G409" i="1"/>
  <c r="G403" i="1"/>
  <c r="G401" i="1"/>
  <c r="G400" i="1"/>
  <c r="G399" i="1"/>
  <c r="G392" i="1"/>
  <c r="G388" i="1"/>
  <c r="G383" i="1"/>
  <c r="G380" i="1"/>
  <c r="G360" i="1"/>
  <c r="G357" i="1"/>
  <c r="G356" i="1"/>
  <c r="G351" i="1"/>
  <c r="G340" i="1"/>
  <c r="G334" i="1"/>
  <c r="G327" i="1"/>
  <c r="G326" i="1"/>
  <c r="G321" i="1"/>
  <c r="G320" i="1"/>
  <c r="G319" i="1"/>
  <c r="G318" i="1"/>
  <c r="G317" i="1"/>
  <c r="G316" i="1"/>
  <c r="G311" i="1"/>
  <c r="G310" i="1"/>
  <c r="G283" i="1"/>
  <c r="G281" i="1"/>
  <c r="G258" i="1"/>
  <c r="O226" i="1"/>
  <c r="S226" i="1"/>
  <c r="U226" i="1"/>
  <c r="V226" i="1"/>
  <c r="W226" i="1"/>
  <c r="O225" i="1"/>
  <c r="S225" i="1"/>
  <c r="U225" i="1"/>
  <c r="V225" i="1"/>
  <c r="W225" i="1"/>
  <c r="O224" i="1"/>
  <c r="S224" i="1"/>
  <c r="U224" i="1"/>
  <c r="V224" i="1"/>
  <c r="W224" i="1"/>
  <c r="O223" i="1"/>
  <c r="S223" i="1"/>
  <c r="U223" i="1"/>
  <c r="V223" i="1"/>
  <c r="W223" i="1"/>
  <c r="O222" i="1"/>
  <c r="S222" i="1"/>
  <c r="U222" i="1"/>
  <c r="V222" i="1"/>
  <c r="W222" i="1"/>
  <c r="O221" i="1"/>
  <c r="S221" i="1"/>
  <c r="U221" i="1"/>
  <c r="V221" i="1"/>
  <c r="W221" i="1"/>
  <c r="O235" i="1"/>
  <c r="O236" i="1"/>
  <c r="S235" i="1"/>
  <c r="S236" i="1"/>
  <c r="U235" i="1"/>
  <c r="U236" i="1"/>
  <c r="V235" i="1"/>
  <c r="V236" i="1"/>
  <c r="W235" i="1"/>
  <c r="W236" i="1"/>
  <c r="O220" i="1"/>
  <c r="S220" i="1"/>
  <c r="U220" i="1"/>
  <c r="V220" i="1"/>
  <c r="W220" i="1"/>
  <c r="O439" i="1"/>
  <c r="S439" i="1"/>
  <c r="U439" i="1"/>
  <c r="V439" i="1"/>
  <c r="W439" i="1"/>
  <c r="O438" i="1"/>
  <c r="S438" i="1"/>
  <c r="U438" i="1"/>
  <c r="V438" i="1"/>
  <c r="W438" i="1"/>
  <c r="O437" i="1"/>
  <c r="S437" i="1"/>
  <c r="U437" i="1"/>
  <c r="V437" i="1"/>
  <c r="W437" i="1"/>
  <c r="O219" i="1"/>
  <c r="S219" i="1"/>
  <c r="U219" i="1"/>
  <c r="V219" i="1"/>
  <c r="W219" i="1"/>
  <c r="O436" i="1"/>
  <c r="S436" i="1"/>
  <c r="U436" i="1"/>
  <c r="V436" i="1"/>
  <c r="W436" i="1"/>
  <c r="O435" i="1"/>
  <c r="S435" i="1"/>
  <c r="U435" i="1"/>
  <c r="V435" i="1"/>
  <c r="W435" i="1"/>
  <c r="O434" i="1"/>
  <c r="S434" i="1"/>
  <c r="U434" i="1"/>
  <c r="V434" i="1"/>
  <c r="W434" i="1"/>
  <c r="U137" i="1"/>
  <c r="U199" i="1"/>
  <c r="U2" i="1"/>
  <c r="U201" i="1"/>
  <c r="U3" i="1"/>
  <c r="U4" i="1"/>
  <c r="U155" i="1"/>
  <c r="U5" i="1"/>
  <c r="U6" i="1"/>
  <c r="U7" i="1"/>
  <c r="U8" i="1"/>
  <c r="U9" i="1"/>
  <c r="U10" i="1"/>
  <c r="U148" i="1"/>
  <c r="U147" i="1"/>
  <c r="U139" i="1"/>
  <c r="U184" i="1"/>
  <c r="U11" i="1"/>
  <c r="U153" i="1"/>
  <c r="U197" i="1"/>
  <c r="U115" i="1"/>
  <c r="U143" i="1"/>
  <c r="U131" i="1"/>
  <c r="U12" i="1"/>
  <c r="U13" i="1"/>
  <c r="U146" i="1"/>
  <c r="U144" i="1"/>
  <c r="U14" i="1"/>
  <c r="U15" i="1"/>
  <c r="U162" i="1"/>
  <c r="U16" i="1"/>
  <c r="U211" i="1"/>
  <c r="U17" i="1"/>
  <c r="U18" i="1"/>
  <c r="U126" i="1"/>
  <c r="U141" i="1"/>
  <c r="U19" i="1"/>
  <c r="U20" i="1"/>
  <c r="U21" i="1"/>
  <c r="U22" i="1"/>
  <c r="U23" i="1"/>
  <c r="U138" i="1"/>
  <c r="U24" i="1"/>
  <c r="U25" i="1"/>
  <c r="U136" i="1"/>
  <c r="U26" i="1"/>
  <c r="U27" i="1"/>
  <c r="U28" i="1"/>
  <c r="U29" i="1"/>
  <c r="U156" i="1"/>
  <c r="U30" i="1"/>
  <c r="U130" i="1"/>
  <c r="U215" i="1"/>
  <c r="U164" i="1"/>
  <c r="U158" i="1"/>
  <c r="U31" i="1"/>
  <c r="U32" i="1"/>
  <c r="U33" i="1"/>
  <c r="U34" i="1"/>
  <c r="U216" i="1"/>
  <c r="U172" i="1"/>
  <c r="U35" i="1"/>
  <c r="U36" i="1"/>
  <c r="U166" i="1"/>
  <c r="U204" i="1"/>
  <c r="U37" i="1"/>
  <c r="U38" i="1"/>
  <c r="U194" i="1"/>
  <c r="U149" i="1"/>
  <c r="U151" i="1"/>
  <c r="U122" i="1"/>
  <c r="U129" i="1"/>
  <c r="U39" i="1"/>
  <c r="U40" i="1"/>
  <c r="U41" i="1"/>
  <c r="U42" i="1"/>
  <c r="U43" i="1"/>
  <c r="U206" i="1"/>
  <c r="U176" i="1"/>
  <c r="U44" i="1"/>
  <c r="U45" i="1"/>
  <c r="U46" i="1"/>
  <c r="U117" i="1"/>
  <c r="U47" i="1"/>
  <c r="U209" i="1"/>
  <c r="U114" i="1"/>
  <c r="U189" i="1"/>
  <c r="U135" i="1"/>
  <c r="U128" i="1"/>
  <c r="U133" i="1"/>
  <c r="U48" i="1"/>
  <c r="U213" i="1"/>
  <c r="U49" i="1"/>
  <c r="U50" i="1"/>
  <c r="U51" i="1"/>
  <c r="U191" i="1"/>
  <c r="U52" i="1"/>
  <c r="U53" i="1"/>
  <c r="U54" i="1"/>
  <c r="U119" i="1"/>
  <c r="U208" i="1"/>
  <c r="U55" i="1"/>
  <c r="U174" i="1"/>
  <c r="U207" i="1"/>
  <c r="U175" i="1"/>
  <c r="U154" i="1"/>
  <c r="U159" i="1"/>
  <c r="U187" i="1"/>
  <c r="U205" i="1"/>
  <c r="U56" i="1"/>
  <c r="U157" i="1"/>
  <c r="U57" i="1"/>
  <c r="U193" i="1"/>
  <c r="U140" i="1"/>
  <c r="U58" i="1"/>
  <c r="U195" i="1"/>
  <c r="U59" i="1"/>
  <c r="U161" i="1"/>
  <c r="U198" i="1"/>
  <c r="U145" i="1"/>
  <c r="U186" i="1"/>
  <c r="U60" i="1"/>
  <c r="U181" i="1"/>
  <c r="U61" i="1"/>
  <c r="U200" i="1"/>
  <c r="U62" i="1"/>
  <c r="U196" i="1"/>
  <c r="U167" i="1"/>
  <c r="U202" i="1"/>
  <c r="U63" i="1"/>
  <c r="U64" i="1"/>
  <c r="U65" i="1"/>
  <c r="U66" i="1"/>
  <c r="U67" i="1"/>
  <c r="U68" i="1"/>
  <c r="U178" i="1"/>
  <c r="U123" i="1"/>
  <c r="U69" i="1"/>
  <c r="U152" i="1"/>
  <c r="U212" i="1"/>
  <c r="U190" i="1"/>
  <c r="U70" i="1"/>
  <c r="U71" i="1"/>
  <c r="U72" i="1"/>
  <c r="U185" i="1"/>
  <c r="U73" i="1"/>
  <c r="U74" i="1"/>
  <c r="U116" i="1"/>
  <c r="U75" i="1"/>
  <c r="U76" i="1"/>
  <c r="U77" i="1"/>
  <c r="U78" i="1"/>
  <c r="U79" i="1"/>
  <c r="U80" i="1"/>
  <c r="U81" i="1"/>
  <c r="U182" i="1"/>
  <c r="U203" i="1"/>
  <c r="U124" i="1"/>
  <c r="U217" i="1"/>
  <c r="U82" i="1"/>
  <c r="U150" i="1"/>
  <c r="U83" i="1"/>
  <c r="U84" i="1"/>
  <c r="U85" i="1"/>
  <c r="U86" i="1"/>
  <c r="U173" i="1"/>
  <c r="U87" i="1"/>
  <c r="U192" i="1"/>
  <c r="U88" i="1"/>
  <c r="U120" i="1"/>
  <c r="U214" i="1"/>
  <c r="U188" i="1"/>
  <c r="U89" i="1"/>
  <c r="U171" i="1"/>
  <c r="U121" i="1"/>
  <c r="U163" i="1"/>
  <c r="U90" i="1"/>
  <c r="U91" i="1"/>
  <c r="U92" i="1"/>
  <c r="U93" i="1"/>
  <c r="U94" i="1"/>
  <c r="U160" i="1"/>
  <c r="U179" i="1"/>
  <c r="U95" i="1"/>
  <c r="U96" i="1"/>
  <c r="U97" i="1"/>
  <c r="U98" i="1"/>
  <c r="U127" i="1"/>
  <c r="U99" i="1"/>
  <c r="U100" i="1"/>
  <c r="U183" i="1"/>
  <c r="U132" i="1"/>
  <c r="U142" i="1"/>
  <c r="U169" i="1"/>
  <c r="U101" i="1"/>
  <c r="U177" i="1"/>
  <c r="U102" i="1"/>
  <c r="U168" i="1"/>
  <c r="U180" i="1"/>
  <c r="U103" i="1"/>
  <c r="U104" i="1"/>
  <c r="U134" i="1"/>
  <c r="U105" i="1"/>
  <c r="U170" i="1"/>
  <c r="U106" i="1"/>
  <c r="U107" i="1"/>
  <c r="U108" i="1"/>
  <c r="U109" i="1"/>
  <c r="U110" i="1"/>
  <c r="U165" i="1"/>
  <c r="U111" i="1"/>
  <c r="U118" i="1"/>
  <c r="U125" i="1"/>
  <c r="U112" i="1"/>
  <c r="U113" i="1"/>
  <c r="U210" i="1"/>
  <c r="U218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V137" i="1"/>
  <c r="V199" i="1"/>
  <c r="V2" i="1"/>
  <c r="V201" i="1"/>
  <c r="V3" i="1"/>
  <c r="V4" i="1"/>
  <c r="V155" i="1"/>
  <c r="V5" i="1"/>
  <c r="V6" i="1"/>
  <c r="V7" i="1"/>
  <c r="V8" i="1"/>
  <c r="V9" i="1"/>
  <c r="V10" i="1"/>
  <c r="V148" i="1"/>
  <c r="V147" i="1"/>
  <c r="V139" i="1"/>
  <c r="V184" i="1"/>
  <c r="V11" i="1"/>
  <c r="V153" i="1"/>
  <c r="V197" i="1"/>
  <c r="V115" i="1"/>
  <c r="V143" i="1"/>
  <c r="V131" i="1"/>
  <c r="V12" i="1"/>
  <c r="V13" i="1"/>
  <c r="V146" i="1"/>
  <c r="V144" i="1"/>
  <c r="V14" i="1"/>
  <c r="V15" i="1"/>
  <c r="V162" i="1"/>
  <c r="V16" i="1"/>
  <c r="V211" i="1"/>
  <c r="V17" i="1"/>
  <c r="V18" i="1"/>
  <c r="V126" i="1"/>
  <c r="V141" i="1"/>
  <c r="V19" i="1"/>
  <c r="V20" i="1"/>
  <c r="V21" i="1"/>
  <c r="V22" i="1"/>
  <c r="V23" i="1"/>
  <c r="V138" i="1"/>
  <c r="V24" i="1"/>
  <c r="V25" i="1"/>
  <c r="V136" i="1"/>
  <c r="V26" i="1"/>
  <c r="V27" i="1"/>
  <c r="V28" i="1"/>
  <c r="V29" i="1"/>
  <c r="V156" i="1"/>
  <c r="V30" i="1"/>
  <c r="V130" i="1"/>
  <c r="V215" i="1"/>
  <c r="V164" i="1"/>
  <c r="V158" i="1"/>
  <c r="V31" i="1"/>
  <c r="V32" i="1"/>
  <c r="V33" i="1"/>
  <c r="V34" i="1"/>
  <c r="V216" i="1"/>
  <c r="V172" i="1"/>
  <c r="V35" i="1"/>
  <c r="V36" i="1"/>
  <c r="V166" i="1"/>
  <c r="V204" i="1"/>
  <c r="V37" i="1"/>
  <c r="V38" i="1"/>
  <c r="V194" i="1"/>
  <c r="V149" i="1"/>
  <c r="V151" i="1"/>
  <c r="V122" i="1"/>
  <c r="V129" i="1"/>
  <c r="V39" i="1"/>
  <c r="V40" i="1"/>
  <c r="V41" i="1"/>
  <c r="V42" i="1"/>
  <c r="V43" i="1"/>
  <c r="V206" i="1"/>
  <c r="V176" i="1"/>
  <c r="V44" i="1"/>
  <c r="V45" i="1"/>
  <c r="V46" i="1"/>
  <c r="V117" i="1"/>
  <c r="V47" i="1"/>
  <c r="V209" i="1"/>
  <c r="V114" i="1"/>
  <c r="V189" i="1"/>
  <c r="V135" i="1"/>
  <c r="V128" i="1"/>
  <c r="V133" i="1"/>
  <c r="V48" i="1"/>
  <c r="V213" i="1"/>
  <c r="V49" i="1"/>
  <c r="V50" i="1"/>
  <c r="V51" i="1"/>
  <c r="V191" i="1"/>
  <c r="V52" i="1"/>
  <c r="V53" i="1"/>
  <c r="V54" i="1"/>
  <c r="V119" i="1"/>
  <c r="V208" i="1"/>
  <c r="V55" i="1"/>
  <c r="V174" i="1"/>
  <c r="V207" i="1"/>
  <c r="V175" i="1"/>
  <c r="V154" i="1"/>
  <c r="V159" i="1"/>
  <c r="V187" i="1"/>
  <c r="V205" i="1"/>
  <c r="V56" i="1"/>
  <c r="V157" i="1"/>
  <c r="V57" i="1"/>
  <c r="V193" i="1"/>
  <c r="V140" i="1"/>
  <c r="V58" i="1"/>
  <c r="V195" i="1"/>
  <c r="V59" i="1"/>
  <c r="V161" i="1"/>
  <c r="V198" i="1"/>
  <c r="V145" i="1"/>
  <c r="V186" i="1"/>
  <c r="V60" i="1"/>
  <c r="V181" i="1"/>
  <c r="V61" i="1"/>
  <c r="V200" i="1"/>
  <c r="V62" i="1"/>
  <c r="V196" i="1"/>
  <c r="V167" i="1"/>
  <c r="V202" i="1"/>
  <c r="V63" i="1"/>
  <c r="V64" i="1"/>
  <c r="V65" i="1"/>
  <c r="V66" i="1"/>
  <c r="V67" i="1"/>
  <c r="V68" i="1"/>
  <c r="V178" i="1"/>
  <c r="V123" i="1"/>
  <c r="V69" i="1"/>
  <c r="V152" i="1"/>
  <c r="V212" i="1"/>
  <c r="V190" i="1"/>
  <c r="V70" i="1"/>
  <c r="V71" i="1"/>
  <c r="V72" i="1"/>
  <c r="V185" i="1"/>
  <c r="V73" i="1"/>
  <c r="V74" i="1"/>
  <c r="V116" i="1"/>
  <c r="V75" i="1"/>
  <c r="V76" i="1"/>
  <c r="V77" i="1"/>
  <c r="V78" i="1"/>
  <c r="V79" i="1"/>
  <c r="V80" i="1"/>
  <c r="V81" i="1"/>
  <c r="V182" i="1"/>
  <c r="V203" i="1"/>
  <c r="V124" i="1"/>
  <c r="V217" i="1"/>
  <c r="V82" i="1"/>
  <c r="V150" i="1"/>
  <c r="V83" i="1"/>
  <c r="V84" i="1"/>
  <c r="V85" i="1"/>
  <c r="V86" i="1"/>
  <c r="V173" i="1"/>
  <c r="V87" i="1"/>
  <c r="V192" i="1"/>
  <c r="V88" i="1"/>
  <c r="V120" i="1"/>
  <c r="V214" i="1"/>
  <c r="V188" i="1"/>
  <c r="V89" i="1"/>
  <c r="V171" i="1"/>
  <c r="V121" i="1"/>
  <c r="V163" i="1"/>
  <c r="V90" i="1"/>
  <c r="V91" i="1"/>
  <c r="V92" i="1"/>
  <c r="V93" i="1"/>
  <c r="V94" i="1"/>
  <c r="V160" i="1"/>
  <c r="V179" i="1"/>
  <c r="V95" i="1"/>
  <c r="V96" i="1"/>
  <c r="V97" i="1"/>
  <c r="V98" i="1"/>
  <c r="V127" i="1"/>
  <c r="V99" i="1"/>
  <c r="V100" i="1"/>
  <c r="V183" i="1"/>
  <c r="V132" i="1"/>
  <c r="V142" i="1"/>
  <c r="V169" i="1"/>
  <c r="V101" i="1"/>
  <c r="V177" i="1"/>
  <c r="V102" i="1"/>
  <c r="V168" i="1"/>
  <c r="V180" i="1"/>
  <c r="V103" i="1"/>
  <c r="V104" i="1"/>
  <c r="V134" i="1"/>
  <c r="V105" i="1"/>
  <c r="V170" i="1"/>
  <c r="V106" i="1"/>
  <c r="V107" i="1"/>
  <c r="V108" i="1"/>
  <c r="V109" i="1"/>
  <c r="V110" i="1"/>
  <c r="V165" i="1"/>
  <c r="V111" i="1"/>
  <c r="V118" i="1"/>
  <c r="V125" i="1"/>
  <c r="V112" i="1"/>
  <c r="V113" i="1"/>
  <c r="V210" i="1"/>
  <c r="V218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W137" i="1"/>
  <c r="W199" i="1"/>
  <c r="W2" i="1"/>
  <c r="W201" i="1"/>
  <c r="W3" i="1"/>
  <c r="W4" i="1"/>
  <c r="W155" i="1"/>
  <c r="W5" i="1"/>
  <c r="W6" i="1"/>
  <c r="W7" i="1"/>
  <c r="W8" i="1"/>
  <c r="W9" i="1"/>
  <c r="W10" i="1"/>
  <c r="W148" i="1"/>
  <c r="W147" i="1"/>
  <c r="W139" i="1"/>
  <c r="W184" i="1"/>
  <c r="W11" i="1"/>
  <c r="W153" i="1"/>
  <c r="W197" i="1"/>
  <c r="W115" i="1"/>
  <c r="W143" i="1"/>
  <c r="W131" i="1"/>
  <c r="W12" i="1"/>
  <c r="W13" i="1"/>
  <c r="W146" i="1"/>
  <c r="W144" i="1"/>
  <c r="W14" i="1"/>
  <c r="W15" i="1"/>
  <c r="W162" i="1"/>
  <c r="W16" i="1"/>
  <c r="W211" i="1"/>
  <c r="W17" i="1"/>
  <c r="W18" i="1"/>
  <c r="W126" i="1"/>
  <c r="W141" i="1"/>
  <c r="W19" i="1"/>
  <c r="W20" i="1"/>
  <c r="W21" i="1"/>
  <c r="W22" i="1"/>
  <c r="W23" i="1"/>
  <c r="W138" i="1"/>
  <c r="W24" i="1"/>
  <c r="W25" i="1"/>
  <c r="W136" i="1"/>
  <c r="W26" i="1"/>
  <c r="W27" i="1"/>
  <c r="W28" i="1"/>
  <c r="W29" i="1"/>
  <c r="W156" i="1"/>
  <c r="W30" i="1"/>
  <c r="W130" i="1"/>
  <c r="W215" i="1"/>
  <c r="W164" i="1"/>
  <c r="W158" i="1"/>
  <c r="W31" i="1"/>
  <c r="W32" i="1"/>
  <c r="W33" i="1"/>
  <c r="W34" i="1"/>
  <c r="W216" i="1"/>
  <c r="W172" i="1"/>
  <c r="W35" i="1"/>
  <c r="W36" i="1"/>
  <c r="W166" i="1"/>
  <c r="W204" i="1"/>
  <c r="W37" i="1"/>
  <c r="W38" i="1"/>
  <c r="W194" i="1"/>
  <c r="W149" i="1"/>
  <c r="W151" i="1"/>
  <c r="W122" i="1"/>
  <c r="W129" i="1"/>
  <c r="W39" i="1"/>
  <c r="W40" i="1"/>
  <c r="W41" i="1"/>
  <c r="W42" i="1"/>
  <c r="W43" i="1"/>
  <c r="W206" i="1"/>
  <c r="W176" i="1"/>
  <c r="W44" i="1"/>
  <c r="W45" i="1"/>
  <c r="W46" i="1"/>
  <c r="W117" i="1"/>
  <c r="W47" i="1"/>
  <c r="W209" i="1"/>
  <c r="W114" i="1"/>
  <c r="W189" i="1"/>
  <c r="W135" i="1"/>
  <c r="W128" i="1"/>
  <c r="W133" i="1"/>
  <c r="W48" i="1"/>
  <c r="W213" i="1"/>
  <c r="W49" i="1"/>
  <c r="W50" i="1"/>
  <c r="W51" i="1"/>
  <c r="W191" i="1"/>
  <c r="W52" i="1"/>
  <c r="W53" i="1"/>
  <c r="W54" i="1"/>
  <c r="W119" i="1"/>
  <c r="W208" i="1"/>
  <c r="W55" i="1"/>
  <c r="W174" i="1"/>
  <c r="W207" i="1"/>
  <c r="W175" i="1"/>
  <c r="W154" i="1"/>
  <c r="W159" i="1"/>
  <c r="W187" i="1"/>
  <c r="W205" i="1"/>
  <c r="W56" i="1"/>
  <c r="W157" i="1"/>
  <c r="W57" i="1"/>
  <c r="W193" i="1"/>
  <c r="W140" i="1"/>
  <c r="W58" i="1"/>
  <c r="W195" i="1"/>
  <c r="W59" i="1"/>
  <c r="W161" i="1"/>
  <c r="W198" i="1"/>
  <c r="W145" i="1"/>
  <c r="W186" i="1"/>
  <c r="W60" i="1"/>
  <c r="W181" i="1"/>
  <c r="W61" i="1"/>
  <c r="W200" i="1"/>
  <c r="W62" i="1"/>
  <c r="W196" i="1"/>
  <c r="W167" i="1"/>
  <c r="W202" i="1"/>
  <c r="W63" i="1"/>
  <c r="W64" i="1"/>
  <c r="W65" i="1"/>
  <c r="W66" i="1"/>
  <c r="W67" i="1"/>
  <c r="W68" i="1"/>
  <c r="W178" i="1"/>
  <c r="W123" i="1"/>
  <c r="W69" i="1"/>
  <c r="W152" i="1"/>
  <c r="W212" i="1"/>
  <c r="W190" i="1"/>
  <c r="W70" i="1"/>
  <c r="W71" i="1"/>
  <c r="W72" i="1"/>
  <c r="W185" i="1"/>
  <c r="W73" i="1"/>
  <c r="W74" i="1"/>
  <c r="W116" i="1"/>
  <c r="W75" i="1"/>
  <c r="W76" i="1"/>
  <c r="W77" i="1"/>
  <c r="W78" i="1"/>
  <c r="W79" i="1"/>
  <c r="W80" i="1"/>
  <c r="W81" i="1"/>
  <c r="W182" i="1"/>
  <c r="W203" i="1"/>
  <c r="W124" i="1"/>
  <c r="W217" i="1"/>
  <c r="W82" i="1"/>
  <c r="W150" i="1"/>
  <c r="W83" i="1"/>
  <c r="W84" i="1"/>
  <c r="W85" i="1"/>
  <c r="W86" i="1"/>
  <c r="W173" i="1"/>
  <c r="W87" i="1"/>
  <c r="W192" i="1"/>
  <c r="W88" i="1"/>
  <c r="W120" i="1"/>
  <c r="W214" i="1"/>
  <c r="W188" i="1"/>
  <c r="W89" i="1"/>
  <c r="W171" i="1"/>
  <c r="W121" i="1"/>
  <c r="W163" i="1"/>
  <c r="W90" i="1"/>
  <c r="W91" i="1"/>
  <c r="W92" i="1"/>
  <c r="W93" i="1"/>
  <c r="W94" i="1"/>
  <c r="W160" i="1"/>
  <c r="W179" i="1"/>
  <c r="W95" i="1"/>
  <c r="W96" i="1"/>
  <c r="W97" i="1"/>
  <c r="W98" i="1"/>
  <c r="W127" i="1"/>
  <c r="W99" i="1"/>
  <c r="W100" i="1"/>
  <c r="W183" i="1"/>
  <c r="W132" i="1"/>
  <c r="W142" i="1"/>
  <c r="W169" i="1"/>
  <c r="W101" i="1"/>
  <c r="W177" i="1"/>
  <c r="W102" i="1"/>
  <c r="W168" i="1"/>
  <c r="W180" i="1"/>
  <c r="W103" i="1"/>
  <c r="W104" i="1"/>
  <c r="W134" i="1"/>
  <c r="W105" i="1"/>
  <c r="W170" i="1"/>
  <c r="W106" i="1"/>
  <c r="W107" i="1"/>
  <c r="W108" i="1"/>
  <c r="W109" i="1"/>
  <c r="W110" i="1"/>
  <c r="W165" i="1"/>
  <c r="W111" i="1"/>
  <c r="W118" i="1"/>
  <c r="W125" i="1"/>
  <c r="W112" i="1"/>
  <c r="W113" i="1"/>
  <c r="W210" i="1"/>
  <c r="W218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O218" i="1"/>
  <c r="S218" i="1"/>
  <c r="O217" i="1"/>
  <c r="S217" i="1"/>
  <c r="O215" i="1"/>
  <c r="S215" i="1"/>
  <c r="O214" i="1"/>
  <c r="S214" i="1"/>
  <c r="O213" i="1"/>
  <c r="S213" i="1"/>
  <c r="O212" i="1"/>
  <c r="S212" i="1"/>
  <c r="O211" i="1"/>
  <c r="S211" i="1"/>
  <c r="B17" i="6"/>
  <c r="O202" i="1"/>
  <c r="S202" i="1"/>
  <c r="O205" i="1"/>
  <c r="S205" i="1"/>
  <c r="O210" i="1"/>
  <c r="S210" i="1"/>
  <c r="O203" i="1"/>
  <c r="S203" i="1"/>
  <c r="O207" i="1"/>
  <c r="S207" i="1"/>
  <c r="O208" i="1"/>
  <c r="S208" i="1"/>
  <c r="O396" i="1"/>
  <c r="S396" i="1"/>
  <c r="O361" i="1"/>
  <c r="S361" i="1"/>
  <c r="O274" i="1"/>
  <c r="S274" i="1"/>
  <c r="O391" i="1"/>
  <c r="S391" i="1"/>
  <c r="O295" i="1"/>
  <c r="S295" i="1"/>
  <c r="O204" i="1"/>
  <c r="S204" i="1"/>
  <c r="O183" i="1"/>
  <c r="S183" i="1"/>
  <c r="O206" i="1"/>
  <c r="S206" i="1"/>
  <c r="O165" i="1"/>
  <c r="S165" i="1"/>
  <c r="O150" i="1"/>
  <c r="S150" i="1"/>
  <c r="O177" i="1"/>
  <c r="S177" i="1"/>
  <c r="O362" i="1"/>
  <c r="S362" i="1"/>
  <c r="O240" i="1"/>
  <c r="S240" i="1"/>
  <c r="O398" i="1"/>
  <c r="S398" i="1"/>
  <c r="O371" i="1"/>
  <c r="S371" i="1"/>
  <c r="O365" i="1"/>
  <c r="S365" i="1"/>
  <c r="O328" i="1"/>
  <c r="S328" i="1"/>
  <c r="O329" i="1"/>
  <c r="S329" i="1"/>
  <c r="O188" i="1"/>
  <c r="S188" i="1"/>
  <c r="O174" i="1"/>
  <c r="S174" i="1"/>
  <c r="G265" i="1"/>
  <c r="Q13" i="1"/>
  <c r="Q17" i="1"/>
  <c r="Q18" i="1"/>
  <c r="Q86" i="1"/>
  <c r="Q106" i="1"/>
  <c r="Q95" i="1"/>
  <c r="Q96" i="1"/>
  <c r="Q40" i="1"/>
  <c r="Q61" i="1"/>
  <c r="Q80" i="1"/>
  <c r="Q94" i="1"/>
  <c r="Q199" i="1"/>
  <c r="Q78" i="1"/>
  <c r="Q89" i="1"/>
  <c r="Q147" i="1"/>
  <c r="Q139" i="1"/>
  <c r="Q184" i="1"/>
  <c r="Q19" i="1"/>
  <c r="Q75" i="1"/>
  <c r="Q155" i="1"/>
  <c r="Q58" i="1"/>
  <c r="Q59" i="1"/>
  <c r="Q69" i="1"/>
  <c r="Q114" i="1"/>
  <c r="Q118" i="1"/>
  <c r="Q120" i="1"/>
  <c r="Q123" i="1"/>
  <c r="Q128" i="1"/>
  <c r="Q129" i="1"/>
  <c r="Q209" i="1"/>
  <c r="Q189" i="1"/>
  <c r="Q193" i="1"/>
  <c r="Q140" i="1"/>
  <c r="Q195" i="1"/>
  <c r="Q161" i="1"/>
  <c r="Q198" i="1"/>
  <c r="Q145" i="1"/>
  <c r="Q186" i="1"/>
  <c r="Q178" i="1"/>
  <c r="Q152" i="1"/>
  <c r="Q115" i="1"/>
  <c r="Q141" i="1"/>
  <c r="Q143" i="1"/>
  <c r="Q28" i="1"/>
  <c r="Q34" i="1"/>
  <c r="Q144" i="1"/>
  <c r="Q175" i="1"/>
  <c r="Q157" i="1"/>
  <c r="Q185" i="1"/>
  <c r="Q22" i="1"/>
  <c r="Q112" i="1"/>
  <c r="Q54" i="1"/>
  <c r="Q103" i="1"/>
  <c r="Q64" i="1"/>
  <c r="Q44" i="1"/>
  <c r="Q66" i="1"/>
  <c r="Q4" i="1"/>
  <c r="Q113" i="1"/>
  <c r="Q117" i="1"/>
  <c r="Q171" i="1"/>
  <c r="Q119" i="1"/>
  <c r="Q159" i="1"/>
  <c r="Q191" i="1"/>
  <c r="Q46" i="1"/>
  <c r="Q93" i="1"/>
  <c r="Q37" i="1"/>
  <c r="Q16" i="1"/>
  <c r="Q65" i="1"/>
  <c r="Q11" i="1"/>
  <c r="Q148" i="1"/>
  <c r="Q138" i="1"/>
  <c r="Q26" i="1"/>
  <c r="Q27" i="1"/>
  <c r="Q201" i="1"/>
  <c r="Q153" i="1"/>
  <c r="Q146" i="1"/>
  <c r="Q29" i="1"/>
  <c r="Q30" i="1"/>
  <c r="Q130" i="1"/>
  <c r="Q156" i="1"/>
  <c r="Q43" i="1"/>
  <c r="Q55" i="1"/>
  <c r="Q110" i="1"/>
  <c r="Q20" i="1"/>
  <c r="Q21" i="1"/>
  <c r="Q41" i="1"/>
  <c r="Q7" i="1"/>
  <c r="Q131" i="1"/>
  <c r="Q23" i="1"/>
  <c r="Q42" i="1"/>
  <c r="Q63" i="1"/>
  <c r="Q74" i="1"/>
  <c r="Q85" i="1"/>
  <c r="Q3" i="1"/>
  <c r="Q50" i="1"/>
  <c r="Q192" i="1"/>
  <c r="Q180" i="1"/>
  <c r="Q81" i="1"/>
  <c r="Q154" i="1"/>
  <c r="Q108" i="1"/>
  <c r="Q125" i="1"/>
  <c r="Q197" i="1"/>
  <c r="Q121" i="1"/>
  <c r="Q196" i="1"/>
  <c r="Q5" i="1"/>
  <c r="Q127" i="1"/>
  <c r="Q57" i="1"/>
  <c r="Q2" i="1"/>
  <c r="Q25" i="1"/>
  <c r="Q102" i="1"/>
  <c r="Q194" i="1"/>
  <c r="Q47" i="1"/>
  <c r="Q68" i="1"/>
  <c r="Q173" i="1"/>
  <c r="Q169" i="1"/>
  <c r="Q105" i="1"/>
  <c r="Q124" i="1"/>
  <c r="Q134" i="1"/>
  <c r="Q49" i="1"/>
  <c r="Q116" i="1"/>
  <c r="Q163" i="1"/>
  <c r="Q38" i="1"/>
  <c r="Q48" i="1"/>
  <c r="Q53" i="1"/>
  <c r="Q97" i="1"/>
  <c r="Q107" i="1"/>
  <c r="Q33" i="1"/>
  <c r="Q36" i="1"/>
  <c r="Q82" i="1"/>
  <c r="Q91" i="1"/>
  <c r="Q92" i="1"/>
  <c r="Q158" i="1"/>
  <c r="Q60" i="1"/>
  <c r="Q132" i="1"/>
  <c r="Q135" i="1"/>
  <c r="Q167" i="1"/>
  <c r="Q62" i="1"/>
  <c r="Q79" i="1"/>
  <c r="Q10" i="1"/>
  <c r="Q8" i="1"/>
  <c r="Q24" i="1"/>
  <c r="Q32" i="1"/>
  <c r="Q76" i="1"/>
  <c r="Q87" i="1"/>
  <c r="Q88" i="1"/>
  <c r="Q109" i="1"/>
  <c r="Q187" i="1"/>
  <c r="Q56" i="1"/>
  <c r="Q126" i="1"/>
  <c r="Q136" i="1"/>
  <c r="Q172" i="1"/>
  <c r="Q142" i="1"/>
  <c r="Q14" i="1"/>
  <c r="Q39" i="1"/>
  <c r="Q72" i="1"/>
  <c r="Q73" i="1"/>
  <c r="Q133" i="1"/>
  <c r="Q137" i="1"/>
  <c r="Q83" i="1"/>
  <c r="Q84" i="1"/>
  <c r="Q162" i="1"/>
  <c r="Q6" i="1"/>
  <c r="Q15" i="1"/>
  <c r="Q12" i="1"/>
  <c r="Q104" i="1"/>
  <c r="Q52" i="1"/>
  <c r="Q111" i="1"/>
  <c r="Q90" i="1"/>
  <c r="Q31" i="1"/>
  <c r="Q35" i="1"/>
  <c r="Q9" i="1"/>
  <c r="Q101" i="1"/>
  <c r="Q45" i="1"/>
  <c r="Q99" i="1"/>
  <c r="Q100" i="1"/>
  <c r="Q51" i="1"/>
  <c r="Q70" i="1"/>
  <c r="Q77" i="1"/>
  <c r="Q160" i="1"/>
  <c r="Q179" i="1"/>
  <c r="Q98" i="1"/>
  <c r="Q166" i="1"/>
  <c r="Q67" i="1"/>
  <c r="Q71" i="1"/>
  <c r="Q122" i="1"/>
  <c r="Q151" i="1"/>
  <c r="O406" i="1"/>
  <c r="S406" i="1"/>
  <c r="O275" i="1"/>
  <c r="S275" i="1"/>
  <c r="O182" i="1"/>
  <c r="S182" i="1"/>
  <c r="O424" i="1"/>
  <c r="S424" i="1"/>
  <c r="O13" i="1"/>
  <c r="O17" i="1"/>
  <c r="O18" i="1"/>
  <c r="O86" i="1"/>
  <c r="O106" i="1"/>
  <c r="O353" i="1"/>
  <c r="O266" i="1"/>
  <c r="O321" i="1"/>
  <c r="O95" i="1"/>
  <c r="O96" i="1"/>
  <c r="O290" i="1"/>
  <c r="O40" i="1"/>
  <c r="O61" i="1"/>
  <c r="O80" i="1"/>
  <c r="O94" i="1"/>
  <c r="O199" i="1"/>
  <c r="O239" i="1"/>
  <c r="O238" i="1"/>
  <c r="O432" i="1"/>
  <c r="O78" i="1"/>
  <c r="O278" i="1"/>
  <c r="O89" i="1"/>
  <c r="O316" i="1"/>
  <c r="O415" i="1"/>
  <c r="O147" i="1"/>
  <c r="O253" i="1"/>
  <c r="O254" i="1"/>
  <c r="O139" i="1"/>
  <c r="O184" i="1"/>
  <c r="O248" i="1"/>
  <c r="O257" i="1"/>
  <c r="O249" i="1"/>
  <c r="O251" i="1"/>
  <c r="O256" i="1"/>
  <c r="O255" i="1"/>
  <c r="O252" i="1"/>
  <c r="O247" i="1"/>
  <c r="O250" i="1"/>
  <c r="O344" i="1"/>
  <c r="O19" i="1"/>
  <c r="O399" i="1"/>
  <c r="O428" i="1"/>
  <c r="O401" i="1"/>
  <c r="O326" i="1"/>
  <c r="O403" i="1"/>
  <c r="O75" i="1"/>
  <c r="O327" i="1"/>
  <c r="O155" i="1"/>
  <c r="O377" i="1"/>
  <c r="O414" i="1"/>
  <c r="O297" i="1"/>
  <c r="O241" i="1"/>
  <c r="O386" i="1"/>
  <c r="O285" i="1"/>
  <c r="O245" i="1"/>
  <c r="O363" i="1"/>
  <c r="O429" i="1"/>
  <c r="O58" i="1"/>
  <c r="O59" i="1"/>
  <c r="O69" i="1"/>
  <c r="O114" i="1"/>
  <c r="O118" i="1"/>
  <c r="O120" i="1"/>
  <c r="O123" i="1"/>
  <c r="O128" i="1"/>
  <c r="O129" i="1"/>
  <c r="O209" i="1"/>
  <c r="O189" i="1"/>
  <c r="O193" i="1"/>
  <c r="O140" i="1"/>
  <c r="O195" i="1"/>
  <c r="O161" i="1"/>
  <c r="O198" i="1"/>
  <c r="O145" i="1"/>
  <c r="O186" i="1"/>
  <c r="O178" i="1"/>
  <c r="O152" i="1"/>
  <c r="O304" i="1"/>
  <c r="O354" i="1"/>
  <c r="O176" i="1"/>
  <c r="O115" i="1"/>
  <c r="O141" i="1"/>
  <c r="O280" i="1"/>
  <c r="O307" i="1"/>
  <c r="O350" i="1"/>
  <c r="O373" i="1"/>
  <c r="O279" i="1"/>
  <c r="O143" i="1"/>
  <c r="O265" i="1"/>
  <c r="O28" i="1"/>
  <c r="O34" i="1"/>
  <c r="O294" i="1"/>
  <c r="O144" i="1"/>
  <c r="O355" i="1"/>
  <c r="O325" i="1"/>
  <c r="O298" i="1"/>
  <c r="O411" i="1"/>
  <c r="O324" i="1"/>
  <c r="O175" i="1"/>
  <c r="O157" i="1"/>
  <c r="O216" i="1"/>
  <c r="O185" i="1"/>
  <c r="O22" i="1"/>
  <c r="O112" i="1"/>
  <c r="O300" i="1"/>
  <c r="O291" i="1"/>
  <c r="O282" i="1"/>
  <c r="O334" i="1"/>
  <c r="O54" i="1"/>
  <c r="O103" i="1"/>
  <c r="O64" i="1"/>
  <c r="O44" i="1"/>
  <c r="O66" i="1"/>
  <c r="O369" i="1"/>
  <c r="O347" i="1"/>
  <c r="O305" i="1"/>
  <c r="O333" i="1"/>
  <c r="O4" i="1"/>
  <c r="O113" i="1"/>
  <c r="O117" i="1"/>
  <c r="O171" i="1"/>
  <c r="O286" i="1"/>
  <c r="O281" i="1"/>
  <c r="O289" i="1"/>
  <c r="O149" i="1"/>
  <c r="O310" i="1"/>
  <c r="O340" i="1"/>
  <c r="O356" i="1"/>
  <c r="O416" i="1"/>
  <c r="O417" i="1"/>
  <c r="O422" i="1"/>
  <c r="O425" i="1"/>
  <c r="O426" i="1"/>
  <c r="O299" i="1"/>
  <c r="O410" i="1"/>
  <c r="O237" i="1"/>
  <c r="O119" i="1"/>
  <c r="O322" i="1"/>
  <c r="O323" i="1"/>
  <c r="O159" i="1"/>
  <c r="O352" i="1"/>
  <c r="O348" i="1"/>
  <c r="O332" i="1"/>
  <c r="O370" i="1"/>
  <c r="O293" i="1"/>
  <c r="O364" i="1"/>
  <c r="O191" i="1"/>
  <c r="O341" i="1"/>
  <c r="O335" i="1"/>
  <c r="O190" i="1"/>
  <c r="O317" i="1"/>
  <c r="O318" i="1"/>
  <c r="O360" i="1"/>
  <c r="O319" i="1"/>
  <c r="O311" i="1"/>
  <c r="O46" i="1"/>
  <c r="O306" i="1"/>
  <c r="O378" i="1"/>
  <c r="O331" i="1"/>
  <c r="O246" i="1"/>
  <c r="O93" i="1"/>
  <c r="O37" i="1"/>
  <c r="O366" i="1"/>
  <c r="O379" i="1"/>
  <c r="O16" i="1"/>
  <c r="O65" i="1"/>
  <c r="O11" i="1"/>
  <c r="O148" i="1"/>
  <c r="O138" i="1"/>
  <c r="O164" i="1"/>
  <c r="O26" i="1"/>
  <c r="O27" i="1"/>
  <c r="O201" i="1"/>
  <c r="O346" i="1"/>
  <c r="O383" i="1"/>
  <c r="O388" i="1"/>
  <c r="O283" i="1"/>
  <c r="O374" i="1"/>
  <c r="O389" i="1"/>
  <c r="O244" i="1"/>
  <c r="O272" i="1"/>
  <c r="O273" i="1"/>
  <c r="O276" i="1"/>
  <c r="O292" i="1"/>
  <c r="O339" i="1"/>
  <c r="O170" i="1"/>
  <c r="O420" i="1"/>
  <c r="O153" i="1"/>
  <c r="O146" i="1"/>
  <c r="O29" i="1"/>
  <c r="O30" i="1"/>
  <c r="O130" i="1"/>
  <c r="O156" i="1"/>
  <c r="O43" i="1"/>
  <c r="O55" i="1"/>
  <c r="O110" i="1"/>
  <c r="O20" i="1"/>
  <c r="O21" i="1"/>
  <c r="O41" i="1"/>
  <c r="O302" i="1"/>
  <c r="O303" i="1"/>
  <c r="O7" i="1"/>
  <c r="O131" i="1"/>
  <c r="O336" i="1"/>
  <c r="O23" i="1"/>
  <c r="O42" i="1"/>
  <c r="O63" i="1"/>
  <c r="O312" i="1"/>
  <c r="O243" i="1"/>
  <c r="O367" i="1"/>
  <c r="O397" i="1"/>
  <c r="O368" i="1"/>
  <c r="O382" i="1"/>
  <c r="O395" i="1"/>
  <c r="O384" i="1"/>
  <c r="O74" i="1"/>
  <c r="O85" i="1"/>
  <c r="O3" i="1"/>
  <c r="O50" i="1"/>
  <c r="O192" i="1"/>
  <c r="O180" i="1"/>
  <c r="O81" i="1"/>
  <c r="O181" i="1"/>
  <c r="O259" i="1"/>
  <c r="O154" i="1"/>
  <c r="O359" i="1"/>
  <c r="O168" i="1"/>
  <c r="O412" i="1"/>
  <c r="O108" i="1"/>
  <c r="O125" i="1"/>
  <c r="O421" i="1"/>
  <c r="O197" i="1"/>
  <c r="O261" i="1"/>
  <c r="O121" i="1"/>
  <c r="O196" i="1"/>
  <c r="O5" i="1"/>
  <c r="O127" i="1"/>
  <c r="O57" i="1"/>
  <c r="O2" i="1"/>
  <c r="O242" i="1"/>
  <c r="O330" i="1"/>
  <c r="O25" i="1"/>
  <c r="O102" i="1"/>
  <c r="O271" i="1"/>
  <c r="O194" i="1"/>
  <c r="O433" i="1"/>
  <c r="O47" i="1"/>
  <c r="O68" i="1"/>
  <c r="O173" i="1"/>
  <c r="O169" i="1"/>
  <c r="O105" i="1"/>
  <c r="O124" i="1"/>
  <c r="O134" i="1"/>
  <c r="O49" i="1"/>
  <c r="O116" i="1"/>
  <c r="O163" i="1"/>
  <c r="O38" i="1"/>
  <c r="O48" i="1"/>
  <c r="O53" i="1"/>
  <c r="O97" i="1"/>
  <c r="O107" i="1"/>
  <c r="O33" i="1"/>
  <c r="O36" i="1"/>
  <c r="O82" i="1"/>
  <c r="O91" i="1"/>
  <c r="O92" i="1"/>
  <c r="O158" i="1"/>
  <c r="O60" i="1"/>
  <c r="O132" i="1"/>
  <c r="O357" i="1"/>
  <c r="O385" i="1"/>
  <c r="O135" i="1"/>
  <c r="O308" i="1"/>
  <c r="O309" i="1"/>
  <c r="O167" i="1"/>
  <c r="O62" i="1"/>
  <c r="O79" i="1"/>
  <c r="O430" i="1"/>
  <c r="O10" i="1"/>
  <c r="O8" i="1"/>
  <c r="O24" i="1"/>
  <c r="O32" i="1"/>
  <c r="O76" i="1"/>
  <c r="O87" i="1"/>
  <c r="O88" i="1"/>
  <c r="O109" i="1"/>
  <c r="O187" i="1"/>
  <c r="O56" i="1"/>
  <c r="O126" i="1"/>
  <c r="O296" i="1"/>
  <c r="O136" i="1"/>
  <c r="O314" i="1"/>
  <c r="O313" i="1"/>
  <c r="O172" i="1"/>
  <c r="O142" i="1"/>
  <c r="O263" i="1"/>
  <c r="O405" i="1"/>
  <c r="O262" i="1"/>
  <c r="O404" i="1"/>
  <c r="O14" i="1"/>
  <c r="O39" i="1"/>
  <c r="O72" i="1"/>
  <c r="O73" i="1"/>
  <c r="O133" i="1"/>
  <c r="O137" i="1"/>
  <c r="O337" i="1"/>
  <c r="O349" i="1"/>
  <c r="O408" i="1"/>
  <c r="O284" i="1"/>
  <c r="O407" i="1"/>
  <c r="O83" i="1"/>
  <c r="O84" i="1"/>
  <c r="O301" i="1"/>
  <c r="O342" i="1"/>
  <c r="O162" i="1"/>
  <c r="O320" i="1"/>
  <c r="O400" i="1"/>
  <c r="O6" i="1"/>
  <c r="O15" i="1"/>
  <c r="O270" i="1"/>
  <c r="O269" i="1"/>
  <c r="O268" i="1"/>
  <c r="O288" i="1"/>
  <c r="O402" i="1"/>
  <c r="O358" i="1"/>
  <c r="O315" i="1"/>
  <c r="O277" i="1"/>
  <c r="O431" i="1"/>
  <c r="O343" i="1"/>
  <c r="O345" i="1"/>
  <c r="O387" i="1"/>
  <c r="O372" i="1"/>
  <c r="O381" i="1"/>
  <c r="O12" i="1"/>
  <c r="O104" i="1"/>
  <c r="O52" i="1"/>
  <c r="O111" i="1"/>
  <c r="O90" i="1"/>
  <c r="O31" i="1"/>
  <c r="O35" i="1"/>
  <c r="O9" i="1"/>
  <c r="O101" i="1"/>
  <c r="O45" i="1"/>
  <c r="O99" i="1"/>
  <c r="O100" i="1"/>
  <c r="O51" i="1"/>
  <c r="O70" i="1"/>
  <c r="O77" i="1"/>
  <c r="O160" i="1"/>
  <c r="O179" i="1"/>
  <c r="O98" i="1"/>
  <c r="O427" i="1"/>
  <c r="O423" i="1"/>
  <c r="O258" i="1"/>
  <c r="O166" i="1"/>
  <c r="O409" i="1"/>
  <c r="O351" i="1"/>
  <c r="O380" i="1"/>
  <c r="O392" i="1"/>
  <c r="O67" i="1"/>
  <c r="O71" i="1"/>
  <c r="O267" i="1"/>
  <c r="O393" i="1"/>
  <c r="O390" i="1"/>
  <c r="O287" i="1"/>
  <c r="O375" i="1"/>
  <c r="O260" i="1"/>
  <c r="O419" i="1"/>
  <c r="O200" i="1"/>
  <c r="O338" i="1"/>
  <c r="O418" i="1"/>
  <c r="O376" i="1"/>
  <c r="O394" i="1"/>
  <c r="O413" i="1"/>
  <c r="O264" i="1"/>
  <c r="O122" i="1"/>
  <c r="O151" i="1"/>
  <c r="S283" i="1"/>
  <c r="S388" i="1"/>
  <c r="S383" i="1"/>
  <c r="S346" i="1"/>
  <c r="S201" i="1"/>
  <c r="S325" i="1"/>
  <c r="S303" i="1"/>
  <c r="S302" i="1"/>
  <c r="S164" i="1"/>
  <c r="S364" i="1"/>
  <c r="S395" i="1"/>
  <c r="S382" i="1"/>
  <c r="S368" i="1"/>
  <c r="S397" i="1"/>
  <c r="S367" i="1"/>
  <c r="S243" i="1"/>
  <c r="S312" i="1"/>
  <c r="S298" i="1"/>
  <c r="S313" i="1"/>
  <c r="S314" i="1"/>
  <c r="S269" i="1"/>
  <c r="S268" i="1"/>
  <c r="S288" i="1"/>
  <c r="S402" i="1"/>
  <c r="S358" i="1"/>
  <c r="S315" i="1"/>
  <c r="S277" i="1"/>
  <c r="S431" i="1"/>
  <c r="S343" i="1"/>
  <c r="S345" i="1"/>
  <c r="S387" i="1"/>
  <c r="S372" i="1"/>
  <c r="S381" i="1"/>
  <c r="S270" i="1"/>
  <c r="S190" i="1"/>
  <c r="S385" i="1"/>
  <c r="S357" i="1"/>
  <c r="S335" i="1"/>
  <c r="S316" i="1"/>
  <c r="S307" i="1"/>
  <c r="S290" i="1"/>
  <c r="S246" i="1"/>
  <c r="S331" i="1"/>
  <c r="S378" i="1"/>
  <c r="S306" i="1"/>
  <c r="S135" i="1"/>
  <c r="S309" i="1"/>
  <c r="S308" i="1"/>
  <c r="S404" i="1"/>
  <c r="S262" i="1"/>
  <c r="S405" i="1"/>
  <c r="S263" i="1"/>
  <c r="S392" i="1"/>
  <c r="S380" i="1"/>
  <c r="S351" i="1"/>
  <c r="S409" i="1"/>
  <c r="S166" i="1"/>
  <c r="S258" i="1"/>
  <c r="S423" i="1"/>
  <c r="S427" i="1"/>
  <c r="S311" i="1"/>
  <c r="S319" i="1"/>
  <c r="S360" i="1"/>
  <c r="S318" i="1"/>
  <c r="S317" i="1"/>
  <c r="S264" i="1"/>
  <c r="S413" i="1"/>
  <c r="S394" i="1"/>
  <c r="S376" i="1"/>
  <c r="S418" i="1"/>
  <c r="S338" i="1"/>
  <c r="S200" i="1"/>
  <c r="S419" i="1"/>
  <c r="S260" i="1"/>
  <c r="S375" i="1"/>
  <c r="S287" i="1"/>
  <c r="S390" i="1"/>
  <c r="S393" i="1"/>
  <c r="S267" i="1"/>
  <c r="S322" i="1"/>
  <c r="S323" i="1"/>
  <c r="S159" i="1"/>
  <c r="S352" i="1"/>
  <c r="S348" i="1"/>
  <c r="S332" i="1"/>
  <c r="S370" i="1"/>
  <c r="S293" i="1"/>
  <c r="S410" i="1"/>
  <c r="S237" i="1"/>
  <c r="S286" i="1"/>
  <c r="S369" i="1"/>
  <c r="S347" i="1"/>
  <c r="S305" i="1"/>
  <c r="S333" i="1"/>
  <c r="S300" i="1"/>
  <c r="S291" i="1"/>
  <c r="S282" i="1"/>
  <c r="S144" i="1"/>
  <c r="S355" i="1"/>
  <c r="S294" i="1"/>
  <c r="S297" i="1"/>
  <c r="S241" i="1"/>
  <c r="S386" i="1"/>
  <c r="S285" i="1"/>
  <c r="S245" i="1"/>
  <c r="S363" i="1"/>
  <c r="S429" i="1"/>
  <c r="S414" i="1"/>
  <c r="S327" i="1"/>
  <c r="S401" i="1"/>
  <c r="S326" i="1"/>
  <c r="S403" i="1"/>
  <c r="S399" i="1"/>
  <c r="S428" i="1"/>
  <c r="S344" i="1"/>
  <c r="S253" i="1"/>
  <c r="S254" i="1"/>
  <c r="S139" i="1"/>
  <c r="S184" i="1"/>
  <c r="S248" i="1"/>
  <c r="S257" i="1"/>
  <c r="S249" i="1"/>
  <c r="S251" i="1"/>
  <c r="S256" i="1"/>
  <c r="S255" i="1"/>
  <c r="S252" i="1"/>
  <c r="S247" i="1"/>
  <c r="S250" i="1"/>
  <c r="S238" i="1"/>
  <c r="S266" i="1"/>
  <c r="S407" i="1"/>
  <c r="S284" i="1"/>
  <c r="S408" i="1"/>
  <c r="S349" i="1"/>
  <c r="S337" i="1"/>
  <c r="S353" i="1"/>
  <c r="S176" i="1"/>
  <c r="S334" i="1"/>
  <c r="S430" i="1"/>
  <c r="S433" i="1"/>
  <c r="S432" i="1"/>
  <c r="S304" i="1"/>
  <c r="S373" i="1"/>
  <c r="S350" i="1"/>
  <c r="S354" i="1"/>
  <c r="S339" i="1"/>
  <c r="S420" i="1"/>
  <c r="S292" i="1"/>
  <c r="S276" i="1"/>
  <c r="S244" i="1"/>
  <c r="S272" i="1"/>
  <c r="S273" i="1"/>
  <c r="S170" i="1"/>
  <c r="S181" i="1"/>
  <c r="S412" i="1"/>
  <c r="S359" i="1"/>
  <c r="S259" i="1"/>
  <c r="S154" i="1"/>
  <c r="S168" i="1"/>
  <c r="S289" i="1"/>
  <c r="S422" i="1"/>
  <c r="S425" i="1"/>
  <c r="S417" i="1"/>
  <c r="S149" i="1"/>
  <c r="S340" i="1"/>
  <c r="S356" i="1"/>
  <c r="S426" i="1"/>
  <c r="S281" i="1"/>
  <c r="S310" i="1"/>
  <c r="S416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99" i="1"/>
  <c r="S239" i="1"/>
  <c r="S278" i="1"/>
  <c r="S415" i="1"/>
  <c r="S147" i="1"/>
  <c r="S155" i="1"/>
  <c r="S377" i="1"/>
  <c r="S129" i="1"/>
  <c r="S209" i="1"/>
  <c r="S114" i="1"/>
  <c r="S189" i="1"/>
  <c r="S128" i="1"/>
  <c r="S193" i="1"/>
  <c r="S140" i="1"/>
  <c r="S195" i="1"/>
  <c r="S161" i="1"/>
  <c r="S198" i="1"/>
  <c r="S145" i="1"/>
  <c r="S186" i="1"/>
  <c r="S178" i="1"/>
  <c r="S123" i="1"/>
  <c r="S152" i="1"/>
  <c r="S120" i="1"/>
  <c r="S118" i="1"/>
  <c r="S115" i="1"/>
  <c r="S141" i="1"/>
  <c r="S280" i="1"/>
  <c r="S279" i="1"/>
  <c r="S143" i="1"/>
  <c r="S265" i="1"/>
  <c r="S411" i="1"/>
  <c r="S324" i="1"/>
  <c r="S175" i="1"/>
  <c r="S157" i="1"/>
  <c r="S216" i="1"/>
  <c r="S185" i="1"/>
  <c r="S117" i="1"/>
  <c r="S171" i="1"/>
  <c r="S299" i="1"/>
  <c r="S119" i="1"/>
  <c r="S191" i="1"/>
  <c r="S341" i="1"/>
  <c r="S366" i="1"/>
  <c r="S379" i="1"/>
  <c r="S148" i="1"/>
  <c r="S138" i="1"/>
  <c r="S374" i="1"/>
  <c r="S389" i="1"/>
  <c r="S153" i="1"/>
  <c r="S146" i="1"/>
  <c r="S156" i="1"/>
  <c r="S130" i="1"/>
  <c r="S131" i="1"/>
  <c r="S336" i="1"/>
  <c r="S384" i="1"/>
  <c r="S192" i="1"/>
  <c r="S180" i="1"/>
  <c r="S421" i="1"/>
  <c r="S125" i="1"/>
  <c r="S197" i="1"/>
  <c r="S261" i="1"/>
  <c r="S196" i="1"/>
  <c r="S121" i="1"/>
  <c r="S127" i="1"/>
  <c r="S242" i="1"/>
  <c r="S330" i="1"/>
  <c r="S271" i="1"/>
  <c r="S194" i="1"/>
  <c r="S173" i="1"/>
  <c r="S169" i="1"/>
  <c r="S124" i="1"/>
  <c r="S134" i="1"/>
  <c r="S116" i="1"/>
  <c r="S163" i="1"/>
  <c r="S158" i="1"/>
  <c r="S132" i="1"/>
  <c r="S167" i="1"/>
  <c r="S187" i="1"/>
  <c r="S126" i="1"/>
  <c r="S296" i="1"/>
  <c r="S136" i="1"/>
  <c r="S172" i="1"/>
  <c r="S142" i="1"/>
  <c r="S137" i="1"/>
  <c r="S133" i="1"/>
  <c r="S301" i="1"/>
  <c r="S342" i="1"/>
  <c r="S162" i="1"/>
  <c r="S320" i="1"/>
  <c r="S400" i="1"/>
  <c r="S160" i="1"/>
  <c r="S179" i="1"/>
  <c r="S151" i="1"/>
  <c r="S122" i="1"/>
  <c r="S321" i="1"/>
  <c r="Q227" i="1"/>
  <c r="Q226" i="1"/>
  <c r="Q225" i="1"/>
  <c r="Q224" i="1"/>
  <c r="Q223" i="1"/>
  <c r="Q222" i="1"/>
  <c r="Q221" i="1"/>
  <c r="Q220" i="1"/>
  <c r="Q219" i="1"/>
  <c r="Q218" i="1"/>
  <c r="Q217" i="1"/>
  <c r="Q215" i="1"/>
  <c r="Q214" i="1"/>
  <c r="Q211" i="1"/>
  <c r="Q202" i="1"/>
  <c r="Q205" i="1"/>
  <c r="Q210" i="1"/>
  <c r="Q203" i="1"/>
  <c r="Q207" i="1"/>
  <c r="Q208" i="1"/>
  <c r="Q204" i="1"/>
  <c r="Q206" i="1"/>
  <c r="Q183" i="1"/>
  <c r="Q165" i="1"/>
  <c r="Q150" i="1"/>
  <c r="Q177" i="1"/>
  <c r="Q174" i="1"/>
  <c r="Q188" i="1"/>
  <c r="Q182" i="1"/>
  <c r="Q200" i="1"/>
  <c r="Q181" i="1"/>
  <c r="Q176" i="1"/>
  <c r="Q149" i="1"/>
  <c r="Q170" i="1"/>
  <c r="Q164" i="1"/>
  <c r="Q190" i="1"/>
  <c r="Q216" i="1"/>
  <c r="Q168" i="1"/>
  <c r="G233" i="9" l="1"/>
  <c r="E233" i="9"/>
  <c r="G230" i="9"/>
  <c r="P233" i="1"/>
  <c r="Q233" i="1" s="1"/>
  <c r="T232" i="1"/>
  <c r="T231" i="1"/>
  <c r="E232" i="9"/>
  <c r="P232" i="1"/>
  <c r="Q232" i="1" s="1"/>
  <c r="G196" i="9"/>
  <c r="G176" i="9"/>
  <c r="G114" i="9"/>
  <c r="G231" i="9"/>
  <c r="G195" i="9"/>
  <c r="G175" i="9"/>
  <c r="P337" i="1"/>
  <c r="P255" i="1"/>
  <c r="P93" i="1"/>
  <c r="P156" i="1"/>
  <c r="P415" i="1"/>
  <c r="P172" i="1"/>
  <c r="P21" i="1"/>
  <c r="P245" i="1"/>
  <c r="P351" i="1"/>
  <c r="P107" i="1"/>
  <c r="P16" i="1"/>
  <c r="P285" i="1"/>
  <c r="P35" i="1"/>
  <c r="P412" i="1"/>
  <c r="P341" i="1"/>
  <c r="P106" i="1"/>
  <c r="P349" i="1"/>
  <c r="P55" i="1"/>
  <c r="P307" i="1"/>
  <c r="P90" i="1"/>
  <c r="P25" i="1"/>
  <c r="P364" i="1"/>
  <c r="P297" i="1"/>
  <c r="P137" i="1"/>
  <c r="P154" i="1"/>
  <c r="P324" i="1"/>
  <c r="P380" i="1"/>
  <c r="P279" i="1"/>
  <c r="P250" i="1"/>
  <c r="P386" i="1"/>
  <c r="P241" i="1"/>
  <c r="P280" i="1"/>
  <c r="P369" i="1"/>
  <c r="P101" i="1"/>
  <c r="P22" i="1"/>
  <c r="P89" i="1"/>
  <c r="P247" i="1"/>
  <c r="P338" i="1"/>
  <c r="P112" i="1"/>
  <c r="P407" i="1"/>
  <c r="P395" i="1"/>
  <c r="P195" i="1"/>
  <c r="P9" i="1"/>
  <c r="P108" i="1"/>
  <c r="P335" i="1"/>
  <c r="P376" i="1"/>
  <c r="P62" i="1"/>
  <c r="P244" i="1"/>
  <c r="P193" i="1"/>
  <c r="P288" i="1"/>
  <c r="P168" i="1"/>
  <c r="P425" i="1"/>
  <c r="P86" i="1"/>
  <c r="P309" i="1"/>
  <c r="P374" i="1"/>
  <c r="P347" i="1"/>
  <c r="P432" i="1"/>
  <c r="P126" i="1"/>
  <c r="P243" i="1"/>
  <c r="P129" i="1"/>
  <c r="P117" i="1"/>
  <c r="P125" i="1"/>
  <c r="P113" i="1"/>
  <c r="P394" i="1"/>
  <c r="P313" i="1"/>
  <c r="P20" i="1"/>
  <c r="P373" i="1"/>
  <c r="P408" i="1"/>
  <c r="P379" i="1"/>
  <c r="P278" i="1"/>
  <c r="P53" i="1"/>
  <c r="P157" i="1"/>
  <c r="P258" i="1"/>
  <c r="P367" i="1"/>
  <c r="P209" i="1"/>
  <c r="P269" i="1"/>
  <c r="P330" i="1"/>
  <c r="P141" i="1"/>
  <c r="P410" i="1"/>
  <c r="P33" i="1"/>
  <c r="P65" i="1"/>
  <c r="P344" i="1"/>
  <c r="P358" i="1"/>
  <c r="P194" i="1"/>
  <c r="P4" i="1"/>
  <c r="P251" i="1"/>
  <c r="P314" i="1"/>
  <c r="P110" i="1"/>
  <c r="P350" i="1"/>
  <c r="P31" i="1"/>
  <c r="P397" i="1"/>
  <c r="P305" i="1"/>
  <c r="P128" i="1"/>
  <c r="P48" i="1"/>
  <c r="P37" i="1"/>
  <c r="P111" i="1"/>
  <c r="P417" i="1"/>
  <c r="P238" i="1"/>
  <c r="P363" i="1"/>
  <c r="P316" i="1"/>
  <c r="P185" i="1"/>
  <c r="P97" i="1"/>
  <c r="P426" i="1"/>
  <c r="P418" i="1"/>
  <c r="P136" i="1"/>
  <c r="P389" i="1"/>
  <c r="P252" i="1"/>
  <c r="P268" i="1"/>
  <c r="P359" i="1"/>
  <c r="P422" i="1"/>
  <c r="P18" i="1"/>
  <c r="P308" i="1"/>
  <c r="P283" i="1"/>
  <c r="P414" i="1"/>
  <c r="P161" i="1"/>
  <c r="P430" i="1"/>
  <c r="P273" i="1"/>
  <c r="P246" i="1"/>
  <c r="P79" i="1"/>
  <c r="P272" i="1"/>
  <c r="P140" i="1"/>
  <c r="P409" i="1"/>
  <c r="P271" i="1"/>
  <c r="P333" i="1"/>
  <c r="P259" i="1"/>
  <c r="P102" i="1"/>
  <c r="P191" i="1"/>
  <c r="P78" i="1"/>
  <c r="P296" i="1"/>
  <c r="P43" i="1"/>
  <c r="P175" i="1"/>
  <c r="P423" i="1"/>
  <c r="P38" i="1"/>
  <c r="P293" i="1"/>
  <c r="P256" i="1"/>
  <c r="P143" i="1"/>
  <c r="P433" i="1"/>
  <c r="P190" i="1"/>
  <c r="P266" i="1"/>
  <c r="P284" i="1"/>
  <c r="P382" i="1"/>
  <c r="P299" i="1"/>
  <c r="P353" i="1"/>
  <c r="P402" i="1"/>
  <c r="P368" i="1"/>
  <c r="P216" i="1"/>
  <c r="P166" i="1"/>
  <c r="P167" i="1"/>
  <c r="P366" i="1"/>
  <c r="P189" i="1"/>
  <c r="E231" i="9"/>
  <c r="G26" i="9"/>
  <c r="G35" i="9"/>
  <c r="G39" i="9"/>
  <c r="G72" i="9"/>
  <c r="G77" i="9"/>
  <c r="G110" i="9"/>
  <c r="G113" i="9"/>
  <c r="G174" i="9"/>
  <c r="G194" i="9"/>
  <c r="P231" i="1"/>
  <c r="Q231" i="1" s="1"/>
  <c r="E230" i="9"/>
  <c r="P36" i="1"/>
  <c r="P47" i="1"/>
  <c r="P421" i="1"/>
  <c r="P384" i="1"/>
  <c r="P41" i="1"/>
  <c r="P276" i="1"/>
  <c r="P11" i="1"/>
  <c r="P317" i="1"/>
  <c r="P19" i="1"/>
  <c r="P321" i="1"/>
  <c r="P115" i="1"/>
  <c r="P413" i="1"/>
  <c r="P315" i="1"/>
  <c r="T230" i="1"/>
  <c r="T89" i="1"/>
  <c r="T90" i="1"/>
  <c r="T91" i="1"/>
  <c r="T92" i="1"/>
  <c r="T93" i="1"/>
  <c r="T94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137" i="1"/>
  <c r="T199" i="1"/>
  <c r="T2" i="1"/>
  <c r="T201" i="1"/>
  <c r="T219" i="1"/>
  <c r="T3" i="1"/>
  <c r="T4" i="1"/>
  <c r="T155" i="1"/>
  <c r="T5" i="1"/>
  <c r="T6" i="1"/>
  <c r="T7" i="1"/>
  <c r="T8" i="1"/>
  <c r="T9" i="1"/>
  <c r="T10" i="1"/>
  <c r="T148" i="1"/>
  <c r="T147" i="1"/>
  <c r="T139" i="1"/>
  <c r="T184" i="1"/>
  <c r="T11" i="1"/>
  <c r="T153" i="1"/>
  <c r="T226" i="1"/>
  <c r="T197" i="1"/>
  <c r="T115" i="1"/>
  <c r="T143" i="1"/>
  <c r="T228" i="1"/>
  <c r="T131" i="1"/>
  <c r="T12" i="1"/>
  <c r="T13" i="1"/>
  <c r="T146" i="1"/>
  <c r="T144" i="1"/>
  <c r="T14" i="1"/>
  <c r="T15" i="1"/>
  <c r="T162" i="1"/>
  <c r="T222" i="1"/>
  <c r="T16" i="1"/>
  <c r="T211" i="1"/>
  <c r="T223" i="1"/>
  <c r="T17" i="1"/>
  <c r="T18" i="1"/>
  <c r="T126" i="1"/>
  <c r="T141" i="1"/>
  <c r="T19" i="1"/>
  <c r="T20" i="1"/>
  <c r="T21" i="1"/>
  <c r="T22" i="1"/>
  <c r="T23" i="1"/>
  <c r="T138" i="1"/>
  <c r="T24" i="1"/>
  <c r="T25" i="1"/>
  <c r="T136" i="1"/>
  <c r="T26" i="1"/>
  <c r="T27" i="1"/>
  <c r="T28" i="1"/>
  <c r="T29" i="1"/>
  <c r="T156" i="1"/>
  <c r="T30" i="1"/>
  <c r="T130" i="1"/>
  <c r="T215" i="1"/>
  <c r="T221" i="1"/>
  <c r="T164" i="1"/>
  <c r="T158" i="1"/>
  <c r="T31" i="1"/>
  <c r="T32" i="1"/>
  <c r="T33" i="1"/>
  <c r="T34" i="1"/>
  <c r="T216" i="1"/>
  <c r="T172" i="1"/>
  <c r="T35" i="1"/>
  <c r="T36" i="1"/>
  <c r="T166" i="1"/>
  <c r="T204" i="1"/>
  <c r="T37" i="1"/>
  <c r="T38" i="1"/>
  <c r="T194" i="1"/>
  <c r="T149" i="1"/>
  <c r="T151" i="1"/>
  <c r="T122" i="1"/>
  <c r="T129" i="1"/>
  <c r="T39" i="1"/>
  <c r="T40" i="1"/>
  <c r="T41" i="1"/>
  <c r="T42" i="1"/>
  <c r="T43" i="1"/>
  <c r="T206" i="1"/>
  <c r="T176" i="1"/>
  <c r="T44" i="1"/>
  <c r="T45" i="1"/>
  <c r="T46" i="1"/>
  <c r="T117" i="1"/>
  <c r="T47" i="1"/>
  <c r="T209" i="1"/>
  <c r="T114" i="1"/>
  <c r="T189" i="1"/>
  <c r="T135" i="1"/>
  <c r="T128" i="1"/>
  <c r="T133" i="1"/>
  <c r="T48" i="1"/>
  <c r="T49" i="1"/>
  <c r="T50" i="1"/>
  <c r="T227" i="1"/>
  <c r="T51" i="1"/>
  <c r="T191" i="1"/>
  <c r="T52" i="1"/>
  <c r="T53" i="1"/>
  <c r="T54" i="1"/>
  <c r="T119" i="1"/>
  <c r="T208" i="1"/>
  <c r="T55" i="1"/>
  <c r="T174" i="1"/>
  <c r="T207" i="1"/>
  <c r="T175" i="1"/>
  <c r="T154" i="1"/>
  <c r="T159" i="1"/>
  <c r="T187" i="1"/>
  <c r="T205" i="1"/>
  <c r="T56" i="1"/>
  <c r="T157" i="1"/>
  <c r="T57" i="1"/>
  <c r="T193" i="1"/>
  <c r="T140" i="1"/>
  <c r="T58" i="1"/>
  <c r="T195" i="1"/>
  <c r="T59" i="1"/>
  <c r="T161" i="1"/>
  <c r="T198" i="1"/>
  <c r="T145" i="1"/>
  <c r="T186" i="1"/>
  <c r="T60" i="1"/>
  <c r="T181" i="1"/>
  <c r="T61" i="1"/>
  <c r="T200" i="1"/>
  <c r="T62" i="1"/>
  <c r="T196" i="1"/>
  <c r="T167" i="1"/>
  <c r="T202" i="1"/>
  <c r="T63" i="1"/>
  <c r="T64" i="1"/>
  <c r="T65" i="1"/>
  <c r="T66" i="1"/>
  <c r="T67" i="1"/>
  <c r="T68" i="1"/>
  <c r="T178" i="1"/>
  <c r="T123" i="1"/>
  <c r="T69" i="1"/>
  <c r="T152" i="1"/>
  <c r="T190" i="1"/>
  <c r="T70" i="1"/>
  <c r="T71" i="1"/>
  <c r="T72" i="1"/>
  <c r="T224" i="1"/>
  <c r="T185" i="1"/>
  <c r="T73" i="1"/>
  <c r="T74" i="1"/>
  <c r="T116" i="1"/>
  <c r="T75" i="1"/>
  <c r="T76" i="1"/>
  <c r="T77" i="1"/>
  <c r="T78" i="1"/>
  <c r="T79" i="1"/>
  <c r="T80" i="1"/>
  <c r="T81" i="1"/>
  <c r="T182" i="1"/>
  <c r="T203" i="1"/>
  <c r="T124" i="1"/>
  <c r="T217" i="1"/>
  <c r="T82" i="1"/>
  <c r="T150" i="1"/>
  <c r="T83" i="1"/>
  <c r="T84" i="1"/>
  <c r="T85" i="1"/>
  <c r="T86" i="1"/>
  <c r="T229" i="1"/>
  <c r="T173" i="1"/>
  <c r="T87" i="1"/>
  <c r="T192" i="1"/>
  <c r="T88" i="1"/>
  <c r="T120" i="1"/>
  <c r="T214" i="1"/>
  <c r="T188" i="1"/>
  <c r="T225" i="1"/>
  <c r="T171" i="1"/>
  <c r="T121" i="1"/>
  <c r="T163" i="1"/>
  <c r="T160" i="1"/>
  <c r="T179" i="1"/>
  <c r="T95" i="1"/>
  <c r="T96" i="1"/>
  <c r="T97" i="1"/>
  <c r="T98" i="1"/>
  <c r="T127" i="1"/>
  <c r="T99" i="1"/>
  <c r="T100" i="1"/>
  <c r="T183" i="1"/>
  <c r="T132" i="1"/>
  <c r="T142" i="1"/>
  <c r="T169" i="1"/>
  <c r="T218" i="1"/>
  <c r="T101" i="1"/>
  <c r="T177" i="1"/>
  <c r="T102" i="1"/>
  <c r="T168" i="1"/>
  <c r="T180" i="1"/>
  <c r="T103" i="1"/>
  <c r="T212" i="1"/>
  <c r="T213" i="1"/>
  <c r="T104" i="1"/>
  <c r="T134" i="1"/>
  <c r="T105" i="1"/>
  <c r="T220" i="1"/>
  <c r="T170" i="1"/>
  <c r="T106" i="1"/>
  <c r="T107" i="1"/>
  <c r="T108" i="1"/>
  <c r="T109" i="1"/>
  <c r="T110" i="1"/>
  <c r="T165" i="1"/>
  <c r="T111" i="1"/>
  <c r="T118" i="1"/>
  <c r="T125" i="1"/>
  <c r="T112" i="1"/>
  <c r="T113" i="1"/>
  <c r="T210" i="1"/>
  <c r="G109" i="9"/>
  <c r="G112" i="9"/>
  <c r="G173" i="9"/>
  <c r="G192" i="9"/>
  <c r="G193" i="9"/>
  <c r="P234" i="1"/>
  <c r="Q234" i="1" s="1"/>
  <c r="P277" i="1"/>
  <c r="P83" i="1"/>
  <c r="P142" i="1"/>
  <c r="P10" i="1"/>
  <c r="P230" i="1"/>
  <c r="Q230" i="1" s="1"/>
  <c r="E7" i="9"/>
  <c r="E2" i="9"/>
  <c r="E13" i="9"/>
  <c r="E19" i="9"/>
  <c r="E31" i="9"/>
  <c r="E42" i="9"/>
  <c r="E62" i="9"/>
  <c r="E14" i="9"/>
  <c r="E8" i="9"/>
  <c r="E18" i="9"/>
  <c r="E22" i="9"/>
  <c r="E34" i="9"/>
  <c r="E48" i="9"/>
  <c r="E53" i="9"/>
  <c r="E71" i="9"/>
  <c r="E9" i="9"/>
  <c r="E50" i="9"/>
  <c r="E12" i="9"/>
  <c r="E24" i="9"/>
  <c r="E27" i="9"/>
  <c r="E32" i="9"/>
  <c r="E38" i="9"/>
  <c r="E49" i="9"/>
  <c r="E51" i="9"/>
  <c r="E56" i="9"/>
  <c r="E59" i="9"/>
  <c r="E3" i="9"/>
  <c r="E25" i="9"/>
  <c r="E29" i="9"/>
  <c r="E33" i="9"/>
  <c r="E37" i="9"/>
  <c r="E44" i="9"/>
  <c r="E46" i="9"/>
  <c r="E52" i="9"/>
  <c r="E54" i="9"/>
  <c r="E17" i="9"/>
  <c r="E35" i="9"/>
  <c r="E47" i="9"/>
  <c r="E55" i="9"/>
  <c r="E58" i="9"/>
  <c r="E6" i="9"/>
  <c r="E20" i="9"/>
  <c r="E28" i="9"/>
  <c r="E36" i="9"/>
  <c r="E40" i="9"/>
  <c r="E43" i="9"/>
  <c r="E61" i="9"/>
  <c r="E70" i="9"/>
  <c r="E16" i="9"/>
  <c r="E11" i="9"/>
  <c r="E21" i="9"/>
  <c r="E26" i="9"/>
  <c r="E41" i="9"/>
  <c r="E45" i="9"/>
  <c r="E10" i="9"/>
  <c r="E5" i="9"/>
  <c r="E15" i="9"/>
  <c r="E23" i="9"/>
  <c r="E30" i="9"/>
  <c r="E39" i="9"/>
  <c r="P441" i="1"/>
  <c r="Q441" i="1" s="1"/>
  <c r="P440" i="1"/>
  <c r="Q440" i="1" s="1"/>
  <c r="E228" i="9"/>
  <c r="E229" i="9"/>
  <c r="G86" i="9"/>
  <c r="G143" i="9"/>
  <c r="G149" i="9"/>
  <c r="G160" i="9"/>
  <c r="G166" i="9"/>
  <c r="G179" i="9"/>
  <c r="G207" i="9"/>
  <c r="G115" i="9"/>
  <c r="G162" i="9"/>
  <c r="G208" i="9"/>
  <c r="G210" i="9"/>
  <c r="G223" i="9"/>
  <c r="P68" i="1"/>
  <c r="P197" i="1"/>
  <c r="P74" i="1"/>
  <c r="P302" i="1"/>
  <c r="P292" i="1"/>
  <c r="P148" i="1"/>
  <c r="P318" i="1"/>
  <c r="P237" i="1"/>
  <c r="P171" i="1"/>
  <c r="P300" i="1"/>
  <c r="P265" i="1"/>
  <c r="P198" i="1"/>
  <c r="P429" i="1"/>
  <c r="P399" i="1"/>
  <c r="P147" i="1"/>
  <c r="P95" i="1"/>
  <c r="P264" i="1"/>
  <c r="P392" i="1"/>
  <c r="P45" i="1"/>
  <c r="P229" i="1"/>
  <c r="Q229" i="1" s="1"/>
  <c r="P227" i="1"/>
  <c r="P226" i="1"/>
  <c r="P225" i="1"/>
  <c r="P224" i="1"/>
  <c r="P223" i="1"/>
  <c r="P186" i="1"/>
  <c r="P59" i="1"/>
  <c r="P401" i="1"/>
  <c r="P254" i="1"/>
  <c r="P290" i="1"/>
  <c r="P411" i="1"/>
  <c r="P151" i="1"/>
  <c r="P71" i="1"/>
  <c r="P100" i="1"/>
  <c r="P343" i="1"/>
  <c r="P301" i="1"/>
  <c r="P405" i="1"/>
  <c r="P24" i="1"/>
  <c r="P91" i="1"/>
  <c r="P173" i="1"/>
  <c r="P261" i="1"/>
  <c r="P85" i="1"/>
  <c r="P303" i="1"/>
  <c r="P339" i="1"/>
  <c r="P138" i="1"/>
  <c r="P360" i="1"/>
  <c r="P119" i="1"/>
  <c r="P286" i="1"/>
  <c r="P291" i="1"/>
  <c r="P28" i="1"/>
  <c r="P145" i="1"/>
  <c r="P58" i="1"/>
  <c r="P428" i="1"/>
  <c r="P253" i="1"/>
  <c r="P96" i="1"/>
  <c r="P312" i="1"/>
  <c r="P122" i="1"/>
  <c r="P67" i="1"/>
  <c r="P99" i="1"/>
  <c r="P431" i="1"/>
  <c r="P84" i="1"/>
  <c r="P263" i="1"/>
  <c r="P8" i="1"/>
  <c r="P82" i="1"/>
  <c r="P222" i="1"/>
  <c r="P221" i="1"/>
  <c r="P235" i="1"/>
  <c r="P236" i="1"/>
  <c r="P220" i="1"/>
  <c r="P439" i="1"/>
  <c r="P438" i="1"/>
  <c r="P437" i="1"/>
  <c r="P219" i="1"/>
  <c r="P196" i="1"/>
  <c r="P50" i="1"/>
  <c r="P131" i="1"/>
  <c r="P420" i="1"/>
  <c r="P26" i="1"/>
  <c r="P311" i="1"/>
  <c r="P323" i="1"/>
  <c r="P289" i="1"/>
  <c r="P334" i="1"/>
  <c r="P294" i="1"/>
  <c r="P178" i="1"/>
  <c r="P69" i="1"/>
  <c r="P326" i="1"/>
  <c r="P139" i="1"/>
  <c r="P40" i="1"/>
  <c r="P388" i="1"/>
  <c r="P267" i="1"/>
  <c r="P51" i="1"/>
  <c r="P345" i="1"/>
  <c r="P342" i="1"/>
  <c r="P262" i="1"/>
  <c r="P32" i="1"/>
  <c r="P92" i="1"/>
  <c r="P169" i="1"/>
  <c r="P121" i="1"/>
  <c r="P3" i="1"/>
  <c r="P7" i="1"/>
  <c r="P170" i="1"/>
  <c r="P164" i="1"/>
  <c r="P319" i="1"/>
  <c r="P322" i="1"/>
  <c r="P281" i="1"/>
  <c r="P282" i="1"/>
  <c r="P34" i="1"/>
  <c r="G24" i="9"/>
  <c r="G25" i="9"/>
  <c r="G34" i="9"/>
  <c r="G38" i="9"/>
  <c r="G71" i="9"/>
  <c r="G76" i="9"/>
  <c r="G108" i="9"/>
  <c r="G111" i="9"/>
  <c r="G172" i="9"/>
  <c r="G190" i="9"/>
  <c r="G191" i="9"/>
  <c r="P228" i="1"/>
  <c r="Q228" i="1" s="1"/>
  <c r="P436" i="1"/>
  <c r="P435" i="1"/>
  <c r="P434" i="1"/>
  <c r="P213" i="1"/>
  <c r="P212" i="1"/>
  <c r="P211" i="1"/>
  <c r="P393" i="1"/>
  <c r="P70" i="1"/>
  <c r="P387" i="1"/>
  <c r="P162" i="1"/>
  <c r="P404" i="1"/>
  <c r="P76" i="1"/>
  <c r="P158" i="1"/>
  <c r="P105" i="1"/>
  <c r="E57" i="9"/>
  <c r="E65" i="9"/>
  <c r="E67" i="9"/>
  <c r="E64" i="9"/>
  <c r="E68" i="9"/>
  <c r="E4" i="9"/>
  <c r="E60" i="9"/>
  <c r="E66" i="9"/>
  <c r="E63" i="9"/>
  <c r="E69" i="9"/>
  <c r="P214" i="1"/>
  <c r="P215" i="1"/>
  <c r="P218" i="1"/>
  <c r="P217" i="1"/>
  <c r="P202" i="1"/>
  <c r="P205" i="1"/>
  <c r="P210" i="1"/>
  <c r="P203" i="1"/>
  <c r="P207" i="1"/>
  <c r="P208" i="1"/>
  <c r="P396" i="1"/>
  <c r="P274" i="1"/>
  <c r="P361" i="1"/>
  <c r="P295" i="1"/>
  <c r="P391" i="1"/>
  <c r="P204" i="1"/>
  <c r="P206" i="1"/>
  <c r="P183" i="1"/>
  <c r="P165" i="1"/>
  <c r="P150" i="1"/>
  <c r="P177" i="1"/>
  <c r="P362" i="1"/>
  <c r="P398" i="1"/>
  <c r="P240" i="1"/>
  <c r="P365" i="1"/>
  <c r="P371" i="1"/>
  <c r="P329" i="1"/>
  <c r="P328" i="1"/>
  <c r="P174" i="1"/>
  <c r="P188" i="1"/>
  <c r="P406" i="1"/>
  <c r="P182" i="1"/>
  <c r="P275" i="1"/>
  <c r="P424" i="1"/>
  <c r="P56" i="1"/>
  <c r="P133" i="1"/>
  <c r="P130" i="1"/>
  <c r="P135" i="1"/>
  <c r="P163" i="1"/>
  <c r="P377" i="1"/>
  <c r="P242" i="1"/>
  <c r="P13" i="1"/>
  <c r="P200" i="1"/>
  <c r="P17" i="1"/>
  <c r="P419" i="1"/>
  <c r="P427" i="1"/>
  <c r="P52" i="1"/>
  <c r="P270" i="1"/>
  <c r="P416" i="1"/>
  <c r="P260" i="1"/>
  <c r="P98" i="1"/>
  <c r="P104" i="1"/>
  <c r="P15" i="1"/>
  <c r="P73" i="1"/>
  <c r="P187" i="1"/>
  <c r="P385" i="1"/>
  <c r="P116" i="1"/>
  <c r="P2" i="1"/>
  <c r="P181" i="1"/>
  <c r="P63" i="1"/>
  <c r="P30" i="1"/>
  <c r="P383" i="1"/>
  <c r="P331" i="1"/>
  <c r="P332" i="1"/>
  <c r="P356" i="1"/>
  <c r="P44" i="1"/>
  <c r="P298" i="1"/>
  <c r="P176" i="1"/>
  <c r="P123" i="1"/>
  <c r="P155" i="1"/>
  <c r="P249" i="1"/>
  <c r="P199" i="1"/>
  <c r="P239" i="1"/>
  <c r="P375" i="1"/>
  <c r="P179" i="1"/>
  <c r="P87" i="1"/>
  <c r="P60" i="1"/>
  <c r="P124" i="1"/>
  <c r="P5" i="1"/>
  <c r="P192" i="1"/>
  <c r="P336" i="1"/>
  <c r="P153" i="1"/>
  <c r="P27" i="1"/>
  <c r="P46" i="1"/>
  <c r="P159" i="1"/>
  <c r="P149" i="1"/>
  <c r="P54" i="1"/>
  <c r="P144" i="1"/>
  <c r="P152" i="1"/>
  <c r="P114" i="1"/>
  <c r="P403" i="1"/>
  <c r="P184" i="1"/>
  <c r="P61" i="1"/>
  <c r="C12" i="6"/>
  <c r="P12" i="1"/>
  <c r="P6" i="1"/>
  <c r="P72" i="1"/>
  <c r="P109" i="1"/>
  <c r="P357" i="1"/>
  <c r="P49" i="1"/>
  <c r="P57" i="1"/>
  <c r="P81" i="1"/>
  <c r="P42" i="1"/>
  <c r="P29" i="1"/>
  <c r="P346" i="1"/>
  <c r="P378" i="1"/>
  <c r="P348" i="1"/>
  <c r="P340" i="1"/>
  <c r="P64" i="1"/>
  <c r="P325" i="1"/>
  <c r="P354" i="1"/>
  <c r="P120" i="1"/>
  <c r="P327" i="1"/>
  <c r="P257" i="1"/>
  <c r="P94" i="1"/>
  <c r="P370" i="1"/>
  <c r="P287" i="1"/>
  <c r="P160" i="1"/>
  <c r="P381" i="1"/>
  <c r="P400" i="1"/>
  <c r="P39" i="1"/>
  <c r="P88" i="1"/>
  <c r="P132" i="1"/>
  <c r="P118" i="1"/>
  <c r="P75" i="1"/>
  <c r="P248" i="1"/>
  <c r="P80" i="1"/>
  <c r="P66" i="1"/>
  <c r="P390" i="1"/>
  <c r="P77" i="1"/>
  <c r="P372" i="1"/>
  <c r="P320" i="1"/>
  <c r="P14" i="1"/>
  <c r="P134" i="1"/>
  <c r="P127" i="1"/>
  <c r="P180" i="1"/>
  <c r="P23" i="1"/>
  <c r="P146" i="1"/>
  <c r="P201" i="1"/>
  <c r="P306" i="1"/>
  <c r="P352" i="1"/>
  <c r="P310" i="1"/>
  <c r="P103" i="1"/>
  <c r="P355" i="1"/>
  <c r="P304" i="1"/>
  <c r="E226" i="9"/>
  <c r="E73" i="9"/>
  <c r="E77" i="9"/>
  <c r="E80" i="9"/>
  <c r="E84" i="9"/>
  <c r="E88" i="9"/>
  <c r="E90" i="9"/>
  <c r="E92" i="9"/>
  <c r="E96" i="9"/>
  <c r="E101" i="9"/>
  <c r="E108" i="9"/>
  <c r="E112" i="9"/>
  <c r="E115" i="9"/>
  <c r="E117" i="9"/>
  <c r="E120" i="9"/>
  <c r="E124" i="9"/>
  <c r="E128" i="9"/>
  <c r="E131" i="9"/>
  <c r="E134" i="9"/>
  <c r="E136" i="9"/>
  <c r="E140" i="9"/>
  <c r="E144" i="9"/>
  <c r="E150" i="9"/>
  <c r="E153" i="9"/>
  <c r="E156" i="9"/>
  <c r="E160" i="9"/>
  <c r="E167" i="9"/>
  <c r="E171" i="9"/>
  <c r="E174" i="9"/>
  <c r="E182" i="9"/>
  <c r="E190" i="9"/>
  <c r="E193" i="9"/>
  <c r="E196" i="9"/>
  <c r="E198" i="9"/>
  <c r="E204" i="9"/>
  <c r="E211" i="9"/>
  <c r="E213" i="9"/>
  <c r="E216" i="9"/>
  <c r="E223" i="9"/>
  <c r="E74" i="9"/>
  <c r="E82" i="9"/>
  <c r="E87" i="9"/>
  <c r="E95" i="9"/>
  <c r="E98" i="9"/>
  <c r="E103" i="9"/>
  <c r="E105" i="9"/>
  <c r="E110" i="9"/>
  <c r="E118" i="9"/>
  <c r="E123" i="9"/>
  <c r="E126" i="9"/>
  <c r="E129" i="9"/>
  <c r="E132" i="9"/>
  <c r="E139" i="9"/>
  <c r="E142" i="9"/>
  <c r="E147" i="9"/>
  <c r="E154" i="9"/>
  <c r="E159" i="9"/>
  <c r="E162" i="9"/>
  <c r="E164" i="9"/>
  <c r="E168" i="9"/>
  <c r="E172" i="9"/>
  <c r="E176" i="9"/>
  <c r="E179" i="9"/>
  <c r="E183" i="9"/>
  <c r="E185" i="9"/>
  <c r="E188" i="9"/>
  <c r="E191" i="9"/>
  <c r="E195" i="9"/>
  <c r="E201" i="9"/>
  <c r="E208" i="9"/>
  <c r="E212" i="9"/>
  <c r="E215" i="9"/>
  <c r="E219" i="9"/>
  <c r="E227" i="9"/>
  <c r="E75" i="9"/>
  <c r="E76" i="9"/>
  <c r="E79" i="9"/>
  <c r="E83" i="9"/>
  <c r="E86" i="9"/>
  <c r="E89" i="9"/>
  <c r="E93" i="9"/>
  <c r="E99" i="9"/>
  <c r="E102" i="9"/>
  <c r="E106" i="9"/>
  <c r="E109" i="9"/>
  <c r="E113" i="9"/>
  <c r="E116" i="9"/>
  <c r="E121" i="9"/>
  <c r="E125" i="9"/>
  <c r="E127" i="9"/>
  <c r="E135" i="9"/>
  <c r="E138" i="9"/>
  <c r="E141" i="9"/>
  <c r="E145" i="9"/>
  <c r="E148" i="9"/>
  <c r="E151" i="9"/>
  <c r="E155" i="9"/>
  <c r="E157" i="9"/>
  <c r="E163" i="9"/>
  <c r="E166" i="9"/>
  <c r="E169" i="9"/>
  <c r="E173" i="9"/>
  <c r="E175" i="9"/>
  <c r="E178" i="9"/>
  <c r="E180" i="9"/>
  <c r="E186" i="9"/>
  <c r="E189" i="9"/>
  <c r="E197" i="9"/>
  <c r="E200" i="9"/>
  <c r="E202" i="9"/>
  <c r="E206" i="9"/>
  <c r="E209" i="9"/>
  <c r="E217" i="9"/>
  <c r="E220" i="9"/>
  <c r="E222" i="9"/>
  <c r="E225" i="9"/>
  <c r="E72" i="9"/>
  <c r="E78" i="9"/>
  <c r="E81" i="9"/>
  <c r="E85" i="9"/>
  <c r="E91" i="9"/>
  <c r="E94" i="9"/>
  <c r="E97" i="9"/>
  <c r="E100" i="9"/>
  <c r="E104" i="9"/>
  <c r="E107" i="9"/>
  <c r="E111" i="9"/>
  <c r="E114" i="9"/>
  <c r="E119" i="9"/>
  <c r="E122" i="9"/>
  <c r="E130" i="9"/>
  <c r="E133" i="9"/>
  <c r="E137" i="9"/>
  <c r="E143" i="9"/>
  <c r="E146" i="9"/>
  <c r="E149" i="9"/>
  <c r="E152" i="9"/>
  <c r="E158" i="9"/>
  <c r="E161" i="9"/>
  <c r="E165" i="9"/>
  <c r="E170" i="9"/>
  <c r="E177" i="9"/>
  <c r="E181" i="9"/>
  <c r="E184" i="9"/>
  <c r="E187" i="9"/>
  <c r="E192" i="9"/>
  <c r="E194" i="9"/>
  <c r="E199" i="9"/>
  <c r="E203" i="9"/>
  <c r="E205" i="9"/>
  <c r="E207" i="9"/>
  <c r="E210" i="9"/>
  <c r="E214" i="9"/>
  <c r="E218" i="9"/>
  <c r="E221" i="9"/>
  <c r="E224" i="9"/>
  <c r="Q341" i="1" l="1"/>
  <c r="Q285" i="1"/>
  <c r="Q380" i="1"/>
  <c r="Q279" i="1"/>
  <c r="Q255" i="1"/>
  <c r="Q337" i="1"/>
  <c r="Q237" i="1"/>
  <c r="Q244" i="1"/>
  <c r="Q288" i="1"/>
  <c r="Q309" i="1"/>
  <c r="Q347" i="1"/>
  <c r="Q330" i="1"/>
  <c r="Q369" i="1"/>
  <c r="Q238" i="1"/>
  <c r="Q425" i="1"/>
  <c r="Q335" i="1"/>
  <c r="Q243" i="1"/>
  <c r="Q412" i="1"/>
  <c r="Q373" i="1"/>
  <c r="Q386" i="1"/>
  <c r="Q338" i="1"/>
  <c r="Q280" i="1"/>
  <c r="Q410" i="1"/>
  <c r="Q350" i="1"/>
  <c r="Q297" i="1"/>
  <c r="Q245" i="1"/>
  <c r="Q394" i="1"/>
  <c r="Q351" i="1"/>
  <c r="Q278" i="1"/>
  <c r="Q433" i="1"/>
  <c r="Q382" i="1"/>
  <c r="Q402" i="1"/>
  <c r="Q366" i="1"/>
  <c r="Q252" i="1"/>
  <c r="Q423" i="1"/>
  <c r="Q321" i="1"/>
  <c r="Q430" i="1"/>
  <c r="Q246" i="1"/>
  <c r="Q353" i="1"/>
  <c r="Q271" i="1"/>
  <c r="Q317" i="1"/>
  <c r="Q368" i="1"/>
  <c r="Q359" i="1"/>
  <c r="Q308" i="1"/>
  <c r="Q293" i="1"/>
  <c r="Q409" i="1"/>
  <c r="Q268" i="1"/>
  <c r="Q283" i="1"/>
  <c r="Q414" i="1"/>
  <c r="Q363" i="1"/>
  <c r="Q273" i="1"/>
  <c r="Q284" i="1"/>
  <c r="Q250" i="1"/>
  <c r="Q408" i="1"/>
  <c r="Q379" i="1"/>
  <c r="Q247" i="1"/>
  <c r="Q389" i="1"/>
  <c r="Q241" i="1"/>
  <c r="Q422" i="1"/>
  <c r="Q324" i="1"/>
  <c r="Q395" i="1"/>
  <c r="Q314" i="1"/>
  <c r="Q307" i="1"/>
  <c r="Q364" i="1"/>
  <c r="Q417" i="1"/>
  <c r="Q407" i="1"/>
  <c r="Q344" i="1"/>
  <c r="Q313" i="1"/>
  <c r="Q251" i="1"/>
  <c r="Q333" i="1"/>
  <c r="Q418" i="1"/>
  <c r="Q305" i="1"/>
  <c r="Q258" i="1"/>
  <c r="Q367" i="1"/>
  <c r="Q269" i="1"/>
  <c r="Q397" i="1"/>
  <c r="Q272" i="1"/>
  <c r="Q259" i="1"/>
  <c r="Q415" i="1"/>
  <c r="Q316" i="1"/>
  <c r="Q266" i="1"/>
  <c r="Q299" i="1"/>
  <c r="Q376" i="1"/>
  <c r="Q374" i="1"/>
  <c r="Q256" i="1"/>
  <c r="Q349" i="1"/>
  <c r="Q358" i="1"/>
  <c r="Q426" i="1"/>
  <c r="Q296" i="1"/>
  <c r="Q432" i="1"/>
  <c r="Q413" i="1"/>
  <c r="Q384" i="1"/>
  <c r="Q276" i="1"/>
  <c r="Q315" i="1"/>
  <c r="Q421" i="1"/>
  <c r="Q277" i="1"/>
  <c r="Q399" i="1"/>
  <c r="Q290" i="1"/>
  <c r="Q411" i="1"/>
  <c r="Q343" i="1"/>
  <c r="Q301" i="1"/>
  <c r="Q254" i="1"/>
  <c r="Q318" i="1"/>
  <c r="Q302" i="1"/>
  <c r="Q292" i="1"/>
  <c r="Q429" i="1"/>
  <c r="Q265" i="1"/>
  <c r="Q300" i="1"/>
  <c r="Q392" i="1"/>
  <c r="Q264" i="1"/>
  <c r="Q360" i="1"/>
  <c r="Q312" i="1"/>
  <c r="Q405" i="1"/>
  <c r="Q428" i="1"/>
  <c r="Q286" i="1"/>
  <c r="Q253" i="1"/>
  <c r="Q261" i="1"/>
  <c r="Q303" i="1"/>
  <c r="Q339" i="1"/>
  <c r="Q291" i="1"/>
  <c r="Q263" i="1"/>
  <c r="Q431" i="1"/>
  <c r="Q401" i="1"/>
  <c r="Q326" i="1"/>
  <c r="Q438" i="1"/>
  <c r="Q437" i="1"/>
  <c r="Q420" i="1"/>
  <c r="Q282" i="1"/>
  <c r="Q342" i="1"/>
  <c r="Q322" i="1"/>
  <c r="Q345" i="1"/>
  <c r="Q235" i="1"/>
  <c r="Q236" i="1"/>
  <c r="Q311" i="1"/>
  <c r="Q262" i="1"/>
  <c r="Q334" i="1"/>
  <c r="Q267" i="1"/>
  <c r="Q281" i="1"/>
  <c r="Q439" i="1"/>
  <c r="Q289" i="1"/>
  <c r="Q294" i="1"/>
  <c r="Q388" i="1"/>
  <c r="Q319" i="1"/>
  <c r="Q323" i="1"/>
  <c r="Q434" i="1"/>
  <c r="Q393" i="1"/>
  <c r="Q436" i="1"/>
  <c r="Q404" i="1"/>
  <c r="Q435" i="1"/>
  <c r="Q213" i="1"/>
  <c r="Q212" i="1"/>
  <c r="Q387" i="1"/>
  <c r="Q331" i="1"/>
  <c r="Q398" i="1"/>
  <c r="Q396" i="1"/>
  <c r="Q362" i="1"/>
  <c r="Q328" i="1"/>
  <c r="Q424" i="1"/>
  <c r="Q274" i="1"/>
  <c r="Q371" i="1"/>
  <c r="Q406" i="1"/>
  <c r="Q377" i="1"/>
  <c r="Q295" i="1"/>
  <c r="Q329" i="1"/>
  <c r="Q240" i="1"/>
  <c r="Q361" i="1"/>
  <c r="Q391" i="1"/>
  <c r="Q365" i="1"/>
  <c r="Q275" i="1"/>
  <c r="Q419" i="1"/>
  <c r="Q427" i="1"/>
  <c r="Q332" i="1"/>
  <c r="Q249" i="1"/>
  <c r="Q375" i="1"/>
  <c r="Q242" i="1"/>
  <c r="Q356" i="1"/>
  <c r="Q416" i="1"/>
  <c r="Q270" i="1"/>
  <c r="Q239" i="1"/>
  <c r="Q260" i="1"/>
  <c r="Q385" i="1"/>
  <c r="Q383" i="1"/>
  <c r="Q298" i="1"/>
  <c r="Q403" i="1"/>
  <c r="Q336" i="1"/>
  <c r="C17" i="6"/>
  <c r="C11" i="6"/>
  <c r="B18" i="6"/>
  <c r="Q340" i="1"/>
  <c r="Q257" i="1"/>
  <c r="Q400" i="1"/>
  <c r="Q310" i="1"/>
  <c r="Q325" i="1"/>
  <c r="Q287" i="1"/>
  <c r="Q390" i="1"/>
  <c r="Q357" i="1"/>
  <c r="Q346" i="1"/>
  <c r="Q354" i="1"/>
  <c r="Q370" i="1"/>
  <c r="Q378" i="1"/>
  <c r="Q248" i="1"/>
  <c r="Q372" i="1"/>
  <c r="Q320" i="1"/>
  <c r="Q348" i="1"/>
  <c r="Q327" i="1"/>
  <c r="Q381" i="1"/>
  <c r="Q352" i="1"/>
  <c r="Q304" i="1"/>
  <c r="Q355" i="1"/>
  <c r="Q306" i="1"/>
  <c r="C5" i="6" l="1"/>
  <c r="C4" i="6" s="1"/>
  <c r="C6" i="6"/>
</calcChain>
</file>

<file path=xl/sharedStrings.xml><?xml version="1.0" encoding="utf-8"?>
<sst xmlns="http://schemas.openxmlformats.org/spreadsheetml/2006/main" count="3056" uniqueCount="1772">
  <si>
    <t>番号</t>
  </si>
  <si>
    <t>画像</t>
  </si>
  <si>
    <t>名前</t>
  </si>
  <si>
    <t>なまえ</t>
  </si>
  <si>
    <t>Name</t>
  </si>
  <si>
    <t>リンク</t>
  </si>
  <si>
    <t>投稿状況</t>
  </si>
  <si>
    <t>松田っぽいね</t>
    <phoneticPr fontId="1"/>
  </si>
  <si>
    <t>まつだっぽいね</t>
    <phoneticPr fontId="1"/>
  </si>
  <si>
    <t>Matsudappoine</t>
    <phoneticPr fontId="1"/>
  </si>
  <si>
    <t>http://lllll17.web.fc2.com/index.html</t>
    <phoneticPr fontId="1"/>
  </si>
  <si>
    <t>#松田っぽいね</t>
    <phoneticPr fontId="1"/>
  </si>
  <si>
    <t>済</t>
    <rPh sb="0" eb="1">
      <t>ス</t>
    </rPh>
    <phoneticPr fontId="1"/>
  </si>
  <si>
    <t>松田っぽいよ</t>
    <phoneticPr fontId="1"/>
  </si>
  <si>
    <t>まつだっぽいよ</t>
    <phoneticPr fontId="1"/>
  </si>
  <si>
    <t>Matsudappoiyo</t>
    <phoneticPr fontId="1"/>
  </si>
  <si>
    <t>#松田っぽいよ</t>
    <phoneticPr fontId="1"/>
  </si>
  <si>
    <t>蛍(ケイ)</t>
    <rPh sb="0" eb="1">
      <t>ホタル</t>
    </rPh>
    <phoneticPr fontId="1"/>
  </si>
  <si>
    <t>けい</t>
    <phoneticPr fontId="1"/>
  </si>
  <si>
    <t>Kei</t>
    <phoneticPr fontId="1"/>
  </si>
  <si>
    <t>http://park2.wakwak.com/~mbox/vo/hk/hkfre.htm</t>
    <phoneticPr fontId="1"/>
  </si>
  <si>
    <t>#蛍_UTAU</t>
    <phoneticPr fontId="1"/>
  </si>
  <si>
    <t>仟乃宮紫狼</t>
    <phoneticPr fontId="1"/>
  </si>
  <si>
    <t>せんのみや しろう</t>
    <phoneticPr fontId="1"/>
  </si>
  <si>
    <t>Sennomiya Sirou</t>
    <phoneticPr fontId="1"/>
  </si>
  <si>
    <t>#仟乃宮紫狼</t>
    <phoneticPr fontId="1"/>
  </si>
  <si>
    <t>猫垣一姫</t>
    <phoneticPr fontId="1"/>
  </si>
  <si>
    <t>なこがき いつき</t>
    <phoneticPr fontId="1"/>
  </si>
  <si>
    <t>Nakogaki Itsuki</t>
    <phoneticPr fontId="1"/>
  </si>
  <si>
    <t>#猫垣一姫</t>
    <phoneticPr fontId="1"/>
  </si>
  <si>
    <t>蛍(ほたる)</t>
    <phoneticPr fontId="1"/>
  </si>
  <si>
    <t>ほたる</t>
    <phoneticPr fontId="1"/>
  </si>
  <si>
    <t>Hotaru</t>
    <phoneticPr fontId="1"/>
  </si>
  <si>
    <t>詠冥ミジ</t>
    <phoneticPr fontId="1"/>
  </si>
  <si>
    <t>ながくら みじ</t>
    <phoneticPr fontId="1"/>
  </si>
  <si>
    <t>Nagakura Miji</t>
    <phoneticPr fontId="1"/>
  </si>
  <si>
    <t>https://666not.wixsite.com/partition-voyage</t>
    <phoneticPr fontId="1"/>
  </si>
  <si>
    <t>#ミジのみち</t>
    <phoneticPr fontId="1"/>
  </si>
  <si>
    <t>ふっきんちゃん</t>
    <phoneticPr fontId="1"/>
  </si>
  <si>
    <t>ふっきんちゃん</t>
  </si>
  <si>
    <t>Abschan</t>
    <phoneticPr fontId="1"/>
  </si>
  <si>
    <t>https://abschandayo.wixsite.com/abschan</t>
    <phoneticPr fontId="1"/>
  </si>
  <si>
    <t>#ふきふき見せろ</t>
    <phoneticPr fontId="1"/>
  </si>
  <si>
    <t>​拡音シャノン</t>
  </si>
  <si>
    <t>かくね しゃのん</t>
  </si>
  <si>
    <t>Kakune Shanonn</t>
    <phoneticPr fontId="1"/>
  </si>
  <si>
    <t>#拡音シャノン</t>
    <phoneticPr fontId="1"/>
  </si>
  <si>
    <t>取音テア</t>
    <phoneticPr fontId="1"/>
  </si>
  <si>
    <t>とるね てあ</t>
    <phoneticPr fontId="1"/>
  </si>
  <si>
    <t>Torune Tea</t>
    <phoneticPr fontId="1"/>
  </si>
  <si>
    <t>https://amiseniamnu.wixsite.com/amisenia</t>
    <phoneticPr fontId="1"/>
  </si>
  <si>
    <t>#取音テア</t>
    <phoneticPr fontId="1"/>
  </si>
  <si>
    <t>すずの すず</t>
    <phoneticPr fontId="1"/>
  </si>
  <si>
    <t>Suzuno Suzu</t>
    <phoneticPr fontId="1"/>
  </si>
  <si>
    <t>https://bellsworks.wixsite.com/bellsworks</t>
    <phoneticPr fontId="1"/>
  </si>
  <si>
    <t>#べるずわーくす</t>
    <phoneticPr fontId="1"/>
  </si>
  <si>
    <t>すずの みおん</t>
    <phoneticPr fontId="1"/>
  </si>
  <si>
    <t>Suzuno Mion</t>
    <phoneticPr fontId="1"/>
  </si>
  <si>
    <t>​弦音ステラ</t>
  </si>
  <si>
    <t>つるね すてら</t>
    <phoneticPr fontId="1"/>
  </si>
  <si>
    <t>Tsurune Sutera</t>
    <phoneticPr fontId="1"/>
  </si>
  <si>
    <t>歌為にーと</t>
    <phoneticPr fontId="1"/>
  </si>
  <si>
    <t>かなり にーと</t>
    <phoneticPr fontId="1"/>
  </si>
  <si>
    <t>Kanari Niito</t>
    <phoneticPr fontId="1"/>
  </si>
  <si>
    <t>https://bowlroll.net/user/852117/files</t>
    <phoneticPr fontId="1"/>
  </si>
  <si>
    <t>#きのみあーと</t>
    <phoneticPr fontId="1"/>
  </si>
  <si>
    <t>キ音キネ</t>
    <phoneticPr fontId="1"/>
  </si>
  <si>
    <t>きね きね</t>
    <phoneticPr fontId="1"/>
  </si>
  <si>
    <t>Kine kine</t>
    <phoneticPr fontId="1"/>
  </si>
  <si>
    <t>かすみ うあ</t>
    <phoneticPr fontId="1"/>
  </si>
  <si>
    <t>Kasumi Ua</t>
    <phoneticPr fontId="1"/>
  </si>
  <si>
    <t>#歌う雨やどり</t>
    <phoneticPr fontId="1"/>
  </si>
  <si>
    <t>レインレコード</t>
    <phoneticPr fontId="1"/>
  </si>
  <si>
    <t>れいんれこーど</t>
    <phoneticPr fontId="1"/>
  </si>
  <si>
    <t>Reinrekodo</t>
    <phoneticPr fontId="1"/>
  </si>
  <si>
    <t>しおん みよ</t>
    <phoneticPr fontId="1"/>
  </si>
  <si>
    <t>Shion Miyo</t>
    <phoneticPr fontId="1"/>
  </si>
  <si>
    <t>#闇塚亭</t>
    <phoneticPr fontId="1"/>
  </si>
  <si>
    <t>闇塚黒逸</t>
    <phoneticPr fontId="1"/>
  </si>
  <si>
    <t>やみつか くろいつ</t>
    <phoneticPr fontId="1"/>
  </si>
  <si>
    <t>Yamitsuka Kuroitsu</t>
    <phoneticPr fontId="1"/>
  </si>
  <si>
    <t>ちゃか なり</t>
    <phoneticPr fontId="1"/>
  </si>
  <si>
    <t>Chaka Nari</t>
    <phoneticPr fontId="1"/>
  </si>
  <si>
    <t>https://chaka000.wixsite.com/chaka</t>
    <phoneticPr fontId="1"/>
  </si>
  <si>
    <t>#御茶と歌</t>
    <phoneticPr fontId="1"/>
  </si>
  <si>
    <t>こおん こくと</t>
    <phoneticPr fontId="1"/>
  </si>
  <si>
    <t>Kon Kokuto</t>
    <phoneticPr fontId="1"/>
  </si>
  <si>
    <t>https://chunyinhui021.wixsite.com/mutyuusaisei</t>
    <phoneticPr fontId="1"/>
  </si>
  <si>
    <t>#無中彩声</t>
    <phoneticPr fontId="1"/>
  </si>
  <si>
    <t>ちゅんね はいき</t>
    <phoneticPr fontId="1"/>
  </si>
  <si>
    <t>Chunne Haiki</t>
    <phoneticPr fontId="1"/>
  </si>
  <si>
    <t>あせてーと</t>
    <phoneticPr fontId="1"/>
  </si>
  <si>
    <t>Acetate</t>
    <phoneticPr fontId="1"/>
  </si>
  <si>
    <t>https://cloudcatch1224.wixsite.com/godsfoot</t>
    <phoneticPr fontId="1"/>
  </si>
  <si>
    <t>#神様の足元</t>
    <phoneticPr fontId="1"/>
  </si>
  <si>
    <t>レーヨン</t>
    <phoneticPr fontId="1"/>
  </si>
  <si>
    <t>れーよん</t>
    <phoneticPr fontId="1"/>
  </si>
  <si>
    <t>Rayon</t>
    <phoneticPr fontId="1"/>
  </si>
  <si>
    <t>こころね ふたば</t>
    <phoneticPr fontId="1"/>
  </si>
  <si>
    <t>Kokorone Futaba</t>
    <phoneticPr fontId="1"/>
  </si>
  <si>
    <t>https://hinagitsune-utau.wixsite.com/utaukokorone</t>
    <phoneticPr fontId="1"/>
  </si>
  <si>
    <t>#ウタウココロネ</t>
    <phoneticPr fontId="1"/>
  </si>
  <si>
    <t>星詠ゆめ</t>
    <phoneticPr fontId="1"/>
  </si>
  <si>
    <t>ほしよみ ゆめ</t>
    <phoneticPr fontId="1"/>
  </si>
  <si>
    <t>Hosiyomi Yume</t>
    <phoneticPr fontId="1"/>
  </si>
  <si>
    <t>https://hosiyomi.jimdofree.com</t>
    <phoneticPr fontId="1"/>
  </si>
  <si>
    <t>#星詠ゆめ</t>
    <phoneticPr fontId="1"/>
  </si>
  <si>
    <t>玖婥えれん</t>
    <phoneticPr fontId="1"/>
  </si>
  <si>
    <t>くじゃく えれん</t>
    <phoneticPr fontId="1"/>
  </si>
  <si>
    <t>Kuzyaku Eren</t>
    <phoneticPr fontId="1"/>
  </si>
  <si>
    <t>https://hznonoka.wixsite.com/utau</t>
    <phoneticPr fontId="1"/>
  </si>
  <si>
    <t>#あひのん #玖婥えれん</t>
    <phoneticPr fontId="1"/>
  </si>
  <si>
    <t>お星</t>
  </si>
  <si>
    <t>おほし</t>
    <phoneticPr fontId="1"/>
  </si>
  <si>
    <t>Ohoshi</t>
    <phoneticPr fontId="1"/>
  </si>
  <si>
    <t>https://ichistart.wixsite.com/official/respiaker</t>
    <phoneticPr fontId="1"/>
  </si>
  <si>
    <t>#ichistar</t>
    <phoneticPr fontId="1"/>
  </si>
  <si>
    <t>ちゃんこなべ</t>
    <phoneticPr fontId="1"/>
  </si>
  <si>
    <t>Chankonabe</t>
    <phoneticPr fontId="1"/>
  </si>
  <si>
    <t>怪子奇</t>
  </si>
  <si>
    <t>あやしき</t>
    <phoneticPr fontId="1"/>
  </si>
  <si>
    <t>Ayashiki</t>
    <phoneticPr fontId="1"/>
  </si>
  <si>
    <t>https://inudanuki.wixsite.com/gottaniomotyabako</t>
    <phoneticPr fontId="1"/>
  </si>
  <si>
    <t>#煮バコ</t>
    <phoneticPr fontId="1"/>
  </si>
  <si>
    <t>花撫シア</t>
    <phoneticPr fontId="1"/>
  </si>
  <si>
    <t>かなで しあ</t>
    <phoneticPr fontId="1"/>
  </si>
  <si>
    <t>Kanade Shia</t>
    <phoneticPr fontId="1"/>
  </si>
  <si>
    <t>https://itsuriutau.wixsite.com/kanadeshia</t>
    <phoneticPr fontId="1"/>
  </si>
  <si>
    <t>#花撫シア</t>
    <phoneticPr fontId="1"/>
  </si>
  <si>
    <t>花撫シオン</t>
    <phoneticPr fontId="1"/>
  </si>
  <si>
    <t>かなで しおん</t>
    <phoneticPr fontId="1"/>
  </si>
  <si>
    <t>Kanade Shion</t>
    <phoneticPr fontId="1"/>
  </si>
  <si>
    <t>#花撫シオン</t>
    <phoneticPr fontId="1"/>
  </si>
  <si>
    <t>からね きょうか</t>
    <phoneticPr fontId="1"/>
  </si>
  <si>
    <t>Karane Kyoka</t>
    <phoneticPr fontId="1"/>
  </si>
  <si>
    <t>https://kaitoramma.chu.jp</t>
    <phoneticPr fontId="1"/>
  </si>
  <si>
    <t>#空音絵巻</t>
    <phoneticPr fontId="1"/>
  </si>
  <si>
    <t>からね ひびき</t>
    <phoneticPr fontId="1"/>
  </si>
  <si>
    <t>Karane Hibiki</t>
    <phoneticPr fontId="1"/>
  </si>
  <si>
    <t>蹴堕流激</t>
    <phoneticPr fontId="1"/>
  </si>
  <si>
    <t>けだるげ</t>
    <phoneticPr fontId="1"/>
  </si>
  <si>
    <t>Kedaruge</t>
    <phoneticPr fontId="1"/>
  </si>
  <si>
    <t>https://kakokyu102krbs.wixsite.com/greenmilky</t>
    <phoneticPr fontId="1"/>
  </si>
  <si>
    <t>#グリーンミルキー</t>
    <phoneticPr fontId="1"/>
  </si>
  <si>
    <t>しでい</t>
    <phoneticPr fontId="1"/>
  </si>
  <si>
    <t>Shidei</t>
    <phoneticPr fontId="1"/>
  </si>
  <si>
    <t>緑恵</t>
    <phoneticPr fontId="1"/>
  </si>
  <si>
    <t>りえ</t>
    <phoneticPr fontId="1"/>
  </si>
  <si>
    <t>Rie</t>
    <phoneticPr fontId="1"/>
  </si>
  <si>
    <t>重音テッド</t>
    <phoneticPr fontId="1"/>
  </si>
  <si>
    <t>かさね てっど</t>
    <phoneticPr fontId="1"/>
  </si>
  <si>
    <t>Kasane Teddo</t>
    <phoneticPr fontId="1"/>
  </si>
  <si>
    <t>https://kasaneteto.jp</t>
    <phoneticPr fontId="1"/>
  </si>
  <si>
    <t>#重音テッド</t>
    <phoneticPr fontId="1"/>
  </si>
  <si>
    <t>重音テト</t>
    <phoneticPr fontId="1"/>
  </si>
  <si>
    <t>かさね てと</t>
    <phoneticPr fontId="1"/>
  </si>
  <si>
    <t>Kasane Teto</t>
    <phoneticPr fontId="1"/>
  </si>
  <si>
    <t>#重音テト</t>
    <phoneticPr fontId="1"/>
  </si>
  <si>
    <t>京音ロン</t>
    <phoneticPr fontId="1"/>
  </si>
  <si>
    <t>けいね ろん</t>
    <phoneticPr fontId="1"/>
  </si>
  <si>
    <t>Keine Ron</t>
    <phoneticPr fontId="1"/>
  </si>
  <si>
    <t>https://keineron.wixsite.com/index</t>
    <phoneticPr fontId="1"/>
  </si>
  <si>
    <t>#京音ロン</t>
    <phoneticPr fontId="1"/>
  </si>
  <si>
    <t>Adol</t>
  </si>
  <si>
    <t>あどる</t>
    <phoneticPr fontId="1"/>
  </si>
  <si>
    <t>https://kuroi9603.wixsite.com/delu-lab-south</t>
    <phoneticPr fontId="1"/>
  </si>
  <si>
    <t>#でるらぼ</t>
    <phoneticPr fontId="1"/>
  </si>
  <si>
    <t>カゼヒキ</t>
    <phoneticPr fontId="1"/>
  </si>
  <si>
    <t>かぜひき</t>
    <phoneticPr fontId="1"/>
  </si>
  <si>
    <t>Kazehiki</t>
    <phoneticPr fontId="1"/>
  </si>
  <si>
    <t>https://kurukuru2suuzi.wixsite.com/kuzutokaze</t>
    <phoneticPr fontId="1"/>
  </si>
  <si>
    <t>#くずかぜ</t>
    <phoneticPr fontId="1"/>
  </si>
  <si>
    <t>ゲキヤク</t>
    <phoneticPr fontId="1"/>
  </si>
  <si>
    <t>げきやく</t>
    <phoneticPr fontId="1"/>
  </si>
  <si>
    <t>Gekiyaku</t>
    <phoneticPr fontId="1"/>
  </si>
  <si>
    <t>ちもり はかぜ</t>
    <phoneticPr fontId="1"/>
  </si>
  <si>
    <t>Chimori Hakaze</t>
    <phoneticPr fontId="1"/>
  </si>
  <si>
    <t>https://lenskkpb.wixsite.com/len-sakaki-official</t>
    <phoneticPr fontId="1"/>
  </si>
  <si>
    <t>#地守葉風</t>
    <phoneticPr fontId="1"/>
  </si>
  <si>
    <t>どば じゅうが</t>
    <phoneticPr fontId="1"/>
  </si>
  <si>
    <t>Doba Juga</t>
    <phoneticPr fontId="1"/>
  </si>
  <si>
    <t>https://lit.link/nemukoneko</t>
    <phoneticPr fontId="1"/>
  </si>
  <si>
    <t>#十駕走行録</t>
    <phoneticPr fontId="1"/>
  </si>
  <si>
    <t>ねんねこ</t>
    <phoneticPr fontId="1"/>
  </si>
  <si>
    <t>ねんねこ</t>
  </si>
  <si>
    <t>Nenneko</t>
    <phoneticPr fontId="1"/>
  </si>
  <si>
    <t>#ねんねこちゃんろぐ</t>
    <phoneticPr fontId="1"/>
  </si>
  <si>
    <t>あずまやてい きゅういち</t>
    <phoneticPr fontId="1"/>
  </si>
  <si>
    <t>Azumayatei Kyuichi</t>
    <phoneticPr fontId="1"/>
  </si>
  <si>
    <t>https://lit.link/sereinrain</t>
    <phoneticPr fontId="1"/>
  </si>
  <si>
    <t>#東屋でお茶でも</t>
    <phoneticPr fontId="1"/>
  </si>
  <si>
    <t>さてね</t>
    <phoneticPr fontId="1"/>
  </si>
  <si>
    <t>Satene</t>
    <phoneticPr fontId="1"/>
  </si>
  <si>
    <t>#さてね_UTAU</t>
    <phoneticPr fontId="1"/>
  </si>
  <si>
    <t>撫音小鞠</t>
    <phoneticPr fontId="1"/>
  </si>
  <si>
    <t>なでね こまり</t>
    <phoneticPr fontId="1"/>
  </si>
  <si>
    <t>Nadene Komari</t>
    <phoneticPr fontId="1"/>
  </si>
  <si>
    <t>https://lonelyapple011.wixsite.com/nadenade</t>
    <phoneticPr fontId="1"/>
  </si>
  <si>
    <t>#撫音小鞠</t>
    <phoneticPr fontId="1"/>
  </si>
  <si>
    <t>ラロ</t>
    <phoneticPr fontId="1"/>
  </si>
  <si>
    <t>らろ</t>
    <phoneticPr fontId="1"/>
  </si>
  <si>
    <t>Laro</t>
    <phoneticPr fontId="1"/>
  </si>
  <si>
    <t>https://mareffys.wixsite.com/lalo</t>
    <phoneticPr fontId="1"/>
  </si>
  <si>
    <t>#どっかのラララボ</t>
    <phoneticPr fontId="1"/>
  </si>
  <si>
    <t>足立レイ</t>
    <rPh sb="0" eb="2">
      <t>アダチ</t>
    </rPh>
    <phoneticPr fontId="1"/>
  </si>
  <si>
    <t>あだち れい</t>
    <phoneticPr fontId="1"/>
  </si>
  <si>
    <t>Adachi Rei</t>
    <phoneticPr fontId="1"/>
  </si>
  <si>
    <t>https://mechanicalgirl.jp</t>
    <phoneticPr fontId="1"/>
  </si>
  <si>
    <t>#足立レイ</t>
    <phoneticPr fontId="1"/>
  </si>
  <si>
    <t>すい</t>
    <phoneticPr fontId="1"/>
  </si>
  <si>
    <t>Sui</t>
    <phoneticPr fontId="1"/>
  </si>
  <si>
    <t>https://minazukiringo.wixsite.com/amatsubu</t>
    <phoneticPr fontId="1"/>
  </si>
  <si>
    <t>#あまつぶと声</t>
    <phoneticPr fontId="1"/>
  </si>
  <si>
    <t>あかがね ふよう</t>
    <phoneticPr fontId="1"/>
  </si>
  <si>
    <t>Akagane Fuyo</t>
    <phoneticPr fontId="1"/>
  </si>
  <si>
    <t>https://mitoristu.wixsite.com/kousaibako</t>
    <phoneticPr fontId="1"/>
  </si>
  <si>
    <t>#虹彩箱</t>
    <phoneticPr fontId="1"/>
  </si>
  <si>
    <t>かたばんふめい</t>
    <phoneticPr fontId="1"/>
  </si>
  <si>
    <t>Katabanhumei</t>
    <phoneticPr fontId="1"/>
  </si>
  <si>
    <t>https://moqujc.wixsite.com/mqtop</t>
    <phoneticPr fontId="1"/>
  </si>
  <si>
    <t>#MQAW</t>
    <phoneticPr fontId="1"/>
  </si>
  <si>
    <t>ykzroid-5000 HSC TG</t>
    <phoneticPr fontId="1"/>
  </si>
  <si>
    <t>やかずろいど</t>
    <phoneticPr fontId="1"/>
  </si>
  <si>
    <t>Yakazuroid</t>
    <phoneticPr fontId="1"/>
  </si>
  <si>
    <t>こどう はくや</t>
    <phoneticPr fontId="1"/>
  </si>
  <si>
    <t>Kodou Hakuya</t>
    <phoneticPr fontId="1"/>
  </si>
  <si>
    <t>https://nananasyrup.wixsite.com/13kka</t>
    <phoneticPr fontId="1"/>
  </si>
  <si>
    <t>#いちみっか</t>
    <phoneticPr fontId="1"/>
  </si>
  <si>
    <t>つくりね みか</t>
    <phoneticPr fontId="1"/>
  </si>
  <si>
    <t>Tsukurine Mika</t>
    <phoneticPr fontId="1"/>
  </si>
  <si>
    <t>揺音リオ</t>
    <phoneticPr fontId="1"/>
  </si>
  <si>
    <t>ゆらぎね りお</t>
    <phoneticPr fontId="1"/>
  </si>
  <si>
    <t>Yuragine Rio</t>
    <phoneticPr fontId="1"/>
  </si>
  <si>
    <t>https://nanyuanxiaojieji.wixsite.com/yuragine-kannsokujo</t>
    <phoneticPr fontId="1"/>
  </si>
  <si>
    <t>#観測レポートを共有します</t>
    <phoneticPr fontId="1"/>
  </si>
  <si>
    <t>さゔる</t>
    <phoneticPr fontId="1"/>
  </si>
  <si>
    <t>Savul</t>
    <phoneticPr fontId="1"/>
  </si>
  <si>
    <t>https://ne510channel.wixsite.com/website</t>
    <phoneticPr fontId="1"/>
  </si>
  <si>
    <t>#はなときつねごと</t>
    <phoneticPr fontId="1"/>
  </si>
  <si>
    <t>くちなし あを</t>
    <phoneticPr fontId="1"/>
  </si>
  <si>
    <t>Kuchinashi Awo</t>
    <phoneticPr fontId="1"/>
  </si>
  <si>
    <t>https://nichikuniku1129063.wixsite.com/website-3</t>
    <phoneticPr fontId="1"/>
  </si>
  <si>
    <t>#Pietà_</t>
    <phoneticPr fontId="1"/>
  </si>
  <si>
    <t>さいか</t>
    <phoneticPr fontId="1"/>
  </si>
  <si>
    <t>Saika</t>
    <phoneticPr fontId="1"/>
  </si>
  <si>
    <t>しおん</t>
    <phoneticPr fontId="1"/>
  </si>
  <si>
    <t>Shion</t>
    <phoneticPr fontId="1"/>
  </si>
  <si>
    <t>​沫幸チトセ</t>
    <phoneticPr fontId="1"/>
  </si>
  <si>
    <t>まつゆき ちとせ</t>
    <phoneticPr fontId="1"/>
  </si>
  <si>
    <t>Matsuyuki Chitose</t>
    <phoneticPr fontId="1"/>
  </si>
  <si>
    <t>​四方通ニチ</t>
    <phoneticPr fontId="1"/>
  </si>
  <si>
    <t>よもつ にち</t>
    <phoneticPr fontId="1"/>
  </si>
  <si>
    <t>Yomotsu Nichi</t>
    <phoneticPr fontId="1"/>
  </si>
  <si>
    <t>創星宙</t>
    <rPh sb="0" eb="3">
      <t>キズボシソラ</t>
    </rPh>
    <phoneticPr fontId="1"/>
  </si>
  <si>
    <t>きずぼし そら</t>
    <phoneticPr fontId="1"/>
  </si>
  <si>
    <t>Kizuboshi Sora</t>
    <phoneticPr fontId="1"/>
  </si>
  <si>
    <t>https://nyaruru.wixsite.com/s-p-w</t>
    <phoneticPr fontId="1"/>
  </si>
  <si>
    <t>#創星宙</t>
    <phoneticPr fontId="1"/>
  </si>
  <si>
    <t>輝星惑</t>
    <rPh sb="0" eb="3">
      <t>キラボシワク</t>
    </rPh>
    <phoneticPr fontId="1"/>
  </si>
  <si>
    <t>きらぼし わく</t>
    <phoneticPr fontId="1"/>
  </si>
  <si>
    <t>Kiraboshi Waku</t>
    <phoneticPr fontId="1"/>
  </si>
  <si>
    <t>#輝星惑</t>
    <phoneticPr fontId="1"/>
  </si>
  <si>
    <t>猫耳宇宙服</t>
    <phoneticPr fontId="1"/>
  </si>
  <si>
    <t>ねこみみうちゅうふく</t>
    <phoneticPr fontId="1"/>
  </si>
  <si>
    <t>Nekomimiuchufuku</t>
    <phoneticPr fontId="1"/>
  </si>
  <si>
    <t>#mono_猫耳宇宙服</t>
    <rPh sb="6" eb="11">
      <t>ネコミミウチュウフク</t>
    </rPh>
    <phoneticPr fontId="1"/>
  </si>
  <si>
    <t>星河ティア</t>
    <rPh sb="0" eb="2">
      <t>ホシカワ</t>
    </rPh>
    <phoneticPr fontId="1"/>
  </si>
  <si>
    <t>ほしかわ てぃあ</t>
    <phoneticPr fontId="1"/>
  </si>
  <si>
    <t>Hoshikawa Tia</t>
    <phoneticPr fontId="1"/>
  </si>
  <si>
    <t>#星河ティア</t>
    <phoneticPr fontId="1"/>
  </si>
  <si>
    <t>星河フレア</t>
    <rPh sb="0" eb="2">
      <t>ホシカワ</t>
    </rPh>
    <phoneticPr fontId="1"/>
  </si>
  <si>
    <t>ほしかわ ふれあ</t>
    <phoneticPr fontId="1"/>
  </si>
  <si>
    <t>Hoshikawa Furea</t>
    <phoneticPr fontId="1"/>
  </si>
  <si>
    <t>#星河フレア</t>
    <phoneticPr fontId="1"/>
  </si>
  <si>
    <t>星雲アマト</t>
    <phoneticPr fontId="1"/>
  </si>
  <si>
    <t>せいうん あまと</t>
    <phoneticPr fontId="1"/>
  </si>
  <si>
    <t>Seiun Amato</t>
    <phoneticPr fontId="1"/>
  </si>
  <si>
    <t>https://offlamingo21.wixsite.com/amato-seiun</t>
    <phoneticPr fontId="1"/>
  </si>
  <si>
    <t>#星雲アマト</t>
    <phoneticPr fontId="1"/>
  </si>
  <si>
    <t>そらね ななし</t>
    <phoneticPr fontId="1"/>
  </si>
  <si>
    <t>https://rinnneuta.wixsite.com/my-site-2?s=09</t>
    <phoneticPr fontId="1"/>
  </si>
  <si>
    <t>#君の心音は星の音</t>
    <phoneticPr fontId="1"/>
  </si>
  <si>
    <t>流音ナナシ</t>
    <phoneticPr fontId="1"/>
  </si>
  <si>
    <t>ながれね ななし</t>
    <phoneticPr fontId="1"/>
  </si>
  <si>
    <t>雨音うさぎ</t>
    <phoneticPr fontId="1"/>
  </si>
  <si>
    <t>あまね うさぎ</t>
    <phoneticPr fontId="1"/>
  </si>
  <si>
    <t>Amane Usagi</t>
    <phoneticPr fontId="1"/>
  </si>
  <si>
    <t>https://sabaneko.amebaownd.com</t>
    <phoneticPr fontId="1"/>
  </si>
  <si>
    <t>#雨音うさぎ</t>
    <phoneticPr fontId="1"/>
  </si>
  <si>
    <t>アニマ・ライツハット</t>
  </si>
  <si>
    <t>あにま らいつはっと</t>
    <phoneticPr fontId="1"/>
  </si>
  <si>
    <t>Anima Raituhatto</t>
    <phoneticPr fontId="1"/>
  </si>
  <si>
    <t>https://seirentoybox.jimdofree.com</t>
    <phoneticPr fontId="1"/>
  </si>
  <si>
    <t>#セレソー作</t>
    <phoneticPr fontId="1"/>
  </si>
  <si>
    <t>かたばみ</t>
    <phoneticPr fontId="1"/>
  </si>
  <si>
    <t>Katabami</t>
    <phoneticPr fontId="1"/>
  </si>
  <si>
    <t>きげき わろた</t>
    <phoneticPr fontId="1"/>
  </si>
  <si>
    <t>Kigeki Warota</t>
    <phoneticPr fontId="1"/>
  </si>
  <si>
    <t>どるん</t>
    <phoneticPr fontId="1"/>
  </si>
  <si>
    <t>Dolln</t>
    <phoneticPr fontId="1"/>
  </si>
  <si>
    <t>悲檄むりぽ</t>
    <phoneticPr fontId="1"/>
  </si>
  <si>
    <t>ひげき むりぽ</t>
  </si>
  <si>
    <t>フィス</t>
    <phoneticPr fontId="1"/>
  </si>
  <si>
    <t>ふぃす</t>
    <phoneticPr fontId="1"/>
  </si>
  <si>
    <t>Fis</t>
    <phoneticPr fontId="1"/>
  </si>
  <si>
    <t>リヴィ・リヴァーチェ</t>
    <phoneticPr fontId="1"/>
  </si>
  <si>
    <t>りゔぃ りゔぁーちぇ</t>
    <phoneticPr fontId="1"/>
  </si>
  <si>
    <t>Rivi Revace</t>
    <phoneticPr fontId="1"/>
  </si>
  <si>
    <t>しんり</t>
    <phoneticPr fontId="1"/>
  </si>
  <si>
    <t>Shinri</t>
    <phoneticPr fontId="1"/>
  </si>
  <si>
    <t>https://shinri517.wixsite.com/shinri0517</t>
    <phoneticPr fontId="1"/>
  </si>
  <si>
    <t>#心理相談ダイヤル</t>
    <phoneticPr fontId="1"/>
  </si>
  <si>
    <t>URUYA</t>
  </si>
  <si>
    <t>うるや</t>
    <phoneticPr fontId="1"/>
  </si>
  <si>
    <t>Uruya</t>
    <phoneticPr fontId="1"/>
  </si>
  <si>
    <t>https://sites.google.com/view/tokakobo</t>
    <phoneticPr fontId="1"/>
  </si>
  <si>
    <t>#透歌工房</t>
    <phoneticPr fontId="1"/>
  </si>
  <si>
    <t>黒昴宿</t>
    <phoneticPr fontId="1"/>
  </si>
  <si>
    <t>くろぼうすく</t>
    <phoneticPr fontId="1"/>
  </si>
  <si>
    <t>Kurobousuku</t>
    <phoneticPr fontId="1"/>
  </si>
  <si>
    <t>https://subarumusicstore.studio.site</t>
    <phoneticPr fontId="1"/>
  </si>
  <si>
    <t>#赤黒快日</t>
    <phoneticPr fontId="1"/>
  </si>
  <si>
    <t>とうた ひさめ</t>
    <phoneticPr fontId="1"/>
  </si>
  <si>
    <t>Tota Hisame</t>
    <phoneticPr fontId="1"/>
  </si>
  <si>
    <t>https://suihankinonaka.wixsite.com/my-site-1</t>
    <phoneticPr fontId="1"/>
  </si>
  <si>
    <t>#お米炊けたよ</t>
    <phoneticPr fontId="1"/>
  </si>
  <si>
    <t>とどろき まだら</t>
    <phoneticPr fontId="1"/>
  </si>
  <si>
    <t>Todoroki Madara</t>
    <phoneticPr fontId="1"/>
  </si>
  <si>
    <t>眠井ヨウ</t>
    <phoneticPr fontId="1"/>
  </si>
  <si>
    <t>ねむい よう</t>
    <phoneticPr fontId="1"/>
  </si>
  <si>
    <t>Nemui You</t>
    <phoneticPr fontId="1"/>
  </si>
  <si>
    <t>https://sysynmnm.wixsite.com/oyasumi-zzz</t>
    <phoneticPr fontId="1"/>
  </si>
  <si>
    <t>#ひつじの寝床</t>
    <phoneticPr fontId="1"/>
  </si>
  <si>
    <t>寝村ナイ</t>
    <phoneticPr fontId="1"/>
  </si>
  <si>
    <t>ねむら ない</t>
    <phoneticPr fontId="1"/>
  </si>
  <si>
    <t>Nemura Nai</t>
    <phoneticPr fontId="1"/>
  </si>
  <si>
    <t>花鶏音ひわ</t>
  </si>
  <si>
    <t>あとりね ひわ</t>
    <phoneticPr fontId="1"/>
  </si>
  <si>
    <t>Atorine Hiwa</t>
    <phoneticPr fontId="1"/>
  </si>
  <si>
    <t>https://torinosu-hikikomori.jimdofree.com</t>
    <phoneticPr fontId="1"/>
  </si>
  <si>
    <t>#ひわわーアラート</t>
    <phoneticPr fontId="1"/>
  </si>
  <si>
    <t>オーロク&amp;小六郎</t>
  </si>
  <si>
    <t>おーろく &amp; ころくろう</t>
    <phoneticPr fontId="1"/>
  </si>
  <si>
    <t>Oroku &amp; korokuro</t>
    <phoneticPr fontId="1"/>
  </si>
  <si>
    <t>泡沫紬</t>
  </si>
  <si>
    <t>うたかた つむぎ</t>
    <phoneticPr fontId="1"/>
  </si>
  <si>
    <t>Utakata Tsumugi</t>
    <phoneticPr fontId="1"/>
  </si>
  <si>
    <t>https://tourist100f.wixsite.com/utakata-kosyo</t>
    <phoneticPr fontId="1"/>
  </si>
  <si>
    <t>#泡沫古書店</t>
    <phoneticPr fontId="1"/>
  </si>
  <si>
    <t>夢路語</t>
    <phoneticPr fontId="1"/>
  </si>
  <si>
    <t>ゆめじ かたり</t>
    <phoneticPr fontId="1"/>
  </si>
  <si>
    <t>Yumeji Katari</t>
    <phoneticPr fontId="1"/>
  </si>
  <si>
    <t>じうら かざぎり</t>
    <phoneticPr fontId="1"/>
  </si>
  <si>
    <t>Jiura Kazagiri</t>
    <phoneticPr fontId="1"/>
  </si>
  <si>
    <t>https://tsukimiya0728.wixsite.com/silverbullet</t>
    <phoneticPr fontId="1"/>
  </si>
  <si>
    <t>#ツキノファミリー</t>
    <phoneticPr fontId="1"/>
  </si>
  <si>
    <t>燐葉フォミ</t>
    <phoneticPr fontId="1"/>
  </si>
  <si>
    <t>りんよう ふぉみ</t>
    <phoneticPr fontId="1"/>
  </si>
  <si>
    <t>Rinyou Fuomi</t>
    <phoneticPr fontId="1"/>
  </si>
  <si>
    <t>芳歌ノト</t>
    <phoneticPr fontId="1"/>
  </si>
  <si>
    <t>ほうが のと</t>
    <phoneticPr fontId="1"/>
  </si>
  <si>
    <t>Hoga Not</t>
    <phoneticPr fontId="1"/>
  </si>
  <si>
    <t>https://uta-tsunagi.jimdofree.com</t>
    <phoneticPr fontId="1"/>
  </si>
  <si>
    <t>#歌継荘</t>
    <phoneticPr fontId="1"/>
  </si>
  <si>
    <t>きえん</t>
    <phoneticPr fontId="1"/>
  </si>
  <si>
    <t>Kiyenn</t>
    <phoneticPr fontId="1"/>
  </si>
  <si>
    <t>https://utaunanaproplus.wixsite.com/of-web</t>
    <phoneticPr fontId="1"/>
  </si>
  <si>
    <t>#TNPGateway</t>
    <phoneticPr fontId="1"/>
  </si>
  <si>
    <t>きょうまち もるて</t>
    <phoneticPr fontId="1"/>
  </si>
  <si>
    <t>Kyomachi Morte</t>
    <phoneticPr fontId="1"/>
  </si>
  <si>
    <t>天使ふあわ</t>
  </si>
  <si>
    <t>あまつか ふあわ</t>
    <phoneticPr fontId="1"/>
  </si>
  <si>
    <t>Amatsuka Fuawa</t>
    <phoneticPr fontId="1"/>
  </si>
  <si>
    <t>https://utausuzuminnya.jimdofree.com</t>
    <phoneticPr fontId="1"/>
  </si>
  <si>
    <t>#ふあわあーと</t>
    <phoneticPr fontId="1"/>
  </si>
  <si>
    <t>苺愛みゅみゅ</t>
    <phoneticPr fontId="1"/>
  </si>
  <si>
    <t>めるあ みゅみゅ</t>
    <phoneticPr fontId="1"/>
  </si>
  <si>
    <t>Melua Miumiu</t>
    <phoneticPr fontId="1"/>
  </si>
  <si>
    <t>#みゅみゅあーと</t>
    <phoneticPr fontId="1"/>
  </si>
  <si>
    <t>こくばんがかり</t>
    <phoneticPr fontId="1"/>
  </si>
  <si>
    <t>kokubangakari</t>
    <phoneticPr fontId="1"/>
  </si>
  <si>
    <t>https://utauudon.wixsite.com/origamisyokudou</t>
    <phoneticPr fontId="1"/>
  </si>
  <si>
    <t>#折紙食堂</t>
    <phoneticPr fontId="1"/>
  </si>
  <si>
    <t>​みくじ</t>
    <phoneticPr fontId="1"/>
  </si>
  <si>
    <t>みくじ</t>
    <phoneticPr fontId="1"/>
  </si>
  <si>
    <t>mikuji</t>
    <phoneticPr fontId="1"/>
  </si>
  <si>
    <t>Mx.ドリーム</t>
    <phoneticPr fontId="1"/>
  </si>
  <si>
    <t>みくす どりーむ</t>
    <phoneticPr fontId="1"/>
  </si>
  <si>
    <t>Mx.Dream</t>
    <phoneticPr fontId="1"/>
  </si>
  <si>
    <t>さばね かん</t>
    <phoneticPr fontId="1"/>
  </si>
  <si>
    <t>https://witchdoll.jimdofree.com</t>
    <phoneticPr fontId="1"/>
  </si>
  <si>
    <t>#きちゃーと</t>
    <phoneticPr fontId="1"/>
  </si>
  <si>
    <t>てらど らぶ</t>
    <phoneticPr fontId="1"/>
  </si>
  <si>
    <t>Terado Rabu</t>
    <phoneticPr fontId="1"/>
  </si>
  <si>
    <t>ナースロボ_タイプT</t>
    <phoneticPr fontId="1"/>
  </si>
  <si>
    <t>なーすろぼ_たいぷてぃ</t>
    <phoneticPr fontId="1"/>
  </si>
  <si>
    <t>NurseRobot_TypeT</t>
    <phoneticPr fontId="1"/>
  </si>
  <si>
    <t>https://www.krnr.top</t>
    <phoneticPr fontId="1"/>
  </si>
  <si>
    <t>#ナースロボ_タイプＴ</t>
    <phoneticPr fontId="1"/>
  </si>
  <si>
    <t>円音春二ノ前</t>
    <phoneticPr fontId="1"/>
  </si>
  <si>
    <t>まるね しゅんいち</t>
    <phoneticPr fontId="1"/>
  </si>
  <si>
    <t>Marune Shunichi</t>
    <phoneticPr fontId="1"/>
  </si>
  <si>
    <t>https://www.postype.com/@utau-deepvocal-dalso</t>
    <phoneticPr fontId="1"/>
  </si>
  <si>
    <t>#円音春二ノ前</t>
    <phoneticPr fontId="1"/>
  </si>
  <si>
    <t>つくも いちおと</t>
    <phoneticPr fontId="1"/>
  </si>
  <si>
    <t>https://yukiichik.wixsite.com/kokofool/utau</t>
    <phoneticPr fontId="1"/>
  </si>
  <si>
    <t>#KODOMEROIDO</t>
    <phoneticPr fontId="1"/>
  </si>
  <si>
    <t>てらなが とおいち</t>
    <phoneticPr fontId="1"/>
  </si>
  <si>
    <t>唄音ウタ(デフォ子)</t>
    <rPh sb="8" eb="9">
      <t>コ</t>
    </rPh>
    <phoneticPr fontId="1"/>
  </si>
  <si>
    <t>うたね うた(でふぉこ)</t>
    <phoneticPr fontId="1"/>
  </si>
  <si>
    <t>Utane Uta(Defoko)</t>
    <phoneticPr fontId="1"/>
  </si>
  <si>
    <t>#デフォ子</t>
    <phoneticPr fontId="1"/>
  </si>
  <si>
    <t>かぎあい あや</t>
    <phoneticPr fontId="1"/>
  </si>
  <si>
    <t>Kagiai Aya</t>
    <phoneticPr fontId="1"/>
  </si>
  <si>
    <t>#そらいろマーチ</t>
    <phoneticPr fontId="1"/>
  </si>
  <si>
    <t>鍵合スズ</t>
  </si>
  <si>
    <t>かぎあい すず</t>
    <phoneticPr fontId="1"/>
  </si>
  <si>
    <t>Kagiai Suzu</t>
    <phoneticPr fontId="1"/>
  </si>
  <si>
    <t>覗キ視炉</t>
    <phoneticPr fontId="1"/>
  </si>
  <si>
    <t>のぞき みろ</t>
    <phoneticPr fontId="1"/>
  </si>
  <si>
    <t>Nozoki Miro</t>
    <phoneticPr fontId="1"/>
  </si>
  <si>
    <t>-</t>
    <phoneticPr fontId="1"/>
  </si>
  <si>
    <t>欲音ルコ</t>
    <phoneticPr fontId="1"/>
  </si>
  <si>
    <t>よくね るこ</t>
    <phoneticPr fontId="1"/>
  </si>
  <si>
    <t>Yokune Ruko</t>
    <phoneticPr fontId="1"/>
  </si>
  <si>
    <t>#欲音ルコ</t>
    <phoneticPr fontId="1"/>
  </si>
  <si>
    <t>鈴音リオン</t>
    <phoneticPr fontId="1"/>
  </si>
  <si>
    <t>すずの りおん</t>
    <phoneticPr fontId="1"/>
  </si>
  <si>
    <t>Suzuno Rion</t>
    <phoneticPr fontId="1"/>
  </si>
  <si>
    <t>鈴音シオン</t>
    <phoneticPr fontId="1"/>
  </si>
  <si>
    <t>すずの しおん</t>
    <phoneticPr fontId="1"/>
  </si>
  <si>
    <t>Suzuno Shion</t>
    <phoneticPr fontId="1"/>
  </si>
  <si>
    <t>鈴音ユオン</t>
    <phoneticPr fontId="1"/>
  </si>
  <si>
    <t>すずの ゆおん</t>
    <phoneticPr fontId="1"/>
  </si>
  <si>
    <t>Suzuno Yuon</t>
    <phoneticPr fontId="1"/>
  </si>
  <si>
    <t>鈴音レオン</t>
    <phoneticPr fontId="1"/>
  </si>
  <si>
    <t>すずの れおん</t>
    <phoneticPr fontId="1"/>
  </si>
  <si>
    <t>Suzuno Reon</t>
    <phoneticPr fontId="1"/>
  </si>
  <si>
    <t>すずの るおん</t>
    <phoneticPr fontId="1"/>
  </si>
  <si>
    <t>Suzuno Ruon</t>
    <phoneticPr fontId="1"/>
  </si>
  <si>
    <t>すずの ねおん</t>
    <phoneticPr fontId="1"/>
  </si>
  <si>
    <t>Suzuno Neon</t>
    <phoneticPr fontId="1"/>
  </si>
  <si>
    <t>すず &amp; せる</t>
    <phoneticPr fontId="1"/>
  </si>
  <si>
    <t>Suzu &amp; Cell</t>
    <phoneticPr fontId="1"/>
  </si>
  <si>
    <t>ことね れすと</t>
    <phoneticPr fontId="1"/>
  </si>
  <si>
    <t>Kotone Resuto</t>
    <phoneticPr fontId="1"/>
  </si>
  <si>
    <t>琴音コト</t>
  </si>
  <si>
    <t>ことね こと</t>
    <phoneticPr fontId="1"/>
  </si>
  <si>
    <t>Kotone Koto</t>
    <phoneticPr fontId="1"/>
  </si>
  <si>
    <t>ことね せつり</t>
    <phoneticPr fontId="1"/>
  </si>
  <si>
    <t>Kotone Setsuri</t>
    <phoneticPr fontId="1"/>
  </si>
  <si>
    <t>くろはね みそら</t>
    <phoneticPr fontId="1"/>
  </si>
  <si>
    <t>Kurohane Misora</t>
    <phoneticPr fontId="1"/>
  </si>
  <si>
    <t>ふえね ふえ</t>
    <phoneticPr fontId="1"/>
  </si>
  <si>
    <t>Fuene Fue</t>
    <phoneticPr fontId="1"/>
  </si>
  <si>
    <t>つづね こはく</t>
    <phoneticPr fontId="1"/>
  </si>
  <si>
    <t>Tsuzune Kohaku</t>
    <phoneticPr fontId="1"/>
  </si>
  <si>
    <t>つづね つづ</t>
    <phoneticPr fontId="1"/>
  </si>
  <si>
    <t>Tsuzune Tsuzu</t>
    <phoneticPr fontId="1"/>
  </si>
  <si>
    <t>つるね れーや</t>
    <phoneticPr fontId="1"/>
  </si>
  <si>
    <t>Tsurune Reya</t>
    <phoneticPr fontId="1"/>
  </si>
  <si>
    <t>ルテニ</t>
    <phoneticPr fontId="1"/>
  </si>
  <si>
    <t>るてに</t>
    <phoneticPr fontId="1"/>
  </si>
  <si>
    <t>Ruteni</t>
    <phoneticPr fontId="1"/>
  </si>
  <si>
    <t>コハル</t>
    <phoneticPr fontId="1"/>
  </si>
  <si>
    <t>こはる</t>
    <phoneticPr fontId="1"/>
  </si>
  <si>
    <t>Koharu</t>
    <phoneticPr fontId="1"/>
  </si>
  <si>
    <t>日出</t>
    <phoneticPr fontId="1"/>
  </si>
  <si>
    <t>ひので</t>
    <phoneticPr fontId="1"/>
  </si>
  <si>
    <t>Hinode</t>
    <phoneticPr fontId="1"/>
  </si>
  <si>
    <t>#6月の放課後_日出</t>
    <phoneticPr fontId="1"/>
  </si>
  <si>
    <t>山名</t>
    <phoneticPr fontId="1"/>
  </si>
  <si>
    <t>やまな</t>
    <phoneticPr fontId="1"/>
  </si>
  <si>
    <t>Yamana</t>
    <phoneticPr fontId="1"/>
  </si>
  <si>
    <t>#6月の放課後_山名</t>
    <phoneticPr fontId="1"/>
  </si>
  <si>
    <t>揺音ユイ</t>
    <phoneticPr fontId="1"/>
  </si>
  <si>
    <t>ゆらぎね ゆい</t>
    <phoneticPr fontId="1"/>
  </si>
  <si>
    <t>Yuragine Yui</t>
    <phoneticPr fontId="1"/>
  </si>
  <si>
    <t>​成瀬ミオ</t>
    <phoneticPr fontId="1"/>
  </si>
  <si>
    <t>なるせ みお</t>
    <phoneticPr fontId="1"/>
  </si>
  <si>
    <t>Naruse Mio</t>
    <phoneticPr fontId="1"/>
  </si>
  <si>
    <t>シロツメ</t>
    <phoneticPr fontId="1"/>
  </si>
  <si>
    <t>しろつめ</t>
    <phoneticPr fontId="1"/>
  </si>
  <si>
    <t>Shirotsume</t>
    <phoneticPr fontId="1"/>
  </si>
  <si>
    <t>むつろ</t>
    <phoneticPr fontId="1"/>
  </si>
  <si>
    <t>Mutsuro</t>
    <phoneticPr fontId="1"/>
  </si>
  <si>
    <t>https://nanarabo626.studio.site</t>
    <phoneticPr fontId="1"/>
  </si>
  <si>
    <t>#製造番号626</t>
    <phoneticPr fontId="1"/>
  </si>
  <si>
    <t>ひいろ</t>
    <phoneticPr fontId="1"/>
  </si>
  <si>
    <t>Hiiro</t>
    <phoneticPr fontId="1"/>
  </si>
  <si>
    <t>#ひーろーあーと</t>
    <phoneticPr fontId="1"/>
  </si>
  <si>
    <t>花束町めら</t>
    <phoneticPr fontId="1"/>
  </si>
  <si>
    <t>かづかまち めら</t>
    <phoneticPr fontId="1"/>
  </si>
  <si>
    <t>kazukamachi Mera</t>
    <phoneticPr fontId="1"/>
  </si>
  <si>
    <t>https://sites.google.com/view/fukuma-utau/top</t>
    <phoneticPr fontId="1"/>
  </si>
  <si>
    <t>#花束町めら</t>
    <phoneticPr fontId="1"/>
  </si>
  <si>
    <t>守智歌ピノ</t>
    <phoneticPr fontId="1"/>
  </si>
  <si>
    <t>しゅちか ぴの</t>
    <phoneticPr fontId="1"/>
  </si>
  <si>
    <t>Shuchika Pino</t>
    <phoneticPr fontId="1"/>
  </si>
  <si>
    <t>https://bowlroll.net/user/973681</t>
    <phoneticPr fontId="1"/>
  </si>
  <si>
    <t>#守智歌ピノ</t>
    <phoneticPr fontId="1"/>
  </si>
  <si>
    <t>芯零須キシル</t>
    <phoneticPr fontId="1"/>
  </si>
  <si>
    <t>しんれす きしる</t>
    <phoneticPr fontId="1"/>
  </si>
  <si>
    <t>Shinresu Kishiru</t>
    <phoneticPr fontId="1"/>
  </si>
  <si>
    <t>#芯零須キシル</t>
    <phoneticPr fontId="1"/>
  </si>
  <si>
    <t>空音こだま</t>
    <phoneticPr fontId="1"/>
  </si>
  <si>
    <t>からね こだま</t>
    <phoneticPr fontId="1"/>
  </si>
  <si>
    <t>Karane Kodama</t>
    <phoneticPr fontId="1"/>
  </si>
  <si>
    <t>空音響</t>
    <phoneticPr fontId="1"/>
  </si>
  <si>
    <t>からね ひびく</t>
    <phoneticPr fontId="1"/>
  </si>
  <si>
    <t>Karane Hibiku</t>
    <phoneticPr fontId="1"/>
  </si>
  <si>
    <t>嗚代タビ</t>
    <phoneticPr fontId="1"/>
  </si>
  <si>
    <t>おしろ たび</t>
    <phoneticPr fontId="1"/>
  </si>
  <si>
    <t>Oshiro Tabi</t>
    <phoneticPr fontId="1"/>
  </si>
  <si>
    <t>#嗚代でタビる</t>
    <phoneticPr fontId="1"/>
  </si>
  <si>
    <t>四々井杏花</t>
    <phoneticPr fontId="1"/>
  </si>
  <si>
    <t>しじい きょうか</t>
    <phoneticPr fontId="1"/>
  </si>
  <si>
    <t>Shijii Kyoka</t>
    <phoneticPr fontId="1"/>
  </si>
  <si>
    <t>https://bowlroll.net/user/966729</t>
    <phoneticPr fontId="1"/>
  </si>
  <si>
    <t>#四々井杏花</t>
    <phoneticPr fontId="1"/>
  </si>
  <si>
    <t>https://coyukimachi.wixsite.com/my-site</t>
    <phoneticPr fontId="1"/>
  </si>
  <si>
    <t>#小雪街歴史研究所</t>
    <phoneticPr fontId="1"/>
  </si>
  <si>
    <t>​國居清正</t>
    <phoneticPr fontId="1"/>
  </si>
  <si>
    <t>くにすえ きよまさ</t>
    <phoneticPr fontId="1"/>
  </si>
  <si>
    <t>Kunisue Kiyomasa</t>
    <phoneticPr fontId="1"/>
  </si>
  <si>
    <t>KuragE</t>
    <phoneticPr fontId="1"/>
  </si>
  <si>
    <t>くらげ</t>
    <phoneticPr fontId="1"/>
  </si>
  <si>
    <t>Kurage</t>
    <phoneticPr fontId="1"/>
  </si>
  <si>
    <t>Akerr</t>
    <phoneticPr fontId="1"/>
  </si>
  <si>
    <t>えーけー</t>
    <phoneticPr fontId="1"/>
  </si>
  <si>
    <t>eke</t>
    <phoneticPr fontId="1"/>
  </si>
  <si>
    <t>籠詞鮫</t>
    <phoneticPr fontId="1"/>
  </si>
  <si>
    <t>こもりじ きょう</t>
    <phoneticPr fontId="1"/>
  </si>
  <si>
    <t>Komoriji Kyo</t>
    <phoneticPr fontId="1"/>
  </si>
  <si>
    <t>曖米めろり</t>
    <phoneticPr fontId="1"/>
  </si>
  <si>
    <t>あいまい めろり</t>
    <phoneticPr fontId="1"/>
  </si>
  <si>
    <t>Aimai Merori</t>
    <phoneticPr fontId="1"/>
  </si>
  <si>
    <t>客寄せRiley</t>
    <phoneticPr fontId="1"/>
  </si>
  <si>
    <t>きゃくよせ らいりー</t>
    <phoneticPr fontId="1"/>
  </si>
  <si>
    <t>Kyakuyose Riley</t>
    <phoneticPr fontId="1"/>
  </si>
  <si>
    <t>https://bowlroll.net/user/980255</t>
    <phoneticPr fontId="1"/>
  </si>
  <si>
    <t>ドット・ペル</t>
    <phoneticPr fontId="1"/>
  </si>
  <si>
    <t>どっと ぺる</t>
    <phoneticPr fontId="1"/>
  </si>
  <si>
    <t>Dot Pell</t>
    <phoneticPr fontId="1"/>
  </si>
  <si>
    <t>ペルム</t>
    <phoneticPr fontId="1"/>
  </si>
  <si>
    <t>ぺるむ</t>
    <phoneticPr fontId="1"/>
  </si>
  <si>
    <t>Pelum</t>
    <phoneticPr fontId="1"/>
  </si>
  <si>
    <t>寅ノ刻遭愛</t>
    <phoneticPr fontId="1"/>
  </si>
  <si>
    <t>とらのこく あめ</t>
    <phoneticPr fontId="1"/>
  </si>
  <si>
    <t>Toranokoku Ame</t>
    <phoneticPr fontId="1"/>
  </si>
  <si>
    <t>#はなときつねごと #十二ノ刻</t>
    <phoneticPr fontId="1"/>
  </si>
  <si>
    <t>学静ショウ</t>
    <phoneticPr fontId="1"/>
  </si>
  <si>
    <t>がくせい しょう</t>
    <phoneticPr fontId="1"/>
  </si>
  <si>
    <t>Gakusei Sho</t>
    <phoneticPr fontId="1"/>
  </si>
  <si>
    <t>https://bowlroll.net/file/336695</t>
    <phoneticPr fontId="1"/>
  </si>
  <si>
    <t>#学静出席簿</t>
    <phoneticPr fontId="1"/>
  </si>
  <si>
    <t>悪戯セト</t>
    <phoneticPr fontId="1"/>
  </si>
  <si>
    <t>いたずら せと</t>
    <phoneticPr fontId="1"/>
  </si>
  <si>
    <t>Itazura Seto</t>
    <phoneticPr fontId="1"/>
  </si>
  <si>
    <t>https://bowlroll.net/user/700434</t>
    <phoneticPr fontId="1"/>
  </si>
  <si>
    <t>悪戯清子</t>
    <phoneticPr fontId="1"/>
  </si>
  <si>
    <t>いたずら せいこ</t>
    <phoneticPr fontId="1"/>
  </si>
  <si>
    <t>Itazura Seiko</t>
    <phoneticPr fontId="1"/>
  </si>
  <si>
    <t>コタロー</t>
    <phoneticPr fontId="1"/>
  </si>
  <si>
    <t>こたろー</t>
    <phoneticPr fontId="1"/>
  </si>
  <si>
    <t>Cotaro</t>
    <phoneticPr fontId="1"/>
  </si>
  <si>
    <t>閉路</t>
    <phoneticPr fontId="1"/>
  </si>
  <si>
    <t>へいろ</t>
    <phoneticPr fontId="1"/>
  </si>
  <si>
    <t>Heiro</t>
    <phoneticPr fontId="1"/>
  </si>
  <si>
    <t>僻事問</t>
    <phoneticPr fontId="1"/>
  </si>
  <si>
    <t>ひがごと とい</t>
    <phoneticPr fontId="1"/>
  </si>
  <si>
    <t>Higagoto Toi</t>
    <phoneticPr fontId="1"/>
  </si>
  <si>
    <t>https://askdance.wixsite.com/monitor-room/monitor-room</t>
    <phoneticPr fontId="1"/>
  </si>
  <si>
    <t>#meta世界より</t>
    <phoneticPr fontId="1"/>
  </si>
  <si>
    <t>徒事解</t>
    <phoneticPr fontId="1"/>
  </si>
  <si>
    <t>あだごと かい</t>
    <phoneticPr fontId="1"/>
  </si>
  <si>
    <t>Adagoto Kai</t>
    <phoneticPr fontId="1"/>
  </si>
  <si>
    <t>フローリィ</t>
    <phoneticPr fontId="1"/>
  </si>
  <si>
    <t>ふろーりぃ</t>
    <phoneticPr fontId="1"/>
  </si>
  <si>
    <t>Flowery</t>
    <phoneticPr fontId="1"/>
  </si>
  <si>
    <t>https://lit.link/lilyHaruzion</t>
    <phoneticPr fontId="1"/>
  </si>
  <si>
    <t>#フローリィ_Art</t>
    <phoneticPr fontId="1"/>
  </si>
  <si>
    <t>飴彩ねるね</t>
    <phoneticPr fontId="1"/>
  </si>
  <si>
    <t>あめいろ ねるね</t>
    <phoneticPr fontId="1"/>
  </si>
  <si>
    <t>Ameiro Nerune</t>
    <phoneticPr fontId="1"/>
  </si>
  <si>
    <t>形亡ズゥ</t>
    <phoneticPr fontId="1"/>
  </si>
  <si>
    <t>かたなし ずぅ</t>
    <phoneticPr fontId="1"/>
  </si>
  <si>
    <t>Katanashi zu</t>
    <phoneticPr fontId="1"/>
  </si>
  <si>
    <t>たむら しゅん</t>
  </si>
  <si>
    <t>Tamura Shun</t>
  </si>
  <si>
    <t>#めんのこ</t>
  </si>
  <si>
    <t>残音ンダ</t>
  </si>
  <si>
    <t>ざんね うだ</t>
  </si>
  <si>
    <t>Zanne Uda</t>
  </si>
  <si>
    <t>https://tomatoshop.studio.site</t>
  </si>
  <si>
    <t>雌奏マガ</t>
  </si>
  <si>
    <t>めそう まが</t>
  </si>
  <si>
    <t>Meso Maga</t>
  </si>
  <si>
    <t>音通コウジ</t>
    <phoneticPr fontId="1"/>
  </si>
  <si>
    <t>おとおり こうじ</t>
    <phoneticPr fontId="1"/>
  </si>
  <si>
    <t>Otoori Kouji</t>
    <phoneticPr fontId="1"/>
  </si>
  <si>
    <t>https://bowlroll.net/user/253605</t>
    <phoneticPr fontId="1"/>
  </si>
  <si>
    <t>#音通コウジ</t>
    <phoneticPr fontId="1"/>
  </si>
  <si>
    <t>Alma</t>
    <phoneticPr fontId="1"/>
  </si>
  <si>
    <t>あるま</t>
    <phoneticPr fontId="1"/>
  </si>
  <si>
    <t>https://kairi0utau.wixsite.com/arugamamanouta</t>
    <phoneticPr fontId="1"/>
  </si>
  <si>
    <t>#あるがままのうた</t>
    <phoneticPr fontId="1"/>
  </si>
  <si>
    <t>空深あくる</t>
    <phoneticPr fontId="1"/>
  </si>
  <si>
    <t>うつみ あくる</t>
    <phoneticPr fontId="1"/>
  </si>
  <si>
    <t>Utsumi Akuru</t>
    <phoneticPr fontId="1"/>
  </si>
  <si>
    <t>リズカ</t>
    <phoneticPr fontId="1"/>
  </si>
  <si>
    <t>りずか</t>
    <phoneticPr fontId="1"/>
  </si>
  <si>
    <t>Rizuka</t>
    <phoneticPr fontId="1"/>
  </si>
  <si>
    <t>レイイチロウ</t>
    <phoneticPr fontId="1"/>
  </si>
  <si>
    <t>れいいちろう</t>
    <phoneticPr fontId="1"/>
  </si>
  <si>
    <t>Reiichiro</t>
    <phoneticPr fontId="1"/>
  </si>
  <si>
    <t>白播茜</t>
    <phoneticPr fontId="1"/>
  </si>
  <si>
    <t>しらはり あかね</t>
    <phoneticPr fontId="1"/>
  </si>
  <si>
    <t>Shirahari Akane</t>
    <phoneticPr fontId="1"/>
  </si>
  <si>
    <t>天使雪</t>
    <phoneticPr fontId="1"/>
  </si>
  <si>
    <t>あまつか ゆき</t>
    <phoneticPr fontId="1"/>
  </si>
  <si>
    <t>Amatsuka Yuki</t>
    <phoneticPr fontId="1"/>
  </si>
  <si>
    <t>音暖ののん</t>
    <phoneticPr fontId="1"/>
  </si>
  <si>
    <t>のの ののん</t>
    <phoneticPr fontId="1"/>
  </si>
  <si>
    <t>Nono Nonon</t>
    <phoneticPr fontId="1"/>
  </si>
  <si>
    <t>#あひのん</t>
    <phoneticPr fontId="1"/>
  </si>
  <si>
    <t>響姫ひるや</t>
    <phoneticPr fontId="1"/>
  </si>
  <si>
    <t>ひびき ひるや</t>
    <phoneticPr fontId="1"/>
  </si>
  <si>
    <t>Hibiki Hiruya</t>
    <phoneticPr fontId="1"/>
  </si>
  <si>
    <t>Wilbur</t>
    <phoneticPr fontId="1"/>
  </si>
  <si>
    <t>うぃるばー</t>
    <phoneticPr fontId="1"/>
  </si>
  <si>
    <t>Stella</t>
    <phoneticPr fontId="1"/>
  </si>
  <si>
    <t>すてら</t>
    <phoneticPr fontId="1"/>
  </si>
  <si>
    <t>夜打キーボ</t>
    <phoneticPr fontId="1"/>
  </si>
  <si>
    <t>よるだ きーぼ</t>
    <phoneticPr fontId="1"/>
  </si>
  <si>
    <t>Yoruda Kibo</t>
    <phoneticPr fontId="1"/>
  </si>
  <si>
    <t>https://alceaakaza.wixsite.com/artkashic-uni-verse</t>
    <phoneticPr fontId="1"/>
  </si>
  <si>
    <t>#夜打キーボ</t>
    <phoneticPr fontId="1"/>
  </si>
  <si>
    <t>九作：Ｑ</t>
    <phoneticPr fontId="1"/>
  </si>
  <si>
    <t>きゅうさく きゅう</t>
    <phoneticPr fontId="1"/>
  </si>
  <si>
    <t>Kyusaku Q</t>
    <phoneticPr fontId="1"/>
  </si>
  <si>
    <t>https://sites.google.com/view/qsuke-garden/home</t>
    <phoneticPr fontId="1"/>
  </si>
  <si>
    <t>#九作Q</t>
    <phoneticPr fontId="1"/>
  </si>
  <si>
    <t>六見：Ｑ</t>
    <phoneticPr fontId="1"/>
  </si>
  <si>
    <t>むつみ きゅう</t>
    <phoneticPr fontId="1"/>
  </si>
  <si>
    <t>Mutsumi Q</t>
    <phoneticPr fontId="1"/>
  </si>
  <si>
    <t>Solisia</t>
    <phoneticPr fontId="1"/>
  </si>
  <si>
    <t>ソリシア</t>
    <phoneticPr fontId="1"/>
  </si>
  <si>
    <t>そりしあ</t>
    <phoneticPr fontId="1"/>
  </si>
  <si>
    <t>https://mebisnori.wixsite.com/nori-mebis</t>
    <phoneticPr fontId="1"/>
  </si>
  <si>
    <t>#六見Q</t>
    <phoneticPr fontId="1"/>
  </si>
  <si>
    <t>#紫陽花ノ楽譜ト</t>
    <phoneticPr fontId="1"/>
  </si>
  <si>
    <t>ペチカ</t>
    <phoneticPr fontId="1"/>
  </si>
  <si>
    <t>ぺちか</t>
    <phoneticPr fontId="1"/>
  </si>
  <si>
    <t>Pechka</t>
    <phoneticPr fontId="1"/>
  </si>
  <si>
    <t>泡歌マカナ</t>
    <phoneticPr fontId="1"/>
  </si>
  <si>
    <t>あわか まかな</t>
    <phoneticPr fontId="1"/>
  </si>
  <si>
    <t>Awaka Makana</t>
    <phoneticPr fontId="1"/>
  </si>
  <si>
    <t>https://mashimo0330.wixsite.com/awaka-utau</t>
    <phoneticPr fontId="1"/>
  </si>
  <si>
    <t>泡歌ミズハ</t>
    <phoneticPr fontId="1"/>
  </si>
  <si>
    <t>あわか みずは</t>
    <phoneticPr fontId="1"/>
  </si>
  <si>
    <t>Awaka Mizuha</t>
    <phoneticPr fontId="1"/>
  </si>
  <si>
    <t>#泡沫の青ヰハル</t>
    <phoneticPr fontId="1"/>
  </si>
  <si>
    <t>ミカワヤ</t>
    <phoneticPr fontId="1"/>
  </si>
  <si>
    <t>みかわや</t>
    <phoneticPr fontId="1"/>
  </si>
  <si>
    <t>Mikawaya</t>
    <phoneticPr fontId="1"/>
  </si>
  <si>
    <t>https://mikawayanerutoko.jimdofree.com</t>
    <phoneticPr fontId="1"/>
  </si>
  <si>
    <t>#nerutoko</t>
    <phoneticPr fontId="1"/>
  </si>
  <si>
    <t>地獄谷透馬</t>
    <phoneticPr fontId="1"/>
  </si>
  <si>
    <t>じごくだに とうま</t>
    <phoneticPr fontId="1"/>
  </si>
  <si>
    <t>Jigokudani Thoma</t>
    <phoneticPr fontId="1"/>
  </si>
  <si>
    <t>https://flowerrocklove.wixsite.com/twilight-crisis</t>
    <phoneticPr fontId="1"/>
  </si>
  <si>
    <t>#硫黄荘音源</t>
    <phoneticPr fontId="1"/>
  </si>
  <si>
    <t>飴唄ニト</t>
    <phoneticPr fontId="1"/>
  </si>
  <si>
    <t>あめうた にと</t>
    <phoneticPr fontId="1"/>
  </si>
  <si>
    <t>Ameuta Nito</t>
    <phoneticPr fontId="1"/>
  </si>
  <si>
    <t>https://ametro.jimdofree.com</t>
    <phoneticPr fontId="1"/>
  </si>
  <si>
    <t>#ぞんび線CB</t>
    <phoneticPr fontId="1"/>
  </si>
  <si>
    <t>澳音ぱす</t>
    <phoneticPr fontId="1"/>
  </si>
  <si>
    <t>おくと ぱす</t>
    <phoneticPr fontId="1"/>
  </si>
  <si>
    <t>Okuto Pasu</t>
    <phoneticPr fontId="1"/>
  </si>
  <si>
    <t>https://teapartyandmugshelf.wixsite.com/my-site-1</t>
    <phoneticPr fontId="1"/>
  </si>
  <si>
    <t>みなあわ うゆう</t>
    <phoneticPr fontId="1"/>
  </si>
  <si>
    <t>Minaawa Uyu</t>
    <phoneticPr fontId="1"/>
  </si>
  <si>
    <t>https://okome32500.wixsite.com/onekomochi</t>
    <phoneticPr fontId="1"/>
  </si>
  <si>
    <t>水沫烏有</t>
    <phoneticPr fontId="1"/>
  </si>
  <si>
    <t>#水沫烏有</t>
    <phoneticPr fontId="1"/>
  </si>
  <si>
    <t>狂威ネイロ</t>
    <phoneticPr fontId="1"/>
  </si>
  <si>
    <t>くるい ねいろ</t>
    <phoneticPr fontId="1"/>
  </si>
  <si>
    <t>Kurui Neiro</t>
    <phoneticPr fontId="1"/>
  </si>
  <si>
    <t>https://zakrotsukumo.wixsite.com/utau-zerozero</t>
    <phoneticPr fontId="1"/>
  </si>
  <si>
    <t>#狂威家</t>
    <phoneticPr fontId="1"/>
  </si>
  <si>
    <t>狂威ノイズ</t>
    <phoneticPr fontId="1"/>
  </si>
  <si>
    <t>くるい のいず</t>
    <phoneticPr fontId="1"/>
  </si>
  <si>
    <t>Kurui Noise</t>
    <phoneticPr fontId="1"/>
  </si>
  <si>
    <t>花畑ハル</t>
    <phoneticPr fontId="1"/>
  </si>
  <si>
    <t>Hanabata Haru</t>
    <phoneticPr fontId="1"/>
  </si>
  <si>
    <t>はなばた はる</t>
    <phoneticPr fontId="1"/>
  </si>
  <si>
    <t>https://jnsea010.wixsite.com/kkamchoutau</t>
    <phoneticPr fontId="1"/>
  </si>
  <si>
    <t>#花畑家</t>
    <phoneticPr fontId="1"/>
  </si>
  <si>
    <t>前月クモ</t>
    <phoneticPr fontId="1"/>
  </si>
  <si>
    <t>Maetsuki Kumo</t>
    <phoneticPr fontId="1"/>
  </si>
  <si>
    <t>まえつき くも</t>
    <phoneticPr fontId="1"/>
  </si>
  <si>
    <t>マック音サイ</t>
    <phoneticPr fontId="1"/>
  </si>
  <si>
    <t>まっくね さい</t>
    <phoneticPr fontId="1"/>
  </si>
  <si>
    <t>Mackne Sai</t>
    <phoneticPr fontId="1"/>
  </si>
  <si>
    <t>https://www.mackhouse-soft.com</t>
    <phoneticPr fontId="1"/>
  </si>
  <si>
    <t>マック音ヒトキ</t>
    <phoneticPr fontId="1"/>
  </si>
  <si>
    <t>まっくね ひとき</t>
    <phoneticPr fontId="1"/>
  </si>
  <si>
    <t>Mackne Hitoki</t>
    <phoneticPr fontId="1"/>
  </si>
  <si>
    <t>きーふろー</t>
    <phoneticPr fontId="1"/>
  </si>
  <si>
    <t>Key.Flow</t>
    <phoneticPr fontId="1"/>
  </si>
  <si>
    <t>#UTA打KyeFlow</t>
    <phoneticPr fontId="1"/>
  </si>
  <si>
    <t>描画状況</t>
    <rPh sb="0" eb="2">
      <t>ビョウガ</t>
    </rPh>
    <rPh sb="2" eb="4">
      <t>ジョウキョウ</t>
    </rPh>
    <phoneticPr fontId="1"/>
  </si>
  <si>
    <t>キャラクターガチャ</t>
    <phoneticPr fontId="1"/>
  </si>
  <si>
    <t xml:space="preserve"> 名前</t>
    <rPh sb="1" eb="3">
      <t>ナマエ</t>
    </rPh>
    <phoneticPr fontId="1"/>
  </si>
  <si>
    <t xml:space="preserve"> リンク</t>
    <phoneticPr fontId="1"/>
  </si>
  <si>
    <t>https://piku.page/@toitoitoi23</t>
  </si>
  <si>
    <t>行番号</t>
    <rPh sb="0" eb="3">
      <t>ギョウバンゴウ</t>
    </rPh>
    <phoneticPr fontId="1"/>
  </si>
  <si>
    <t>騒呂助</t>
    <phoneticPr fontId="1"/>
  </si>
  <si>
    <t>さわぐ りょすけ</t>
    <phoneticPr fontId="1"/>
  </si>
  <si>
    <t>Sawagu Ryosuke</t>
    <phoneticPr fontId="1"/>
  </si>
  <si>
    <t>剪除鶴偽</t>
    <phoneticPr fontId="1"/>
  </si>
  <si>
    <t>せんじょ つるぎ</t>
    <phoneticPr fontId="1"/>
  </si>
  <si>
    <t>Senjo Tsurugi</t>
    <phoneticPr fontId="1"/>
  </si>
  <si>
    <t>https://grskmot8.wixsite.com/kdarock</t>
    <phoneticPr fontId="1"/>
  </si>
  <si>
    <t>がく</t>
  </si>
  <si>
    <t>Gaku</t>
  </si>
  <si>
    <t>#シロメ人類</t>
  </si>
  <si>
    <t>https://shiromeneko162.wixsite.com/shiromean-official</t>
    <phoneticPr fontId="1"/>
  </si>
  <si>
    <t>​玉兎</t>
    <phoneticPr fontId="1"/>
  </si>
  <si>
    <t>Gyokuto</t>
    <phoneticPr fontId="1"/>
  </si>
  <si>
    <t>ぎょくと</t>
    <phoneticPr fontId="1"/>
  </si>
  <si>
    <t>閃電ライカ</t>
    <phoneticPr fontId="1"/>
  </si>
  <si>
    <t>せんでん らいか</t>
    <phoneticPr fontId="1"/>
  </si>
  <si>
    <t>Senden Raika</t>
    <phoneticPr fontId="1"/>
  </si>
  <si>
    <t>https://t7ttttttt.wixsite.com/t7-re</t>
    <phoneticPr fontId="1"/>
  </si>
  <si>
    <t>#想見ライカ</t>
    <phoneticPr fontId="1"/>
  </si>
  <si>
    <t>黒這パフィア</t>
    <phoneticPr fontId="1"/>
  </si>
  <si>
    <t>くろばい ぱふぃあ</t>
    <phoneticPr fontId="1"/>
  </si>
  <si>
    <t>Kurobai Pafia</t>
    <phoneticPr fontId="1"/>
  </si>
  <si>
    <t>飯音モグ</t>
    <phoneticPr fontId="1"/>
  </si>
  <si>
    <t>いいね もぐ</t>
    <phoneticPr fontId="1"/>
  </si>
  <si>
    <t>Ine Mogu</t>
    <phoneticPr fontId="1"/>
  </si>
  <si>
    <t>https://bowlroll.net/file/333777</t>
    <phoneticPr fontId="1"/>
  </si>
  <si>
    <t>シェリーロイド</t>
    <phoneticPr fontId="1"/>
  </si>
  <si>
    <t>しぇりーろいど</t>
    <phoneticPr fontId="1"/>
  </si>
  <si>
    <t>CHERRI-LOID</t>
    <phoneticPr fontId="1"/>
  </si>
  <si>
    <t>雪山ミルカ</t>
    <phoneticPr fontId="1"/>
  </si>
  <si>
    <t>#雪山ミルカ</t>
    <phoneticPr fontId="1"/>
  </si>
  <si>
    <t>ゆきやま みるか</t>
    <phoneticPr fontId="1"/>
  </si>
  <si>
    <t>Yukiyama Miruka</t>
    <phoneticPr fontId="1"/>
  </si>
  <si>
    <t>https://bowlroll.net/user/964602</t>
    <phoneticPr fontId="1"/>
  </si>
  <si>
    <t>青葉アオ</t>
    <phoneticPr fontId="1"/>
  </si>
  <si>
    <t>あおば あお</t>
    <phoneticPr fontId="1"/>
  </si>
  <si>
    <t>Aoba Ao</t>
    <phoneticPr fontId="1"/>
  </si>
  <si>
    <t>http://shadeofgreen.web.fc2.com</t>
    <phoneticPr fontId="1"/>
  </si>
  <si>
    <t>青葉リョク</t>
    <phoneticPr fontId="1"/>
  </si>
  <si>
    <t>あおば りょく</t>
    <phoneticPr fontId="1"/>
  </si>
  <si>
    <t>Aoba Ryoku</t>
    <phoneticPr fontId="1"/>
  </si>
  <si>
    <t xml:space="preserve">#玖夏参伏 </t>
    <phoneticPr fontId="1"/>
  </si>
  <si>
    <t>苧田マキ</t>
    <phoneticPr fontId="1"/>
  </si>
  <si>
    <t>おだ まき</t>
    <phoneticPr fontId="1"/>
  </si>
  <si>
    <t>Oda Maki</t>
    <phoneticPr fontId="1"/>
  </si>
  <si>
    <t>https://bowlroll.net/user/634941</t>
    <phoneticPr fontId="1"/>
  </si>
  <si>
    <t>#霊界ホテル死海</t>
    <phoneticPr fontId="1"/>
  </si>
  <si>
    <t>青葉シン</t>
    <phoneticPr fontId="1"/>
  </si>
  <si>
    <t>あおば しん</t>
    <phoneticPr fontId="1"/>
  </si>
  <si>
    <t>Aoba Shin</t>
    <phoneticPr fontId="1"/>
  </si>
  <si>
    <t>飴唄ニヒト</t>
    <phoneticPr fontId="1"/>
  </si>
  <si>
    <t>あめうた にひと</t>
    <phoneticPr fontId="1"/>
  </si>
  <si>
    <t>Ameuta Nihito</t>
    <phoneticPr fontId="1"/>
  </si>
  <si>
    <t>投稿ガチャ</t>
    <rPh sb="0" eb="2">
      <t>トウコウ</t>
    </rPh>
    <phoneticPr fontId="1"/>
  </si>
  <si>
    <t>乱数A</t>
    <rPh sb="0" eb="2">
      <t>ランスウ</t>
    </rPh>
    <phoneticPr fontId="1"/>
  </si>
  <si>
    <t>乱数B</t>
    <rPh sb="0" eb="2">
      <t>ランスウ</t>
    </rPh>
    <phoneticPr fontId="1"/>
  </si>
  <si>
    <t>■投稿文</t>
    <rPh sb="1" eb="4">
      <t>トウコウブン</t>
    </rPh>
    <phoneticPr fontId="1"/>
  </si>
  <si>
    <t>まとめはこちら ↓</t>
    <phoneticPr fontId="1"/>
  </si>
  <si>
    <t>個別済</t>
    <rPh sb="0" eb="2">
      <t>コベツ</t>
    </rPh>
    <rPh sb="2" eb="3">
      <t>スミ</t>
    </rPh>
    <phoneticPr fontId="1"/>
  </si>
  <si>
    <t>https://cmamizki.wixsite.com/edelstein</t>
    <phoneticPr fontId="1"/>
  </si>
  <si>
    <t>螺婆</t>
    <phoneticPr fontId="1"/>
  </si>
  <si>
    <t>らーば</t>
    <phoneticPr fontId="1"/>
  </si>
  <si>
    <t>Lava</t>
    <phoneticPr fontId="1"/>
  </si>
  <si>
    <t>カフィン</t>
    <phoneticPr fontId="1"/>
  </si>
  <si>
    <t>かふぃん</t>
    <phoneticPr fontId="1"/>
  </si>
  <si>
    <t>#caffiinism #たぴおかふぃん</t>
    <phoneticPr fontId="1"/>
  </si>
  <si>
    <t>Caffin</t>
    <phoneticPr fontId="1"/>
  </si>
  <si>
    <t>りせとたん</t>
    <phoneticPr fontId="1"/>
  </si>
  <si>
    <t>Risetotan</t>
    <phoneticPr fontId="1"/>
  </si>
  <si>
    <t>ルート</t>
    <phoneticPr fontId="1"/>
  </si>
  <si>
    <t>るーと</t>
    <phoneticPr fontId="1"/>
  </si>
  <si>
    <t>Root</t>
    <phoneticPr fontId="1"/>
  </si>
  <si>
    <t>ラリマー</t>
    <phoneticPr fontId="1"/>
  </si>
  <si>
    <t>らりまー</t>
    <phoneticPr fontId="1"/>
  </si>
  <si>
    <t>Larimar</t>
    <phoneticPr fontId="1"/>
  </si>
  <si>
    <t>クリノクロア</t>
    <phoneticPr fontId="1"/>
  </si>
  <si>
    <t>くりのくろあ</t>
    <phoneticPr fontId="1"/>
  </si>
  <si>
    <t>セレスタイト</t>
    <phoneticPr fontId="1"/>
  </si>
  <si>
    <t>せれすたいと</t>
    <phoneticPr fontId="1"/>
  </si>
  <si>
    <t>ドルシェ</t>
    <phoneticPr fontId="1"/>
  </si>
  <si>
    <t>どるしぇ</t>
    <phoneticPr fontId="1"/>
  </si>
  <si>
    <t>Dollce</t>
    <phoneticPr fontId="1"/>
  </si>
  <si>
    <t>Celestite</t>
    <phoneticPr fontId="1"/>
  </si>
  <si>
    <t>Clinochlore</t>
    <phoneticPr fontId="1"/>
  </si>
  <si>
    <t>Wraith</t>
    <phoneticPr fontId="1"/>
  </si>
  <si>
    <t>れいす</t>
    <phoneticPr fontId="1"/>
  </si>
  <si>
    <t>音偽ユウ</t>
    <phoneticPr fontId="1"/>
  </si>
  <si>
    <t>Otogi Yu</t>
    <phoneticPr fontId="1"/>
  </si>
  <si>
    <t>おとぎ ゆう</t>
    <phoneticPr fontId="1"/>
  </si>
  <si>
    <t>狐者異カゴメ</t>
    <phoneticPr fontId="1"/>
  </si>
  <si>
    <t>Kowai Kagome</t>
    <phoneticPr fontId="1"/>
  </si>
  <si>
    <t>こわい かごめ</t>
    <phoneticPr fontId="1"/>
  </si>
  <si>
    <t>八雲しお</t>
    <phoneticPr fontId="1"/>
  </si>
  <si>
    <t>Yakumo Shio</t>
    <phoneticPr fontId="1"/>
  </si>
  <si>
    <t>やくも しお</t>
    <phoneticPr fontId="1"/>
  </si>
  <si>
    <t>https://makurakue.wixsite.com/kemononokemono</t>
    <phoneticPr fontId="1"/>
  </si>
  <si>
    <t>#けもののけもの</t>
    <phoneticPr fontId="1"/>
  </si>
  <si>
    <t>​夢住</t>
    <phoneticPr fontId="1"/>
  </si>
  <si>
    <t>Yumezumi</t>
    <phoneticPr fontId="1"/>
  </si>
  <si>
    <t>ゆめずみ</t>
    <phoneticPr fontId="1"/>
  </si>
  <si>
    <t>鳴月アマ</t>
    <phoneticPr fontId="1"/>
  </si>
  <si>
    <t>Natsuki Ama</t>
    <phoneticPr fontId="1"/>
  </si>
  <si>
    <t>なつき あま</t>
    <phoneticPr fontId="1"/>
  </si>
  <si>
    <t>アリア</t>
    <phoneticPr fontId="1"/>
  </si>
  <si>
    <t>ありあ</t>
    <phoneticPr fontId="1"/>
  </si>
  <si>
    <t>Alia</t>
    <phoneticPr fontId="1"/>
  </si>
  <si>
    <t>不知英</t>
    <phoneticPr fontId="1"/>
  </si>
  <si>
    <t>Shirazu Hana</t>
    <phoneticPr fontId="1"/>
  </si>
  <si>
    <t>しらず はな</t>
    <phoneticPr fontId="1"/>
  </si>
  <si>
    <t>https://ma2bana7.wixsite.com/sssr</t>
    <phoneticPr fontId="1"/>
  </si>
  <si>
    <t>刹葬セツリ</t>
    <phoneticPr fontId="1"/>
  </si>
  <si>
    <t>せっそう せつり</t>
    <phoneticPr fontId="1"/>
  </si>
  <si>
    <t>Sessou Setsuri</t>
    <phoneticPr fontId="1"/>
  </si>
  <si>
    <t>#刹葬セツリ</t>
    <phoneticPr fontId="1"/>
  </si>
  <si>
    <t>https://kaedekatusaki.wixsite.com/yanagiroutyou</t>
    <phoneticPr fontId="1"/>
  </si>
  <si>
    <t>#柳楼町観測所</t>
    <phoneticPr fontId="1"/>
  </si>
  <si>
    <t>踊弦コレ</t>
    <phoneticPr fontId="1"/>
  </si>
  <si>
    <t>ようげん これ</t>
    <phoneticPr fontId="1"/>
  </si>
  <si>
    <t>Yogen Kore</t>
    <phoneticPr fontId="1"/>
  </si>
  <si>
    <t>折歌トク</t>
    <phoneticPr fontId="1"/>
  </si>
  <si>
    <t>せつか とく</t>
    <phoneticPr fontId="1"/>
  </si>
  <si>
    <t>Setsuka Toku</t>
    <phoneticPr fontId="1"/>
  </si>
  <si>
    <t>理音ニュイ</t>
    <phoneticPr fontId="1"/>
  </si>
  <si>
    <t>りおん にゅい</t>
    <phoneticPr fontId="1"/>
  </si>
  <si>
    <t>Rion Nyui</t>
    <phoneticPr fontId="1"/>
  </si>
  <si>
    <t>​機動穏</t>
    <phoneticPr fontId="1"/>
  </si>
  <si>
    <t>きどう おん</t>
    <phoneticPr fontId="1"/>
  </si>
  <si>
    <t>Kido On</t>
    <phoneticPr fontId="1"/>
  </si>
  <si>
    <t>おｋしいくん</t>
    <phoneticPr fontId="1"/>
  </si>
  <si>
    <t>おかしいくん</t>
    <phoneticPr fontId="1"/>
  </si>
  <si>
    <t>Okashiikun</t>
    <phoneticPr fontId="1"/>
  </si>
  <si>
    <t>アマツロイド</t>
    <phoneticPr fontId="1"/>
  </si>
  <si>
    <t>あまつろいど</t>
    <phoneticPr fontId="1"/>
  </si>
  <si>
    <t>Amatsuroid</t>
    <phoneticPr fontId="1"/>
  </si>
  <si>
    <t>柄木田真理</t>
    <phoneticPr fontId="1"/>
  </si>
  <si>
    <t>えきだ まり</t>
    <phoneticPr fontId="1"/>
  </si>
  <si>
    <t>柄木田理真</t>
    <phoneticPr fontId="1"/>
  </si>
  <si>
    <t>えきだ りま</t>
    <phoneticPr fontId="1"/>
  </si>
  <si>
    <t>Ekida Mari</t>
    <phoneticPr fontId="1"/>
  </si>
  <si>
    <t>Ekida Rima</t>
    <phoneticPr fontId="1"/>
  </si>
  <si>
    <t>https://bindumechan.wixsite.com/shigure222</t>
    <phoneticPr fontId="1"/>
  </si>
  <si>
    <t>刻鳴時雨</t>
    <phoneticPr fontId="1"/>
  </si>
  <si>
    <t>ときな しぐれ</t>
    <phoneticPr fontId="1"/>
  </si>
  <si>
    <t>Tokina Shigure</t>
    <phoneticPr fontId="1"/>
  </si>
  <si>
    <t>紡音ヤト</t>
    <phoneticPr fontId="1"/>
  </si>
  <si>
    <t>https://bowlroll.net/user/374679</t>
    <phoneticPr fontId="1"/>
  </si>
  <si>
    <t>つむぎね やと</t>
    <phoneticPr fontId="1"/>
  </si>
  <si>
    <t>Tsumugine Yato</t>
    <phoneticPr fontId="1"/>
  </si>
  <si>
    <t>#瓶詰めっ子</t>
    <phoneticPr fontId="1"/>
  </si>
  <si>
    <t>果音ノア</t>
    <phoneticPr fontId="1"/>
  </si>
  <si>
    <t>はてね のあ</t>
    <phoneticPr fontId="1"/>
  </si>
  <si>
    <t>Hatene Noa</t>
    <phoneticPr fontId="1"/>
  </si>
  <si>
    <t>https://bindumechan.wixsite.com/koinearuutau</t>
    <phoneticPr fontId="1"/>
  </si>
  <si>
    <t>恋音アル</t>
    <phoneticPr fontId="1"/>
  </si>
  <si>
    <t>こいね ある</t>
    <phoneticPr fontId="1"/>
  </si>
  <si>
    <t>Koine Aru</t>
    <phoneticPr fontId="1"/>
  </si>
  <si>
    <t>#恋音アル</t>
    <phoneticPr fontId="1"/>
  </si>
  <si>
    <t>Y-R</t>
    <phoneticPr fontId="1"/>
  </si>
  <si>
    <t>わいあーる</t>
    <phoneticPr fontId="1"/>
  </si>
  <si>
    <t>https://1996waishatu1002.wixsite.com/y-to-r-to-w-to</t>
    <phoneticPr fontId="1"/>
  </si>
  <si>
    <t>#YとRとWと</t>
    <phoneticPr fontId="1"/>
  </si>
  <si>
    <t>https://mouzhize.wixsite.com/utauwakusei?lang=ja</t>
    <phoneticPr fontId="1"/>
  </si>
  <si>
    <t>惑星</t>
    <phoneticPr fontId="1"/>
  </si>
  <si>
    <t>わくせい</t>
    <phoneticPr fontId="1"/>
  </si>
  <si>
    <t>Wakusei</t>
    <phoneticPr fontId="1"/>
  </si>
  <si>
    <t>鹿音ゾン</t>
    <phoneticPr fontId="1"/>
  </si>
  <si>
    <t>ろくね ぞん</t>
    <phoneticPr fontId="1"/>
  </si>
  <si>
    <t>Rokune Zon</t>
    <phoneticPr fontId="1"/>
  </si>
  <si>
    <t>https://rokune.blogspot.com/2012/07/blog-post.html</t>
    <phoneticPr fontId="1"/>
  </si>
  <si>
    <t>#鹿音ゾン</t>
    <phoneticPr fontId="1"/>
  </si>
  <si>
    <t>救井イド</t>
    <phoneticPr fontId="1"/>
  </si>
  <si>
    <t>すくい いど</t>
    <phoneticPr fontId="1"/>
  </si>
  <si>
    <t>Sukii Ido</t>
    <phoneticPr fontId="1"/>
  </si>
  <si>
    <t>https://bowlroll.net/user/999132</t>
    <phoneticPr fontId="1"/>
  </si>
  <si>
    <t>轟雪マチ丸</t>
    <phoneticPr fontId="1"/>
  </si>
  <si>
    <t>ごうせつ まちまる</t>
    <phoneticPr fontId="1"/>
  </si>
  <si>
    <t>Gosetsu Machimaru</t>
    <phoneticPr fontId="1"/>
  </si>
  <si>
    <t>#轟雪マチ丸</t>
    <phoneticPr fontId="1"/>
  </si>
  <si>
    <t>戸叶こずえ</t>
    <phoneticPr fontId="1"/>
  </si>
  <si>
    <t>Togano Kozue</t>
    <phoneticPr fontId="1"/>
  </si>
  <si>
    <t>とがの こずえ</t>
    <phoneticPr fontId="1"/>
  </si>
  <si>
    <t>#戸叶精肉店</t>
    <phoneticPr fontId="1"/>
  </si>
  <si>
    <t>李音フヱル</t>
    <phoneticPr fontId="1"/>
  </si>
  <si>
    <t>Sumomone Fueru</t>
    <phoneticPr fontId="1"/>
  </si>
  <si>
    <t>すももね ふえる</t>
    <phoneticPr fontId="1"/>
  </si>
  <si>
    <t>https://suukedayo.wixsite.com/shiawasefairu</t>
    <phoneticPr fontId="1"/>
  </si>
  <si>
    <t>亞永音ルヰ</t>
    <phoneticPr fontId="1"/>
  </si>
  <si>
    <t>Tsugunane Rui</t>
    <phoneticPr fontId="1"/>
  </si>
  <si>
    <t>つぐなね るい</t>
    <phoneticPr fontId="1"/>
  </si>
  <si>
    <t>融音スゞ</t>
    <phoneticPr fontId="1"/>
  </si>
  <si>
    <t>Yuune Suzu</t>
    <phoneticPr fontId="1"/>
  </si>
  <si>
    <t>ゆうね すず</t>
    <phoneticPr fontId="1"/>
  </si>
  <si>
    <t>开狐リト</t>
    <phoneticPr fontId="1"/>
  </si>
  <si>
    <t>Kaiko Rito</t>
    <phoneticPr fontId="1"/>
  </si>
  <si>
    <t>かいこ りと</t>
    <phoneticPr fontId="1"/>
  </si>
  <si>
    <t>ユウミィ</t>
    <phoneticPr fontId="1"/>
  </si>
  <si>
    <t>You Me</t>
    <phoneticPr fontId="1"/>
  </si>
  <si>
    <t>ゆう みい</t>
    <phoneticPr fontId="1"/>
  </si>
  <si>
    <t>#しあわせふぁいる</t>
    <phoneticPr fontId="1"/>
  </si>
  <si>
    <t>糸來さまゆ</t>
    <phoneticPr fontId="1"/>
  </si>
  <si>
    <t>#糸來さまゆ</t>
    <phoneticPr fontId="1"/>
  </si>
  <si>
    <t>いとくり さまゆ</t>
    <phoneticPr fontId="1"/>
  </si>
  <si>
    <t>Itokuri Samayu</t>
    <phoneticPr fontId="1"/>
  </si>
  <si>
    <t>飴唄にぽ</t>
    <phoneticPr fontId="1"/>
  </si>
  <si>
    <t>あめうた にぽ</t>
    <phoneticPr fontId="1"/>
  </si>
  <si>
    <t>Ameuta Nipo</t>
    <phoneticPr fontId="1"/>
  </si>
  <si>
    <t>飴唄ニム</t>
    <phoneticPr fontId="1"/>
  </si>
  <si>
    <t>あめうた にむ</t>
    <phoneticPr fontId="1"/>
  </si>
  <si>
    <t>Ameuta Nimu</t>
    <phoneticPr fontId="1"/>
  </si>
  <si>
    <t>飴唄ニレチ</t>
    <phoneticPr fontId="1"/>
  </si>
  <si>
    <t>あめうた にれち</t>
    <phoneticPr fontId="1"/>
  </si>
  <si>
    <t>Ameuta Nirechi</t>
    <phoneticPr fontId="1"/>
  </si>
  <si>
    <t>飴唄仁胡</t>
    <phoneticPr fontId="1"/>
  </si>
  <si>
    <t>あめうた にこ</t>
    <phoneticPr fontId="1"/>
  </si>
  <si>
    <t>Ameuta Niko</t>
    <phoneticPr fontId="1"/>
  </si>
  <si>
    <t>飴唄ニル</t>
    <phoneticPr fontId="1"/>
  </si>
  <si>
    <t>あめうた にる</t>
    <phoneticPr fontId="1"/>
  </si>
  <si>
    <t>Ameuta Niru</t>
    <phoneticPr fontId="1"/>
  </si>
  <si>
    <t>飴唄ニジェ</t>
    <phoneticPr fontId="1"/>
  </si>
  <si>
    <t>あめうた にじぇ</t>
    <phoneticPr fontId="1"/>
  </si>
  <si>
    <t>Ameuta Nije</t>
    <phoneticPr fontId="1"/>
  </si>
  <si>
    <t>飴唄ニナ</t>
    <phoneticPr fontId="1"/>
  </si>
  <si>
    <t>あめうた にな</t>
    <phoneticPr fontId="1"/>
  </si>
  <si>
    <t>Ameuta Nina</t>
    <phoneticPr fontId="1"/>
  </si>
  <si>
    <t>飴唄ニリヤ</t>
    <phoneticPr fontId="1"/>
  </si>
  <si>
    <t>あめうた にりや</t>
    <phoneticPr fontId="1"/>
  </si>
  <si>
    <t>Ameuta Niriya</t>
    <phoneticPr fontId="1"/>
  </si>
  <si>
    <t>飴唄ニユス</t>
    <phoneticPr fontId="1"/>
  </si>
  <si>
    <t>あめうた にゆす</t>
    <phoneticPr fontId="1"/>
  </si>
  <si>
    <t>Ameuta Niyusu</t>
    <phoneticPr fontId="1"/>
  </si>
  <si>
    <t>飴唄ニノン</t>
    <phoneticPr fontId="1"/>
  </si>
  <si>
    <t>あめうた にのん</t>
    <phoneticPr fontId="1"/>
  </si>
  <si>
    <t>Ameuta Ninon</t>
    <phoneticPr fontId="1"/>
  </si>
  <si>
    <t>飴唄ニーヴェス</t>
    <phoneticPr fontId="1"/>
  </si>
  <si>
    <t>あめうた にーゔぇす</t>
    <phoneticPr fontId="1"/>
  </si>
  <si>
    <t>Ameuta Nives</t>
    <phoneticPr fontId="1"/>
  </si>
  <si>
    <t>飴唄2000</t>
    <phoneticPr fontId="1"/>
  </si>
  <si>
    <t>あめうた にせん</t>
    <phoneticPr fontId="1"/>
  </si>
  <si>
    <t>Ameuta Nisen</t>
    <phoneticPr fontId="1"/>
  </si>
  <si>
    <t>ぞんび線</t>
    <phoneticPr fontId="1"/>
  </si>
  <si>
    <t>ぞんびせん</t>
    <phoneticPr fontId="1"/>
  </si>
  <si>
    <t>Zonbisen</t>
    <phoneticPr fontId="1"/>
  </si>
  <si>
    <t>メジロ・メイホァ</t>
    <phoneticPr fontId="1"/>
  </si>
  <si>
    <t>めじろ めいほぁ</t>
    <phoneticPr fontId="1"/>
  </si>
  <si>
    <t>Mejiro Meihua</t>
    <phoneticPr fontId="1"/>
  </si>
  <si>
    <t>レフア・アパパネ</t>
    <phoneticPr fontId="1"/>
  </si>
  <si>
    <t>れふあ あぱぱね</t>
    <phoneticPr fontId="1"/>
  </si>
  <si>
    <t>メタ・クアドラ</t>
    <phoneticPr fontId="1"/>
  </si>
  <si>
    <t>めた くあどら</t>
    <phoneticPr fontId="1"/>
  </si>
  <si>
    <t>Meta Kuadora</t>
    <phoneticPr fontId="1"/>
  </si>
  <si>
    <t>Refua Apapane</t>
    <phoneticPr fontId="1"/>
  </si>
  <si>
    <t>死nu音サン</t>
    <phoneticPr fontId="1"/>
  </si>
  <si>
    <t>しぬねさん</t>
    <phoneticPr fontId="1"/>
  </si>
  <si>
    <t>Shinunesan</t>
    <phoneticPr fontId="1"/>
  </si>
  <si>
    <t>メルジ・ハクア</t>
    <phoneticPr fontId="1"/>
  </si>
  <si>
    <t>めるじ はくあ</t>
    <phoneticPr fontId="1"/>
  </si>
  <si>
    <t>Meruji Hakua</t>
    <phoneticPr fontId="1"/>
  </si>
  <si>
    <t>シャレーナ</t>
    <phoneticPr fontId="1"/>
  </si>
  <si>
    <t>しゃれーな</t>
    <phoneticPr fontId="1"/>
  </si>
  <si>
    <t>Sharena</t>
    <phoneticPr fontId="1"/>
  </si>
  <si>
    <t>踊躍あすく</t>
    <phoneticPr fontId="1"/>
  </si>
  <si>
    <t>ようやく あすく</t>
    <phoneticPr fontId="1"/>
  </si>
  <si>
    <t xml:space="preserve">楠里極 </t>
    <phoneticPr fontId="1"/>
  </si>
  <si>
    <t>Kusuzato Kimeru</t>
    <phoneticPr fontId="1"/>
  </si>
  <si>
    <t>くすざと きめる</t>
    <phoneticPr fontId="1"/>
  </si>
  <si>
    <t>明泪寺早津</t>
    <phoneticPr fontId="1"/>
  </si>
  <si>
    <t>あかるいじ さつ</t>
    <phoneticPr fontId="1"/>
  </si>
  <si>
    <t>Akaruiji Satsu</t>
    <phoneticPr fontId="1"/>
  </si>
  <si>
    <t>​吠浦モウ</t>
    <phoneticPr fontId="1"/>
  </si>
  <si>
    <t>Hoeura Mou</t>
    <phoneticPr fontId="1"/>
  </si>
  <si>
    <t>ほえうら もう</t>
    <phoneticPr fontId="1"/>
  </si>
  <si>
    <t>該当ナシ</t>
    <phoneticPr fontId="1"/>
  </si>
  <si>
    <t>Gaitou Nashi</t>
    <phoneticPr fontId="1"/>
  </si>
  <si>
    <t>Yoyaku Asuku</t>
    <phoneticPr fontId="1"/>
  </si>
  <si>
    <t>がいとう なし</t>
    <phoneticPr fontId="1"/>
  </si>
  <si>
    <t>天彩渚乃</t>
    <phoneticPr fontId="1"/>
  </si>
  <si>
    <t>あめあや なの</t>
    <phoneticPr fontId="1"/>
  </si>
  <si>
    <t>Ameaya Nano</t>
    <phoneticPr fontId="1"/>
  </si>
  <si>
    <t>波津獏</t>
    <phoneticPr fontId="1"/>
  </si>
  <si>
    <t>なみつ ばく</t>
    <phoneticPr fontId="1"/>
  </si>
  <si>
    <t>Namitsu Baku</t>
    <phoneticPr fontId="1"/>
  </si>
  <si>
    <t>六七十三</t>
    <phoneticPr fontId="1"/>
  </si>
  <si>
    <t>Rokushichi Juzou</t>
    <phoneticPr fontId="1"/>
  </si>
  <si>
    <t>ろくしち じゅうぞう</t>
    <phoneticPr fontId="1"/>
  </si>
  <si>
    <t>きの音もと</t>
    <phoneticPr fontId="1"/>
  </si>
  <si>
    <t>ウフーロ・ジョホマウ・シフショ</t>
    <phoneticPr fontId="1"/>
  </si>
  <si>
    <t>時間そうな</t>
    <phoneticPr fontId="1"/>
  </si>
  <si>
    <t>きのね もと</t>
    <phoneticPr fontId="1"/>
  </si>
  <si>
    <t>Kinone Moto</t>
    <phoneticPr fontId="1"/>
  </si>
  <si>
    <t>Ufuro Johomau Shifusho</t>
    <phoneticPr fontId="1"/>
  </si>
  <si>
    <t>うふーろ じょほまう しふしょ</t>
    <phoneticPr fontId="1"/>
  </si>
  <si>
    <t>ときま そうな</t>
    <phoneticPr fontId="1"/>
  </si>
  <si>
    <t>Tokima Souna</t>
    <phoneticPr fontId="1"/>
  </si>
  <si>
    <t>暮音シト</t>
    <phoneticPr fontId="1"/>
  </si>
  <si>
    <t>#三音探偵譚</t>
    <phoneticPr fontId="1"/>
  </si>
  <si>
    <t>くれね しと</t>
    <phoneticPr fontId="1"/>
  </si>
  <si>
    <t>Kurene Shito</t>
    <phoneticPr fontId="1"/>
  </si>
  <si>
    <t>歌留多耕也</t>
    <phoneticPr fontId="1"/>
  </si>
  <si>
    <t>於菟無カエ</t>
    <phoneticPr fontId="1"/>
  </si>
  <si>
    <t>かるた こうや</t>
    <phoneticPr fontId="1"/>
  </si>
  <si>
    <t>Karuta Koya</t>
    <phoneticPr fontId="1"/>
  </si>
  <si>
    <t>おとなし かえ</t>
    <phoneticPr fontId="1"/>
  </si>
  <si>
    <t>Otonashi Kae</t>
    <phoneticPr fontId="1"/>
  </si>
  <si>
    <t>白魔</t>
    <phoneticPr fontId="1"/>
  </si>
  <si>
    <t>はくま</t>
    <phoneticPr fontId="1"/>
  </si>
  <si>
    <t>Hakuma</t>
    <phoneticPr fontId="1"/>
  </si>
  <si>
    <t>椿音屍緑</t>
    <phoneticPr fontId="1"/>
  </si>
  <si>
    <t>ちゅんね しろく</t>
    <phoneticPr fontId="1"/>
  </si>
  <si>
    <t>Chunne Shiroku</t>
    <phoneticPr fontId="1"/>
  </si>
  <si>
    <t>​狐隠祟紫</t>
    <phoneticPr fontId="1"/>
  </si>
  <si>
    <t>こおん すいし</t>
    <phoneticPr fontId="1"/>
  </si>
  <si>
    <t>Kon Suishi</t>
    <phoneticPr fontId="1"/>
  </si>
  <si>
    <t>水明</t>
    <phoneticPr fontId="1"/>
  </si>
  <si>
    <t>すいめい</t>
    <phoneticPr fontId="1"/>
  </si>
  <si>
    <t>Suimei</t>
    <phoneticPr fontId="1"/>
  </si>
  <si>
    <t>鍵箱モカ</t>
    <phoneticPr fontId="1"/>
  </si>
  <si>
    <t>Kagibako Moka</t>
    <phoneticPr fontId="1"/>
  </si>
  <si>
    <t>かぎばこ もか</t>
    <phoneticPr fontId="1"/>
  </si>
  <si>
    <t>​雪ノ下忍冬</t>
    <phoneticPr fontId="1"/>
  </si>
  <si>
    <t>ゆきのした すいかずら</t>
    <phoneticPr fontId="1"/>
  </si>
  <si>
    <t>Yukinoshita Suikazura</t>
    <phoneticPr fontId="1"/>
  </si>
  <si>
    <t>旭橋渚</t>
    <phoneticPr fontId="1"/>
  </si>
  <si>
    <t>​あさひばし なぎさ</t>
    <phoneticPr fontId="1"/>
  </si>
  <si>
    <t>Asahibashi Nagisa</t>
    <phoneticPr fontId="1"/>
  </si>
  <si>
    <t>地獄谷覚</t>
    <phoneticPr fontId="1"/>
  </si>
  <si>
    <t>じごくだに かく</t>
    <phoneticPr fontId="1"/>
  </si>
  <si>
    <t>Jigokudani Kaku</t>
    <phoneticPr fontId="1"/>
  </si>
  <si>
    <t>地獄谷燐</t>
    <phoneticPr fontId="1"/>
  </si>
  <si>
    <t>じごくだに りん</t>
    <phoneticPr fontId="1"/>
  </si>
  <si>
    <t>Jigokudani Lin</t>
    <phoneticPr fontId="1"/>
  </si>
  <si>
    <t>Silver Destrudo</t>
    <phoneticPr fontId="1"/>
  </si>
  <si>
    <t>しるばー ですとりゅーどー</t>
    <phoneticPr fontId="1"/>
  </si>
  <si>
    <t>問笛数一</t>
    <phoneticPr fontId="1"/>
  </si>
  <si>
    <t>といてき かずいち</t>
    <phoneticPr fontId="1"/>
  </si>
  <si>
    <t>Toyteki Kazuichi</t>
    <phoneticPr fontId="1"/>
  </si>
  <si>
    <t>ちょうるい</t>
    <phoneticPr fontId="1"/>
  </si>
  <si>
    <t>Chorui</t>
    <phoneticPr fontId="1"/>
  </si>
  <si>
    <t>じんるい</t>
    <phoneticPr fontId="1"/>
  </si>
  <si>
    <t>Jinrui</t>
    <phoneticPr fontId="1"/>
  </si>
  <si>
    <t>はちゅうるい</t>
    <phoneticPr fontId="1"/>
  </si>
  <si>
    <t>Hachurui</t>
    <phoneticPr fontId="1"/>
  </si>
  <si>
    <t>ギトラさん</t>
    <phoneticPr fontId="1"/>
  </si>
  <si>
    <t>ぎとらさん</t>
    <phoneticPr fontId="1"/>
  </si>
  <si>
    <t>Gitorasan</t>
    <phoneticPr fontId="1"/>
  </si>
  <si>
    <t>噓音クロ</t>
    <phoneticPr fontId="1"/>
  </si>
  <si>
    <t>うそね くろ</t>
    <phoneticPr fontId="1"/>
  </si>
  <si>
    <t>Usone Kuro</t>
    <phoneticPr fontId="1"/>
  </si>
  <si>
    <t>https://yukimiyashimusho.jimdofree.com</t>
    <phoneticPr fontId="1"/>
  </si>
  <si>
    <t>#行宮事務所</t>
    <phoneticPr fontId="1"/>
  </si>
  <si>
    <t>真実音フェイア</t>
    <phoneticPr fontId="1"/>
  </si>
  <si>
    <t>まみね ふぇいあ</t>
    <phoneticPr fontId="1"/>
  </si>
  <si>
    <t>Mamine Fair</t>
    <phoneticPr fontId="1"/>
  </si>
  <si>
    <t>混音ノノ</t>
    <phoneticPr fontId="1"/>
  </si>
  <si>
    <t>まざね のの</t>
    <phoneticPr fontId="1"/>
  </si>
  <si>
    <t>Mazane Nono</t>
    <phoneticPr fontId="1"/>
  </si>
  <si>
    <t>橿原ザビエル</t>
    <phoneticPr fontId="1"/>
  </si>
  <si>
    <t>かしはら ざびえる</t>
    <phoneticPr fontId="1"/>
  </si>
  <si>
    <t>Kashihara Xavier</t>
    <phoneticPr fontId="1"/>
  </si>
  <si>
    <t>半音タカ</t>
    <phoneticPr fontId="1"/>
  </si>
  <si>
    <t>はんね たか</t>
    <phoneticPr fontId="1"/>
  </si>
  <si>
    <t>Hanne Taka</t>
    <phoneticPr fontId="1"/>
  </si>
  <si>
    <t>粟沫ちゃん</t>
    <phoneticPr fontId="1"/>
  </si>
  <si>
    <t>あわあわちゃん</t>
    <phoneticPr fontId="1"/>
  </si>
  <si>
    <t>Awaawa-chan</t>
    <phoneticPr fontId="1"/>
  </si>
  <si>
    <t>理詠灰子</t>
    <phoneticPr fontId="1"/>
  </si>
  <si>
    <t>りえい はいこ</t>
    <phoneticPr fontId="1"/>
  </si>
  <si>
    <t>Riei Haiko</t>
    <phoneticPr fontId="1"/>
  </si>
  <si>
    <t>霜咲れあに</t>
    <phoneticPr fontId="1"/>
  </si>
  <si>
    <t>そうさき れあに</t>
    <phoneticPr fontId="1"/>
  </si>
  <si>
    <t>Sousaki Reani</t>
    <phoneticPr fontId="1"/>
  </si>
  <si>
    <t>汐声月海</t>
    <phoneticPr fontId="1"/>
  </si>
  <si>
    <t>せきせ るなみ</t>
    <phoneticPr fontId="1"/>
  </si>
  <si>
    <t>Sekise Lunami</t>
    <phoneticPr fontId="1"/>
  </si>
  <si>
    <t>Rya</t>
    <phoneticPr fontId="1"/>
  </si>
  <si>
    <t>りあ</t>
    <phoneticPr fontId="1"/>
  </si>
  <si>
    <t>Hye</t>
    <phoneticPr fontId="1"/>
  </si>
  <si>
    <t>ひえ</t>
    <phoneticPr fontId="1"/>
  </si>
  <si>
    <t>Myo</t>
    <phoneticPr fontId="1"/>
  </si>
  <si>
    <t>みお</t>
    <phoneticPr fontId="1"/>
  </si>
  <si>
    <t>夜明音ヨリ</t>
    <phoneticPr fontId="1"/>
  </si>
  <si>
    <t>よあけね より</t>
    <phoneticPr fontId="1"/>
  </si>
  <si>
    <t>Yoakene Yori</t>
    <phoneticPr fontId="1"/>
  </si>
  <si>
    <t>郁歌セイン</t>
    <phoneticPr fontId="1"/>
  </si>
  <si>
    <t>いくうた せいん</t>
    <phoneticPr fontId="1"/>
  </si>
  <si>
    <t>Ikuuta Sein</t>
    <phoneticPr fontId="1"/>
  </si>
  <si>
    <t>https://harujpg.wixsite.com/sanshoku</t>
    <phoneticPr fontId="1"/>
  </si>
  <si>
    <t>三色あやか</t>
    <phoneticPr fontId="1"/>
  </si>
  <si>
    <t>さんしょく あやか</t>
    <phoneticPr fontId="1"/>
  </si>
  <si>
    <t>Sanshoku Ayaka</t>
    <phoneticPr fontId="1"/>
  </si>
  <si>
    <t>三色れいか</t>
    <phoneticPr fontId="1"/>
  </si>
  <si>
    <t>さんしょく れいか</t>
    <phoneticPr fontId="1"/>
  </si>
  <si>
    <t>Sanshoku Reika</t>
    <phoneticPr fontId="1"/>
  </si>
  <si>
    <t>夏霜</t>
    <phoneticPr fontId="1"/>
  </si>
  <si>
    <t>なつしも</t>
    <phoneticPr fontId="1"/>
  </si>
  <si>
    <t>Natsushimo</t>
    <phoneticPr fontId="1"/>
  </si>
  <si>
    <t>三色家のぼうしさん</t>
    <phoneticPr fontId="1"/>
  </si>
  <si>
    <t>さんしょくけのぼうしさん</t>
    <phoneticPr fontId="1"/>
  </si>
  <si>
    <t>Sanshokukenoboshisan</t>
    <phoneticPr fontId="1"/>
  </si>
  <si>
    <t>XI -sai-</t>
    <phoneticPr fontId="1"/>
  </si>
  <si>
    <t>sai</t>
    <phoneticPr fontId="1"/>
  </si>
  <si>
    <t>さい</t>
    <phoneticPr fontId="1"/>
  </si>
  <si>
    <t>RECU</t>
    <phoneticPr fontId="1"/>
  </si>
  <si>
    <t>れく</t>
    <phoneticPr fontId="1"/>
  </si>
  <si>
    <t>Recu</t>
    <phoneticPr fontId="1"/>
  </si>
  <si>
    <t>りるっぽいど</t>
    <phoneticPr fontId="1"/>
  </si>
  <si>
    <t>Liluppoid</t>
    <phoneticPr fontId="1"/>
  </si>
  <si>
    <t>斐音ハチカ</t>
    <phoneticPr fontId="1"/>
  </si>
  <si>
    <t>Ayarune Hachika</t>
    <phoneticPr fontId="1"/>
  </si>
  <si>
    <t>あやるね はちか</t>
    <phoneticPr fontId="1"/>
  </si>
  <si>
    <t>吟児</t>
    <phoneticPr fontId="1"/>
  </si>
  <si>
    <t>Ginji</t>
    <phoneticPr fontId="1"/>
  </si>
  <si>
    <t>ぎんじ</t>
    <phoneticPr fontId="1"/>
  </si>
  <si>
    <t>雪鳴こん</t>
    <phoneticPr fontId="1"/>
  </si>
  <si>
    <t>Yukina Kon</t>
    <phoneticPr fontId="1"/>
  </si>
  <si>
    <t>ゆきな こん</t>
    <phoneticPr fontId="1"/>
  </si>
  <si>
    <t>弦弓ゲン</t>
    <phoneticPr fontId="1"/>
  </si>
  <si>
    <t>Tsuruyumi Gen</t>
    <phoneticPr fontId="1"/>
  </si>
  <si>
    <t>つるゆみ げん</t>
    <phoneticPr fontId="1"/>
  </si>
  <si>
    <t>ピピ音ピオ</t>
    <phoneticPr fontId="1"/>
  </si>
  <si>
    <t>Pipine Pio</t>
    <phoneticPr fontId="1"/>
  </si>
  <si>
    <t>マネナリ</t>
    <phoneticPr fontId="1"/>
  </si>
  <si>
    <t>ぴぴね ぴお</t>
    <phoneticPr fontId="1"/>
  </si>
  <si>
    <t>まねなり</t>
    <phoneticPr fontId="1"/>
  </si>
  <si>
    <t>Manenari</t>
    <phoneticPr fontId="1"/>
  </si>
  <si>
    <t>https://yautau.wixsite.com/0909</t>
    <phoneticPr fontId="1"/>
  </si>
  <si>
    <t>https://sites.google.com/view/report1023</t>
    <phoneticPr fontId="1"/>
  </si>
  <si>
    <t>唯音理歌</t>
    <phoneticPr fontId="1"/>
  </si>
  <si>
    <t>いおん りか</t>
    <phoneticPr fontId="1"/>
  </si>
  <si>
    <t>Ion Rika</t>
    <phoneticPr fontId="1"/>
  </si>
  <si>
    <t>優音モフ</t>
    <phoneticPr fontId="1"/>
  </si>
  <si>
    <t>やさね もふ</t>
    <phoneticPr fontId="1"/>
  </si>
  <si>
    <t>Yasane Mofu</t>
    <phoneticPr fontId="1"/>
  </si>
  <si>
    <t>唯音文歌</t>
    <phoneticPr fontId="1"/>
  </si>
  <si>
    <t>いおん もか</t>
    <phoneticPr fontId="1"/>
  </si>
  <si>
    <t>Ion Moka</t>
    <phoneticPr fontId="1"/>
  </si>
  <si>
    <t>森埜ウルス</t>
    <phoneticPr fontId="1"/>
  </si>
  <si>
    <t>もりの うるす</t>
    <phoneticPr fontId="1"/>
  </si>
  <si>
    <t>Morino Urusu</t>
    <phoneticPr fontId="1"/>
  </si>
  <si>
    <t>#レポート1023</t>
    <phoneticPr fontId="1"/>
  </si>
  <si>
    <t>https://osomatsu-poid.wixsite.com/konari-san-chi</t>
    <phoneticPr fontId="1"/>
  </si>
  <si>
    <t>狐鳴陽夛</t>
    <phoneticPr fontId="1"/>
  </si>
  <si>
    <t>こなり はるた</t>
    <phoneticPr fontId="1"/>
  </si>
  <si>
    <t>Konari Haruta</t>
    <phoneticPr fontId="1"/>
  </si>
  <si>
    <t>狐鳴陽</t>
    <phoneticPr fontId="1"/>
  </si>
  <si>
    <t>こなり ひな</t>
    <phoneticPr fontId="1"/>
  </si>
  <si>
    <t>Konari Hina</t>
    <phoneticPr fontId="1"/>
  </si>
  <si>
    <t>狐鳴琴陽</t>
    <phoneticPr fontId="1"/>
  </si>
  <si>
    <t>こなり こはる</t>
    <phoneticPr fontId="1"/>
  </si>
  <si>
    <t>Konari Koharu</t>
    <phoneticPr fontId="1"/>
  </si>
  <si>
    <t>#狐鳴さんち</t>
    <phoneticPr fontId="1"/>
  </si>
  <si>
    <t>​心音アオバ</t>
    <phoneticPr fontId="1"/>
  </si>
  <si>
    <t>こころね あおば</t>
    <phoneticPr fontId="1"/>
  </si>
  <si>
    <t>Kokorone Aoba</t>
    <phoneticPr fontId="1"/>
  </si>
  <si>
    <t>ヒナキ</t>
    <phoneticPr fontId="1"/>
  </si>
  <si>
    <t>ひなき</t>
    <phoneticPr fontId="1"/>
  </si>
  <si>
    <t>Hinaki</t>
    <phoneticPr fontId="1"/>
  </si>
  <si>
    <t>シラユキ</t>
    <phoneticPr fontId="1"/>
  </si>
  <si>
    <t>しらゆき</t>
    <phoneticPr fontId="1"/>
  </si>
  <si>
    <t>Shirayuki</t>
    <phoneticPr fontId="1"/>
  </si>
  <si>
    <t>アメイズ</t>
    <phoneticPr fontId="1"/>
  </si>
  <si>
    <t>Amaze</t>
    <phoneticPr fontId="1"/>
  </si>
  <si>
    <t>あめいず</t>
    <phoneticPr fontId="1"/>
  </si>
  <si>
    <t>http://lunacalan.com</t>
    <phoneticPr fontId="1"/>
  </si>
  <si>
    <t>花蘭るな</t>
    <phoneticPr fontId="1"/>
  </si>
  <si>
    <t>からん るな</t>
    <phoneticPr fontId="1"/>
  </si>
  <si>
    <t>Karan Runa</t>
    <phoneticPr fontId="1"/>
  </si>
  <si>
    <t>#花蘭るな</t>
    <phoneticPr fontId="1"/>
  </si>
  <si>
    <t>https://bowlroll.net/user/367777</t>
    <phoneticPr fontId="1"/>
  </si>
  <si>
    <t>こちぇ</t>
    <phoneticPr fontId="1"/>
  </si>
  <si>
    <t>Kochie</t>
    <phoneticPr fontId="1"/>
  </si>
  <si>
    <t>#こちぇ_UTAU</t>
    <phoneticPr fontId="1"/>
  </si>
  <si>
    <t>https://ahogepucyi.wixsite.com/zannsyuutau</t>
    <phoneticPr fontId="1"/>
  </si>
  <si>
    <t>ざんしゅ</t>
    <phoneticPr fontId="1"/>
  </si>
  <si>
    <t>Zanshu</t>
    <phoneticPr fontId="1"/>
  </si>
  <si>
    <t>個別済</t>
  </si>
  <si>
    <t>赤鐘芙蓉</t>
    <phoneticPr fontId="1"/>
  </si>
  <si>
    <t>東屋亭久一</t>
    <phoneticPr fontId="1"/>
  </si>
  <si>
    <t>アセテート</t>
    <phoneticPr fontId="1"/>
  </si>
  <si>
    <t>涼風熱子</t>
    <phoneticPr fontId="1"/>
  </si>
  <si>
    <t>すずかぜ ねつこ</t>
    <phoneticPr fontId="1"/>
  </si>
  <si>
    <t>Suzukaze Netsuko</t>
    <phoneticPr fontId="1"/>
  </si>
  <si>
    <t>#喜怒哀ROCK</t>
    <phoneticPr fontId="1"/>
  </si>
  <si>
    <t>トロネ</t>
    <phoneticPr fontId="1"/>
  </si>
  <si>
    <t>とろね</t>
    <phoneticPr fontId="1"/>
  </si>
  <si>
    <t>Torone</t>
    <phoneticPr fontId="1"/>
  </si>
  <si>
    <t>不和音ファソラ</t>
    <phoneticPr fontId="1"/>
  </si>
  <si>
    <t>ふわね ふぁそら</t>
    <phoneticPr fontId="1"/>
  </si>
  <si>
    <t>Fuwane Fasora</t>
    <phoneticPr fontId="1"/>
  </si>
  <si>
    <t>#不和音ファソラ</t>
    <phoneticPr fontId="1"/>
  </si>
  <si>
    <t>テトリー</t>
    <phoneticPr fontId="1"/>
  </si>
  <si>
    <t>#保冷安室</t>
    <phoneticPr fontId="1"/>
  </si>
  <si>
    <t>てとりー</t>
    <phoneticPr fontId="1"/>
  </si>
  <si>
    <t>https://hakutoujelly.booth.pm/items/6496885</t>
    <phoneticPr fontId="1"/>
  </si>
  <si>
    <t>UTA内藤</t>
  </si>
  <si>
    <t>UTA痛風</t>
  </si>
  <si>
    <t>UTA戦死</t>
  </si>
  <si>
    <t>カッターナイフと恋する少女</t>
  </si>
  <si>
    <t>芽々田蛙声</t>
  </si>
  <si>
    <t>ナソラ・アングル</t>
  </si>
  <si>
    <t>サラ・シェーディ</t>
  </si>
  <si>
    <t>オーギ・フーキ</t>
  </si>
  <si>
    <t>炉手独歩</t>
  </si>
  <si>
    <t>ソボロっぽいの</t>
  </si>
  <si>
    <t>霊喰ざくろ</t>
  </si>
  <si>
    <t>ファイナル仮面っぽいの</t>
  </si>
  <si>
    <t>Uta Naitou</t>
    <phoneticPr fontId="1"/>
  </si>
  <si>
    <t>うた ないとう</t>
    <phoneticPr fontId="1"/>
  </si>
  <si>
    <t>バッツ・ローランド</t>
    <phoneticPr fontId="1"/>
  </si>
  <si>
    <t>Uta Tuufuu</t>
    <phoneticPr fontId="1"/>
  </si>
  <si>
    <t>うた つうふう</t>
    <phoneticPr fontId="1"/>
  </si>
  <si>
    <t>Uta Senshi</t>
    <phoneticPr fontId="1"/>
  </si>
  <si>
    <t>うた せんし</t>
    <phoneticPr fontId="1"/>
  </si>
  <si>
    <t>Cutter Knife &amp; Girl in Love</t>
    <phoneticPr fontId="1"/>
  </si>
  <si>
    <t>かったーないふとこいするしょうじょ</t>
    <phoneticPr fontId="1"/>
  </si>
  <si>
    <t>Memeta Asei</t>
    <phoneticPr fontId="1"/>
  </si>
  <si>
    <t>めめた あせい</t>
    <phoneticPr fontId="1"/>
  </si>
  <si>
    <t>Nasora Angle</t>
    <phoneticPr fontId="1"/>
  </si>
  <si>
    <t>なそら あんぐる</t>
    <phoneticPr fontId="1"/>
  </si>
  <si>
    <t>Sara Shedy</t>
    <phoneticPr fontId="1"/>
  </si>
  <si>
    <t>さら しぇーでぃ</t>
    <phoneticPr fontId="1"/>
  </si>
  <si>
    <t>Ohgi Fuki</t>
    <phoneticPr fontId="1"/>
  </si>
  <si>
    <t>おぎ ふき</t>
    <phoneticPr fontId="1"/>
  </si>
  <si>
    <t>Rote dokuho</t>
    <phoneticPr fontId="1"/>
  </si>
  <si>
    <t>ろて どくほ</t>
    <phoneticPr fontId="1"/>
  </si>
  <si>
    <t>Soboroppoino</t>
    <phoneticPr fontId="1"/>
  </si>
  <si>
    <t>そぼろっぽいの</t>
    <phoneticPr fontId="1"/>
  </si>
  <si>
    <t>Tamabami Zakuro</t>
    <phoneticPr fontId="1"/>
  </si>
  <si>
    <t>たまばみ ざくろ</t>
    <phoneticPr fontId="1"/>
  </si>
  <si>
    <t>Houloid</t>
    <phoneticPr fontId="1"/>
  </si>
  <si>
    <t>ほーろいど</t>
    <phoneticPr fontId="1"/>
  </si>
  <si>
    <t>Battu Roland</t>
    <phoneticPr fontId="1"/>
  </si>
  <si>
    <t>ばっつ ろーらんど</t>
    <phoneticPr fontId="1"/>
  </si>
  <si>
    <t>Finalkamenppoino</t>
    <phoneticPr fontId="1"/>
  </si>
  <si>
    <t>ふぁいなるかめんっぽいの</t>
    <phoneticPr fontId="1"/>
  </si>
  <si>
    <t>錯音ジバ</t>
    <phoneticPr fontId="1"/>
  </si>
  <si>
    <t>錯音シノ</t>
    <phoneticPr fontId="1"/>
  </si>
  <si>
    <t>さくね じば</t>
    <phoneticPr fontId="1"/>
  </si>
  <si>
    <t>さくね しの</t>
    <phoneticPr fontId="1"/>
  </si>
  <si>
    <t>https://sites.google.com/view/fullmoon-ruro</t>
    <phoneticPr fontId="1"/>
  </si>
  <si>
    <t>Sakune Jiba</t>
    <phoneticPr fontId="1"/>
  </si>
  <si>
    <t>Sakune Shino</t>
    <phoneticPr fontId="1"/>
  </si>
  <si>
    <t>#錯音ジバ</t>
    <phoneticPr fontId="1"/>
  </si>
  <si>
    <t>#錯音シノ</t>
    <phoneticPr fontId="1"/>
  </si>
  <si>
    <t>葛平ツマリ</t>
    <phoneticPr fontId="1"/>
  </si>
  <si>
    <t>くずひら つまり</t>
    <phoneticPr fontId="1"/>
  </si>
  <si>
    <t>Kuzuhira tsumari</t>
    <phoneticPr fontId="1"/>
  </si>
  <si>
    <t>https://bowlroll.net/user/934800</t>
    <phoneticPr fontId="1"/>
  </si>
  <si>
    <t>#葛平ツマリ</t>
    <phoneticPr fontId="1"/>
  </si>
  <si>
    <t>榊れを</t>
    <phoneticPr fontId="1"/>
  </si>
  <si>
    <t>Sakaki Leo</t>
    <phoneticPr fontId="1"/>
  </si>
  <si>
    <t>さかき れお</t>
    <phoneticPr fontId="1"/>
  </si>
  <si>
    <t>天辻雷</t>
    <phoneticPr fontId="1"/>
  </si>
  <si>
    <t>Amatsuji Azuma</t>
    <phoneticPr fontId="1"/>
  </si>
  <si>
    <t>あまつじ あずま</t>
    <phoneticPr fontId="1"/>
  </si>
  <si>
    <t>​地守葉風</t>
    <phoneticPr fontId="1"/>
  </si>
  <si>
    <t>灰崎囁</t>
    <phoneticPr fontId="1"/>
  </si>
  <si>
    <t>Haizaki Sho</t>
    <phoneticPr fontId="1"/>
  </si>
  <si>
    <t>はいざき しょう</t>
    <phoneticPr fontId="1"/>
  </si>
  <si>
    <t>六弦エレキ</t>
    <phoneticPr fontId="1"/>
  </si>
  <si>
    <t>Mugen Elec</t>
    <phoneticPr fontId="1"/>
  </si>
  <si>
    <t>むげん えれき</t>
    <phoneticPr fontId="1"/>
  </si>
  <si>
    <t>白躊夢</t>
    <phoneticPr fontId="1"/>
  </si>
  <si>
    <t>Hakuchumu</t>
    <phoneticPr fontId="1"/>
  </si>
  <si>
    <t>はくちゅうむ</t>
    <phoneticPr fontId="1"/>
  </si>
  <si>
    <t>不彁逆</t>
    <phoneticPr fontId="1"/>
  </si>
  <si>
    <t>Hukagyaku</t>
    <phoneticPr fontId="1"/>
  </si>
  <si>
    <t>ふかぎゃく</t>
    <phoneticPr fontId="1"/>
  </si>
  <si>
    <t>未曾鬱</t>
    <phoneticPr fontId="1"/>
  </si>
  <si>
    <t>Mizou</t>
    <phoneticPr fontId="1"/>
  </si>
  <si>
    <t>みぞう</t>
    <phoneticPr fontId="1"/>
  </si>
  <si>
    <t>#榊れを</t>
    <phoneticPr fontId="1"/>
  </si>
  <si>
    <t>#天辻雷</t>
    <phoneticPr fontId="1"/>
  </si>
  <si>
    <t>#灰崎囁</t>
    <phoneticPr fontId="1"/>
  </si>
  <si>
    <t>#六弦エレキ</t>
    <phoneticPr fontId="1"/>
  </si>
  <si>
    <t>#白躊夢</t>
    <phoneticPr fontId="1"/>
  </si>
  <si>
    <t>#不彁逆</t>
    <phoneticPr fontId="1"/>
  </si>
  <si>
    <t>#未曾鬱</t>
    <phoneticPr fontId="1"/>
  </si>
  <si>
    <t>西蓮ガルド</t>
    <phoneticPr fontId="1"/>
  </si>
  <si>
    <t>にしれん がるど</t>
    <phoneticPr fontId="1"/>
  </si>
  <si>
    <t>Nishiren Gard</t>
    <phoneticPr fontId="1"/>
  </si>
  <si>
    <t>https://gardanana.neocities.org</t>
    <phoneticPr fontId="1"/>
  </si>
  <si>
    <t>#西蓮ガルド</t>
    <phoneticPr fontId="1"/>
  </si>
  <si>
    <t>かんい はく</t>
    <phoneticPr fontId="1"/>
  </si>
  <si>
    <t>https://inumokoco.wixsite.com/sleep-church</t>
    <phoneticPr fontId="1"/>
  </si>
  <si>
    <t>#楽園の子守唄</t>
    <phoneticPr fontId="1"/>
  </si>
  <si>
    <t>携帯ハッケン</t>
    <phoneticPr fontId="1"/>
  </si>
  <si>
    <t>Keitai Hakken</t>
    <phoneticPr fontId="1"/>
  </si>
  <si>
    <t>けいたい はっけん</t>
    <phoneticPr fontId="1"/>
  </si>
  <si>
    <t>Keitai Ron</t>
    <phoneticPr fontId="1"/>
  </si>
  <si>
    <t>携帯ロン</t>
    <phoneticPr fontId="1"/>
  </si>
  <si>
    <t>けいたい ろん</t>
    <phoneticPr fontId="1"/>
  </si>
  <si>
    <t>https://keitaiware.com</t>
    <phoneticPr fontId="1"/>
  </si>
  <si>
    <t>#携帯ハッケン</t>
    <phoneticPr fontId="1"/>
  </si>
  <si>
    <t>#携帯ロン</t>
    <phoneticPr fontId="1"/>
  </si>
  <si>
    <t>尻尾</t>
    <phoneticPr fontId="1"/>
  </si>
  <si>
    <t>#そっちのしっぽ</t>
    <phoneticPr fontId="1"/>
  </si>
  <si>
    <t>しっぽ</t>
    <phoneticPr fontId="1"/>
  </si>
  <si>
    <t>Shippo</t>
    <phoneticPr fontId="1"/>
  </si>
  <si>
    <t>https://bowlroll.net/user/896336</t>
    <phoneticPr fontId="1"/>
  </si>
  <si>
    <t>秋太</t>
    <phoneticPr fontId="1"/>
  </si>
  <si>
    <t>Akita</t>
    <phoneticPr fontId="1"/>
  </si>
  <si>
    <t>あきた</t>
    <phoneticPr fontId="1"/>
  </si>
  <si>
    <t>https://jiwajiwakirinn.wixsite.com/sakurada</t>
    <phoneticPr fontId="1"/>
  </si>
  <si>
    <t>#秋太を目撃しました</t>
    <phoneticPr fontId="1"/>
  </si>
  <si>
    <t>ダンテ</t>
    <phoneticPr fontId="1"/>
  </si>
  <si>
    <t>Dante</t>
    <phoneticPr fontId="1"/>
  </si>
  <si>
    <t>だんて</t>
    <phoneticPr fontId="1"/>
  </si>
  <si>
    <t>#最安探偵事務所広報部</t>
    <phoneticPr fontId="1"/>
  </si>
  <si>
    <t>藤ヶ崎華凜</t>
    <phoneticPr fontId="1"/>
  </si>
  <si>
    <t>Fujigasaki Karin</t>
    <phoneticPr fontId="1"/>
  </si>
  <si>
    <t>ふじがさき かりん</t>
    <phoneticPr fontId="1"/>
  </si>
  <si>
    <t>火ノ叢杏実</t>
    <phoneticPr fontId="1"/>
  </si>
  <si>
    <t>Honomura Azumi</t>
    <phoneticPr fontId="1"/>
  </si>
  <si>
    <t>ほのむら あずみ</t>
    <phoneticPr fontId="1"/>
  </si>
  <si>
    <t>オトワシグレ</t>
    <phoneticPr fontId="1"/>
  </si>
  <si>
    <t>Otowa Shigure</t>
    <phoneticPr fontId="1"/>
  </si>
  <si>
    <t>おとわ しぐれ</t>
    <phoneticPr fontId="1"/>
  </si>
  <si>
    <t>列1</t>
  </si>
  <si>
    <t>列2</t>
  </si>
  <si>
    <t>ルーク</t>
    <phoneticPr fontId="1"/>
  </si>
  <si>
    <t>https://rook-utau.jimdosite.com</t>
    <phoneticPr fontId="1"/>
  </si>
  <si>
    <t>Rook</t>
    <phoneticPr fontId="1"/>
  </si>
  <si>
    <t>るーく</t>
    <phoneticPr fontId="1"/>
  </si>
  <si>
    <t>波音リツ</t>
    <phoneticPr fontId="1"/>
  </si>
  <si>
    <t>https://www.canon-voice.com</t>
    <phoneticPr fontId="1"/>
  </si>
  <si>
    <t>Namine Ritsu</t>
    <phoneticPr fontId="1"/>
  </si>
  <si>
    <t>なみね りつ</t>
    <phoneticPr fontId="1"/>
  </si>
  <si>
    <t>#波音リツ</t>
    <phoneticPr fontId="1"/>
  </si>
  <si>
    <t>櫻花アリス</t>
    <phoneticPr fontId="1"/>
  </si>
  <si>
    <t>おうか ありす</t>
    <phoneticPr fontId="1"/>
  </si>
  <si>
    <t>Ouka Arisu</t>
    <phoneticPr fontId="1"/>
  </si>
  <si>
    <t>#櫻花アリス</t>
    <phoneticPr fontId="1"/>
  </si>
  <si>
    <t>闇音レンリ</t>
    <phoneticPr fontId="1"/>
  </si>
  <si>
    <t>https://renrivoice.wixsite.com/renri-voice</t>
    <phoneticPr fontId="1"/>
  </si>
  <si>
    <t>やみね れんり</t>
    <phoneticPr fontId="1"/>
  </si>
  <si>
    <t>Yamine Rennri</t>
    <phoneticPr fontId="1"/>
  </si>
  <si>
    <t>#闇音レンリ</t>
    <phoneticPr fontId="1"/>
  </si>
  <si>
    <t>ジド</t>
    <phoneticPr fontId="1"/>
  </si>
  <si>
    <t>じど</t>
    <phoneticPr fontId="1"/>
  </si>
  <si>
    <t>Jido</t>
    <phoneticPr fontId="1"/>
  </si>
  <si>
    <t>#奈落の天蓋</t>
    <phoneticPr fontId="1"/>
  </si>
  <si>
    <t>プシュケ＝サリー</t>
    <phoneticPr fontId="1"/>
  </si>
  <si>
    <t>ぷしゅけ=さりー</t>
    <phoneticPr fontId="1"/>
  </si>
  <si>
    <t>Psyche=Sally</t>
    <phoneticPr fontId="1"/>
  </si>
  <si>
    <t>https://maybeanglo0mochi.wixsite.com/mochiyanosouko</t>
    <phoneticPr fontId="1"/>
  </si>
  <si>
    <t>#めいあんぐ</t>
    <phoneticPr fontId="1"/>
  </si>
  <si>
    <t>食并ふうわ</t>
    <phoneticPr fontId="1"/>
  </si>
  <si>
    <t>Syokuhei Fuwa</t>
    <phoneticPr fontId="1"/>
  </si>
  <si>
    <t>しょくへい ふうわ</t>
    <phoneticPr fontId="1"/>
  </si>
  <si>
    <t>食并さく</t>
    <phoneticPr fontId="1"/>
  </si>
  <si>
    <t>Syokuhei Saku</t>
    <phoneticPr fontId="1"/>
  </si>
  <si>
    <t>しょくへい さく</t>
    <phoneticPr fontId="1"/>
  </si>
  <si>
    <t>一円</t>
    <phoneticPr fontId="1"/>
  </si>
  <si>
    <t>Ninomae Madoka</t>
    <phoneticPr fontId="1"/>
  </si>
  <si>
    <t>にのまえ まどか</t>
    <phoneticPr fontId="1"/>
  </si>
  <si>
    <t>綺月イオリ</t>
    <phoneticPr fontId="1"/>
  </si>
  <si>
    <t>Hazuki Iori</t>
    <phoneticPr fontId="1"/>
  </si>
  <si>
    <t>はづき いおり</t>
    <phoneticPr fontId="1"/>
  </si>
  <si>
    <t>夢識塞</t>
    <phoneticPr fontId="1"/>
  </si>
  <si>
    <t>Mushiki Sai</t>
    <phoneticPr fontId="1"/>
  </si>
  <si>
    <t>むしき さい</t>
    <phoneticPr fontId="1"/>
  </si>
  <si>
    <t>アカシャ＝ソフィア</t>
    <phoneticPr fontId="1"/>
  </si>
  <si>
    <t>Akasha＝Sophia</t>
    <phoneticPr fontId="1"/>
  </si>
  <si>
    <t>あかしゃ＝そふぃあ</t>
    <phoneticPr fontId="1"/>
  </si>
  <si>
    <t>七霧ルイ</t>
    <phoneticPr fontId="1"/>
  </si>
  <si>
    <t>Nanakiri Louis</t>
    <phoneticPr fontId="1"/>
  </si>
  <si>
    <t>ななきり るい</t>
    <phoneticPr fontId="1"/>
  </si>
  <si>
    <t>https://zsxcvhjnhh.wixsite.com/yukirakira</t>
  </si>
  <si>
    <t>桃沼</t>
    <phoneticPr fontId="1"/>
  </si>
  <si>
    <t>ももぬま</t>
    <phoneticPr fontId="1"/>
  </si>
  <si>
    <t>Momonuma</t>
    <phoneticPr fontId="1"/>
  </si>
  <si>
    <t>https://tropicalsamejima.wixsite.com/oyutau</t>
    <phoneticPr fontId="1"/>
  </si>
  <si>
    <t>桃沼(UTAU)</t>
    <phoneticPr fontId="1"/>
  </si>
  <si>
    <t>音々尾ミュー</t>
    <phoneticPr fontId="1"/>
  </si>
  <si>
    <t>ねねお みゅー</t>
    <phoneticPr fontId="1"/>
  </si>
  <si>
    <t>Neneo mu</t>
    <phoneticPr fontId="1"/>
  </si>
  <si>
    <t>https://hinoyuzirenraku.wixsite.com/mu-neneo</t>
    <phoneticPr fontId="1"/>
  </si>
  <si>
    <t>音々尾ミュー(UTAU)</t>
    <phoneticPr fontId="1"/>
  </si>
  <si>
    <t>律時シドク</t>
    <phoneticPr fontId="1"/>
  </si>
  <si>
    <t>りつどき しどく</t>
    <phoneticPr fontId="1"/>
  </si>
  <si>
    <t xml:space="preserve">	​Ritsudoki Shidoku</t>
    <phoneticPr fontId="1"/>
  </si>
  <si>
    <t>https://zaregotohitori.wixsite.com/ritsudokishidoku</t>
    <phoneticPr fontId="1"/>
  </si>
  <si>
    <t>律時シドク(UTAU)</t>
    <phoneticPr fontId="1"/>
  </si>
  <si>
    <t>https://makaron3264.wixsite.com/utauotoohana</t>
    <phoneticPr fontId="1"/>
  </si>
  <si>
    <t>​棺依ハク</t>
    <phoneticPr fontId="1"/>
  </si>
  <si>
    <t>Kani Haku</t>
    <phoneticPr fontId="1"/>
  </si>
  <si>
    <t>https://long-sleeper.net</t>
    <phoneticPr fontId="1"/>
  </si>
  <si>
    <t>化炭ウア</t>
    <phoneticPr fontId="1"/>
  </si>
  <si>
    <t>カタバミ</t>
    <phoneticPr fontId="1"/>
  </si>
  <si>
    <t>型番不明</t>
    <phoneticPr fontId="1"/>
  </si>
  <si>
    <t>空音響歌</t>
    <phoneticPr fontId="1"/>
  </si>
  <si>
    <t>空音ヒビキ</t>
    <phoneticPr fontId="1"/>
  </si>
  <si>
    <t>キエン</t>
    <phoneticPr fontId="1"/>
  </si>
  <si>
    <t>喜檄わろた</t>
    <phoneticPr fontId="1"/>
  </si>
  <si>
    <t>凶街モルテ</t>
    <phoneticPr fontId="1"/>
  </si>
  <si>
    <t>口無アヲ</t>
    <phoneticPr fontId="1"/>
  </si>
  <si>
    <t>​狐隠黒途</t>
    <phoneticPr fontId="1"/>
  </si>
  <si>
    <t>​黒板係</t>
    <phoneticPr fontId="1"/>
  </si>
  <si>
    <t>心音フタバ</t>
    <phoneticPr fontId="1"/>
  </si>
  <si>
    <t>鼓童拍也</t>
    <phoneticPr fontId="1"/>
  </si>
  <si>
    <t>サイカ</t>
    <phoneticPr fontId="1"/>
  </si>
  <si>
    <t>サヴル</t>
    <phoneticPr fontId="1"/>
  </si>
  <si>
    <t>鯖音カン</t>
    <phoneticPr fontId="1"/>
  </si>
  <si>
    <t>Sabane Kan</t>
    <phoneticPr fontId="1"/>
  </si>
  <si>
    <t>ジウラ・カザギリ</t>
    <phoneticPr fontId="1"/>
  </si>
  <si>
    <t>シオン</t>
    <phoneticPr fontId="1"/>
  </si>
  <si>
    <t>偲音ミヨ</t>
    <phoneticPr fontId="1"/>
  </si>
  <si>
    <t>屍泥飴</t>
    <phoneticPr fontId="1"/>
  </si>
  <si>
    <t>心理</t>
    <phoneticPr fontId="1"/>
  </si>
  <si>
    <t>鈴音スズ</t>
    <phoneticPr fontId="1"/>
  </si>
  <si>
    <t>鈴音ミオン</t>
    <phoneticPr fontId="1"/>
  </si>
  <si>
    <t>ごうおん ろき</t>
    <phoneticPr fontId="1"/>
  </si>
  <si>
    <t>Gouon Roki</t>
    <phoneticPr fontId="1"/>
  </si>
  <si>
    <t>https://todosho1192.wixsite.com/my-site-3</t>
    <phoneticPr fontId="1"/>
  </si>
  <si>
    <t>緑音翡翠</t>
    <phoneticPr fontId="1"/>
  </si>
  <si>
    <t>Midorine Hisui</t>
    <phoneticPr fontId="1"/>
  </si>
  <si>
    <t>みどりね ひすい</t>
    <phoneticPr fontId="1"/>
  </si>
  <si>
    <t>グウ</t>
    <phoneticPr fontId="1"/>
  </si>
  <si>
    <t>ぐう</t>
    <phoneticPr fontId="1"/>
  </si>
  <si>
    <t>Gu</t>
    <phoneticPr fontId="1"/>
  </si>
  <si>
    <t>轟音ロキ</t>
    <phoneticPr fontId="1"/>
  </si>
  <si>
    <t>#轟音ロキ</t>
    <phoneticPr fontId="1"/>
  </si>
  <si>
    <t>#緑音翡翠</t>
    <phoneticPr fontId="1"/>
  </si>
  <si>
    <t>#グウ (UTAU)</t>
    <phoneticPr fontId="1"/>
  </si>
  <si>
    <t>済</t>
  </si>
  <si>
    <t>義羽よりか</t>
    <phoneticPr fontId="1"/>
  </si>
  <si>
    <t>ぎば よりか</t>
    <phoneticPr fontId="1"/>
  </si>
  <si>
    <t>Giba Yorika</t>
    <phoneticPr fontId="1"/>
  </si>
  <si>
    <t>https://bowlroll.net/user/992955</t>
    <phoneticPr fontId="1"/>
  </si>
  <si>
    <t>#みまどうた</t>
    <phoneticPr fontId="1"/>
  </si>
  <si>
    <t>窓惑</t>
    <phoneticPr fontId="1"/>
  </si>
  <si>
    <t>まどわく</t>
    <phoneticPr fontId="1"/>
  </si>
  <si>
    <t>Madowaku</t>
    <phoneticPr fontId="1"/>
  </si>
  <si>
    <t>えるまりー</t>
    <phoneticPr fontId="1"/>
  </si>
  <si>
    <t>Elmarie</t>
    <phoneticPr fontId="1"/>
  </si>
  <si>
    <t>なつどけ</t>
    <phoneticPr fontId="1"/>
  </si>
  <si>
    <t>Natsudoke</t>
    <phoneticPr fontId="1"/>
  </si>
  <si>
    <t>深真</t>
    <phoneticPr fontId="1"/>
  </si>
  <si>
    <t>みま</t>
    <phoneticPr fontId="1"/>
  </si>
  <si>
    <t>Mima</t>
    <phoneticPr fontId="1"/>
  </si>
  <si>
    <t>Tetly</t>
    <phoneticPr fontId="1"/>
  </si>
  <si>
    <t>シズルう</t>
    <phoneticPr fontId="1"/>
  </si>
  <si>
    <t>しずるう</t>
    <phoneticPr fontId="1"/>
  </si>
  <si>
    <t>Shizuruu</t>
    <phoneticPr fontId="1"/>
  </si>
  <si>
    <t>https://utau.fandom.com/wiki/Shizuruu</t>
    <phoneticPr fontId="1"/>
  </si>
  <si>
    <t>16号</t>
    <phoneticPr fontId="1"/>
  </si>
  <si>
    <t>No.16</t>
    <phoneticPr fontId="1"/>
  </si>
  <si>
    <t>https://sites.google.com/view/ronku99</t>
    <phoneticPr fontId="1"/>
  </si>
  <si>
    <t>じゅうろくごう</t>
    <phoneticPr fontId="1"/>
  </si>
  <si>
    <t>悩音Blue</t>
    <phoneticPr fontId="1"/>
  </si>
  <si>
    <t>なやね ぶるー</t>
    <phoneticPr fontId="1"/>
  </si>
  <si>
    <t>Nayane Blue</t>
    <phoneticPr fontId="1"/>
  </si>
  <si>
    <t>https://abiencearray.carrd.co</t>
    <phoneticPr fontId="1"/>
  </si>
  <si>
    <t>#悩音Blue</t>
    <phoneticPr fontId="1"/>
  </si>
  <si>
    <t>ろんく1号</t>
    <phoneticPr fontId="1"/>
  </si>
  <si>
    <t>Ronku No.1</t>
    <phoneticPr fontId="1"/>
  </si>
  <si>
    <t>ろんく いちごう</t>
    <phoneticPr fontId="1"/>
  </si>
  <si>
    <t>​星音ななし</t>
    <phoneticPr fontId="1"/>
  </si>
  <si>
    <t>Sorane Nanashi</t>
    <phoneticPr fontId="1"/>
  </si>
  <si>
    <t>茶歌成</t>
    <phoneticPr fontId="1"/>
  </si>
  <si>
    <t>ちゃんこ鍋</t>
    <phoneticPr fontId="1"/>
  </si>
  <si>
    <t>椿音灰鬼</t>
    <phoneticPr fontId="1"/>
  </si>
  <si>
    <t>九十九一音​</t>
    <phoneticPr fontId="1"/>
  </si>
  <si>
    <t>Tsukumo Ichioto</t>
    <phoneticPr fontId="1"/>
  </si>
  <si>
    <t>創音みか</t>
    <phoneticPr fontId="1"/>
  </si>
  <si>
    <t>寺戸ラヴ</t>
    <phoneticPr fontId="1"/>
  </si>
  <si>
    <t>寺永十逸</t>
    <phoneticPr fontId="1"/>
  </si>
  <si>
    <t>Teranaga Toichi</t>
    <phoneticPr fontId="1"/>
  </si>
  <si>
    <t>透唄氷雨</t>
    <phoneticPr fontId="1"/>
  </si>
  <si>
    <t>轟まだら</t>
    <phoneticPr fontId="1"/>
  </si>
  <si>
    <t>駑馬十駕</t>
    <phoneticPr fontId="1"/>
  </si>
  <si>
    <t>ドルン</t>
    <phoneticPr fontId="1"/>
  </si>
  <si>
    <t>Nagarene Nanashi</t>
    <phoneticPr fontId="1"/>
  </si>
  <si>
    <t>Higeki Muripo</t>
    <phoneticPr fontId="1"/>
  </si>
  <si>
    <t>申暋慧</t>
    <phoneticPr fontId="1"/>
  </si>
  <si>
    <t>Shin Min Hye</t>
    <phoneticPr fontId="1"/>
  </si>
  <si>
    <t>しん みんへ</t>
    <phoneticPr fontId="1"/>
  </si>
  <si>
    <t>https://twisibi.notion.site/1e947481a8ac80a59110fa6b43bf6319</t>
    <phoneticPr fontId="1"/>
  </si>
  <si>
    <r>
      <t>#</t>
    </r>
    <r>
      <rPr>
        <sz val="10"/>
        <color theme="1"/>
        <rFont val="Malgun Gothic"/>
        <family val="3"/>
        <charset val="129"/>
      </rPr>
      <t>신민혜</t>
    </r>
    <phoneticPr fontId="1"/>
  </si>
  <si>
    <t>血音ヤン</t>
    <phoneticPr fontId="1"/>
  </si>
  <si>
    <t>ちぬ やん</t>
    <phoneticPr fontId="1"/>
  </si>
  <si>
    <t>Chine Yan</t>
    <phoneticPr fontId="1"/>
  </si>
  <si>
    <t>https://m.blog.naver.com/string_legacy/224045016399</t>
    <phoneticPr fontId="1"/>
  </si>
  <si>
    <t>#血音ヤン</t>
    <phoneticPr fontId="1"/>
  </si>
  <si>
    <t>琴音セツリ</t>
    <phoneticPr fontId="1"/>
  </si>
  <si>
    <t>笛音フエ</t>
    <phoneticPr fontId="1"/>
  </si>
  <si>
    <t>鼓音ツヅ</t>
    <phoneticPr fontId="1"/>
  </si>
  <si>
    <t>​諤</t>
    <phoneticPr fontId="1"/>
  </si>
  <si>
    <t>黒羽みそら</t>
    <phoneticPr fontId="1"/>
  </si>
  <si>
    <t>鈴音ルオン</t>
    <phoneticPr fontId="1"/>
  </si>
  <si>
    <t>弦音レーヤ</t>
    <phoneticPr fontId="1"/>
  </si>
  <si>
    <t>田村春</t>
    <phoneticPr fontId="1"/>
  </si>
  <si>
    <t>鼓音コハク</t>
    <phoneticPr fontId="1"/>
  </si>
  <si>
    <t>琴音レスト</t>
    <phoneticPr fontId="1"/>
  </si>
  <si>
    <t>Sn&amp;Cl</t>
    <phoneticPr fontId="1"/>
  </si>
  <si>
    <t>鈴音ネオン</t>
    <phoneticPr fontId="1"/>
  </si>
  <si>
    <t>〇 / 不要</t>
    <rPh sb="4" eb="6">
      <t>フヨウ</t>
    </rPh>
    <phoneticPr fontId="1"/>
  </si>
  <si>
    <t>鍵合アヤ</t>
    <phoneticPr fontId="1"/>
  </si>
  <si>
    <t>〇 / 不要</t>
    <phoneticPr fontId="1"/>
  </si>
  <si>
    <t>〇 / 必要</t>
    <rPh sb="4" eb="6">
      <t>ヒツヨウ</t>
    </rPh>
    <phoneticPr fontId="1"/>
  </si>
  <si>
    <t>グッズ許可・許可</t>
    <rPh sb="3" eb="5">
      <t>キョカ</t>
    </rPh>
    <rPh sb="6" eb="8">
      <t>キョカ</t>
    </rPh>
    <phoneticPr fontId="1"/>
  </si>
  <si>
    <t>おろかめし</t>
  </si>
  <si>
    <t>おろかめし</t>
    <phoneticPr fontId="1"/>
  </si>
  <si>
    <t>Orokameshi</t>
    <phoneticPr fontId="1"/>
  </si>
  <si>
    <t>#モノクロの火葬場</t>
    <phoneticPr fontId="1"/>
  </si>
  <si>
    <r>
      <t>＼＼UTAUアイコン追加！</t>
    </r>
    <r>
      <rPr>
        <sz val="12"/>
        <color theme="1"/>
        <rFont val="Segoe UI Symbol"/>
        <family val="3"/>
      </rPr>
      <t>📣</t>
    </r>
    <r>
      <rPr>
        <sz val="12"/>
        <color theme="1"/>
        <rFont val="Meiryo UI"/>
        <family val="3"/>
        <charset val="128"/>
      </rPr>
      <t>／／</t>
    </r>
    <rPh sb="10" eb="12">
      <t>ツイカ</t>
    </rPh>
    <phoneticPr fontId="1"/>
  </si>
  <si>
    <t>てぃーくん</t>
    <phoneticPr fontId="1"/>
  </si>
  <si>
    <t>T kun</t>
    <phoneticPr fontId="1"/>
  </si>
  <si>
    <t>https://mackerel178.wixsite.com/yuusensuizokukan</t>
    <phoneticPr fontId="1"/>
  </si>
  <si>
    <t>さいろ</t>
    <phoneticPr fontId="1"/>
  </si>
  <si>
    <t>Sairo</t>
    <phoneticPr fontId="1"/>
  </si>
  <si>
    <t>#有線水族館</t>
    <phoneticPr fontId="1"/>
  </si>
  <si>
    <t>https://cgamy40.wixsite.com/tsuraiuroyoi</t>
    <phoneticPr fontId="1"/>
  </si>
  <si>
    <t>深海マリン</t>
    <phoneticPr fontId="1"/>
  </si>
  <si>
    <t>ふかみ まりん</t>
    <phoneticPr fontId="1"/>
  </si>
  <si>
    <t>Fukami Marine</t>
    <phoneticPr fontId="1"/>
  </si>
  <si>
    <t>#深海マリン</t>
    <phoneticPr fontId="1"/>
  </si>
  <si>
    <t>https://komagatabone.fc2.page</t>
    <phoneticPr fontId="1"/>
  </si>
  <si>
    <t>https://vividseekers.utau.sorairomarch.com</t>
    <phoneticPr fontId="1"/>
  </si>
  <si>
    <t>カラフル・シュガースプリンクル</t>
    <phoneticPr fontId="1"/>
  </si>
  <si>
    <t>Colorful Sugar Sprinkle</t>
    <phoneticPr fontId="1"/>
  </si>
  <si>
    <t>#カラフル・シュガースプリンクル</t>
    <phoneticPr fontId="1"/>
  </si>
  <si>
    <t>ネコナリ</t>
    <phoneticPr fontId="1"/>
  </si>
  <si>
    <t>ねこなり</t>
    <phoneticPr fontId="1"/>
  </si>
  <si>
    <t>Nekonari</t>
    <phoneticPr fontId="1"/>
  </si>
  <si>
    <t>https://piku.page/@toitoitoi23</t>
    <phoneticPr fontId="1"/>
  </si>
  <si>
    <t>#ネコナリ</t>
    <phoneticPr fontId="1"/>
  </si>
  <si>
    <t>メガネコ・ミッケタ</t>
    <phoneticPr fontId="1"/>
  </si>
  <si>
    <t>からふる しゅがーすぷりんくる</t>
    <phoneticPr fontId="1"/>
  </si>
  <si>
    <t>めがねこ みっけた</t>
    <phoneticPr fontId="1"/>
  </si>
  <si>
    <t>Meganeko Mikketa</t>
    <phoneticPr fontId="1"/>
  </si>
  <si>
    <t>|画像</t>
  </si>
  <si>
    <t>|名前</t>
  </si>
  <si>
    <t>|なまえ</t>
  </si>
  <si>
    <t>|Name</t>
  </si>
  <si>
    <t>|キャラクター情報リンク|</t>
  </si>
  <si>
    <t>青銅蒼</t>
    <phoneticPr fontId="1"/>
  </si>
  <si>
    <t>せいどう あお</t>
    <phoneticPr fontId="1"/>
  </si>
  <si>
    <t>Seido Ao</t>
    <phoneticPr fontId="1"/>
  </si>
  <si>
    <t>裏葉</t>
    <phoneticPr fontId="1"/>
  </si>
  <si>
    <t>うらは</t>
    <phoneticPr fontId="1"/>
  </si>
  <si>
    <t>Uraha</t>
    <phoneticPr fontId="1"/>
  </si>
  <si>
    <t>紅牙緋月</t>
    <phoneticPr fontId="1"/>
  </si>
  <si>
    <t>こうが ひづき</t>
    <phoneticPr fontId="1"/>
  </si>
  <si>
    <t>Koga Hizuki</t>
    <phoneticPr fontId="1"/>
  </si>
  <si>
    <t>アスター・フローレス</t>
    <phoneticPr fontId="1"/>
  </si>
  <si>
    <t>Aster・Flores</t>
    <phoneticPr fontId="1"/>
  </si>
  <si>
    <t>あすたー ふろーれす</t>
    <phoneticPr fontId="1"/>
  </si>
  <si>
    <t>アニマ</t>
    <phoneticPr fontId="1"/>
  </si>
  <si>
    <t>Anima</t>
    <phoneticPr fontId="1"/>
  </si>
  <si>
    <t>あにま</t>
    <phoneticPr fontId="1"/>
  </si>
  <si>
    <t>りぃまお</t>
    <phoneticPr fontId="1"/>
  </si>
  <si>
    <t>Riimao</t>
    <phoneticPr fontId="1"/>
  </si>
  <si>
    <t>白音アオイ</t>
    <phoneticPr fontId="1"/>
  </si>
  <si>
    <t>しらね あおい</t>
    <phoneticPr fontId="1"/>
  </si>
  <si>
    <t>Shirane Aoi</t>
    <phoneticPr fontId="1"/>
  </si>
  <si>
    <t>宵月未雲</t>
    <phoneticPr fontId="1"/>
  </si>
  <si>
    <t>影月澪音</t>
    <phoneticPr fontId="1"/>
  </si>
  <si>
    <t>暁月陽輝</t>
    <phoneticPr fontId="1"/>
  </si>
  <si>
    <t>よいづき みくも</t>
    <phoneticPr fontId="1"/>
  </si>
  <si>
    <t>Yoizuki Mikumo</t>
    <phoneticPr fontId="1"/>
  </si>
  <si>
    <t>Kagetsuki Reine</t>
    <phoneticPr fontId="1"/>
  </si>
  <si>
    <t>かげつき れいね</t>
    <phoneticPr fontId="1"/>
  </si>
  <si>
    <t>Akatsuki Haruki</t>
    <phoneticPr fontId="1"/>
  </si>
  <si>
    <t>あかつき はるき</t>
    <phoneticPr fontId="1"/>
  </si>
  <si>
    <t>姜運心</t>
    <phoneticPr fontId="1"/>
  </si>
  <si>
    <t>かん うんしむ</t>
    <phoneticPr fontId="1"/>
  </si>
  <si>
    <t>Kang Unshim</t>
    <phoneticPr fontId="1"/>
  </si>
  <si>
    <t>https://magnawitch.wixsite.com/seong-ah</t>
    <phoneticPr fontId="1"/>
  </si>
  <si>
    <t>#Kang_UTAU</t>
    <phoneticPr fontId="1"/>
  </si>
  <si>
    <t>〇 / 不要</t>
  </si>
  <si>
    <t>オプティマ-215</t>
    <phoneticPr fontId="1"/>
  </si>
  <si>
    <t>おぷてぃま-215</t>
    <phoneticPr fontId="1"/>
  </si>
  <si>
    <t>OPTIMA-215</t>
    <phoneticPr fontId="1"/>
  </si>
  <si>
    <t>#OPTIMA_UTAU</t>
    <phoneticPr fontId="1"/>
  </si>
  <si>
    <t>カイル・タイラー</t>
    <phoneticPr fontId="1"/>
  </si>
  <si>
    <t>かいる たいらー</t>
    <phoneticPr fontId="1"/>
  </si>
  <si>
    <t>Kyle Tyler</t>
    <phoneticPr fontId="1"/>
  </si>
  <si>
    <t>通音トオ</t>
    <phoneticPr fontId="1"/>
  </si>
  <si>
    <t>とおね とお</t>
    <phoneticPr fontId="1"/>
  </si>
  <si>
    <t>Tone Too</t>
    <phoneticPr fontId="1"/>
  </si>
  <si>
    <t>https://toooru421.booth.pm/items/8151791</t>
    <phoneticPr fontId="1"/>
  </si>
  <si>
    <t>#通音トオ #utau_tonetoo</t>
    <phoneticPr fontId="1"/>
  </si>
  <si>
    <t>不破マリア</t>
    <phoneticPr fontId="1"/>
  </si>
  <si>
    <t>ふわ まりあ</t>
    <phoneticPr fontId="1"/>
  </si>
  <si>
    <t>Fuwa Maria</t>
    <phoneticPr fontId="1"/>
  </si>
  <si>
    <t>https://strife-horizon.weebly.com</t>
    <phoneticPr fontId="1"/>
  </si>
  <si>
    <t>#不破マリア</t>
    <phoneticPr fontId="1"/>
  </si>
  <si>
    <t>マルアリア</t>
    <phoneticPr fontId="1"/>
  </si>
  <si>
    <t>あるまりあ</t>
    <phoneticPr fontId="1"/>
  </si>
  <si>
    <t>Maruaria</t>
    <phoneticPr fontId="1"/>
  </si>
  <si>
    <t>https://bowlroll.net/user/946776</t>
    <phoneticPr fontId="1"/>
  </si>
  <si>
    <t>#マルアリア</t>
    <phoneticPr fontId="1"/>
  </si>
  <si>
    <t>サニティ・ドゥーユー</t>
    <phoneticPr fontId="1"/>
  </si>
  <si>
    <t>さにてぃ・どぅーゆー</t>
    <phoneticPr fontId="1"/>
  </si>
  <si>
    <t>Sanity Doyou</t>
    <phoneticPr fontId="1"/>
  </si>
  <si>
    <t>#サニティ・ドゥーユー</t>
    <phoneticPr fontId="1"/>
  </si>
  <si>
    <t>name</t>
  </si>
  <si>
    <t>kana</t>
  </si>
  <si>
    <t>romaji</t>
  </si>
  <si>
    <t>icon</t>
  </si>
  <si>
    <t>id</t>
  </si>
  <si>
    <t>url</t>
  </si>
  <si>
    <t>workTags</t>
  </si>
  <si>
    <t>gender</t>
  </si>
  <si>
    <t>性別</t>
    <rPh sb="0" eb="2">
      <t>セイベツ</t>
    </rPh>
    <phoneticPr fontId="1"/>
  </si>
  <si>
    <t>作品タグ</t>
    <rPh sb="0" eb="2">
      <t>サクヒン</t>
    </rPh>
    <phoneticPr fontId="1"/>
  </si>
  <si>
    <t>女性</t>
  </si>
  <si>
    <t>男性</t>
  </si>
  <si>
    <t>https://utau.kurotsuka.xyz</t>
    <phoneticPr fontId="1"/>
  </si>
  <si>
    <t>種族タグ</t>
    <rPh sb="0" eb="2">
      <t>シュゾク</t>
    </rPh>
    <phoneticPr fontId="1"/>
  </si>
  <si>
    <t>職業タグ</t>
    <rPh sb="0" eb="2">
      <t>ショクギョウ</t>
    </rPh>
    <phoneticPr fontId="1"/>
  </si>
  <si>
    <t>小物タグ</t>
    <rPh sb="0" eb="2">
      <t>コモノ</t>
    </rPh>
    <phoneticPr fontId="1"/>
  </si>
  <si>
    <t>ワンポイントタグ</t>
    <phoneticPr fontId="1"/>
  </si>
  <si>
    <t>鬼</t>
    <rPh sb="0" eb="1">
      <t>オニ</t>
    </rPh>
    <phoneticPr fontId="1"/>
  </si>
  <si>
    <t>科学者</t>
    <rPh sb="0" eb="3">
      <t>カガクシャ</t>
    </rPh>
    <phoneticPr fontId="1"/>
  </si>
  <si>
    <t>学者</t>
    <rPh sb="0" eb="2">
      <t>ガクシャ</t>
    </rPh>
    <phoneticPr fontId="1"/>
  </si>
  <si>
    <t>人間</t>
    <rPh sb="0" eb="2">
      <t>ニンゲン</t>
    </rPh>
    <phoneticPr fontId="1"/>
  </si>
  <si>
    <t>眼鏡</t>
    <rPh sb="0" eb="2">
      <t>メガネ</t>
    </rPh>
    <phoneticPr fontId="1"/>
  </si>
  <si>
    <t>尖耳</t>
    <rPh sb="0" eb="1">
      <t>トガ</t>
    </rPh>
    <rPh sb="1" eb="2">
      <t>ミミ</t>
    </rPh>
    <phoneticPr fontId="1"/>
  </si>
  <si>
    <t>人間|機械</t>
    <rPh sb="0" eb="2">
      <t>ニンゲン</t>
    </rPh>
    <rPh sb="3" eb="5">
      <t>キカイ</t>
    </rPh>
    <phoneticPr fontId="1"/>
  </si>
  <si>
    <t>機械整備士</t>
    <phoneticPr fontId="1"/>
  </si>
  <si>
    <t>角(ツノ)|羽|尻尾</t>
    <rPh sb="0" eb="1">
      <t>ツノ</t>
    </rPh>
    <rPh sb="6" eb="7">
      <t>ハネ</t>
    </rPh>
    <rPh sb="8" eb="10">
      <t>シッポ</t>
    </rPh>
    <phoneticPr fontId="1"/>
  </si>
  <si>
    <t>ソーイングスタッフ</t>
    <phoneticPr fontId="1"/>
  </si>
  <si>
    <t>エンジェルヘイロゥ|カチューシャ</t>
    <phoneticPr fontId="1"/>
  </si>
  <si>
    <t>羽|尖耳|ギザ歯</t>
    <rPh sb="0" eb="1">
      <t>ハネ</t>
    </rPh>
    <rPh sb="2" eb="3">
      <t>トガ</t>
    </rPh>
    <rPh sb="3" eb="4">
      <t>ミミ</t>
    </rPh>
    <rPh sb="7" eb="8">
      <t>ハ</t>
    </rPh>
    <phoneticPr fontId="1"/>
  </si>
  <si>
    <t>地磁気調査</t>
  </si>
  <si>
    <t>イヤーユニット</t>
  </si>
  <si>
    <t>イヤーユニット</t>
    <phoneticPr fontId="1"/>
  </si>
  <si>
    <t>メッシュ|尻尾</t>
    <rPh sb="5" eb="7">
      <t>シッポ</t>
    </rPh>
    <phoneticPr fontId="1"/>
  </si>
  <si>
    <t>バーチャル</t>
  </si>
  <si>
    <t>バーチャル</t>
    <phoneticPr fontId="1"/>
  </si>
  <si>
    <t>エンジェルヘイロゥ</t>
    <phoneticPr fontId="1"/>
  </si>
  <si>
    <t>メッシュ</t>
    <phoneticPr fontId="1"/>
  </si>
  <si>
    <t>リボン|鍵</t>
    <rPh sb="4" eb="5">
      <t>カギ</t>
    </rPh>
    <phoneticPr fontId="1"/>
  </si>
  <si>
    <t>機械</t>
    <rPh sb="0" eb="2">
      <t>キカイ</t>
    </rPh>
    <phoneticPr fontId="1"/>
  </si>
  <si>
    <t>鳥</t>
    <rPh sb="0" eb="1">
      <t>トリ</t>
    </rPh>
    <phoneticPr fontId="1"/>
  </si>
  <si>
    <t>マスク</t>
    <phoneticPr fontId="1"/>
  </si>
  <si>
    <t>羽</t>
    <rPh sb="0" eb="1">
      <t>ハネ</t>
    </rPh>
    <phoneticPr fontId="1"/>
  </si>
  <si>
    <t>人間|人形</t>
    <rPh sb="0" eb="2">
      <t>ニンゲン</t>
    </rPh>
    <rPh sb="3" eb="5">
      <t>ニンギョウ</t>
    </rPh>
    <phoneticPr fontId="1"/>
  </si>
  <si>
    <t>腹話術師</t>
    <phoneticPr fontId="1"/>
  </si>
  <si>
    <t>両目隠れ</t>
    <rPh sb="0" eb="2">
      <t>リョウメ</t>
    </rPh>
    <rPh sb="2" eb="3">
      <t>カク</t>
    </rPh>
    <phoneticPr fontId="1"/>
  </si>
  <si>
    <t>女性</t>
    <phoneticPr fontId="1"/>
  </si>
  <si>
    <t>不明</t>
  </si>
  <si>
    <t>無性別</t>
  </si>
  <si>
    <t>オッドアイ</t>
  </si>
  <si>
    <t>オッドアイ</t>
    <phoneticPr fontId="1"/>
  </si>
  <si>
    <t>妖精|双子</t>
    <rPh sb="0" eb="2">
      <t>ヨウセイ</t>
    </rPh>
    <rPh sb="3" eb="5">
      <t>フタゴ</t>
    </rPh>
    <phoneticPr fontId="1"/>
  </si>
  <si>
    <t>サーカス団員</t>
    <rPh sb="4" eb="6">
      <t>ダンイン</t>
    </rPh>
    <phoneticPr fontId="1"/>
  </si>
  <si>
    <t>リボン</t>
  </si>
  <si>
    <t>リボン</t>
    <phoneticPr fontId="1"/>
  </si>
  <si>
    <t>ギザ歯</t>
    <rPh sb="2" eb="3">
      <t>ハ</t>
    </rPh>
    <phoneticPr fontId="1"/>
  </si>
  <si>
    <t>人形</t>
    <rPh sb="0" eb="2">
      <t>ニンギョウ</t>
    </rPh>
    <phoneticPr fontId="1"/>
  </si>
  <si>
    <t>片目隠れ</t>
    <rPh sb="0" eb="2">
      <t>カタメ</t>
    </rPh>
    <rPh sb="2" eb="3">
      <t>カク</t>
    </rPh>
    <phoneticPr fontId="1"/>
  </si>
  <si>
    <t>執事</t>
    <rPh sb="0" eb="2">
      <t>シツジ</t>
    </rPh>
    <phoneticPr fontId="1"/>
  </si>
  <si>
    <t>元ヤン</t>
    <rPh sb="0" eb="1">
      <t>モト</t>
    </rPh>
    <phoneticPr fontId="1"/>
  </si>
  <si>
    <t>人間|双子</t>
    <rPh sb="0" eb="2">
      <t>ニンゲン</t>
    </rPh>
    <phoneticPr fontId="1"/>
  </si>
  <si>
    <t>人間|双子|故人</t>
    <rPh sb="0" eb="2">
      <t>ニンゲン</t>
    </rPh>
    <rPh sb="6" eb="8">
      <t>コジン</t>
    </rPh>
    <phoneticPr fontId="1"/>
  </si>
  <si>
    <t>褐色肌</t>
    <rPh sb="0" eb="2">
      <t>カッショク</t>
    </rPh>
    <rPh sb="2" eb="3">
      <t>ハダ</t>
    </rPh>
    <phoneticPr fontId="1"/>
  </si>
  <si>
    <t>インナーカラー|片目隠れ</t>
    <rPh sb="8" eb="10">
      <t>カタメ</t>
    </rPh>
    <rPh sb="10" eb="11">
      <t>カク</t>
    </rPh>
    <phoneticPr fontId="1"/>
  </si>
  <si>
    <t>人間|天使</t>
  </si>
  <si>
    <t>吸血鬼</t>
  </si>
  <si>
    <t>魔法少女</t>
  </si>
  <si>
    <t>ケモ耳</t>
  </si>
  <si>
    <t>果物</t>
  </si>
  <si>
    <t>渦巻き目、アホ毛</t>
  </si>
  <si>
    <t>動物</t>
  </si>
  <si>
    <t>ツートンカラー</t>
    <phoneticPr fontId="1"/>
  </si>
  <si>
    <t>セクションカラー</t>
    <phoneticPr fontId="1"/>
  </si>
  <si>
    <t>故人|ゾンビ</t>
    <rPh sb="0" eb="2">
      <t>コジン</t>
    </rPh>
    <phoneticPr fontId="1"/>
  </si>
  <si>
    <t>故人|幽霊</t>
    <rPh sb="0" eb="2">
      <t>コジン</t>
    </rPh>
    <rPh sb="3" eb="5">
      <t>ユウレイ</t>
    </rPh>
    <phoneticPr fontId="1"/>
  </si>
  <si>
    <t>ツートンカラー|片目隠れ</t>
    <rPh sb="8" eb="10">
      <t>カタメ</t>
    </rPh>
    <rPh sb="10" eb="11">
      <t>カク</t>
    </rPh>
    <phoneticPr fontId="1"/>
  </si>
  <si>
    <t>グラデーションカラー</t>
    <phoneticPr fontId="1"/>
  </si>
  <si>
    <t>アイバンド</t>
    <phoneticPr fontId="1"/>
  </si>
  <si>
    <t>書店員</t>
    <rPh sb="0" eb="3">
      <t>ショテンイン</t>
    </rPh>
    <phoneticPr fontId="1"/>
  </si>
  <si>
    <t>ヘッドセット</t>
  </si>
  <si>
    <t>ヘッドセット</t>
    <phoneticPr fontId="1"/>
  </si>
  <si>
    <t>フィギュア</t>
    <phoneticPr fontId="1"/>
  </si>
  <si>
    <t>尻尾</t>
    <rPh sb="0" eb="2">
      <t>シッポ</t>
    </rPh>
    <phoneticPr fontId="1"/>
  </si>
  <si>
    <t>天使</t>
    <rPh sb="0" eb="2">
      <t>テンシ</t>
    </rPh>
    <phoneticPr fontId="1"/>
  </si>
  <si>
    <t>クリエイター</t>
    <phoneticPr fontId="1"/>
  </si>
  <si>
    <t>ヘッドホン</t>
    <phoneticPr fontId="1"/>
  </si>
  <si>
    <t>ヘアピン</t>
    <phoneticPr fontId="1"/>
  </si>
  <si>
    <t>ヤンキー</t>
    <phoneticPr fontId="1"/>
  </si>
  <si>
    <t>https://ameutaulii.wixsite.com/telepathycapsule</t>
  </si>
  <si>
    <t>ヘアピン|拡声器</t>
    <rPh sb="5" eb="8">
      <t>カクセイキ</t>
    </rPh>
    <phoneticPr fontId="1"/>
  </si>
  <si>
    <t>人魚</t>
    <rPh sb="0" eb="2">
      <t>ニンギョ</t>
    </rPh>
    <phoneticPr fontId="1"/>
  </si>
  <si>
    <t>人間|鬼</t>
    <rPh sb="0" eb="2">
      <t>ニンゲン</t>
    </rPh>
    <rPh sb="3" eb="4">
      <t>オニ</t>
    </rPh>
    <phoneticPr fontId="1"/>
  </si>
  <si>
    <t>グラデーションカラー|角(ツノ)|黒い強膜</t>
    <rPh sb="11" eb="12">
      <t>カド</t>
    </rPh>
    <phoneticPr fontId="1"/>
  </si>
  <si>
    <t>キメラ</t>
  </si>
  <si>
    <t>堕天使</t>
    <rPh sb="0" eb="3">
      <t>ダテンシ</t>
    </rPh>
    <phoneticPr fontId="1"/>
  </si>
  <si>
    <t>両目隠れ|羽</t>
    <rPh sb="0" eb="2">
      <t>リョウメ</t>
    </rPh>
    <rPh sb="2" eb="3">
      <t>カク</t>
    </rPh>
    <rPh sb="5" eb="6">
      <t>ハネ</t>
    </rPh>
    <phoneticPr fontId="1"/>
  </si>
  <si>
    <t>司書</t>
    <rPh sb="0" eb="2">
      <t>シショ</t>
    </rPh>
    <phoneticPr fontId="1"/>
  </si>
  <si>
    <t>ゴーグル</t>
  </si>
  <si>
    <t>ゴーグル</t>
    <phoneticPr fontId="1"/>
  </si>
  <si>
    <t>黒肌</t>
    <rPh sb="0" eb="2">
      <t>クロハダ</t>
    </rPh>
    <phoneticPr fontId="1"/>
  </si>
  <si>
    <t>擬人化</t>
    <rPh sb="0" eb="3">
      <t>ギジンカ</t>
    </rPh>
    <phoneticPr fontId="1"/>
  </si>
  <si>
    <t>探偵</t>
    <rPh sb="0" eb="2">
      <t>タンテイ</t>
    </rPh>
    <phoneticPr fontId="1"/>
  </si>
  <si>
    <t>いるやるい</t>
    <phoneticPr fontId="1"/>
  </si>
  <si>
    <t>いるや るい</t>
    <phoneticPr fontId="1"/>
  </si>
  <si>
    <t>Iruya Rui</t>
    <phoneticPr fontId="1"/>
  </si>
  <si>
    <t>https://lclcofficial6565.wixsite.com/lclc</t>
    <phoneticPr fontId="1"/>
  </si>
  <si>
    <t>#LCLCみてみて</t>
    <phoneticPr fontId="1"/>
  </si>
  <si>
    <t>オタク</t>
    <phoneticPr fontId="1"/>
  </si>
  <si>
    <t>イヤーユニット|鍵</t>
    <rPh sb="8" eb="9">
      <t>カギ</t>
    </rPh>
    <phoneticPr fontId="1"/>
  </si>
  <si>
    <t>刃華音メタ</t>
    <phoneticPr fontId="1"/>
  </si>
  <si>
    <t>はがね めた</t>
    <phoneticPr fontId="1"/>
  </si>
  <si>
    <t>​Hagane Meta</t>
    <phoneticPr fontId="1"/>
  </si>
  <si>
    <t>​https://kagerou009.hatenablog.com</t>
    <phoneticPr fontId="1"/>
  </si>
  <si>
    <t>#夕焼け研究所</t>
    <phoneticPr fontId="1"/>
  </si>
  <si>
    <t>ヘッドホン</t>
  </si>
  <si>
    <t>〇 / 必要</t>
  </si>
  <si>
    <r>
      <rPr>
        <sz val="12"/>
        <color theme="1"/>
        <rFont val="Segoe UI Symbol"/>
        <family val="3"/>
      </rPr>
      <t>🔗</t>
    </r>
    <r>
      <rPr>
        <sz val="12"/>
        <color theme="1"/>
        <rFont val="Calibri"/>
        <family val="3"/>
      </rPr>
      <t>https://nyaruru-02.github.io/UTAU-Character-Icon-Library</t>
    </r>
    <phoneticPr fontId="1"/>
  </si>
  <si>
    <t>Yashiro Shiya</t>
    <phoneticPr fontId="1"/>
  </si>
  <si>
    <t>やしろしや</t>
    <phoneticPr fontId="1"/>
  </si>
  <si>
    <t>やしろ しや</t>
    <phoneticPr fontId="1"/>
  </si>
  <si>
    <t>カチューシャ|ヘアピン</t>
    <phoneticPr fontId="1"/>
  </si>
  <si>
    <t>まろ眉</t>
    <rPh sb="2" eb="3">
      <t>マユ</t>
    </rPh>
    <phoneticPr fontId="1"/>
  </si>
  <si>
    <t>グラデーションカラー|まろ眉</t>
    <phoneticPr fontId="1"/>
  </si>
  <si>
    <t>社畜</t>
    <rPh sb="0" eb="2">
      <t>シャチク</t>
    </rPh>
    <phoneticPr fontId="1"/>
  </si>
  <si>
    <t>かたづたか</t>
    <phoneticPr fontId="1"/>
  </si>
  <si>
    <t>かたづ たか</t>
    <phoneticPr fontId="1"/>
  </si>
  <si>
    <t>Katazu Taka</t>
    <phoneticPr fontId="1"/>
  </si>
  <si>
    <t>さすらいのユーフォリア</t>
    <phoneticPr fontId="1"/>
  </si>
  <si>
    <t>さすらいのゆーふぉりあ</t>
    <phoneticPr fontId="1"/>
  </si>
  <si>
    <t>The Bard Euphoria</t>
    <phoneticPr fontId="1"/>
  </si>
  <si>
    <t>吟遊詩人</t>
    <phoneticPr fontId="1"/>
  </si>
  <si>
    <t>#ムジカの友人たち</t>
    <phoneticPr fontId="1"/>
  </si>
  <si>
    <t>アイラ</t>
    <phoneticPr fontId="1"/>
  </si>
  <si>
    <t>あいら</t>
    <phoneticPr fontId="1"/>
  </si>
  <si>
    <t>Aira</t>
    <phoneticPr fontId="1"/>
  </si>
  <si>
    <t>https://pessieuph.wixsite.com/meusycaseuphoria</t>
    <phoneticPr fontId="1"/>
  </si>
  <si>
    <t>主音サラサ</t>
    <phoneticPr fontId="1"/>
  </si>
  <si>
    <t>あるじね さらさ</t>
    <phoneticPr fontId="1"/>
  </si>
  <si>
    <t>Arujine Sarasa</t>
    <phoneticPr fontId="1"/>
  </si>
  <si>
    <t>https://arujinesarasa.wixsite.com/official</t>
    <phoneticPr fontId="1"/>
  </si>
  <si>
    <t>#主音サラサ</t>
    <phoneticPr fontId="1"/>
  </si>
  <si>
    <t>狼</t>
    <rPh sb="0" eb="1">
      <t>オオカミ</t>
    </rPh>
    <phoneticPr fontId="1"/>
  </si>
  <si>
    <t>ケモ耳|尻尾</t>
    <rPh sb="2" eb="3">
      <t>ミミ</t>
    </rPh>
    <rPh sb="4" eb="6">
      <t>シッポ</t>
    </rPh>
    <phoneticPr fontId="1"/>
  </si>
  <si>
    <t>ピアス|首輪</t>
    <rPh sb="4" eb="6">
      <t>クビワ</t>
    </rPh>
    <phoneticPr fontId="1"/>
  </si>
  <si>
    <t>アホ毛|オッドアイ|尻尾</t>
    <rPh sb="2" eb="3">
      <t>ゲ</t>
    </rPh>
    <rPh sb="10" eb="12">
      <t>シッポ</t>
    </rPh>
    <phoneticPr fontId="1"/>
  </si>
  <si>
    <t>Tくん</t>
    <phoneticPr fontId="1"/>
  </si>
  <si>
    <t>人造人間</t>
    <rPh sb="0" eb="4">
      <t>ジンゾウニンゲン</t>
    </rPh>
    <phoneticPr fontId="1"/>
  </si>
  <si>
    <t>雨歌エル</t>
    <phoneticPr fontId="1"/>
  </si>
  <si>
    <t>あまが える</t>
    <phoneticPr fontId="1"/>
  </si>
  <si>
    <t>Amaga Eru</t>
    <phoneticPr fontId="1"/>
  </si>
  <si>
    <t>https://www.mizuiro.info/amagaelu</t>
    <phoneticPr fontId="1"/>
  </si>
  <si>
    <t>#雨歌エル</t>
    <phoneticPr fontId="1"/>
  </si>
  <si>
    <t>ヘアピン</t>
  </si>
  <si>
    <t>鳴上キョウ</t>
    <phoneticPr fontId="1"/>
  </si>
  <si>
    <t>なるかみ きょう</t>
    <phoneticPr fontId="1"/>
  </si>
  <si>
    <t>Narukami Kyou</t>
    <phoneticPr fontId="1"/>
  </si>
  <si>
    <t>https://sites.google.com/view/arcobaleno-utau/home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</si>
</sst>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00"/>
  </numFmts>
  <fonts count="14" x14ac:knownFonts="1">
    <font>
      <sz val="12"/>
      <color theme="1"/>
      <name val="Meiryo UI"/>
      <family val="2"/>
      <charset val="128"/>
    </font>
    <font>
      <sz val="6"/>
      <name val="Meiryo UI"/>
      <family val="2"/>
      <charset val="128"/>
    </font>
    <font>
      <u/>
      <sz val="12"/>
      <color theme="10"/>
      <name val="Meiryo UI"/>
      <family val="2"/>
      <charset val="128"/>
    </font>
    <font>
      <sz val="10"/>
      <color theme="1"/>
      <name val="Meiryo UI"/>
      <family val="3"/>
      <charset val="128"/>
    </font>
    <font>
      <u/>
      <sz val="10"/>
      <color theme="1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2"/>
      <color theme="0"/>
      <name val="Meiryo UI"/>
      <family val="3"/>
      <charset val="128"/>
    </font>
    <font>
      <sz val="12"/>
      <color theme="1"/>
      <name val="Meiryo UI"/>
      <family val="3"/>
      <charset val="128"/>
    </font>
    <font>
      <u/>
      <sz val="10"/>
      <color theme="10"/>
      <name val="Meiryo UI"/>
      <family val="2"/>
      <charset val="128"/>
    </font>
    <font>
      <b/>
      <sz val="12"/>
      <color theme="1"/>
      <name val="Meiryo UI"/>
      <family val="3"/>
      <charset val="128"/>
    </font>
    <font>
      <sz val="12"/>
      <color theme="1"/>
      <name val="Segoe UI Symbol"/>
      <family val="3"/>
    </font>
    <font>
      <sz val="12"/>
      <color theme="1"/>
      <name val="Meiryo UI"/>
      <family val="2"/>
      <charset val="128"/>
    </font>
    <font>
      <sz val="10"/>
      <color theme="1"/>
      <name val="Malgun Gothic"/>
      <family val="3"/>
      <charset val="129"/>
    </font>
    <font>
      <sz val="12"/>
      <color theme="1"/>
      <name val="Calibri"/>
      <family val="3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1" applyFont="1" applyBorder="1">
      <alignment vertical="center"/>
    </xf>
    <xf numFmtId="0" fontId="4" fillId="0" borderId="0" xfId="1" applyFont="1">
      <alignment vertical="center"/>
    </xf>
    <xf numFmtId="0" fontId="6" fillId="3" borderId="1" xfId="0" applyFont="1" applyFill="1" applyBorder="1">
      <alignment vertical="center"/>
    </xf>
    <xf numFmtId="0" fontId="7" fillId="4" borderId="0" xfId="0" applyFont="1" applyFill="1">
      <alignment vertical="center"/>
    </xf>
    <xf numFmtId="0" fontId="7" fillId="4" borderId="1" xfId="0" applyFont="1" applyFill="1" applyBorder="1">
      <alignment vertical="center"/>
    </xf>
    <xf numFmtId="0" fontId="7" fillId="4" borderId="1" xfId="0" applyFont="1" applyFill="1" applyBorder="1" applyAlignment="1">
      <alignment horizontal="left" vertical="center"/>
    </xf>
    <xf numFmtId="0" fontId="9" fillId="4" borderId="0" xfId="0" applyFont="1" applyFill="1">
      <alignment vertical="center"/>
    </xf>
    <xf numFmtId="0" fontId="7" fillId="4" borderId="2" xfId="0" applyFont="1" applyFill="1" applyBorder="1" applyAlignment="1">
      <alignment horizontal="left" vertical="center"/>
    </xf>
    <xf numFmtId="0" fontId="7" fillId="4" borderId="3" xfId="0" applyFont="1" applyFill="1" applyBorder="1">
      <alignment vertical="center"/>
    </xf>
    <xf numFmtId="0" fontId="7" fillId="4" borderId="4" xfId="0" applyFont="1" applyFill="1" applyBorder="1" applyAlignment="1">
      <alignment horizontal="left" vertical="center"/>
    </xf>
    <xf numFmtId="0" fontId="7" fillId="4" borderId="5" xfId="0" applyFont="1" applyFill="1" applyBorder="1">
      <alignment vertical="center"/>
    </xf>
    <xf numFmtId="0" fontId="7" fillId="4" borderId="6" xfId="0" applyFont="1" applyFill="1" applyBorder="1">
      <alignment vertical="center"/>
    </xf>
    <xf numFmtId="0" fontId="7" fillId="4" borderId="7" xfId="0" applyFont="1" applyFill="1" applyBorder="1">
      <alignment vertical="center"/>
    </xf>
    <xf numFmtId="0" fontId="8" fillId="0" borderId="0" xfId="1" applyFont="1" applyBorder="1">
      <alignment vertical="center"/>
    </xf>
    <xf numFmtId="0" fontId="3" fillId="0" borderId="0" xfId="2" applyNumberFormat="1" applyFont="1" applyBorder="1" applyAlignment="1">
      <alignment horizontal="left" vertical="center"/>
    </xf>
    <xf numFmtId="9" fontId="3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3" fillId="0" borderId="0" xfId="2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2" applyNumberFormat="1" applyFont="1" applyBorder="1">
      <alignment vertical="center"/>
    </xf>
    <xf numFmtId="0" fontId="8" fillId="0" borderId="0" xfId="1" applyFont="1" applyFill="1" applyBorder="1">
      <alignment vertical="center"/>
    </xf>
    <xf numFmtId="0" fontId="4" fillId="0" borderId="0" xfId="1" applyFont="1" applyFill="1" applyBorder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1" applyFont="1">
      <alignment vertical="center"/>
    </xf>
    <xf numFmtId="0" fontId="6" fillId="3" borderId="0" xfId="0" applyFont="1" applyFill="1" applyAlignment="1">
      <alignment horizontal="center" vertical="center"/>
    </xf>
    <xf numFmtId="0" fontId="3" fillId="0" borderId="0" xfId="0" applyNumberFormat="1" applyFont="1">
      <alignment vertical="center"/>
    </xf>
    <xf numFmtId="0" fontId="3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3">
    <cellStyle name="パーセント" xfId="2" builtinId="5"/>
    <cellStyle name="ハイパーリンク" xfId="1" builtinId="8"/>
    <cellStyle name="標準" xfId="0" builtinId="0"/>
  </cellStyles>
  <dxfs count="71">
    <dxf>
      <font>
        <b/>
        <i val="0"/>
        <color rgb="FF00B050"/>
      </font>
      <fill>
        <patternFill>
          <bgColor rgb="FFE1FA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numFmt numFmtId="176" formatCode="000"/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Meiryo UI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テーブル スタイル 1" pivot="0" count="4" xr9:uid="{A42AF25E-4C13-4BEC-9925-5A27A7941F81}">
      <tableStyleElement type="wholeTable" dxfId="70"/>
      <tableStyleElement type="headerRow" dxfId="69"/>
      <tableStyleElement type="totalRow" dxfId="68"/>
      <tableStyleElement type="secondRowStripe" dxfId="67"/>
    </tableStyle>
  </tableStyles>
  <colors>
    <mruColors>
      <color rgb="FFE1FACE"/>
      <color rgb="FFD2F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EA6E0-6891-40ED-8736-87CEEF9CED2F}" name="テーブル1" displayName="テーブル1" ref="A1:X441" headerRowDxfId="66" dataDxfId="65" tableBorderDxfId="64">
  <autoFilter ref="A1:X441" xr:uid="{AFDEA6E0-6891-40ED-8736-87CEEF9CED2F}"/>
  <sortState xmlns:xlrd2="http://schemas.microsoft.com/office/spreadsheetml/2017/richdata2" ref="A2:X441">
    <sortCondition ref="A1:A441"/>
  </sortState>
  <tableColumns count="24">
    <tableColumn id="7" xr3:uid="{9D671CE8-205F-4EC4-AF57-C49043815D5D}" name="番号" totalsRowLabel="集計" dataDxfId="63" totalsRowDxfId="62"/>
    <tableColumn id="1" xr3:uid="{BC0E7496-4241-40F3-92D1-BFEC8E2F21B0}" name="画像" dataDxfId="61">
      <calculatedColumnFormula>SUBSTITUTE(SUBSTITUTE(SUBSTITUTE(SUBSTITUTE(SUBSTITUTE(SUBSTITUTE(SUBSTITUTE(SUBSTITUTE(LOWER(テーブル1[[#This Row],[Name]])," ","-"),".","-"),"&amp;","-"),"_","-"),"・","-"),"=","-"),"--","-"),"--","-")</calculatedColumnFormula>
    </tableColumn>
    <tableColumn id="2" xr3:uid="{82CE10E5-6982-4DC9-BC2B-1B1D6A1B41EC}" name="名前" totalsRowFunction="count" dataDxfId="60" totalsRowDxfId="59"/>
    <tableColumn id="3" xr3:uid="{1CD1AB40-A0B3-43E1-8992-FB5152113AF0}" name="なまえ" dataDxfId="58" totalsRowDxfId="57"/>
    <tableColumn id="4" xr3:uid="{3A18F89A-C86D-435E-8081-BFA7EDB53407}" name="Name" dataDxfId="56" totalsRowDxfId="55"/>
    <tableColumn id="5" xr3:uid="{465CE434-66FF-4581-97B6-92FB1196AA88}" name="リンク" dataDxfId="54" totalsRowDxfId="53"/>
    <tableColumn id="6" xr3:uid="{C8A231EF-CEE1-4EDF-9F79-E20B4EE26A3B}" name="作品タグ" dataDxfId="52" totalsRowDxfId="51"/>
    <tableColumn id="21" xr3:uid="{A3F04976-FEAF-4AB6-883A-CBF50885B75B}" name="性別" dataDxfId="50" totalsRowDxfId="49"/>
    <tableColumn id="20" xr3:uid="{1BC45536-DCFC-46D8-8A1D-7CA1DB3A4086}" name="種族タグ" dataDxfId="48" totalsRowDxfId="47"/>
    <tableColumn id="23" xr3:uid="{C7A460FE-A76F-44CC-BA42-F2EDCB5166B0}" name="職業タグ" dataDxfId="46" totalsRowDxfId="45"/>
    <tableColumn id="24" xr3:uid="{13CD4112-798D-4D06-B448-3A060DFAF850}" name="小物タグ" dataDxfId="44" totalsRowDxfId="43"/>
    <tableColumn id="25" xr3:uid="{BB31FC48-2C53-4F77-9754-878F1123A640}" name="ワンポイントタグ" dataDxfId="42" totalsRowDxfId="41"/>
    <tableColumn id="14" xr3:uid="{419D2296-96F6-49B6-A101-8BE8083A1FF8}" name="グッズ許可・許可" dataDxfId="40" totalsRowDxfId="39"/>
    <tableColumn id="10" xr3:uid="{A3DF9BE0-B684-4FD2-9C65-44C5CE7A0DC3}" name="描画状況" totalsRowFunction="count" dataDxfId="38" totalsRowDxfId="37"/>
    <tableColumn id="9" xr3:uid="{02AE6379-3B3C-4BB2-A47F-0A695072C3A9}" name="列1" dataDxfId="36" totalsRowDxfId="35">
      <calculatedColumnFormula>テーブル1[[#This Row],[リンク]]&amp;テーブル1[[#This Row],[描画状況]]</calculatedColumnFormula>
    </tableColumn>
    <tableColumn id="13" xr3:uid="{823DB8CC-CE55-4F0C-AE72-2EE293521925}" name="列2" dataDxfId="34" dataCellStyle="パーセント">
      <calculatedColumnFormula>1-(COUNTIF(O:O,_xlfn.TEXTJOIN(",",TRUE,テーブル1[[#This Row],[リンク]],テーブル1[[#This Row],[描画状況]]))/COUNTIF(F:F,テーブル1[[#This Row],[リンク]]))</calculatedColumnFormula>
    </tableColumn>
    <tableColumn id="12" xr3:uid="{7EC92FE0-FB6C-451C-8291-604A579DFFE4}" name="乱数A" totalsRowFunction="countNums" dataDxfId="33" totalsRowDxfId="32" dataCellStyle="パーセント">
      <calculatedColumnFormula>IFERROR(IF(テーブル1[[#This Row],[描画状況]]="",RAND()+(テーブル1[[#This Row],[列2]]*100),""),RAND())</calculatedColumnFormula>
    </tableColumn>
    <tableColumn id="8" xr3:uid="{757FA2CC-BDF6-4D0F-991C-824CC2AFBB2A}" name="投稿状況" totalsRowFunction="custom" dataDxfId="31" totalsRowDxfId="30">
      <totalsRowFormula>COUNTIF(テーブル1[投稿状況],"")</totalsRowFormula>
    </tableColumn>
    <tableColumn id="11" xr3:uid="{81D4E3E6-4E02-4A2D-B6F1-0BB82B392F85}" name="乱数B" dataDxfId="29" totalsRowDxfId="28">
      <calculatedColumnFormula>IF(AND(テーブル1[[#This Row],[描画状況]]="済",テーブル1[[#This Row],[投稿状況]]=""),RAND(),"")</calculatedColumnFormula>
    </tableColumn>
    <tableColumn id="15" xr3:uid="{280800B4-9BAE-449D-B7FD-73EC3D77CA23}" name="|画像" dataDxfId="27" totalsRowDxfId="26">
      <calculatedColumnFormula>"|&amp;image("&amp;テーブル1[[#This Row],[画像]]&amp;".png,width=100,height=100)"</calculatedColumnFormula>
    </tableColumn>
    <tableColumn id="16" xr3:uid="{AC31EEC7-EDA4-4933-B34D-6F013BAC07AB}" name="|名前" dataDxfId="25" totalsRowDxfId="24">
      <calculatedColumnFormula>"|MIDDLE:​"&amp;テーブル1[[#This Row],[名前]]</calculatedColumnFormula>
    </tableColumn>
    <tableColumn id="17" xr3:uid="{5631FE5D-E14B-45F0-9DC6-C07DDBCF063D}" name="|なまえ" dataDxfId="23" totalsRowDxfId="22">
      <calculatedColumnFormula>"|MIDDLE:​"&amp;テーブル1[[#This Row],[なまえ]]</calculatedColumnFormula>
    </tableColumn>
    <tableColumn id="18" xr3:uid="{1D34E550-311D-4181-9DE5-9513280D0029}" name="|Name" dataDxfId="21" totalsRowDxfId="20">
      <calculatedColumnFormula>"|MIDDLE:​"&amp;テーブル1[[#This Row],[Name]]</calculatedColumnFormula>
    </tableColumn>
    <tableColumn id="19" xr3:uid="{742CFAB1-9F2D-444A-A881-F762695DCCB1}" name="|キャラクター情報リンク|" dataDxfId="19" totalsRowDxfId="18">
      <calculatedColumnFormula>"|MIDDLE:​&amp;link(配布所はこちら){​"&amp;テーブル1[[#This Row],[リンク]]&amp;"}|"</calculatedColumnFormula>
    </tableColumn>
  </tableColumns>
  <tableStyleInfo name="テーブル スタイル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C87AB3-D453-4364-A868-37CD257B126C}" name="テーブル2" displayName="テーブル2" ref="A1:L233" totalsRowShown="0" headerRowDxfId="17" dataDxfId="16">
  <autoFilter ref="A1:L233" xr:uid="{E4C87AB3-D453-4364-A868-37CD257B126C}"/>
  <tableColumns count="12">
    <tableColumn id="1" xr3:uid="{1E92C13E-0744-4588-9D96-A833A7BD4B23}" name="id" dataDxfId="15">
      <calculatedColumnFormula>テーブル1[[#This Row],[番号]]</calculatedColumnFormula>
    </tableColumn>
    <tableColumn id="2" xr3:uid="{BFFC27FC-5A70-42B5-935F-18B299D9A450}" name="name" dataDxfId="14">
      <calculatedColumnFormula>テーブル1[[#This Row],[名前]]</calculatedColumnFormula>
    </tableColumn>
    <tableColumn id="3" xr3:uid="{376B9D63-7024-4C39-A1F3-F8A88D986D2E}" name="kana" dataDxfId="13">
      <calculatedColumnFormula>テーブル1[[#This Row],[なまえ]]</calculatedColumnFormula>
    </tableColumn>
    <tableColumn id="4" xr3:uid="{3A4FC950-495C-4C11-B6DB-96CE6A55121C}" name="romaji" dataDxfId="12">
      <calculatedColumnFormula>テーブル1[[#This Row],[Name]]</calculatedColumnFormula>
    </tableColumn>
    <tableColumn id="5" xr3:uid="{B264791E-28AE-437A-AA33-4258BDE55BAA}" name="icon" dataDxfId="11">
      <calculatedColumnFormula>"image/"&amp;テーブル1[[#This Row],[画像]]&amp;".png"</calculatedColumnFormula>
    </tableColumn>
    <tableColumn id="6" xr3:uid="{857A780E-B021-402A-872A-1CBFFEF7F813}" name="url" dataDxfId="10">
      <calculatedColumnFormula>テーブル1[[#This Row],[リンク]]</calculatedColumnFormula>
    </tableColumn>
    <tableColumn id="7" xr3:uid="{54796813-8C4A-4907-9B54-8EC5819BC55C}" name="workTags" dataDxfId="9">
      <calculatedColumnFormula>SUBSTITUTE(テーブル1[[#This Row],[作品タグ]]," ","|")</calculatedColumnFormula>
    </tableColumn>
    <tableColumn id="8" xr3:uid="{C71938D1-4F25-43A4-AC89-6B4F6A5026A2}" name="gender" dataDxfId="8">
      <calculatedColumnFormula>テーブル1[[#This Row],[性別]]&amp;""</calculatedColumnFormula>
    </tableColumn>
    <tableColumn id="9" xr3:uid="{39305227-2E4A-4CF9-88DD-B221FEC21124}" name="種族タグ" dataDxfId="7">
      <calculatedColumnFormula>テーブル1[[#This Row],[種族タグ]]&amp;""</calculatedColumnFormula>
    </tableColumn>
    <tableColumn id="10" xr3:uid="{4C1B4E5B-0816-4E7B-B94D-DABFCF9BB4A5}" name="職業タグ" dataDxfId="6">
      <calculatedColumnFormula>テーブル1[[#This Row],[職業タグ]]&amp;""</calculatedColumnFormula>
    </tableColumn>
    <tableColumn id="11" xr3:uid="{C1145559-52E6-4141-BB43-03D7F9D319F4}" name="小物タグ" dataDxfId="5">
      <calculatedColumnFormula>テーブル1[[#This Row],[小物タグ]]&amp;""</calculatedColumnFormula>
    </tableColumn>
    <tableColumn id="12" xr3:uid="{1869C5D2-E7D3-4710-BDB3-B35F4A761BEE}" name="ワンポイントタグ" dataDxfId="4">
      <calculatedColumnFormula>テーブル1[[#This Row],[ワンポイントタグ]]&amp;""</calculatedColumnFormula>
    </tableColumn>
  </tableColumns>
  <tableStyleInfo name="テーブル スタイル 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udanuki.wixsite.com/gottaniomotyabako" TargetMode="External"/><Relationship Id="rId299" Type="http://schemas.openxmlformats.org/officeDocument/2006/relationships/hyperlink" Target="https://bowlroll.net/user/980255" TargetMode="External"/><Relationship Id="rId21" Type="http://schemas.openxmlformats.org/officeDocument/2006/relationships/hyperlink" Target="https://lit.link/nemukoneko" TargetMode="External"/><Relationship Id="rId63" Type="http://schemas.openxmlformats.org/officeDocument/2006/relationships/hyperlink" Target="https://ne510channel.wixsite.com/website" TargetMode="External"/><Relationship Id="rId159" Type="http://schemas.openxmlformats.org/officeDocument/2006/relationships/hyperlink" Target="https://rokune.blogspot.com/2012/07/blog-post.html" TargetMode="External"/><Relationship Id="rId170" Type="http://schemas.openxmlformats.org/officeDocument/2006/relationships/hyperlink" Target="https://yukimiyashimusho.jimdofree.com/" TargetMode="External"/><Relationship Id="rId226" Type="http://schemas.openxmlformats.org/officeDocument/2006/relationships/hyperlink" Target="https://cloudcatch1224.wixsite.com/godsfoot" TargetMode="External"/><Relationship Id="rId268" Type="http://schemas.openxmlformats.org/officeDocument/2006/relationships/hyperlink" Target="https://piku.page/@toitoitoi23" TargetMode="External"/><Relationship Id="rId32" Type="http://schemas.openxmlformats.org/officeDocument/2006/relationships/hyperlink" Target="https://itsuriutau.wixsite.com/kanadeshia" TargetMode="External"/><Relationship Id="rId74" Type="http://schemas.openxmlformats.org/officeDocument/2006/relationships/hyperlink" Target="https://mitoristu.wixsite.com/kousaibako" TargetMode="External"/><Relationship Id="rId128" Type="http://schemas.openxmlformats.org/officeDocument/2006/relationships/hyperlink" Target="https://sites.google.com/view/qsuke-garden/home" TargetMode="External"/><Relationship Id="rId5" Type="http://schemas.openxmlformats.org/officeDocument/2006/relationships/hyperlink" Target="https://seirentoybox.jimdofree.com/" TargetMode="External"/><Relationship Id="rId181" Type="http://schemas.openxmlformats.org/officeDocument/2006/relationships/hyperlink" Target="https://yukimiyashimusho.jimdofree.com/" TargetMode="External"/><Relationship Id="rId237" Type="http://schemas.openxmlformats.org/officeDocument/2006/relationships/hyperlink" Target="https://tropicalsamejima.wixsite.com/oyutau" TargetMode="External"/><Relationship Id="rId279" Type="http://schemas.openxmlformats.org/officeDocument/2006/relationships/hyperlink" Target="https://magnawitch.wixsite.com/seong-ah" TargetMode="External"/><Relationship Id="rId43" Type="http://schemas.openxmlformats.org/officeDocument/2006/relationships/hyperlink" Target="https://utaunanaproplus.wixsite.com/of-web" TargetMode="External"/><Relationship Id="rId139" Type="http://schemas.openxmlformats.org/officeDocument/2006/relationships/hyperlink" Target="https://jnsea010.wixsite.com/kkamchoutau" TargetMode="External"/><Relationship Id="rId290" Type="http://schemas.openxmlformats.org/officeDocument/2006/relationships/hyperlink" Target="https://ameutaulii.wixsite.com/telepathycapsule" TargetMode="External"/><Relationship Id="rId304" Type="http://schemas.openxmlformats.org/officeDocument/2006/relationships/hyperlink" Target="https://pessieuph.wixsite.com/meusycaseuphoria" TargetMode="External"/><Relationship Id="rId85" Type="http://schemas.openxmlformats.org/officeDocument/2006/relationships/hyperlink" Target="https://www.krnr.top/" TargetMode="External"/><Relationship Id="rId150" Type="http://schemas.openxmlformats.org/officeDocument/2006/relationships/hyperlink" Target="http://shadeofgreen.web.fc2.com/" TargetMode="External"/><Relationship Id="rId192" Type="http://schemas.openxmlformats.org/officeDocument/2006/relationships/hyperlink" Target="https://sites.google.com/view/report1023" TargetMode="External"/><Relationship Id="rId206" Type="http://schemas.openxmlformats.org/officeDocument/2006/relationships/hyperlink" Target="https://torinosu-hikikomori.jimdofree.com/" TargetMode="External"/><Relationship Id="rId248" Type="http://schemas.openxmlformats.org/officeDocument/2006/relationships/hyperlink" Target="https://utau.fandom.com/wiki/Shizuruu" TargetMode="External"/><Relationship Id="rId12" Type="http://schemas.openxmlformats.org/officeDocument/2006/relationships/hyperlink" Target="http://park2.wakwak.com/~mbox/vo/hk/hkfre.htm" TargetMode="External"/><Relationship Id="rId108" Type="http://schemas.openxmlformats.org/officeDocument/2006/relationships/hyperlink" Target="https://suihankinonaka.wixsite.com/my-site-1" TargetMode="External"/><Relationship Id="rId54" Type="http://schemas.openxmlformats.org/officeDocument/2006/relationships/hyperlink" Target="https://moqujc.wixsite.com/mqtop" TargetMode="External"/><Relationship Id="rId96" Type="http://schemas.openxmlformats.org/officeDocument/2006/relationships/hyperlink" Target="https://seirentoybox.jimdofree.com/" TargetMode="External"/><Relationship Id="rId161" Type="http://schemas.openxmlformats.org/officeDocument/2006/relationships/hyperlink" Target="https://suukedayo.wixsite.com/shiawasefairu" TargetMode="External"/><Relationship Id="rId217" Type="http://schemas.openxmlformats.org/officeDocument/2006/relationships/hyperlink" Target="https://rook-utau.jimdosite.com/" TargetMode="External"/><Relationship Id="rId259" Type="http://schemas.openxmlformats.org/officeDocument/2006/relationships/hyperlink" Target="https://flowerrocklove.wixsite.com/twilight-crisis" TargetMode="External"/><Relationship Id="rId23" Type="http://schemas.openxmlformats.org/officeDocument/2006/relationships/hyperlink" Target="https://www.postype.com/@utau-deepvocal-dalso" TargetMode="External"/><Relationship Id="rId119" Type="http://schemas.openxmlformats.org/officeDocument/2006/relationships/hyperlink" Target="https://tomatoshop.studio.site/" TargetMode="External"/><Relationship Id="rId270" Type="http://schemas.openxmlformats.org/officeDocument/2006/relationships/hyperlink" Target="https://mitoristu.wixsite.com/kousaibako" TargetMode="External"/><Relationship Id="rId44" Type="http://schemas.openxmlformats.org/officeDocument/2006/relationships/hyperlink" Target="https://utauudon.wixsite.com/origamisyokudou" TargetMode="External"/><Relationship Id="rId65" Type="http://schemas.openxmlformats.org/officeDocument/2006/relationships/hyperlink" Target="https://abschandayo.wixsite.com/abschan" TargetMode="External"/><Relationship Id="rId86" Type="http://schemas.openxmlformats.org/officeDocument/2006/relationships/hyperlink" Target="https://subarumusicstore.studio.site/" TargetMode="External"/><Relationship Id="rId130" Type="http://schemas.openxmlformats.org/officeDocument/2006/relationships/hyperlink" Target="https://mebisnori.wixsite.com/nori-mebis" TargetMode="External"/><Relationship Id="rId151" Type="http://schemas.openxmlformats.org/officeDocument/2006/relationships/hyperlink" Target="https://bowlroll.net/user/634941" TargetMode="External"/><Relationship Id="rId172" Type="http://schemas.openxmlformats.org/officeDocument/2006/relationships/hyperlink" Target="https://yukimiyashimusho.jimdofree.com/" TargetMode="External"/><Relationship Id="rId193" Type="http://schemas.openxmlformats.org/officeDocument/2006/relationships/hyperlink" Target="https://sites.google.com/view/report1023" TargetMode="External"/><Relationship Id="rId207" Type="http://schemas.openxmlformats.org/officeDocument/2006/relationships/hyperlink" Target="https://sites.google.com/view/fullmoon-ruro" TargetMode="External"/><Relationship Id="rId228" Type="http://schemas.openxmlformats.org/officeDocument/2006/relationships/hyperlink" Target="https://harujpg.wixsite.com/sanshoku" TargetMode="External"/><Relationship Id="rId249" Type="http://schemas.openxmlformats.org/officeDocument/2006/relationships/hyperlink" Target="https://sites.google.com/view/ronku99" TargetMode="External"/><Relationship Id="rId13" Type="http://schemas.openxmlformats.org/officeDocument/2006/relationships/hyperlink" Target="https://tsukimiya0728.wixsite.com/silverbullet" TargetMode="External"/><Relationship Id="rId109" Type="http://schemas.openxmlformats.org/officeDocument/2006/relationships/hyperlink" Target="https://bowlroll.net/user/980255" TargetMode="External"/><Relationship Id="rId260" Type="http://schemas.openxmlformats.org/officeDocument/2006/relationships/hyperlink" Target="https://hznonoka.wixsite.com/utau" TargetMode="External"/><Relationship Id="rId281" Type="http://schemas.openxmlformats.org/officeDocument/2006/relationships/hyperlink" Target="https://magnawitch.wixsite.com/seong-ah" TargetMode="External"/><Relationship Id="rId34" Type="http://schemas.openxmlformats.org/officeDocument/2006/relationships/hyperlink" Target="https://witchdoll.jimdofree.com/" TargetMode="External"/><Relationship Id="rId55" Type="http://schemas.openxmlformats.org/officeDocument/2006/relationships/hyperlink" Target="https://moqujc.wixsite.com/mqtop" TargetMode="External"/><Relationship Id="rId76" Type="http://schemas.openxmlformats.org/officeDocument/2006/relationships/hyperlink" Target="https://uta-tsunagi.jimdofree.com/" TargetMode="External"/><Relationship Id="rId97" Type="http://schemas.openxmlformats.org/officeDocument/2006/relationships/hyperlink" Target="https://lit.link/sereinrain" TargetMode="External"/><Relationship Id="rId120" Type="http://schemas.openxmlformats.org/officeDocument/2006/relationships/hyperlink" Target="https://bowlroll.net/user/253605" TargetMode="External"/><Relationship Id="rId141" Type="http://schemas.openxmlformats.org/officeDocument/2006/relationships/hyperlink" Target="https://www.mackhouse-soft.com/" TargetMode="External"/><Relationship Id="rId7" Type="http://schemas.openxmlformats.org/officeDocument/2006/relationships/hyperlink" Target="https://seirentoybox.jimdofree.com/" TargetMode="External"/><Relationship Id="rId162" Type="http://schemas.openxmlformats.org/officeDocument/2006/relationships/hyperlink" Target="https://suukedayo.wixsite.com/shiawasefairu" TargetMode="External"/><Relationship Id="rId183" Type="http://schemas.openxmlformats.org/officeDocument/2006/relationships/hyperlink" Target="https://yautau.wixsite.com/0909" TargetMode="External"/><Relationship Id="rId218" Type="http://schemas.openxmlformats.org/officeDocument/2006/relationships/hyperlink" Target="https://www.canon-voice.com/" TargetMode="External"/><Relationship Id="rId239" Type="http://schemas.openxmlformats.org/officeDocument/2006/relationships/hyperlink" Target="https://zaregotohitori.wixsite.com/ritsudokishidoku" TargetMode="External"/><Relationship Id="rId250" Type="http://schemas.openxmlformats.org/officeDocument/2006/relationships/hyperlink" Target="https://abiencearray.carrd.co/" TargetMode="External"/><Relationship Id="rId271" Type="http://schemas.openxmlformats.org/officeDocument/2006/relationships/hyperlink" Target="https://mitoristu.wixsite.com/kousaibako" TargetMode="External"/><Relationship Id="rId292" Type="http://schemas.openxmlformats.org/officeDocument/2006/relationships/hyperlink" Target="https://ameutaulii.wixsite.com/telepathycapsule" TargetMode="External"/><Relationship Id="rId306" Type="http://schemas.openxmlformats.org/officeDocument/2006/relationships/hyperlink" Target="https://arujinesarasa.wixsite.com/official" TargetMode="External"/><Relationship Id="rId24" Type="http://schemas.openxmlformats.org/officeDocument/2006/relationships/hyperlink" Target="https://kakokyu102krbs.wixsite.com/greenmilky" TargetMode="External"/><Relationship Id="rId45" Type="http://schemas.openxmlformats.org/officeDocument/2006/relationships/hyperlink" Target="https://utauudon.wixsite.com/origamisyokudou" TargetMode="External"/><Relationship Id="rId66" Type="http://schemas.openxmlformats.org/officeDocument/2006/relationships/hyperlink" Target="https://mareffys.wixsite.com/lalo" TargetMode="External"/><Relationship Id="rId87" Type="http://schemas.openxmlformats.org/officeDocument/2006/relationships/hyperlink" Target="https://mechanicalgirl.jp/" TargetMode="External"/><Relationship Id="rId110" Type="http://schemas.openxmlformats.org/officeDocument/2006/relationships/hyperlink" Target="https://ne510channel.wixsite.com/website" TargetMode="External"/><Relationship Id="rId131" Type="http://schemas.openxmlformats.org/officeDocument/2006/relationships/hyperlink" Target="https://mebisnori.wixsite.com/nori-mebis" TargetMode="External"/><Relationship Id="rId152" Type="http://schemas.openxmlformats.org/officeDocument/2006/relationships/hyperlink" Target="https://ma2bana7.wixsite.com/sssr" TargetMode="External"/><Relationship Id="rId173" Type="http://schemas.openxmlformats.org/officeDocument/2006/relationships/hyperlink" Target="https://yukimiyashimusho.jimdofree.com/" TargetMode="External"/><Relationship Id="rId194" Type="http://schemas.openxmlformats.org/officeDocument/2006/relationships/hyperlink" Target="https://sites.google.com/view/report1023" TargetMode="External"/><Relationship Id="rId208" Type="http://schemas.openxmlformats.org/officeDocument/2006/relationships/hyperlink" Target="https://sites.google.com/view/fullmoon-ruro" TargetMode="External"/><Relationship Id="rId229" Type="http://schemas.openxmlformats.org/officeDocument/2006/relationships/hyperlink" Target="https://hinagitsune-utau.wixsite.com/utaukokorone" TargetMode="External"/><Relationship Id="rId240" Type="http://schemas.openxmlformats.org/officeDocument/2006/relationships/hyperlink" Target="https://long-sleeper.net/" TargetMode="External"/><Relationship Id="rId261" Type="http://schemas.openxmlformats.org/officeDocument/2006/relationships/hyperlink" Target="https://mackerel178.wixsite.com/yuusensuizokukan" TargetMode="External"/><Relationship Id="rId14" Type="http://schemas.openxmlformats.org/officeDocument/2006/relationships/hyperlink" Target="https://tsukimiya0728.wixsite.com/silverbullet" TargetMode="External"/><Relationship Id="rId35" Type="http://schemas.openxmlformats.org/officeDocument/2006/relationships/hyperlink" Target="https://cloudcatch1224.wixsite.com/godsfoot" TargetMode="External"/><Relationship Id="rId56" Type="http://schemas.openxmlformats.org/officeDocument/2006/relationships/hyperlink" Target="https://lit.link/sereinrain" TargetMode="External"/><Relationship Id="rId77" Type="http://schemas.openxmlformats.org/officeDocument/2006/relationships/hyperlink" Target="https://kasaneteto.jp/" TargetMode="External"/><Relationship Id="rId100" Type="http://schemas.openxmlformats.org/officeDocument/2006/relationships/hyperlink" Target="https://nanarabo626.studio.site/" TargetMode="External"/><Relationship Id="rId282" Type="http://schemas.openxmlformats.org/officeDocument/2006/relationships/hyperlink" Target="https://toooru421.booth.pm/items/8151791" TargetMode="External"/><Relationship Id="rId8" Type="http://schemas.openxmlformats.org/officeDocument/2006/relationships/hyperlink" Target="https://kaitoramma.chu.jp/" TargetMode="External"/><Relationship Id="rId98" Type="http://schemas.openxmlformats.org/officeDocument/2006/relationships/hyperlink" Target="https://lit.link/sereinrain" TargetMode="External"/><Relationship Id="rId121" Type="http://schemas.openxmlformats.org/officeDocument/2006/relationships/hyperlink" Target="https://kairi0utau.wixsite.com/arugamamanouta" TargetMode="External"/><Relationship Id="rId142" Type="http://schemas.openxmlformats.org/officeDocument/2006/relationships/hyperlink" Target="https://www.mackhouse-soft.com/" TargetMode="External"/><Relationship Id="rId163" Type="http://schemas.openxmlformats.org/officeDocument/2006/relationships/hyperlink" Target="https://suukedayo.wixsite.com/shiawasefairu" TargetMode="External"/><Relationship Id="rId184" Type="http://schemas.openxmlformats.org/officeDocument/2006/relationships/hyperlink" Target="https://yautau.wixsite.com/0909" TargetMode="External"/><Relationship Id="rId219" Type="http://schemas.openxmlformats.org/officeDocument/2006/relationships/hyperlink" Target="https://renrivoice.wixsite.com/renri-voice" TargetMode="External"/><Relationship Id="rId230" Type="http://schemas.openxmlformats.org/officeDocument/2006/relationships/hyperlink" Target="https://hznonoka.wixsite.com/utau" TargetMode="External"/><Relationship Id="rId251" Type="http://schemas.openxmlformats.org/officeDocument/2006/relationships/hyperlink" Target="https://sites.google.com/view/ronku99" TargetMode="External"/><Relationship Id="rId25" Type="http://schemas.openxmlformats.org/officeDocument/2006/relationships/hyperlink" Target="https://yukiichik.wixsite.com/kokofool/utau" TargetMode="External"/><Relationship Id="rId46" Type="http://schemas.openxmlformats.org/officeDocument/2006/relationships/hyperlink" Target="https://utauudon.wixsite.com/origamisyokudou" TargetMode="External"/><Relationship Id="rId67" Type="http://schemas.openxmlformats.org/officeDocument/2006/relationships/hyperlink" Target="https://sabaneko.amebaownd.com/" TargetMode="External"/><Relationship Id="rId272" Type="http://schemas.openxmlformats.org/officeDocument/2006/relationships/hyperlink" Target="https://mitoristu.wixsite.com/kousaibako" TargetMode="External"/><Relationship Id="rId293" Type="http://schemas.openxmlformats.org/officeDocument/2006/relationships/hyperlink" Target="https://ameutaulii.wixsite.com/telepathycapsule" TargetMode="External"/><Relationship Id="rId307" Type="http://schemas.openxmlformats.org/officeDocument/2006/relationships/hyperlink" Target="https://www.mizuiro.info/amagaelu" TargetMode="External"/><Relationship Id="rId88" Type="http://schemas.openxmlformats.org/officeDocument/2006/relationships/hyperlink" Target="https://utausuzuminnya.jimdofree.com/" TargetMode="External"/><Relationship Id="rId111" Type="http://schemas.openxmlformats.org/officeDocument/2006/relationships/hyperlink" Target="https://ne510channel.wixsite.com/website" TargetMode="External"/><Relationship Id="rId132" Type="http://schemas.openxmlformats.org/officeDocument/2006/relationships/hyperlink" Target="https://mashimo0330.wixsite.com/awaka-utau" TargetMode="External"/><Relationship Id="rId153" Type="http://schemas.openxmlformats.org/officeDocument/2006/relationships/hyperlink" Target="https://bindumechan.wixsite.com/shigure222" TargetMode="External"/><Relationship Id="rId174" Type="http://schemas.openxmlformats.org/officeDocument/2006/relationships/hyperlink" Target="https://yukimiyashimusho.jimdofree.com/" TargetMode="External"/><Relationship Id="rId195" Type="http://schemas.openxmlformats.org/officeDocument/2006/relationships/hyperlink" Target="https://osomatsu-poid.wixsite.com/konari-san-chi" TargetMode="External"/><Relationship Id="rId209" Type="http://schemas.openxmlformats.org/officeDocument/2006/relationships/hyperlink" Target="https://bowlroll.net/user/934800" TargetMode="External"/><Relationship Id="rId220" Type="http://schemas.openxmlformats.org/officeDocument/2006/relationships/hyperlink" Target="https://makaron3264.wixsite.com/utauotoohana" TargetMode="External"/><Relationship Id="rId241" Type="http://schemas.openxmlformats.org/officeDocument/2006/relationships/hyperlink" Target="https://todosho1192.wixsite.com/my-site-3" TargetMode="External"/><Relationship Id="rId15" Type="http://schemas.openxmlformats.org/officeDocument/2006/relationships/hyperlink" Target="http://park2.wakwak.com/~mbox/vo/hk/hkfre.htm" TargetMode="External"/><Relationship Id="rId36" Type="http://schemas.openxmlformats.org/officeDocument/2006/relationships/hyperlink" Target="https://torinosu-hikikomori.jimdofree.com/" TargetMode="External"/><Relationship Id="rId57" Type="http://schemas.openxmlformats.org/officeDocument/2006/relationships/hyperlink" Target="https://lit.link/sereinrain" TargetMode="External"/><Relationship Id="rId262" Type="http://schemas.openxmlformats.org/officeDocument/2006/relationships/hyperlink" Target="https://mackerel178.wixsite.com/yuusensuizokukan" TargetMode="External"/><Relationship Id="rId283" Type="http://schemas.openxmlformats.org/officeDocument/2006/relationships/hyperlink" Target="https://strife-horizon.weebly.com/" TargetMode="External"/><Relationship Id="rId78" Type="http://schemas.openxmlformats.org/officeDocument/2006/relationships/hyperlink" Target="https://kasaneteto.jp/" TargetMode="External"/><Relationship Id="rId99" Type="http://schemas.openxmlformats.org/officeDocument/2006/relationships/hyperlink" Target="https://nanarabo626.studio.site/" TargetMode="External"/><Relationship Id="rId101" Type="http://schemas.openxmlformats.org/officeDocument/2006/relationships/hyperlink" Target="https://sites.google.com/view/fukuma-utau/top" TargetMode="External"/><Relationship Id="rId122" Type="http://schemas.openxmlformats.org/officeDocument/2006/relationships/hyperlink" Target="https://mitoristu.wixsite.com/kousaibako" TargetMode="External"/><Relationship Id="rId143" Type="http://schemas.openxmlformats.org/officeDocument/2006/relationships/hyperlink" Target="https://grskmot8.wixsite.com/kdarock" TargetMode="External"/><Relationship Id="rId164" Type="http://schemas.openxmlformats.org/officeDocument/2006/relationships/hyperlink" Target="https://suukedayo.wixsite.com/shiawasefairu" TargetMode="External"/><Relationship Id="rId185" Type="http://schemas.openxmlformats.org/officeDocument/2006/relationships/hyperlink" Target="https://yautau.wixsite.com/0909" TargetMode="External"/><Relationship Id="rId9" Type="http://schemas.openxmlformats.org/officeDocument/2006/relationships/hyperlink" Target="https://sysynmnm.wixsite.com/oyasumi-zzz" TargetMode="External"/><Relationship Id="rId210" Type="http://schemas.openxmlformats.org/officeDocument/2006/relationships/hyperlink" Target="https://lenskkpb.wixsite.com/len-sakaki-official" TargetMode="External"/><Relationship Id="rId26" Type="http://schemas.openxmlformats.org/officeDocument/2006/relationships/hyperlink" Target="https://yukiichik.wixsite.com/kokofool/utau" TargetMode="External"/><Relationship Id="rId231" Type="http://schemas.openxmlformats.org/officeDocument/2006/relationships/hyperlink" Target="https://jiwajiwakirinn.wixsite.com/sakurada" TargetMode="External"/><Relationship Id="rId252" Type="http://schemas.openxmlformats.org/officeDocument/2006/relationships/hyperlink" Target="https://twisibi.notion.site/1e947481a8ac80a59110fa6b43bf6319" TargetMode="External"/><Relationship Id="rId273" Type="http://schemas.openxmlformats.org/officeDocument/2006/relationships/hyperlink" Target="https://mitoristu.wixsite.com/kousaibako" TargetMode="External"/><Relationship Id="rId294" Type="http://schemas.openxmlformats.org/officeDocument/2006/relationships/hyperlink" Target="https://bowlroll.net/user/980255" TargetMode="External"/><Relationship Id="rId308" Type="http://schemas.openxmlformats.org/officeDocument/2006/relationships/hyperlink" Target="https://sites.google.com/view/arcobaleno-utau/home" TargetMode="External"/><Relationship Id="rId47" Type="http://schemas.openxmlformats.org/officeDocument/2006/relationships/hyperlink" Target="https://nichikuniku1129063.wixsite.com/website-3" TargetMode="External"/><Relationship Id="rId68" Type="http://schemas.openxmlformats.org/officeDocument/2006/relationships/hyperlink" Target="https://666not.wixsite.com/partition-voyage" TargetMode="External"/><Relationship Id="rId89" Type="http://schemas.openxmlformats.org/officeDocument/2006/relationships/hyperlink" Target="https://utausuzuminnya.jimdofree.com/" TargetMode="External"/><Relationship Id="rId112" Type="http://schemas.openxmlformats.org/officeDocument/2006/relationships/hyperlink" Target="https://bowlroll.net/file/336695" TargetMode="External"/><Relationship Id="rId133" Type="http://schemas.openxmlformats.org/officeDocument/2006/relationships/hyperlink" Target="https://mashimo0330.wixsite.com/awaka-utau" TargetMode="External"/><Relationship Id="rId154" Type="http://schemas.openxmlformats.org/officeDocument/2006/relationships/hyperlink" Target="https://bowlroll.net/user/374679" TargetMode="External"/><Relationship Id="rId175" Type="http://schemas.openxmlformats.org/officeDocument/2006/relationships/hyperlink" Target="https://yukimiyashimusho.jimdofree.com/" TargetMode="External"/><Relationship Id="rId196" Type="http://schemas.openxmlformats.org/officeDocument/2006/relationships/hyperlink" Target="https://osomatsu-poid.wixsite.com/konari-san-chi" TargetMode="External"/><Relationship Id="rId200" Type="http://schemas.openxmlformats.org/officeDocument/2006/relationships/hyperlink" Target="https://bowlroll.net/user/367777" TargetMode="External"/><Relationship Id="rId16" Type="http://schemas.openxmlformats.org/officeDocument/2006/relationships/hyperlink" Target="http://park2.wakwak.com/~mbox/vo/hk/hkfre.htm" TargetMode="External"/><Relationship Id="rId221" Type="http://schemas.openxmlformats.org/officeDocument/2006/relationships/hyperlink" Target="https://maybeanglo0mochi.wixsite.com/mochiyanosouko" TargetMode="External"/><Relationship Id="rId242" Type="http://schemas.openxmlformats.org/officeDocument/2006/relationships/hyperlink" Target="https://todosho1192.wixsite.com/my-site-3" TargetMode="External"/><Relationship Id="rId263" Type="http://schemas.openxmlformats.org/officeDocument/2006/relationships/hyperlink" Target="https://cgamy40.wixsite.com/tsuraiuroyoi" TargetMode="External"/><Relationship Id="rId284" Type="http://schemas.openxmlformats.org/officeDocument/2006/relationships/hyperlink" Target="https://bowlroll.net/user/946776" TargetMode="External"/><Relationship Id="rId37" Type="http://schemas.openxmlformats.org/officeDocument/2006/relationships/hyperlink" Target="https://torinosu-hikikomori.jimdofree.com/" TargetMode="External"/><Relationship Id="rId58" Type="http://schemas.openxmlformats.org/officeDocument/2006/relationships/hyperlink" Target="https://chunyinhui021.wixsite.com/mutyuusaisei" TargetMode="External"/><Relationship Id="rId79" Type="http://schemas.openxmlformats.org/officeDocument/2006/relationships/hyperlink" Target="http://lllll17.web.fc2.com/index.html" TargetMode="External"/><Relationship Id="rId102" Type="http://schemas.openxmlformats.org/officeDocument/2006/relationships/hyperlink" Target="https://bowlroll.net/user/973681" TargetMode="External"/><Relationship Id="rId123" Type="http://schemas.openxmlformats.org/officeDocument/2006/relationships/hyperlink" Target="https://mitoristu.wixsite.com/kousaibako" TargetMode="External"/><Relationship Id="rId144" Type="http://schemas.openxmlformats.org/officeDocument/2006/relationships/hyperlink" Target="https://shiromeneko162.wixsite.com/shiromean-official" TargetMode="External"/><Relationship Id="rId90" Type="http://schemas.openxmlformats.org/officeDocument/2006/relationships/hyperlink" Target="https://bellsworks.wixsite.com/bellsworks" TargetMode="External"/><Relationship Id="rId165" Type="http://schemas.openxmlformats.org/officeDocument/2006/relationships/hyperlink" Target="https://ameutaulii.wixsite.com/telepathycapsule" TargetMode="External"/><Relationship Id="rId186" Type="http://schemas.openxmlformats.org/officeDocument/2006/relationships/hyperlink" Target="https://yautau.wixsite.com/0909" TargetMode="External"/><Relationship Id="rId211" Type="http://schemas.openxmlformats.org/officeDocument/2006/relationships/hyperlink" Target="https://gardanana.neocities.org/" TargetMode="External"/><Relationship Id="rId232" Type="http://schemas.openxmlformats.org/officeDocument/2006/relationships/hyperlink" Target="https://kairi0utau.wixsite.com/arugamamanouta" TargetMode="External"/><Relationship Id="rId253" Type="http://schemas.openxmlformats.org/officeDocument/2006/relationships/hyperlink" Target="https://m.blog.naver.com/string_legacy/224045016399" TargetMode="External"/><Relationship Id="rId274" Type="http://schemas.openxmlformats.org/officeDocument/2006/relationships/hyperlink" Target="https://mitoristu.wixsite.com/kousaibako" TargetMode="External"/><Relationship Id="rId295" Type="http://schemas.openxmlformats.org/officeDocument/2006/relationships/hyperlink" Target="https://bowlroll.net/user/980255" TargetMode="External"/><Relationship Id="rId309" Type="http://schemas.openxmlformats.org/officeDocument/2006/relationships/table" Target="../tables/table1.xml"/><Relationship Id="rId27" Type="http://schemas.openxmlformats.org/officeDocument/2006/relationships/hyperlink" Target="https://ichistart.wixsite.com/official/respiaker" TargetMode="External"/><Relationship Id="rId48" Type="http://schemas.openxmlformats.org/officeDocument/2006/relationships/hyperlink" Target="https://nichikuniku1129063.wixsite.com/website-3" TargetMode="External"/><Relationship Id="rId69" Type="http://schemas.openxmlformats.org/officeDocument/2006/relationships/hyperlink" Target="https://inudanuki.wixsite.com/gottaniomotyabako" TargetMode="External"/><Relationship Id="rId113" Type="http://schemas.openxmlformats.org/officeDocument/2006/relationships/hyperlink" Target="https://bowlroll.net/user/700434" TargetMode="External"/><Relationship Id="rId134" Type="http://schemas.openxmlformats.org/officeDocument/2006/relationships/hyperlink" Target="https://mikawayanerutoko.jimdofree.com/" TargetMode="External"/><Relationship Id="rId80" Type="http://schemas.openxmlformats.org/officeDocument/2006/relationships/hyperlink" Target="http://lllll17.web.fc2.com/index.html" TargetMode="External"/><Relationship Id="rId155" Type="http://schemas.openxmlformats.org/officeDocument/2006/relationships/hyperlink" Target="https://bowlroll.net/user/374679" TargetMode="External"/><Relationship Id="rId176" Type="http://schemas.openxmlformats.org/officeDocument/2006/relationships/hyperlink" Target="https://yukimiyashimusho.jimdofree.com/" TargetMode="External"/><Relationship Id="rId197" Type="http://schemas.openxmlformats.org/officeDocument/2006/relationships/hyperlink" Target="https://osomatsu-poid.wixsite.com/konari-san-chi" TargetMode="External"/><Relationship Id="rId201" Type="http://schemas.openxmlformats.org/officeDocument/2006/relationships/hyperlink" Target="https://ahogepucyi.wixsite.com/zannsyuutau" TargetMode="External"/><Relationship Id="rId222" Type="http://schemas.openxmlformats.org/officeDocument/2006/relationships/hyperlink" Target="https://666not.wixsite.com/partition-voyage" TargetMode="External"/><Relationship Id="rId243" Type="http://schemas.openxmlformats.org/officeDocument/2006/relationships/hyperlink" Target="https://bowlroll.net/user/992955" TargetMode="External"/><Relationship Id="rId264" Type="http://schemas.openxmlformats.org/officeDocument/2006/relationships/hyperlink" Target="https://komagatabone.fc2.page/" TargetMode="External"/><Relationship Id="rId285" Type="http://schemas.openxmlformats.org/officeDocument/2006/relationships/hyperlink" Target="https://bowlroll.net/user/946776" TargetMode="External"/><Relationship Id="rId17" Type="http://schemas.openxmlformats.org/officeDocument/2006/relationships/hyperlink" Target="https://bellsworks.wixsite.com/bellsworks" TargetMode="External"/><Relationship Id="rId38" Type="http://schemas.openxmlformats.org/officeDocument/2006/relationships/hyperlink" Target="https://bowlroll.net/user/852117/files" TargetMode="External"/><Relationship Id="rId59" Type="http://schemas.openxmlformats.org/officeDocument/2006/relationships/hyperlink" Target="https://nananasyrup.wixsite.com/13kka" TargetMode="External"/><Relationship Id="rId103" Type="http://schemas.openxmlformats.org/officeDocument/2006/relationships/hyperlink" Target="https://bowlroll.net/user/973681" TargetMode="External"/><Relationship Id="rId124" Type="http://schemas.openxmlformats.org/officeDocument/2006/relationships/hyperlink" Target="https://hznonoka.wixsite.com/utau" TargetMode="External"/><Relationship Id="rId70" Type="http://schemas.openxmlformats.org/officeDocument/2006/relationships/hyperlink" Target="https://lonelyapple011.wixsite.com/nadenade" TargetMode="External"/><Relationship Id="rId91" Type="http://schemas.openxmlformats.org/officeDocument/2006/relationships/hyperlink" Target="https://bellsworks.wixsite.com/bellsworks" TargetMode="External"/><Relationship Id="rId145" Type="http://schemas.openxmlformats.org/officeDocument/2006/relationships/hyperlink" Target="https://shiromeneko162.wixsite.com/shiromean-official" TargetMode="External"/><Relationship Id="rId166" Type="http://schemas.openxmlformats.org/officeDocument/2006/relationships/hyperlink" Target="https://bowlroll.net/user/852117/files" TargetMode="External"/><Relationship Id="rId187" Type="http://schemas.openxmlformats.org/officeDocument/2006/relationships/hyperlink" Target="https://yautau.wixsite.com/0909" TargetMode="External"/><Relationship Id="rId1" Type="http://schemas.openxmlformats.org/officeDocument/2006/relationships/hyperlink" Target="https://seirentoybox.jimdofree.com/" TargetMode="External"/><Relationship Id="rId212" Type="http://schemas.openxmlformats.org/officeDocument/2006/relationships/hyperlink" Target="https://inumokoco.wixsite.com/sleep-church" TargetMode="External"/><Relationship Id="rId233" Type="http://schemas.openxmlformats.org/officeDocument/2006/relationships/hyperlink" Target="https://kaitoramma.chu.jp/" TargetMode="External"/><Relationship Id="rId254" Type="http://schemas.openxmlformats.org/officeDocument/2006/relationships/hyperlink" Target="https://askdance.wixsite.com/monitor-room/monitor-room" TargetMode="External"/><Relationship Id="rId28" Type="http://schemas.openxmlformats.org/officeDocument/2006/relationships/hyperlink" Target="https://ichistart.wixsite.com/official/respiaker" TargetMode="External"/><Relationship Id="rId49" Type="http://schemas.openxmlformats.org/officeDocument/2006/relationships/hyperlink" Target="https://nichikuniku1129063.wixsite.com/website-3" TargetMode="External"/><Relationship Id="rId114" Type="http://schemas.openxmlformats.org/officeDocument/2006/relationships/hyperlink" Target="https://bowlroll.net/user/700434" TargetMode="External"/><Relationship Id="rId275" Type="http://schemas.openxmlformats.org/officeDocument/2006/relationships/hyperlink" Target="https://mitoristu.wixsite.com/kousaibako" TargetMode="External"/><Relationship Id="rId296" Type="http://schemas.openxmlformats.org/officeDocument/2006/relationships/hyperlink" Target="https://bowlroll.net/user/980255" TargetMode="External"/><Relationship Id="rId300" Type="http://schemas.openxmlformats.org/officeDocument/2006/relationships/hyperlink" Target="https://lclcofficial6565.wixsite.com/lclc" TargetMode="External"/><Relationship Id="rId60" Type="http://schemas.openxmlformats.org/officeDocument/2006/relationships/hyperlink" Target="https://nananasyrup.wixsite.com/13kka" TargetMode="External"/><Relationship Id="rId81" Type="http://schemas.openxmlformats.org/officeDocument/2006/relationships/hyperlink" Target="https://keineron.wixsite.com/index" TargetMode="External"/><Relationship Id="rId135" Type="http://schemas.openxmlformats.org/officeDocument/2006/relationships/hyperlink" Target="https://teapartyandmugshelf.wixsite.com/my-site-1" TargetMode="External"/><Relationship Id="rId156" Type="http://schemas.openxmlformats.org/officeDocument/2006/relationships/hyperlink" Target="https://bindumechan.wixsite.com/koinearuutau" TargetMode="External"/><Relationship Id="rId177" Type="http://schemas.openxmlformats.org/officeDocument/2006/relationships/hyperlink" Target="https://yukimiyashimusho.jimdofree.com/" TargetMode="External"/><Relationship Id="rId198" Type="http://schemas.openxmlformats.org/officeDocument/2006/relationships/hyperlink" Target="https://hinagitsune-utau.wixsite.com/utaukokorone" TargetMode="External"/><Relationship Id="rId202" Type="http://schemas.openxmlformats.org/officeDocument/2006/relationships/hyperlink" Target="https://okome32500.wixsite.com/onekomochi" TargetMode="External"/><Relationship Id="rId223" Type="http://schemas.openxmlformats.org/officeDocument/2006/relationships/hyperlink" Target="https://flowerrocklove.wixsite.com/twilight-crisis" TargetMode="External"/><Relationship Id="rId244" Type="http://schemas.openxmlformats.org/officeDocument/2006/relationships/hyperlink" Target="https://bowlroll.net/user/992955" TargetMode="External"/><Relationship Id="rId18" Type="http://schemas.openxmlformats.org/officeDocument/2006/relationships/hyperlink" Target="https://bellsworks.wixsite.com/bellsworks" TargetMode="External"/><Relationship Id="rId39" Type="http://schemas.openxmlformats.org/officeDocument/2006/relationships/hyperlink" Target="https://bowlroll.net/user/852117/files" TargetMode="External"/><Relationship Id="rId265" Type="http://schemas.openxmlformats.org/officeDocument/2006/relationships/hyperlink" Target="https://vividseekers.utau.sorairomarch.com/" TargetMode="External"/><Relationship Id="rId286" Type="http://schemas.openxmlformats.org/officeDocument/2006/relationships/hyperlink" Target="https://utau.kurotsuka.xyz/" TargetMode="External"/><Relationship Id="rId50" Type="http://schemas.openxmlformats.org/officeDocument/2006/relationships/hyperlink" Target="https://nichikuniku1129063.wixsite.com/website-3" TargetMode="External"/><Relationship Id="rId104" Type="http://schemas.openxmlformats.org/officeDocument/2006/relationships/hyperlink" Target="https://bowlroll.net/user/966729" TargetMode="External"/><Relationship Id="rId125" Type="http://schemas.openxmlformats.org/officeDocument/2006/relationships/hyperlink" Target="https://kuroi9603.wixsite.com/delu-lab-south" TargetMode="External"/><Relationship Id="rId146" Type="http://schemas.openxmlformats.org/officeDocument/2006/relationships/hyperlink" Target="https://t7ttttttt.wixsite.com/t7-re" TargetMode="External"/><Relationship Id="rId167" Type="http://schemas.openxmlformats.org/officeDocument/2006/relationships/hyperlink" Target="https://bowlroll.net/user/980255/files" TargetMode="External"/><Relationship Id="rId188" Type="http://schemas.openxmlformats.org/officeDocument/2006/relationships/hyperlink" Target="https://yautau.wixsite.com/0909" TargetMode="External"/><Relationship Id="rId71" Type="http://schemas.openxmlformats.org/officeDocument/2006/relationships/hyperlink" Target="https://amiseniamnu.wixsite.com/amisenia" TargetMode="External"/><Relationship Id="rId92" Type="http://schemas.openxmlformats.org/officeDocument/2006/relationships/hyperlink" Target="https://bellsworks.wixsite.com/bellsworks" TargetMode="External"/><Relationship Id="rId213" Type="http://schemas.openxmlformats.org/officeDocument/2006/relationships/hyperlink" Target="https://keitaiware.com/" TargetMode="External"/><Relationship Id="rId234" Type="http://schemas.openxmlformats.org/officeDocument/2006/relationships/hyperlink" Target="https://kakokyu102krbs.wixsite.com/greenmilky" TargetMode="External"/><Relationship Id="rId2" Type="http://schemas.openxmlformats.org/officeDocument/2006/relationships/hyperlink" Target="https://seirentoybox.jimdofree.com/" TargetMode="External"/><Relationship Id="rId29" Type="http://schemas.openxmlformats.org/officeDocument/2006/relationships/hyperlink" Target="https://suihankinonaka.wixsite.com/my-site-1" TargetMode="External"/><Relationship Id="rId255" Type="http://schemas.openxmlformats.org/officeDocument/2006/relationships/hyperlink" Target="https://chaka000.wixsite.com/chaka" TargetMode="External"/><Relationship Id="rId276" Type="http://schemas.openxmlformats.org/officeDocument/2006/relationships/hyperlink" Target="https://mitoristu.wixsite.com/kousaibako" TargetMode="External"/><Relationship Id="rId297" Type="http://schemas.openxmlformats.org/officeDocument/2006/relationships/hyperlink" Target="https://bowlroll.net/user/980255" TargetMode="External"/><Relationship Id="rId40" Type="http://schemas.openxmlformats.org/officeDocument/2006/relationships/hyperlink" Target="https://rinnneuta.wixsite.com/my-site-2?s=09" TargetMode="External"/><Relationship Id="rId115" Type="http://schemas.openxmlformats.org/officeDocument/2006/relationships/hyperlink" Target="https://lit.link/lilyHaruzion" TargetMode="External"/><Relationship Id="rId136" Type="http://schemas.openxmlformats.org/officeDocument/2006/relationships/hyperlink" Target="https://okome32500.wixsite.com/onekomochi" TargetMode="External"/><Relationship Id="rId157" Type="http://schemas.openxmlformats.org/officeDocument/2006/relationships/hyperlink" Target="https://1996waishatu1002.wixsite.com/y-to-r-to-w-to" TargetMode="External"/><Relationship Id="rId178" Type="http://schemas.openxmlformats.org/officeDocument/2006/relationships/hyperlink" Target="https://yukimiyashimusho.jimdofree.com/" TargetMode="External"/><Relationship Id="rId301" Type="http://schemas.openxmlformats.org/officeDocument/2006/relationships/hyperlink" Target="https://kagerou009.hatenablog.com/" TargetMode="External"/><Relationship Id="rId61" Type="http://schemas.openxmlformats.org/officeDocument/2006/relationships/hyperlink" Target="https://kuroi9603.wixsite.com/delu-lab-south" TargetMode="External"/><Relationship Id="rId82" Type="http://schemas.openxmlformats.org/officeDocument/2006/relationships/hyperlink" Target="https://nyaruru.wixsite.com/s-p-w" TargetMode="External"/><Relationship Id="rId199" Type="http://schemas.openxmlformats.org/officeDocument/2006/relationships/hyperlink" Target="http://lunacalan.com/" TargetMode="External"/><Relationship Id="rId203" Type="http://schemas.openxmlformats.org/officeDocument/2006/relationships/hyperlink" Target="https://okome32500.wixsite.com/onekomochi" TargetMode="External"/><Relationship Id="rId19" Type="http://schemas.openxmlformats.org/officeDocument/2006/relationships/hyperlink" Target="https://bellsworks.wixsite.com/bellsworks" TargetMode="External"/><Relationship Id="rId224" Type="http://schemas.openxmlformats.org/officeDocument/2006/relationships/hyperlink" Target="https://ameutaulii.wixsite.com/telepathycapsule" TargetMode="External"/><Relationship Id="rId245" Type="http://schemas.openxmlformats.org/officeDocument/2006/relationships/hyperlink" Target="https://bowlroll.net/user/992955" TargetMode="External"/><Relationship Id="rId266" Type="http://schemas.openxmlformats.org/officeDocument/2006/relationships/hyperlink" Target="https://vividseekers.utau.sorairomarch.com/" TargetMode="External"/><Relationship Id="rId287" Type="http://schemas.openxmlformats.org/officeDocument/2006/relationships/hyperlink" Target="https://utau.kurotsuka.xyz/" TargetMode="External"/><Relationship Id="rId30" Type="http://schemas.openxmlformats.org/officeDocument/2006/relationships/hyperlink" Target="https://suihankinonaka.wixsite.com/my-site-1" TargetMode="External"/><Relationship Id="rId105" Type="http://schemas.openxmlformats.org/officeDocument/2006/relationships/hyperlink" Target="https://moqujc.wixsite.com/mqtop" TargetMode="External"/><Relationship Id="rId126" Type="http://schemas.openxmlformats.org/officeDocument/2006/relationships/hyperlink" Target="https://kuroi9603.wixsite.com/delu-lab-south" TargetMode="External"/><Relationship Id="rId147" Type="http://schemas.openxmlformats.org/officeDocument/2006/relationships/hyperlink" Target="https://t7ttttttt.wixsite.com/t7-re" TargetMode="External"/><Relationship Id="rId168" Type="http://schemas.openxmlformats.org/officeDocument/2006/relationships/hyperlink" Target="https://yukimiyashimusho.jimdofree.com/" TargetMode="External"/><Relationship Id="rId51" Type="http://schemas.openxmlformats.org/officeDocument/2006/relationships/hyperlink" Target="https://nichikuniku1129063.wixsite.com/website-3" TargetMode="External"/><Relationship Id="rId72" Type="http://schemas.openxmlformats.org/officeDocument/2006/relationships/hyperlink" Target="https://shinri517.wixsite.com/shinri0517" TargetMode="External"/><Relationship Id="rId93" Type="http://schemas.openxmlformats.org/officeDocument/2006/relationships/hyperlink" Target="https://bellsworks.wixsite.com/bellsworks" TargetMode="External"/><Relationship Id="rId189" Type="http://schemas.openxmlformats.org/officeDocument/2006/relationships/hyperlink" Target="https://yautau.wixsite.com/0909" TargetMode="External"/><Relationship Id="rId3" Type="http://schemas.openxmlformats.org/officeDocument/2006/relationships/hyperlink" Target="https://seirentoybox.jimdofree.com/" TargetMode="External"/><Relationship Id="rId214" Type="http://schemas.openxmlformats.org/officeDocument/2006/relationships/hyperlink" Target="https://keitaiware.com/" TargetMode="External"/><Relationship Id="rId235" Type="http://schemas.openxmlformats.org/officeDocument/2006/relationships/hyperlink" Target="https://mareffys.wixsite.com/lalo" TargetMode="External"/><Relationship Id="rId256" Type="http://schemas.openxmlformats.org/officeDocument/2006/relationships/hyperlink" Target="https://chunyinhui021.wixsite.com/mutyuusaisei" TargetMode="External"/><Relationship Id="rId277" Type="http://schemas.openxmlformats.org/officeDocument/2006/relationships/hyperlink" Target="https://vividseekers.utau.sorairomarch.com/" TargetMode="External"/><Relationship Id="rId298" Type="http://schemas.openxmlformats.org/officeDocument/2006/relationships/hyperlink" Target="https://bowlroll.net/user/980255" TargetMode="External"/><Relationship Id="rId116" Type="http://schemas.openxmlformats.org/officeDocument/2006/relationships/hyperlink" Target="https://inudanuki.wixsite.com/gottaniomotyabako" TargetMode="External"/><Relationship Id="rId137" Type="http://schemas.openxmlformats.org/officeDocument/2006/relationships/hyperlink" Target="https://zakrotsukumo.wixsite.com/utau-zerozero" TargetMode="External"/><Relationship Id="rId158" Type="http://schemas.openxmlformats.org/officeDocument/2006/relationships/hyperlink" Target="https://mouzhize.wixsite.com/utauwakusei?lang=ja" TargetMode="External"/><Relationship Id="rId302" Type="http://schemas.openxmlformats.org/officeDocument/2006/relationships/hyperlink" Target="https://lclcofficial6565.wixsite.com/lclc" TargetMode="External"/><Relationship Id="rId20" Type="http://schemas.openxmlformats.org/officeDocument/2006/relationships/hyperlink" Target="https://offlamingo21.wixsite.com/amato-seiun" TargetMode="External"/><Relationship Id="rId41" Type="http://schemas.openxmlformats.org/officeDocument/2006/relationships/hyperlink" Target="https://rinnneuta.wixsite.com/my-site-2?s=09" TargetMode="External"/><Relationship Id="rId62" Type="http://schemas.openxmlformats.org/officeDocument/2006/relationships/hyperlink" Target="https://sites.google.com/view/tokakobo" TargetMode="External"/><Relationship Id="rId83" Type="http://schemas.openxmlformats.org/officeDocument/2006/relationships/hyperlink" Target="https://kurukuru2suuzi.wixsite.com/kuzutokaze" TargetMode="External"/><Relationship Id="rId179" Type="http://schemas.openxmlformats.org/officeDocument/2006/relationships/hyperlink" Target="https://yukimiyashimusho.jimdofree.com/" TargetMode="External"/><Relationship Id="rId190" Type="http://schemas.openxmlformats.org/officeDocument/2006/relationships/hyperlink" Target="https://yautau.wixsite.com/0909" TargetMode="External"/><Relationship Id="rId204" Type="http://schemas.openxmlformats.org/officeDocument/2006/relationships/hyperlink" Target="https://hakutoujelly.booth.pm/items/6496885" TargetMode="External"/><Relationship Id="rId225" Type="http://schemas.openxmlformats.org/officeDocument/2006/relationships/hyperlink" Target="https://amiseniamnu.wixsite.com/amisenia" TargetMode="External"/><Relationship Id="rId246" Type="http://schemas.openxmlformats.org/officeDocument/2006/relationships/hyperlink" Target="https://bowlroll.net/user/992955" TargetMode="External"/><Relationship Id="rId267" Type="http://schemas.openxmlformats.org/officeDocument/2006/relationships/hyperlink" Target="https://bowlroll.net/user/946776" TargetMode="External"/><Relationship Id="rId288" Type="http://schemas.openxmlformats.org/officeDocument/2006/relationships/hyperlink" Target="https://ameutaulii.wixsite.com/telepathycapsule" TargetMode="External"/><Relationship Id="rId106" Type="http://schemas.openxmlformats.org/officeDocument/2006/relationships/hyperlink" Target="https://moqujc.wixsite.com/mqtop" TargetMode="External"/><Relationship Id="rId127" Type="http://schemas.openxmlformats.org/officeDocument/2006/relationships/hyperlink" Target="https://alceaakaza.wixsite.com/artkashic-uni-verse" TargetMode="External"/><Relationship Id="rId10" Type="http://schemas.openxmlformats.org/officeDocument/2006/relationships/hyperlink" Target="https://sysynmnm.wixsite.com/oyasumi-zzz" TargetMode="External"/><Relationship Id="rId31" Type="http://schemas.openxmlformats.org/officeDocument/2006/relationships/hyperlink" Target="https://itsuriutau.wixsite.com/kanadeshia" TargetMode="External"/><Relationship Id="rId52" Type="http://schemas.openxmlformats.org/officeDocument/2006/relationships/hyperlink" Target="https://tourist100f.wixsite.com/utakata-kosyo" TargetMode="External"/><Relationship Id="rId73" Type="http://schemas.openxmlformats.org/officeDocument/2006/relationships/hyperlink" Target="https://hosiyomi.jimdofree.com/" TargetMode="External"/><Relationship Id="rId94" Type="http://schemas.openxmlformats.org/officeDocument/2006/relationships/hyperlink" Target="https://nanyuanxiaojieji.wixsite.com/yuragine-kannsokujo" TargetMode="External"/><Relationship Id="rId148" Type="http://schemas.openxmlformats.org/officeDocument/2006/relationships/hyperlink" Target="https://bowlroll.net/file/333777" TargetMode="External"/><Relationship Id="rId169" Type="http://schemas.openxmlformats.org/officeDocument/2006/relationships/hyperlink" Target="https://yukimiyashimusho.jimdofree.com/" TargetMode="External"/><Relationship Id="rId4" Type="http://schemas.openxmlformats.org/officeDocument/2006/relationships/hyperlink" Target="https://seirentoybox.jimdofree.com/" TargetMode="External"/><Relationship Id="rId180" Type="http://schemas.openxmlformats.org/officeDocument/2006/relationships/hyperlink" Target="https://yukimiyashimusho.jimdofree.com/" TargetMode="External"/><Relationship Id="rId215" Type="http://schemas.openxmlformats.org/officeDocument/2006/relationships/hyperlink" Target="https://bowlroll.net/user/896336" TargetMode="External"/><Relationship Id="rId236" Type="http://schemas.openxmlformats.org/officeDocument/2006/relationships/hyperlink" Target="https://maybeanglo0mochi.wixsite.com/mochiyanosouko" TargetMode="External"/><Relationship Id="rId257" Type="http://schemas.openxmlformats.org/officeDocument/2006/relationships/hyperlink" Target="https://cmamizki.wixsite.com/edelstein" TargetMode="External"/><Relationship Id="rId278" Type="http://schemas.openxmlformats.org/officeDocument/2006/relationships/hyperlink" Target="https://vividseekers.utau.sorairomarch.com/" TargetMode="External"/><Relationship Id="rId303" Type="http://schemas.openxmlformats.org/officeDocument/2006/relationships/hyperlink" Target="https://lclcofficial6565.wixsite.com/lclc" TargetMode="External"/><Relationship Id="rId42" Type="http://schemas.openxmlformats.org/officeDocument/2006/relationships/hyperlink" Target="https://utaunanaproplus.wixsite.com/of-web" TargetMode="External"/><Relationship Id="rId84" Type="http://schemas.openxmlformats.org/officeDocument/2006/relationships/hyperlink" Target="https://kurukuru2suuzi.wixsite.com/kuzutokaze" TargetMode="External"/><Relationship Id="rId138" Type="http://schemas.openxmlformats.org/officeDocument/2006/relationships/hyperlink" Target="https://zakrotsukumo.wixsite.com/utau-zerozero" TargetMode="External"/><Relationship Id="rId191" Type="http://schemas.openxmlformats.org/officeDocument/2006/relationships/hyperlink" Target="https://sites.google.com/view/report1023" TargetMode="External"/><Relationship Id="rId205" Type="http://schemas.openxmlformats.org/officeDocument/2006/relationships/hyperlink" Target="https://torinosu-hikikomori.jimdofree.com/" TargetMode="External"/><Relationship Id="rId247" Type="http://schemas.openxmlformats.org/officeDocument/2006/relationships/hyperlink" Target="https://bowlroll.net/user/992955" TargetMode="External"/><Relationship Id="rId107" Type="http://schemas.openxmlformats.org/officeDocument/2006/relationships/hyperlink" Target="https://suihankinonaka.wixsite.com/my-site-1" TargetMode="External"/><Relationship Id="rId289" Type="http://schemas.openxmlformats.org/officeDocument/2006/relationships/hyperlink" Target="https://ameutaulii.wixsite.com/telepathycapsule" TargetMode="External"/><Relationship Id="rId11" Type="http://schemas.openxmlformats.org/officeDocument/2006/relationships/hyperlink" Target="http://park2.wakwak.com/~mbox/vo/hk/hkfre.htm" TargetMode="External"/><Relationship Id="rId53" Type="http://schemas.openxmlformats.org/officeDocument/2006/relationships/hyperlink" Target="https://tourist100f.wixsite.com/utakata-kosyo" TargetMode="External"/><Relationship Id="rId149" Type="http://schemas.openxmlformats.org/officeDocument/2006/relationships/hyperlink" Target="https://bowlroll.net/user/964602" TargetMode="External"/><Relationship Id="rId95" Type="http://schemas.openxmlformats.org/officeDocument/2006/relationships/hyperlink" Target="https://nanyuanxiaojieji.wixsite.com/yuragine-kannsokujo" TargetMode="External"/><Relationship Id="rId160" Type="http://schemas.openxmlformats.org/officeDocument/2006/relationships/hyperlink" Target="https://bowlroll.net/user/999132" TargetMode="External"/><Relationship Id="rId216" Type="http://schemas.openxmlformats.org/officeDocument/2006/relationships/hyperlink" Target="https://jiwajiwakirinn.wixsite.com/sakurada" TargetMode="External"/><Relationship Id="rId258" Type="http://schemas.openxmlformats.org/officeDocument/2006/relationships/hyperlink" Target="https://flowerrocklove.wixsite.com/twilight-crisis" TargetMode="External"/><Relationship Id="rId22" Type="http://schemas.openxmlformats.org/officeDocument/2006/relationships/hyperlink" Target="https://lit.link/nemukoneko" TargetMode="External"/><Relationship Id="rId64" Type="http://schemas.openxmlformats.org/officeDocument/2006/relationships/hyperlink" Target="https://minazukiringo.wixsite.com/amatsubu" TargetMode="External"/><Relationship Id="rId118" Type="http://schemas.openxmlformats.org/officeDocument/2006/relationships/hyperlink" Target="https://tomatoshop.studio.site/" TargetMode="External"/><Relationship Id="rId171" Type="http://schemas.openxmlformats.org/officeDocument/2006/relationships/hyperlink" Target="https://yukimiyashimusho.jimdofree.com/" TargetMode="External"/><Relationship Id="rId227" Type="http://schemas.openxmlformats.org/officeDocument/2006/relationships/hyperlink" Target="https://grskmot8.wixsite.com/kdarock" TargetMode="External"/><Relationship Id="rId269" Type="http://schemas.openxmlformats.org/officeDocument/2006/relationships/hyperlink" Target="https://seirentoybox.jimdofree.com/" TargetMode="External"/><Relationship Id="rId33" Type="http://schemas.openxmlformats.org/officeDocument/2006/relationships/hyperlink" Target="https://witchdoll.jimdofree.com/" TargetMode="External"/><Relationship Id="rId129" Type="http://schemas.openxmlformats.org/officeDocument/2006/relationships/hyperlink" Target="https://sites.google.com/view/qsuke-garden/home" TargetMode="External"/><Relationship Id="rId280" Type="http://schemas.openxmlformats.org/officeDocument/2006/relationships/hyperlink" Target="https://magnawitch.wixsite.com/seong-ah" TargetMode="External"/><Relationship Id="rId75" Type="http://schemas.openxmlformats.org/officeDocument/2006/relationships/hyperlink" Target="https://nanyuanxiaojieji.wixsite.com/yuragine-kannsokujo" TargetMode="External"/><Relationship Id="rId140" Type="http://schemas.openxmlformats.org/officeDocument/2006/relationships/hyperlink" Target="https://jnsea010.wixsite.com/kkamchoutau" TargetMode="External"/><Relationship Id="rId182" Type="http://schemas.openxmlformats.org/officeDocument/2006/relationships/hyperlink" Target="https://harujpg.wixsite.com/sanshoku" TargetMode="External"/><Relationship Id="rId6" Type="http://schemas.openxmlformats.org/officeDocument/2006/relationships/hyperlink" Target="https://seirentoybox.jimdofree.com/" TargetMode="External"/><Relationship Id="rId238" Type="http://schemas.openxmlformats.org/officeDocument/2006/relationships/hyperlink" Target="https://hinoyuzirenraku.wixsite.com/mu-neneo" TargetMode="External"/><Relationship Id="rId291" Type="http://schemas.openxmlformats.org/officeDocument/2006/relationships/hyperlink" Target="https://ameutaulii.wixsite.com/telepathycapsule" TargetMode="External"/><Relationship Id="rId305" Type="http://schemas.openxmlformats.org/officeDocument/2006/relationships/hyperlink" Target="https://pessieuph.wixsite.com/meusycaseuphori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E8EB-3C8D-4E6A-9E6F-612216DEE289}">
  <sheetPr codeName="Sheet1"/>
  <dimension ref="A1:X441"/>
  <sheetViews>
    <sheetView tabSelected="1" zoomScale="85" zoomScaleNormal="85" workbookViewId="0">
      <pane ySplit="1" topLeftCell="A20" activePane="bottomLeft" state="frozen"/>
      <selection activeCell="E1" sqref="E1"/>
      <selection pane="bottomLeft" activeCell="R441" sqref="R441"/>
    </sheetView>
  </sheetViews>
  <sheetFormatPr defaultColWidth="8.73046875" defaultRowHeight="20.149999999999999" customHeight="1" x14ac:dyDescent="0.35"/>
  <cols>
    <col min="1" max="1" width="6.86328125" style="20" bestFit="1" customWidth="1"/>
    <col min="2" max="2" width="23.9296875" style="23" bestFit="1" customWidth="1"/>
    <col min="3" max="3" width="15.265625" style="24" bestFit="1" customWidth="1"/>
    <col min="4" max="4" width="18.19921875" style="23" bestFit="1" customWidth="1"/>
    <col min="5" max="5" width="18.53125" style="23" bestFit="1" customWidth="1"/>
    <col min="6" max="6" width="45.46484375" style="23" bestFit="1" customWidth="1"/>
    <col min="7" max="7" width="17.1328125" style="23" bestFit="1" customWidth="1"/>
    <col min="8" max="11" width="17.1328125" style="23" customWidth="1"/>
    <col min="12" max="12" width="22.33203125" style="23" bestFit="1" customWidth="1"/>
    <col min="13" max="13" width="13.59765625" style="1" bestFit="1" customWidth="1"/>
    <col min="14" max="14" width="9.53125" style="1" bestFit="1" customWidth="1"/>
    <col min="15" max="15" width="42.86328125" style="24" hidden="1" customWidth="1"/>
    <col min="16" max="16" width="6.86328125" style="17" hidden="1" customWidth="1"/>
    <col min="17" max="17" width="10.53125" style="16" hidden="1" customWidth="1"/>
    <col min="18" max="18" width="9.53125" style="1" bestFit="1" customWidth="1"/>
    <col min="19" max="19" width="9.53125" style="24" hidden="1" customWidth="1"/>
    <col min="20" max="20" width="42.53125" style="23" bestFit="1" customWidth="1"/>
    <col min="21" max="21" width="22.6640625" style="23" bestFit="1" customWidth="1"/>
    <col min="22" max="22" width="24.9296875" style="23" bestFit="1" customWidth="1"/>
    <col min="23" max="23" width="25.265625" style="23" bestFit="1" customWidth="1"/>
    <col min="24" max="24" width="52.59765625" style="23" bestFit="1" customWidth="1"/>
    <col min="25" max="16384" width="8.73046875" style="23"/>
  </cols>
  <sheetData>
    <row r="1" spans="1:24" s="1" customFormat="1" ht="20.149999999999999" customHeight="1" x14ac:dyDescent="0.35">
      <c r="A1" s="2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1625</v>
      </c>
      <c r="H1" s="1" t="s">
        <v>1624</v>
      </c>
      <c r="I1" s="1" t="s">
        <v>1629</v>
      </c>
      <c r="J1" s="1" t="s">
        <v>1630</v>
      </c>
      <c r="K1" s="1" t="s">
        <v>1631</v>
      </c>
      <c r="L1" s="1" t="s">
        <v>1632</v>
      </c>
      <c r="M1" s="1" t="s">
        <v>1519</v>
      </c>
      <c r="N1" s="1" t="s">
        <v>713</v>
      </c>
      <c r="O1" s="1" t="s">
        <v>1336</v>
      </c>
      <c r="P1" s="17" t="s">
        <v>1337</v>
      </c>
      <c r="Q1" s="22" t="s">
        <v>773</v>
      </c>
      <c r="R1" s="1" t="s">
        <v>6</v>
      </c>
      <c r="S1" s="1" t="s">
        <v>774</v>
      </c>
      <c r="T1" s="1" t="s">
        <v>1550</v>
      </c>
      <c r="U1" s="1" t="s">
        <v>1551</v>
      </c>
      <c r="V1" s="1" t="s">
        <v>1552</v>
      </c>
      <c r="W1" s="1" t="s">
        <v>1553</v>
      </c>
      <c r="X1" s="1" t="s">
        <v>1554</v>
      </c>
    </row>
    <row r="2" spans="1:24" ht="20.149999999999999" customHeight="1" x14ac:dyDescent="0.35">
      <c r="A2" s="20">
        <v>1</v>
      </c>
      <c r="B2" s="23" t="str">
        <f>SUBSTITUTE(SUBSTITUTE(SUBSTITUTE(SUBSTITUTE(SUBSTITUTE(SUBSTITUTE(SUBSTITUTE(SUBSTITUTE(LOWER(テーブル1[[#This Row],[Name]])," ","-"),".","-"),"&amp;","-"),"_","-"),"・","-"),"=","-"),"--","-"),"--","-")</f>
        <v>akagane-fuyo</v>
      </c>
      <c r="C2" s="24" t="s">
        <v>1194</v>
      </c>
      <c r="D2" s="23" t="s">
        <v>213</v>
      </c>
      <c r="E2" s="23" t="s">
        <v>214</v>
      </c>
      <c r="F2" s="2" t="s">
        <v>215</v>
      </c>
      <c r="G2" s="23" t="s">
        <v>216</v>
      </c>
      <c r="H2" s="23" t="s">
        <v>1626</v>
      </c>
      <c r="I2" s="23" t="s">
        <v>1633</v>
      </c>
      <c r="L2" s="23" t="s">
        <v>1638</v>
      </c>
      <c r="M2" s="1" t="s">
        <v>1517</v>
      </c>
      <c r="N2" s="1" t="s">
        <v>1443</v>
      </c>
      <c r="O2" s="24" t="str">
        <f>テーブル1[[#This Row],[リンク]]&amp;テーブル1[[#This Row],[描画状況]]</f>
        <v>https://mitoristu.wixsite.com/kousaibako済</v>
      </c>
      <c r="P2" s="17">
        <f>1-(COUNTIF(O:O,_xlfn.TEXTJOIN(",",TRUE,テーブル1[[#This Row],[リンク]],テーブル1[[#This Row],[描画状況]]))/COUNTIF(F:F,テーブル1[[#This Row],[リンク]]))</f>
        <v>1</v>
      </c>
      <c r="Q2" s="16" t="str">
        <f ca="1">IFERROR(IF(テーブル1[[#This Row],[描画状況]]="",RAND()+(テーブル1[[#This Row],[列2]]*100),""),RAND())</f>
        <v/>
      </c>
      <c r="R2" s="1" t="s">
        <v>12</v>
      </c>
      <c r="S2" s="24" t="str">
        <f ca="1">IF(AND(テーブル1[[#This Row],[描画状況]]="済",テーブル1[[#This Row],[投稿状況]]=""),RAND(),"")</f>
        <v/>
      </c>
      <c r="T2" s="23" t="str">
        <f>"|&amp;image("&amp;テーブル1[[#This Row],[画像]]&amp;".png,width=100,height=100)"</f>
        <v>|&amp;image(akagane-fuyo.png,width=100,height=100)</v>
      </c>
      <c r="U2" s="23" t="str">
        <f>"|MIDDLE:​"&amp;テーブル1[[#This Row],[名前]]</f>
        <v>|MIDDLE:​赤鐘芙蓉</v>
      </c>
      <c r="V2" s="23" t="str">
        <f>"|MIDDLE:​"&amp;テーブル1[[#This Row],[なまえ]]</f>
        <v>|MIDDLE:​あかがね ふよう</v>
      </c>
      <c r="W2" s="23" t="str">
        <f>"|MIDDLE:​"&amp;テーブル1[[#This Row],[Name]]</f>
        <v>|MIDDLE:​Akagane Fuyo</v>
      </c>
      <c r="X2" s="23" t="str">
        <f>"|MIDDLE:​&amp;link(配布所はこちら){​"&amp;テーブル1[[#This Row],[リンク]]&amp;"}|"</f>
        <v>|MIDDLE:​&amp;link(配布所はこちら){​https://mitoristu.wixsite.com/kousaibako}|</v>
      </c>
    </row>
    <row r="3" spans="1:24" ht="20.149999999999999" customHeight="1" x14ac:dyDescent="0.35">
      <c r="A3" s="20">
        <v>2</v>
      </c>
      <c r="B3" s="23" t="str">
        <f>SUBSTITUTE(SUBSTITUTE(SUBSTITUTE(SUBSTITUTE(SUBSTITUTE(SUBSTITUTE(SUBSTITUTE(SUBSTITUTE(LOWER(テーブル1[[#This Row],[Name]])," ","-"),".","-"),"&amp;","-"),"_","-"),"・","-"),"=","-"),"--","-"),"--","-")</f>
        <v>azumayatei-kyuichi</v>
      </c>
      <c r="C3" s="24" t="s">
        <v>1195</v>
      </c>
      <c r="D3" s="23" t="s">
        <v>187</v>
      </c>
      <c r="E3" s="23" t="s">
        <v>188</v>
      </c>
      <c r="F3" s="2" t="s">
        <v>189</v>
      </c>
      <c r="G3" s="23" t="s">
        <v>190</v>
      </c>
      <c r="H3" s="23" t="s">
        <v>1627</v>
      </c>
      <c r="I3" s="23" t="s">
        <v>1636</v>
      </c>
      <c r="J3" s="23" t="s">
        <v>1635</v>
      </c>
      <c r="K3" s="23" t="s">
        <v>1637</v>
      </c>
      <c r="L3" s="23" t="s">
        <v>1678</v>
      </c>
      <c r="N3" s="1" t="s">
        <v>1443</v>
      </c>
      <c r="O3" s="24" t="str">
        <f>テーブル1[[#This Row],[リンク]]&amp;テーブル1[[#This Row],[描画状況]]</f>
        <v>https://lit.link/sereinrain済</v>
      </c>
      <c r="P3" s="17">
        <f>1-(COUNTIF(O:O,_xlfn.TEXTJOIN(",",TRUE,テーブル1[[#This Row],[リンク]],テーブル1[[#This Row],[描画状況]]))/COUNTIF(F:F,テーブル1[[#This Row],[リンク]]))</f>
        <v>1</v>
      </c>
      <c r="Q3" s="16" t="str">
        <f ca="1">IFERROR(IF(テーブル1[[#This Row],[描画状況]]="",RAND()+(テーブル1[[#This Row],[列2]]*100),""),RAND())</f>
        <v/>
      </c>
      <c r="R3" s="1" t="s">
        <v>12</v>
      </c>
      <c r="S3" s="24" t="str">
        <f ca="1">IF(AND(テーブル1[[#This Row],[描画状況]]="済",テーブル1[[#This Row],[投稿状況]]=""),RAND(),"")</f>
        <v/>
      </c>
      <c r="T3" s="23" t="str">
        <f>"|&amp;image("&amp;テーブル1[[#This Row],[画像]]&amp;".png,width=100,height=100)"</f>
        <v>|&amp;image(azumayatei-kyuichi.png,width=100,height=100)</v>
      </c>
      <c r="U3" s="23" t="str">
        <f>"|MIDDLE:​"&amp;テーブル1[[#This Row],[名前]]</f>
        <v>|MIDDLE:​東屋亭久一</v>
      </c>
      <c r="V3" s="23" t="str">
        <f>"|MIDDLE:​"&amp;テーブル1[[#This Row],[なまえ]]</f>
        <v>|MIDDLE:​あずまやてい きゅういち</v>
      </c>
      <c r="W3" s="23" t="str">
        <f>"|MIDDLE:​"&amp;テーブル1[[#This Row],[Name]]</f>
        <v>|MIDDLE:​Azumayatei Kyuichi</v>
      </c>
      <c r="X3" s="23" t="str">
        <f>"|MIDDLE:​&amp;link(配布所はこちら){​"&amp;テーブル1[[#This Row],[リンク]]&amp;"}|"</f>
        <v>|MIDDLE:​&amp;link(配布所はこちら){​https://lit.link/sereinrain}|</v>
      </c>
    </row>
    <row r="4" spans="1:24" ht="20.149999999999999" customHeight="1" x14ac:dyDescent="0.35">
      <c r="A4" s="20">
        <v>3</v>
      </c>
      <c r="B4" s="23" t="str">
        <f>SUBSTITUTE(SUBSTITUTE(SUBSTITUTE(SUBSTITUTE(SUBSTITUTE(SUBSTITUTE(SUBSTITUTE(SUBSTITUTE(LOWER(テーブル1[[#This Row],[Name]])," ","-"),".","-"),"&amp;","-"),"_","-"),"・","-"),"=","-"),"--","-"),"--","-")</f>
        <v>acetate</v>
      </c>
      <c r="C4" s="24" t="s">
        <v>1196</v>
      </c>
      <c r="D4" s="23" t="s">
        <v>91</v>
      </c>
      <c r="E4" s="23" t="s">
        <v>92</v>
      </c>
      <c r="F4" s="2" t="s">
        <v>93</v>
      </c>
      <c r="G4" s="23" t="s">
        <v>94</v>
      </c>
      <c r="H4" s="23" t="s">
        <v>1627</v>
      </c>
      <c r="I4" s="23" t="s">
        <v>1639</v>
      </c>
      <c r="J4" s="23" t="s">
        <v>1640</v>
      </c>
      <c r="L4" s="23" t="s">
        <v>1641</v>
      </c>
      <c r="M4" s="1" t="s">
        <v>1518</v>
      </c>
      <c r="N4" s="1" t="s">
        <v>1443</v>
      </c>
      <c r="O4" s="24" t="str">
        <f>テーブル1[[#This Row],[リンク]]&amp;テーブル1[[#This Row],[描画状況]]</f>
        <v>https://cloudcatch1224.wixsite.com/godsfoot済</v>
      </c>
      <c r="P4" s="17">
        <f>1-(COUNTIF(O:O,_xlfn.TEXTJOIN(",",TRUE,テーブル1[[#This Row],[リンク]],テーブル1[[#This Row],[描画状況]]))/COUNTIF(F:F,テーブル1[[#This Row],[リンク]]))</f>
        <v>1</v>
      </c>
      <c r="Q4" s="16" t="str">
        <f ca="1">IFERROR(IF(テーブル1[[#This Row],[描画状況]]="",RAND()+(テーブル1[[#This Row],[列2]]*100),""),RAND())</f>
        <v/>
      </c>
      <c r="R4" s="1" t="s">
        <v>12</v>
      </c>
      <c r="S4" s="24" t="str">
        <f ca="1">IF(AND(テーブル1[[#This Row],[描画状況]]="済",テーブル1[[#This Row],[投稿状況]]=""),RAND(),"")</f>
        <v/>
      </c>
      <c r="T4" s="23" t="str">
        <f>"|&amp;image("&amp;テーブル1[[#This Row],[画像]]&amp;".png,width=100,height=100)"</f>
        <v>|&amp;image(acetate.png,width=100,height=100)</v>
      </c>
      <c r="U4" s="23" t="str">
        <f>"|MIDDLE:​"&amp;テーブル1[[#This Row],[名前]]</f>
        <v>|MIDDLE:​アセテート</v>
      </c>
      <c r="V4" s="23" t="str">
        <f>"|MIDDLE:​"&amp;テーブル1[[#This Row],[なまえ]]</f>
        <v>|MIDDLE:​あせてーと</v>
      </c>
      <c r="W4" s="23" t="str">
        <f>"|MIDDLE:​"&amp;テーブル1[[#This Row],[Name]]</f>
        <v>|MIDDLE:​Acetate</v>
      </c>
      <c r="X4" s="23" t="str">
        <f>"|MIDDLE:​&amp;link(配布所はこちら){​"&amp;テーブル1[[#This Row],[リンク]]&amp;"}|"</f>
        <v>|MIDDLE:​&amp;link(配布所はこちら){​https://cloudcatch1224.wixsite.com/godsfoot}|</v>
      </c>
    </row>
    <row r="5" spans="1:24" ht="20.149999999999999" customHeight="1" x14ac:dyDescent="0.35">
      <c r="A5" s="20">
        <v>4</v>
      </c>
      <c r="B5" s="23" t="str">
        <f>SUBSTITUTE(SUBSTITUTE(SUBSTITUTE(SUBSTITUTE(SUBSTITUTE(SUBSTITUTE(SUBSTITUTE(SUBSTITUTE(LOWER(テーブル1[[#This Row],[Name]])," ","-"),".","-"),"&amp;","-"),"_","-"),"・","-"),"=","-"),"--","-"),"--","-")</f>
        <v>adachi-rei</v>
      </c>
      <c r="C5" s="24" t="s">
        <v>204</v>
      </c>
      <c r="D5" s="23" t="s">
        <v>205</v>
      </c>
      <c r="E5" s="23" t="s">
        <v>206</v>
      </c>
      <c r="F5" s="2" t="s">
        <v>207</v>
      </c>
      <c r="G5" s="23" t="s">
        <v>208</v>
      </c>
      <c r="H5" s="23" t="s">
        <v>1626</v>
      </c>
      <c r="I5" s="23" t="s">
        <v>1654</v>
      </c>
      <c r="K5" s="23" t="s">
        <v>1646</v>
      </c>
      <c r="N5" s="1" t="s">
        <v>1443</v>
      </c>
      <c r="O5" s="24" t="str">
        <f>テーブル1[[#This Row],[リンク]]&amp;テーブル1[[#This Row],[描画状況]]</f>
        <v>https://mechanicalgirl.jp済</v>
      </c>
      <c r="P5" s="17">
        <f>1-(COUNTIF(O:O,_xlfn.TEXTJOIN(",",TRUE,テーブル1[[#This Row],[リンク]],テーブル1[[#This Row],[描画状況]]))/COUNTIF(F:F,テーブル1[[#This Row],[リンク]]))</f>
        <v>1</v>
      </c>
      <c r="Q5" s="16" t="str">
        <f ca="1">IFERROR(IF(テーブル1[[#This Row],[描画状況]]="",RAND()+(テーブル1[[#This Row],[列2]]*100),""),RAND())</f>
        <v/>
      </c>
      <c r="R5" s="1" t="s">
        <v>12</v>
      </c>
      <c r="S5" s="24" t="str">
        <f ca="1">IF(AND(テーブル1[[#This Row],[描画状況]]="済",テーブル1[[#This Row],[投稿状況]]=""),RAND(),"")</f>
        <v/>
      </c>
      <c r="T5" s="23" t="str">
        <f>"|&amp;image("&amp;テーブル1[[#This Row],[画像]]&amp;".png,width=100,height=100)"</f>
        <v>|&amp;image(adachi-rei.png,width=100,height=100)</v>
      </c>
      <c r="U5" s="23" t="str">
        <f>"|MIDDLE:​"&amp;テーブル1[[#This Row],[名前]]</f>
        <v>|MIDDLE:​足立レイ</v>
      </c>
      <c r="V5" s="23" t="str">
        <f>"|MIDDLE:​"&amp;テーブル1[[#This Row],[なまえ]]</f>
        <v>|MIDDLE:​あだち れい</v>
      </c>
      <c r="W5" s="23" t="str">
        <f>"|MIDDLE:​"&amp;テーブル1[[#This Row],[Name]]</f>
        <v>|MIDDLE:​Adachi Rei</v>
      </c>
      <c r="X5" s="23" t="str">
        <f>"|MIDDLE:​&amp;link(配布所はこちら){​"&amp;テーブル1[[#This Row],[リンク]]&amp;"}|"</f>
        <v>|MIDDLE:​&amp;link(配布所はこちら){​https://mechanicalgirl.jp}|</v>
      </c>
    </row>
    <row r="6" spans="1:24" ht="20.149999999999999" customHeight="1" x14ac:dyDescent="0.35">
      <c r="A6" s="20">
        <v>5</v>
      </c>
      <c r="B6" s="23" t="str">
        <f>SUBSTITUTE(SUBSTITUTE(SUBSTITUTE(SUBSTITUTE(SUBSTITUTE(SUBSTITUTE(SUBSTITUTE(SUBSTITUTE(LOWER(テーブル1[[#This Row],[Name]])," ","-"),".","-"),"&amp;","-"),"_","-"),"・","-"),"=","-"),"--","-"),"--","-")</f>
        <v>atorine-hiwa</v>
      </c>
      <c r="C6" s="24" t="s">
        <v>336</v>
      </c>
      <c r="D6" s="23" t="s">
        <v>337</v>
      </c>
      <c r="E6" s="23" t="s">
        <v>338</v>
      </c>
      <c r="F6" s="2" t="s">
        <v>339</v>
      </c>
      <c r="G6" s="23" t="s">
        <v>340</v>
      </c>
      <c r="H6" s="23" t="s">
        <v>1626</v>
      </c>
      <c r="I6" s="23" t="s">
        <v>1655</v>
      </c>
      <c r="K6" s="23" t="s">
        <v>1656</v>
      </c>
      <c r="L6" s="23" t="s">
        <v>1657</v>
      </c>
      <c r="N6" s="1" t="s">
        <v>1443</v>
      </c>
      <c r="O6" s="24" t="str">
        <f>テーブル1[[#This Row],[リンク]]&amp;テーブル1[[#This Row],[描画状況]]</f>
        <v>https://torinosu-hikikomori.jimdofree.com済</v>
      </c>
      <c r="P6" s="17">
        <f>1-(COUNTIF(O:O,_xlfn.TEXTJOIN(",",TRUE,テーブル1[[#This Row],[リンク]],テーブル1[[#This Row],[描画状況]]))/COUNTIF(F:F,テーブル1[[#This Row],[リンク]]))</f>
        <v>1</v>
      </c>
      <c r="Q6" s="16" t="str">
        <f ca="1">IFERROR(IF(テーブル1[[#This Row],[描画状況]]="",RAND()+(テーブル1[[#This Row],[列2]]*100),""),RAND())</f>
        <v/>
      </c>
      <c r="R6" s="1" t="s">
        <v>12</v>
      </c>
      <c r="S6" s="24" t="str">
        <f ca="1">IF(AND(テーブル1[[#This Row],[描画状況]]="済",テーブル1[[#This Row],[投稿状況]]=""),RAND(),"")</f>
        <v/>
      </c>
      <c r="T6" s="23" t="str">
        <f>"|&amp;image("&amp;テーブル1[[#This Row],[画像]]&amp;".png,width=100,height=100)"</f>
        <v>|&amp;image(atorine-hiwa.png,width=100,height=100)</v>
      </c>
      <c r="U6" s="23" t="str">
        <f>"|MIDDLE:​"&amp;テーブル1[[#This Row],[名前]]</f>
        <v>|MIDDLE:​花鶏音ひわ</v>
      </c>
      <c r="V6" s="23" t="str">
        <f>"|MIDDLE:​"&amp;テーブル1[[#This Row],[なまえ]]</f>
        <v>|MIDDLE:​あとりね ひわ</v>
      </c>
      <c r="W6" s="23" t="str">
        <f>"|MIDDLE:​"&amp;テーブル1[[#This Row],[Name]]</f>
        <v>|MIDDLE:​Atorine Hiwa</v>
      </c>
      <c r="X6" s="23" t="str">
        <f>"|MIDDLE:​&amp;link(配布所はこちら){​"&amp;テーブル1[[#This Row],[リンク]]&amp;"}|"</f>
        <v>|MIDDLE:​&amp;link(配布所はこちら){​https://torinosu-hikikomori.jimdofree.com}|</v>
      </c>
    </row>
    <row r="7" spans="1:24" ht="20.149999999999999" customHeight="1" x14ac:dyDescent="0.35">
      <c r="A7" s="20">
        <v>6</v>
      </c>
      <c r="B7" s="23" t="str">
        <f>SUBSTITUTE(SUBSTITUTE(SUBSTITUTE(SUBSTITUTE(SUBSTITUTE(SUBSTITUTE(SUBSTITUTE(SUBSTITUTE(LOWER(テーブル1[[#This Row],[Name]])," ","-"),".","-"),"&amp;","-"),"_","-"),"・","-"),"=","-"),"--","-"),"--","-")</f>
        <v>adol</v>
      </c>
      <c r="C7" s="24" t="s">
        <v>163</v>
      </c>
      <c r="D7" s="23" t="s">
        <v>164</v>
      </c>
      <c r="E7" s="23" t="s">
        <v>163</v>
      </c>
      <c r="F7" s="2" t="s">
        <v>165</v>
      </c>
      <c r="G7" s="23" t="s">
        <v>166</v>
      </c>
      <c r="H7" s="23" t="s">
        <v>1661</v>
      </c>
      <c r="I7" s="23" t="s">
        <v>1636</v>
      </c>
      <c r="N7" s="1" t="s">
        <v>1443</v>
      </c>
      <c r="O7" s="24" t="str">
        <f>テーブル1[[#This Row],[リンク]]&amp;テーブル1[[#This Row],[描画状況]]</f>
        <v>https://kuroi9603.wixsite.com/delu-lab-south済</v>
      </c>
      <c r="P7" s="17">
        <f>1-(COUNTIF(O:O,_xlfn.TEXTJOIN(",",TRUE,テーブル1[[#This Row],[リンク]],テーブル1[[#This Row],[描画状況]]))/COUNTIF(F:F,テーブル1[[#This Row],[リンク]]))</f>
        <v>1</v>
      </c>
      <c r="Q7" s="16" t="str">
        <f ca="1">IFERROR(IF(テーブル1[[#This Row],[描画状況]]="",RAND()+(テーブル1[[#This Row],[列2]]*100),""),RAND())</f>
        <v/>
      </c>
      <c r="R7" s="1" t="s">
        <v>12</v>
      </c>
      <c r="S7" s="24" t="str">
        <f ca="1">IF(AND(テーブル1[[#This Row],[描画状況]]="済",テーブル1[[#This Row],[投稿状況]]=""),RAND(),"")</f>
        <v/>
      </c>
      <c r="T7" s="23" t="str">
        <f>"|&amp;image("&amp;テーブル1[[#This Row],[画像]]&amp;".png,width=100,height=100)"</f>
        <v>|&amp;image(adol.png,width=100,height=100)</v>
      </c>
      <c r="U7" s="23" t="str">
        <f>"|MIDDLE:​"&amp;テーブル1[[#This Row],[名前]]</f>
        <v>|MIDDLE:​Adol</v>
      </c>
      <c r="V7" s="23" t="str">
        <f>"|MIDDLE:​"&amp;テーブル1[[#This Row],[なまえ]]</f>
        <v>|MIDDLE:​あどる</v>
      </c>
      <c r="W7" s="23" t="str">
        <f>"|MIDDLE:​"&amp;テーブル1[[#This Row],[Name]]</f>
        <v>|MIDDLE:​Adol</v>
      </c>
      <c r="X7" s="23" t="str">
        <f>"|MIDDLE:​&amp;link(配布所はこちら){​"&amp;テーブル1[[#This Row],[リンク]]&amp;"}|"</f>
        <v>|MIDDLE:​&amp;link(配布所はこちら){​https://kuroi9603.wixsite.com/delu-lab-south}|</v>
      </c>
    </row>
    <row r="8" spans="1:24" ht="20.149999999999999" customHeight="1" x14ac:dyDescent="0.35">
      <c r="A8" s="20">
        <v>7</v>
      </c>
      <c r="B8" s="23" t="str">
        <f>SUBSTITUTE(SUBSTITUTE(SUBSTITUTE(SUBSTITUTE(SUBSTITUTE(SUBSTITUTE(SUBSTITUTE(SUBSTITUTE(LOWER(テーブル1[[#This Row],[Name]])," ","-"),".","-"),"&amp;","-"),"_","-"),"・","-"),"=","-"),"--","-"),"--","-")</f>
        <v>anima-raituhatto</v>
      </c>
      <c r="C8" s="24" t="s">
        <v>289</v>
      </c>
      <c r="D8" s="23" t="s">
        <v>290</v>
      </c>
      <c r="E8" s="23" t="s">
        <v>291</v>
      </c>
      <c r="F8" s="2" t="s">
        <v>292</v>
      </c>
      <c r="G8" s="23" t="s">
        <v>293</v>
      </c>
      <c r="H8" s="23" t="s">
        <v>1663</v>
      </c>
      <c r="I8" s="23" t="s">
        <v>1649</v>
      </c>
      <c r="K8" s="23" t="s">
        <v>1637</v>
      </c>
      <c r="L8" s="23" t="s">
        <v>1665</v>
      </c>
      <c r="M8" s="1" t="s">
        <v>1517</v>
      </c>
      <c r="N8" s="1" t="s">
        <v>1443</v>
      </c>
      <c r="O8" s="24" t="str">
        <f>テーブル1[[#This Row],[リンク]]&amp;テーブル1[[#This Row],[描画状況]]</f>
        <v>https://seirentoybox.jimdofree.com済</v>
      </c>
      <c r="P8" s="17">
        <f>1-(COUNTIF(O:O,_xlfn.TEXTJOIN(",",TRUE,テーブル1[[#This Row],[リンク]],テーブル1[[#This Row],[描画状況]]))/COUNTIF(F:F,テーブル1[[#This Row],[リンク]]))</f>
        <v>1</v>
      </c>
      <c r="Q8" s="16" t="str">
        <f ca="1">IFERROR(IF(テーブル1[[#This Row],[描画状況]]="",RAND()+(テーブル1[[#This Row],[列2]]*100),""),RAND())</f>
        <v/>
      </c>
      <c r="R8" s="1" t="s">
        <v>12</v>
      </c>
      <c r="S8" s="24" t="str">
        <f ca="1">IF(AND(テーブル1[[#This Row],[描画状況]]="済",テーブル1[[#This Row],[投稿状況]]=""),RAND(),"")</f>
        <v/>
      </c>
      <c r="T8" s="23" t="str">
        <f>"|&amp;image("&amp;テーブル1[[#This Row],[画像]]&amp;".png,width=100,height=100)"</f>
        <v>|&amp;image(anima-raituhatto.png,width=100,height=100)</v>
      </c>
      <c r="U8" s="23" t="str">
        <f>"|MIDDLE:​"&amp;テーブル1[[#This Row],[名前]]</f>
        <v>|MIDDLE:​アニマ・ライツハット</v>
      </c>
      <c r="V8" s="23" t="str">
        <f>"|MIDDLE:​"&amp;テーブル1[[#This Row],[なまえ]]</f>
        <v>|MIDDLE:​あにま らいつはっと</v>
      </c>
      <c r="W8" s="23" t="str">
        <f>"|MIDDLE:​"&amp;テーブル1[[#This Row],[Name]]</f>
        <v>|MIDDLE:​Anima Raituhatto</v>
      </c>
      <c r="X8" s="23" t="str">
        <f>"|MIDDLE:​&amp;link(配布所はこちら){​"&amp;テーブル1[[#This Row],[リンク]]&amp;"}|"</f>
        <v>|MIDDLE:​&amp;link(配布所はこちら){​https://seirentoybox.jimdofree.com}|</v>
      </c>
    </row>
    <row r="9" spans="1:24" ht="20.149999999999999" customHeight="1" x14ac:dyDescent="0.35">
      <c r="A9" s="20">
        <v>8</v>
      </c>
      <c r="B9" s="23" t="str">
        <f>SUBSTITUTE(SUBSTITUTE(SUBSTITUTE(SUBSTITUTE(SUBSTITUTE(SUBSTITUTE(SUBSTITUTE(SUBSTITUTE(LOWER(テーブル1[[#This Row],[Name]])," ","-"),".","-"),"&amp;","-"),"_","-"),"・","-"),"=","-"),"--","-"),"--","-")</f>
        <v>amatsuka-fuawa</v>
      </c>
      <c r="C9" s="24" t="s">
        <v>370</v>
      </c>
      <c r="D9" s="23" t="s">
        <v>371</v>
      </c>
      <c r="E9" s="23" t="s">
        <v>372</v>
      </c>
      <c r="F9" s="2" t="s">
        <v>373</v>
      </c>
      <c r="G9" s="23" t="s">
        <v>374</v>
      </c>
      <c r="H9" s="23" t="s">
        <v>1626</v>
      </c>
      <c r="I9" s="23" t="s">
        <v>1679</v>
      </c>
      <c r="L9" s="23" t="s">
        <v>1657</v>
      </c>
      <c r="N9" s="1" t="s">
        <v>1443</v>
      </c>
      <c r="O9" s="24" t="str">
        <f>テーブル1[[#This Row],[リンク]]&amp;テーブル1[[#This Row],[描画状況]]</f>
        <v>https://utausuzuminnya.jimdofree.com済</v>
      </c>
      <c r="P9" s="17">
        <f>1-(COUNTIF(O:O,_xlfn.TEXTJOIN(",",TRUE,テーブル1[[#This Row],[リンク]],テーブル1[[#This Row],[描画状況]]))/COUNTIF(F:F,テーブル1[[#This Row],[リンク]]))</f>
        <v>1</v>
      </c>
      <c r="Q9" s="16" t="str">
        <f ca="1">IFERROR(IF(テーブル1[[#This Row],[描画状況]]="",RAND()+(テーブル1[[#This Row],[列2]]*100),""),RAND())</f>
        <v/>
      </c>
      <c r="R9" s="1" t="s">
        <v>12</v>
      </c>
      <c r="S9" s="24" t="str">
        <f ca="1">IF(AND(テーブル1[[#This Row],[描画状況]]="済",テーブル1[[#This Row],[投稿状況]]=""),RAND(),"")</f>
        <v/>
      </c>
      <c r="T9" s="23" t="str">
        <f>"|&amp;image("&amp;テーブル1[[#This Row],[画像]]&amp;".png,width=100,height=100)"</f>
        <v>|&amp;image(amatsuka-fuawa.png,width=100,height=100)</v>
      </c>
      <c r="U9" s="23" t="str">
        <f>"|MIDDLE:​"&amp;テーブル1[[#This Row],[名前]]</f>
        <v>|MIDDLE:​天使ふあわ</v>
      </c>
      <c r="V9" s="23" t="str">
        <f>"|MIDDLE:​"&amp;テーブル1[[#This Row],[なまえ]]</f>
        <v>|MIDDLE:​あまつか ふあわ</v>
      </c>
      <c r="W9" s="23" t="str">
        <f>"|MIDDLE:​"&amp;テーブル1[[#This Row],[Name]]</f>
        <v>|MIDDLE:​Amatsuka Fuawa</v>
      </c>
      <c r="X9" s="23" t="str">
        <f>"|MIDDLE:​&amp;link(配布所はこちら){​"&amp;テーブル1[[#This Row],[リンク]]&amp;"}|"</f>
        <v>|MIDDLE:​&amp;link(配布所はこちら){​https://utausuzuminnya.jimdofree.com}|</v>
      </c>
    </row>
    <row r="10" spans="1:24" ht="20.149999999999999" customHeight="1" x14ac:dyDescent="0.35">
      <c r="A10" s="20">
        <v>9</v>
      </c>
      <c r="B10" s="23" t="str">
        <f>SUBSTITUTE(SUBSTITUTE(SUBSTITUTE(SUBSTITUTE(SUBSTITUTE(SUBSTITUTE(SUBSTITUTE(SUBSTITUTE(LOWER(テーブル1[[#This Row],[Name]])," ","-"),".","-"),"&amp;","-"),"_","-"),"・","-"),"=","-"),"--","-"),"--","-")</f>
        <v>amane-usagi</v>
      </c>
      <c r="C10" s="24" t="s">
        <v>284</v>
      </c>
      <c r="D10" s="23" t="s">
        <v>285</v>
      </c>
      <c r="E10" s="23" t="s">
        <v>286</v>
      </c>
      <c r="F10" s="2" t="s">
        <v>287</v>
      </c>
      <c r="G10" s="23" t="s">
        <v>288</v>
      </c>
      <c r="H10" s="23" t="s">
        <v>1626</v>
      </c>
      <c r="I10" s="23" t="s">
        <v>1636</v>
      </c>
      <c r="K10" s="23" t="s">
        <v>1685</v>
      </c>
      <c r="L10" s="23" t="s">
        <v>1684</v>
      </c>
      <c r="N10" s="1" t="s">
        <v>1443</v>
      </c>
      <c r="O10" s="24" t="str">
        <f>テーブル1[[#This Row],[リンク]]&amp;テーブル1[[#This Row],[描画状況]]</f>
        <v>https://sabaneko.amebaownd.com済</v>
      </c>
      <c r="P10" s="17">
        <f>1-(COUNTIF(O:O,_xlfn.TEXTJOIN(",",TRUE,テーブル1[[#This Row],[リンク]],テーブル1[[#This Row],[描画状況]]))/COUNTIF(F:F,テーブル1[[#This Row],[リンク]]))</f>
        <v>1</v>
      </c>
      <c r="Q10" s="16" t="str">
        <f ca="1">IFERROR(IF(テーブル1[[#This Row],[描画状況]]="",RAND()+(テーブル1[[#This Row],[列2]]*100),""),RAND())</f>
        <v/>
      </c>
      <c r="R10" s="1" t="s">
        <v>12</v>
      </c>
      <c r="S10" s="24" t="str">
        <f ca="1">IF(AND(テーブル1[[#This Row],[描画状況]]="済",テーブル1[[#This Row],[投稿状況]]=""),RAND(),"")</f>
        <v/>
      </c>
      <c r="T10" s="23" t="str">
        <f>"|&amp;image("&amp;テーブル1[[#This Row],[画像]]&amp;".png,width=100,height=100)"</f>
        <v>|&amp;image(amane-usagi.png,width=100,height=100)</v>
      </c>
      <c r="U10" s="23" t="str">
        <f>"|MIDDLE:​"&amp;テーブル1[[#This Row],[名前]]</f>
        <v>|MIDDLE:​雨音うさぎ</v>
      </c>
      <c r="V10" s="23" t="str">
        <f>"|MIDDLE:​"&amp;テーブル1[[#This Row],[なまえ]]</f>
        <v>|MIDDLE:​あまね うさぎ</v>
      </c>
      <c r="W10" s="23" t="str">
        <f>"|MIDDLE:​"&amp;テーブル1[[#This Row],[Name]]</f>
        <v>|MIDDLE:​Amane Usagi</v>
      </c>
      <c r="X10" s="23" t="str">
        <f>"|MIDDLE:​&amp;link(配布所はこちら){​"&amp;テーブル1[[#This Row],[リンク]]&amp;"}|"</f>
        <v>|MIDDLE:​&amp;link(配布所はこちら){​https://sabaneko.amebaownd.com}|</v>
      </c>
    </row>
    <row r="11" spans="1:24" ht="20.149999999999999" customHeight="1" x14ac:dyDescent="0.35">
      <c r="A11" s="20">
        <v>10</v>
      </c>
      <c r="B11" s="23" t="str">
        <f>SUBSTITUTE(SUBSTITUTE(SUBSTITUTE(SUBSTITUTE(SUBSTITUTE(SUBSTITUTE(SUBSTITUTE(SUBSTITUTE(LOWER(テーブル1[[#This Row],[Name]])," ","-"),".","-"),"&amp;","-"),"_","-"),"・","-"),"=","-"),"--","-"),"--","-")</f>
        <v>ayashiki</v>
      </c>
      <c r="C11" s="24" t="s">
        <v>119</v>
      </c>
      <c r="D11" s="23" t="s">
        <v>120</v>
      </c>
      <c r="E11" s="23" t="s">
        <v>121</v>
      </c>
      <c r="F11" s="2" t="s">
        <v>122</v>
      </c>
      <c r="G11" s="23" t="s">
        <v>123</v>
      </c>
      <c r="H11" s="23" t="s">
        <v>1627</v>
      </c>
      <c r="I11" s="23" t="s">
        <v>1689</v>
      </c>
      <c r="L11" s="23" t="s">
        <v>1686</v>
      </c>
      <c r="N11" s="1" t="s">
        <v>1443</v>
      </c>
      <c r="O11" s="24" t="str">
        <f>テーブル1[[#This Row],[リンク]]&amp;テーブル1[[#This Row],[描画状況]]</f>
        <v>https://inudanuki.wixsite.com/gottaniomotyabako済</v>
      </c>
      <c r="P11" s="17">
        <f>1-(COUNTIF(O:O,_xlfn.TEXTJOIN(",",TRUE,テーブル1[[#This Row],[リンク]],テーブル1[[#This Row],[描画状況]]))/COUNTIF(F:F,テーブル1[[#This Row],[リンク]]))</f>
        <v>1</v>
      </c>
      <c r="Q11" s="16" t="str">
        <f ca="1">IFERROR(IF(テーブル1[[#This Row],[描画状況]]="",RAND()+(テーブル1[[#This Row],[列2]]*100),""),RAND())</f>
        <v/>
      </c>
      <c r="R11" s="1" t="s">
        <v>12</v>
      </c>
      <c r="S11" s="24" t="str">
        <f ca="1">IF(AND(テーブル1[[#This Row],[描画状況]]="済",テーブル1[[#This Row],[投稿状況]]=""),RAND(),"")</f>
        <v/>
      </c>
      <c r="T11" s="23" t="str">
        <f>"|&amp;image("&amp;テーブル1[[#This Row],[画像]]&amp;".png,width=100,height=100)"</f>
        <v>|&amp;image(ayashiki.png,width=100,height=100)</v>
      </c>
      <c r="U11" s="23" t="str">
        <f>"|MIDDLE:​"&amp;テーブル1[[#This Row],[名前]]</f>
        <v>|MIDDLE:​怪子奇</v>
      </c>
      <c r="V11" s="23" t="str">
        <f>"|MIDDLE:​"&amp;テーブル1[[#This Row],[なまえ]]</f>
        <v>|MIDDLE:​あやしき</v>
      </c>
      <c r="W11" s="23" t="str">
        <f>"|MIDDLE:​"&amp;テーブル1[[#This Row],[Name]]</f>
        <v>|MIDDLE:​Ayashiki</v>
      </c>
      <c r="X11" s="23" t="str">
        <f>"|MIDDLE:​&amp;link(配布所はこちら){​"&amp;テーブル1[[#This Row],[リンク]]&amp;"}|"</f>
        <v>|MIDDLE:​&amp;link(配布所はこちら){​https://inudanuki.wixsite.com/gottaniomotyabako}|</v>
      </c>
    </row>
    <row r="12" spans="1:24" ht="20.149999999999999" customHeight="1" x14ac:dyDescent="0.35">
      <c r="A12" s="20">
        <v>11</v>
      </c>
      <c r="B12" s="23" t="str">
        <f>SUBSTITUTE(SUBSTITUTE(SUBSTITUTE(SUBSTITUTE(SUBSTITUTE(SUBSTITUTE(SUBSTITUTE(SUBSTITUTE(LOWER(テーブル1[[#This Row],[Name]])," ","-"),".","-"),"&amp;","-"),"_","-"),"・","-"),"=","-"),"--","-"),"--","-")</f>
        <v>utakata-tsumugi</v>
      </c>
      <c r="C12" s="24" t="s">
        <v>344</v>
      </c>
      <c r="D12" s="23" t="s">
        <v>345</v>
      </c>
      <c r="E12" s="23" t="s">
        <v>346</v>
      </c>
      <c r="F12" s="2" t="s">
        <v>347</v>
      </c>
      <c r="G12" s="23" t="s">
        <v>348</v>
      </c>
      <c r="H12" s="23" t="s">
        <v>1626</v>
      </c>
      <c r="I12" s="23" t="s">
        <v>1636</v>
      </c>
      <c r="J12" s="23" t="s">
        <v>1693</v>
      </c>
      <c r="K12" s="23" t="s">
        <v>1637</v>
      </c>
      <c r="N12" s="1" t="s">
        <v>1443</v>
      </c>
      <c r="O12" s="24" t="str">
        <f>テーブル1[[#This Row],[リンク]]&amp;テーブル1[[#This Row],[描画状況]]</f>
        <v>https://tourist100f.wixsite.com/utakata-kosyo済</v>
      </c>
      <c r="P12" s="17">
        <f>1-(COUNTIF(O:O,_xlfn.TEXTJOIN(",",TRUE,テーブル1[[#This Row],[リンク]],テーブル1[[#This Row],[描画状況]]))/COUNTIF(F:F,テーブル1[[#This Row],[リンク]]))</f>
        <v>1</v>
      </c>
      <c r="Q12" s="16" t="str">
        <f ca="1">IFERROR(IF(テーブル1[[#This Row],[描画状況]]="",RAND()+(テーブル1[[#This Row],[列2]]*100),""),RAND())</f>
        <v/>
      </c>
      <c r="R12" s="1" t="s">
        <v>12</v>
      </c>
      <c r="S12" s="24" t="str">
        <f ca="1">IF(AND(テーブル1[[#This Row],[描画状況]]="済",テーブル1[[#This Row],[投稿状況]]=""),RAND(),"")</f>
        <v/>
      </c>
      <c r="T12" s="23" t="str">
        <f>"|&amp;image("&amp;テーブル1[[#This Row],[画像]]&amp;".png,width=100,height=100)"</f>
        <v>|&amp;image(utakata-tsumugi.png,width=100,height=100)</v>
      </c>
      <c r="U12" s="23" t="str">
        <f>"|MIDDLE:​"&amp;テーブル1[[#This Row],[名前]]</f>
        <v>|MIDDLE:​泡沫紬</v>
      </c>
      <c r="V12" s="23" t="str">
        <f>"|MIDDLE:​"&amp;テーブル1[[#This Row],[なまえ]]</f>
        <v>|MIDDLE:​うたかた つむぎ</v>
      </c>
      <c r="W12" s="23" t="str">
        <f>"|MIDDLE:​"&amp;テーブル1[[#This Row],[Name]]</f>
        <v>|MIDDLE:​Utakata Tsumugi</v>
      </c>
      <c r="X12" s="23" t="str">
        <f>"|MIDDLE:​&amp;link(配布所はこちら){​"&amp;テーブル1[[#This Row],[リンク]]&amp;"}|"</f>
        <v>|MIDDLE:​&amp;link(配布所はこちら){​https://tourist100f.wixsite.com/utakata-kosyo}|</v>
      </c>
    </row>
    <row r="13" spans="1:24" ht="20.149999999999999" customHeight="1" x14ac:dyDescent="0.35">
      <c r="A13" s="20">
        <v>12</v>
      </c>
      <c r="B13" s="23" t="str">
        <f>SUBSTITUTE(SUBSTITUTE(SUBSTITUTE(SUBSTITUTE(SUBSTITUTE(SUBSTITUTE(SUBSTITUTE(SUBSTITUTE(LOWER(テーブル1[[#This Row],[Name]])," ","-"),".","-"),"&amp;","-"),"_","-"),"・","-"),"=","-"),"--","-"),"--","-")</f>
        <v>utane-uta(defoko)</v>
      </c>
      <c r="C13" s="24" t="s">
        <v>408</v>
      </c>
      <c r="D13" s="23" t="s">
        <v>409</v>
      </c>
      <c r="E13" s="23" t="s">
        <v>410</v>
      </c>
      <c r="F13" s="23" t="s">
        <v>421</v>
      </c>
      <c r="G13" s="23" t="s">
        <v>411</v>
      </c>
      <c r="H13" s="23" t="s">
        <v>1626</v>
      </c>
      <c r="K13" s="23" t="s">
        <v>1695</v>
      </c>
      <c r="M13" s="1" t="s">
        <v>1515</v>
      </c>
      <c r="N13" s="1" t="s">
        <v>1443</v>
      </c>
      <c r="O13" s="24" t="str">
        <f>テーブル1[[#This Row],[リンク]]&amp;テーブル1[[#This Row],[描画状況]]</f>
        <v>-済</v>
      </c>
      <c r="P13" s="17">
        <f>1-(COUNTIF(O:O,_xlfn.TEXTJOIN(",",TRUE,テーブル1[[#This Row],[リンク]],テーブル1[[#This Row],[描画状況]]))/COUNTIF(F:F,テーブル1[[#This Row],[リンク]]))</f>
        <v>1</v>
      </c>
      <c r="Q13" s="16" t="str">
        <f ca="1">IFERROR(IF(テーブル1[[#This Row],[描画状況]]="",RAND()+(テーブル1[[#This Row],[列2]]*100),""),RAND())</f>
        <v/>
      </c>
      <c r="R13" s="1" t="s">
        <v>12</v>
      </c>
      <c r="S13" s="24" t="str">
        <f ca="1">IF(AND(テーブル1[[#This Row],[描画状況]]="済",テーブル1[[#This Row],[投稿状況]]=""),RAND(),"")</f>
        <v/>
      </c>
      <c r="T13" s="23" t="str">
        <f>"|&amp;image("&amp;テーブル1[[#This Row],[画像]]&amp;".png,width=100,height=100)"</f>
        <v>|&amp;image(utane-uta(defoko).png,width=100,height=100)</v>
      </c>
      <c r="U13" s="23" t="str">
        <f>"|MIDDLE:​"&amp;テーブル1[[#This Row],[名前]]</f>
        <v>|MIDDLE:​唄音ウタ(デフォ子)</v>
      </c>
      <c r="V13" s="23" t="str">
        <f>"|MIDDLE:​"&amp;テーブル1[[#This Row],[なまえ]]</f>
        <v>|MIDDLE:​うたね うた(でふぉこ)</v>
      </c>
      <c r="W13" s="23" t="str">
        <f>"|MIDDLE:​"&amp;テーブル1[[#This Row],[Name]]</f>
        <v>|MIDDLE:​Utane Uta(Defoko)</v>
      </c>
      <c r="X13" s="23" t="str">
        <f>"|MIDDLE:​&amp;link(配布所はこちら){​"&amp;テーブル1[[#This Row],[リンク]]&amp;"}|"</f>
        <v>|MIDDLE:​&amp;link(配布所はこちら){​-}|</v>
      </c>
    </row>
    <row r="14" spans="1:24" ht="20.149999999999999" customHeight="1" x14ac:dyDescent="0.35">
      <c r="A14" s="20">
        <v>13</v>
      </c>
      <c r="B14" s="23" t="str">
        <f>SUBSTITUTE(SUBSTITUTE(SUBSTITUTE(SUBSTITUTE(SUBSTITUTE(SUBSTITUTE(SUBSTITUTE(SUBSTITUTE(LOWER(テーブル1[[#This Row],[Name]])," ","-"),".","-"),"&amp;","-"),"_","-"),"・","-"),"=","-"),"--","-"),"--","-")</f>
        <v>uruya</v>
      </c>
      <c r="C14" s="24" t="s">
        <v>312</v>
      </c>
      <c r="D14" s="23" t="s">
        <v>313</v>
      </c>
      <c r="E14" s="23" t="s">
        <v>314</v>
      </c>
      <c r="F14" s="2" t="s">
        <v>315</v>
      </c>
      <c r="G14" s="23" t="s">
        <v>316</v>
      </c>
      <c r="H14" s="23" t="s">
        <v>1626</v>
      </c>
      <c r="I14" s="23" t="s">
        <v>1696</v>
      </c>
      <c r="L14" s="23" t="s">
        <v>1697</v>
      </c>
      <c r="N14" s="1" t="s">
        <v>1443</v>
      </c>
      <c r="O14" s="24" t="str">
        <f>テーブル1[[#This Row],[リンク]]&amp;テーブル1[[#This Row],[描画状況]]</f>
        <v>https://sites.google.com/view/tokakobo済</v>
      </c>
      <c r="P14" s="17">
        <f>1-(COUNTIF(O:O,_xlfn.TEXTJOIN(",",TRUE,テーブル1[[#This Row],[リンク]],テーブル1[[#This Row],[描画状況]]))/COUNTIF(F:F,テーブル1[[#This Row],[リンク]]))</f>
        <v>1</v>
      </c>
      <c r="Q14" s="16" t="str">
        <f ca="1">IFERROR(IF(テーブル1[[#This Row],[描画状況]]="",RAND()+(テーブル1[[#This Row],[列2]]*100),""),RAND())</f>
        <v/>
      </c>
      <c r="R14" s="1" t="s">
        <v>12</v>
      </c>
      <c r="S14" s="24" t="str">
        <f ca="1">IF(AND(テーブル1[[#This Row],[描画状況]]="済",テーブル1[[#This Row],[投稿状況]]=""),RAND(),"")</f>
        <v/>
      </c>
      <c r="T14" s="23" t="str">
        <f>"|&amp;image("&amp;テーブル1[[#This Row],[画像]]&amp;".png,width=100,height=100)"</f>
        <v>|&amp;image(uruya.png,width=100,height=100)</v>
      </c>
      <c r="U14" s="23" t="str">
        <f>"|MIDDLE:​"&amp;テーブル1[[#This Row],[名前]]</f>
        <v>|MIDDLE:​URUYA</v>
      </c>
      <c r="V14" s="23" t="str">
        <f>"|MIDDLE:​"&amp;テーブル1[[#This Row],[なまえ]]</f>
        <v>|MIDDLE:​うるや</v>
      </c>
      <c r="W14" s="23" t="str">
        <f>"|MIDDLE:​"&amp;テーブル1[[#This Row],[Name]]</f>
        <v>|MIDDLE:​Uruya</v>
      </c>
      <c r="X14" s="23" t="str">
        <f>"|MIDDLE:​&amp;link(配布所はこちら){​"&amp;テーブル1[[#This Row],[リンク]]&amp;"}|"</f>
        <v>|MIDDLE:​&amp;link(配布所はこちら){​https://sites.google.com/view/tokakobo}|</v>
      </c>
    </row>
    <row r="15" spans="1:24" ht="20.149999999999999" customHeight="1" x14ac:dyDescent="0.35">
      <c r="A15" s="20">
        <v>14</v>
      </c>
      <c r="B15" s="23" t="str">
        <f>SUBSTITUTE(SUBSTITUTE(SUBSTITUTE(SUBSTITUTE(SUBSTITUTE(SUBSTITUTE(SUBSTITUTE(SUBSTITUTE(LOWER(テーブル1[[#This Row],[Name]])," ","-"),".","-"),"&amp;","-"),"_","-"),"・","-"),"=","-"),"--","-"),"--","-")</f>
        <v>oroku-korokuro</v>
      </c>
      <c r="C15" s="24" t="s">
        <v>341</v>
      </c>
      <c r="D15" s="23" t="s">
        <v>342</v>
      </c>
      <c r="E15" s="23" t="s">
        <v>343</v>
      </c>
      <c r="F15" s="2" t="s">
        <v>339</v>
      </c>
      <c r="G15" s="23" t="s">
        <v>340</v>
      </c>
      <c r="H15" s="23" t="s">
        <v>1627</v>
      </c>
      <c r="I15" s="23" t="s">
        <v>1658</v>
      </c>
      <c r="J15" s="23" t="s">
        <v>1659</v>
      </c>
      <c r="L15" s="23" t="s">
        <v>1660</v>
      </c>
      <c r="N15" s="1" t="s">
        <v>1443</v>
      </c>
      <c r="O15" s="24" t="str">
        <f>テーブル1[[#This Row],[リンク]]&amp;テーブル1[[#This Row],[描画状況]]</f>
        <v>https://torinosu-hikikomori.jimdofree.com済</v>
      </c>
      <c r="P15" s="17">
        <f>1-(COUNTIF(O:O,_xlfn.TEXTJOIN(",",TRUE,テーブル1[[#This Row],[リンク]],テーブル1[[#This Row],[描画状況]]))/COUNTIF(F:F,テーブル1[[#This Row],[リンク]]))</f>
        <v>1</v>
      </c>
      <c r="Q15" s="16" t="str">
        <f ca="1">IFERROR(IF(テーブル1[[#This Row],[描画状況]]="",RAND()+(テーブル1[[#This Row],[列2]]*100),""),RAND())</f>
        <v/>
      </c>
      <c r="R15" s="1" t="s">
        <v>12</v>
      </c>
      <c r="S15" s="24" t="str">
        <f ca="1">IF(AND(テーブル1[[#This Row],[描画状況]]="済",テーブル1[[#This Row],[投稿状況]]=""),RAND(),"")</f>
        <v/>
      </c>
      <c r="T15" s="23" t="str">
        <f>"|&amp;image("&amp;テーブル1[[#This Row],[画像]]&amp;".png,width=100,height=100)"</f>
        <v>|&amp;image(oroku-korokuro.png,width=100,height=100)</v>
      </c>
      <c r="U15" s="23" t="str">
        <f>"|MIDDLE:​"&amp;テーブル1[[#This Row],[名前]]</f>
        <v>|MIDDLE:​オーロク&amp;小六郎</v>
      </c>
      <c r="V15" s="23" t="str">
        <f>"|MIDDLE:​"&amp;テーブル1[[#This Row],[なまえ]]</f>
        <v>|MIDDLE:​おーろく &amp; ころくろう</v>
      </c>
      <c r="W15" s="23" t="str">
        <f>"|MIDDLE:​"&amp;テーブル1[[#This Row],[Name]]</f>
        <v>|MIDDLE:​Oroku &amp; korokuro</v>
      </c>
      <c r="X15" s="23" t="str">
        <f>"|MIDDLE:​&amp;link(配布所はこちら){​"&amp;テーブル1[[#This Row],[リンク]]&amp;"}|"</f>
        <v>|MIDDLE:​&amp;link(配布所はこちら){​https://torinosu-hikikomori.jimdofree.com}|</v>
      </c>
    </row>
    <row r="16" spans="1:24" ht="20.149999999999999" customHeight="1" x14ac:dyDescent="0.35">
      <c r="A16" s="20">
        <v>15</v>
      </c>
      <c r="B16" s="23" t="str">
        <f>SUBSTITUTE(SUBSTITUTE(SUBSTITUTE(SUBSTITUTE(SUBSTITUTE(SUBSTITUTE(SUBSTITUTE(SUBSTITUTE(LOWER(テーブル1[[#This Row],[Name]])," ","-"),".","-"),"&amp;","-"),"_","-"),"・","-"),"=","-"),"--","-"),"--","-")</f>
        <v>ohoshi</v>
      </c>
      <c r="C16" s="24" t="s">
        <v>112</v>
      </c>
      <c r="D16" s="23" t="s">
        <v>113</v>
      </c>
      <c r="E16" s="23" t="s">
        <v>114</v>
      </c>
      <c r="F16" s="2" t="s">
        <v>115</v>
      </c>
      <c r="G16" s="23" t="s">
        <v>116</v>
      </c>
      <c r="H16" s="23" t="s">
        <v>1626</v>
      </c>
      <c r="I16" s="23" t="s">
        <v>1698</v>
      </c>
      <c r="J16" s="23" t="s">
        <v>1699</v>
      </c>
      <c r="L16" s="23" t="s">
        <v>1652</v>
      </c>
      <c r="M16" s="1" t="s">
        <v>1517</v>
      </c>
      <c r="N16" s="1" t="s">
        <v>1443</v>
      </c>
      <c r="O16" s="24" t="str">
        <f>テーブル1[[#This Row],[リンク]]&amp;テーブル1[[#This Row],[描画状況]]</f>
        <v>https://ichistart.wixsite.com/official/respiaker済</v>
      </c>
      <c r="P16" s="17">
        <f>1-(COUNTIF(O:O,_xlfn.TEXTJOIN(",",TRUE,テーブル1[[#This Row],[リンク]],テーブル1[[#This Row],[描画状況]]))/COUNTIF(F:F,テーブル1[[#This Row],[リンク]]))</f>
        <v>1</v>
      </c>
      <c r="Q16" s="16" t="str">
        <f ca="1">IFERROR(IF(テーブル1[[#This Row],[描画状況]]="",RAND()+(テーブル1[[#This Row],[列2]]*100),""),RAND())</f>
        <v/>
      </c>
      <c r="R16" s="1" t="s">
        <v>12</v>
      </c>
      <c r="S16" s="24" t="str">
        <f ca="1">IF(AND(テーブル1[[#This Row],[描画状況]]="済",テーブル1[[#This Row],[投稿状況]]=""),RAND(),"")</f>
        <v/>
      </c>
      <c r="T16" s="23" t="str">
        <f>"|&amp;image("&amp;テーブル1[[#This Row],[画像]]&amp;".png,width=100,height=100)"</f>
        <v>|&amp;image(ohoshi.png,width=100,height=100)</v>
      </c>
      <c r="U16" s="23" t="str">
        <f>"|MIDDLE:​"&amp;テーブル1[[#This Row],[名前]]</f>
        <v>|MIDDLE:​お星</v>
      </c>
      <c r="V16" s="23" t="str">
        <f>"|MIDDLE:​"&amp;テーブル1[[#This Row],[なまえ]]</f>
        <v>|MIDDLE:​おほし</v>
      </c>
      <c r="W16" s="23" t="str">
        <f>"|MIDDLE:​"&amp;テーブル1[[#This Row],[Name]]</f>
        <v>|MIDDLE:​Ohoshi</v>
      </c>
      <c r="X16" s="23" t="str">
        <f>"|MIDDLE:​&amp;link(配布所はこちら){​"&amp;テーブル1[[#This Row],[リンク]]&amp;"}|"</f>
        <v>|MIDDLE:​&amp;link(配布所はこちら){​https://ichistart.wixsite.com/official/respiaker}|</v>
      </c>
    </row>
    <row r="17" spans="1:24" ht="20.149999999999999" customHeight="1" x14ac:dyDescent="0.35">
      <c r="A17" s="20">
        <v>16</v>
      </c>
      <c r="B17" s="23" t="str">
        <f>SUBSTITUTE(SUBSTITUTE(SUBSTITUTE(SUBSTITUTE(SUBSTITUTE(SUBSTITUTE(SUBSTITUTE(SUBSTITUTE(LOWER(テーブル1[[#This Row],[Name]])," ","-"),".","-"),"&amp;","-"),"_","-"),"・","-"),"=","-"),"--","-"),"--","-")</f>
        <v>kagiai-aya</v>
      </c>
      <c r="C17" s="24" t="s">
        <v>1516</v>
      </c>
      <c r="D17" s="23" t="s">
        <v>412</v>
      </c>
      <c r="E17" s="23" t="s">
        <v>413</v>
      </c>
      <c r="F17" s="15" t="s">
        <v>1537</v>
      </c>
      <c r="G17" s="23" t="s">
        <v>414</v>
      </c>
      <c r="H17" s="23" t="s">
        <v>1663</v>
      </c>
      <c r="I17" s="23" t="s">
        <v>1649</v>
      </c>
      <c r="M17" s="1" t="s">
        <v>1517</v>
      </c>
      <c r="N17" s="1" t="s">
        <v>1443</v>
      </c>
      <c r="O17" s="24" t="str">
        <f>テーブル1[[#This Row],[リンク]]&amp;テーブル1[[#This Row],[描画状況]]</f>
        <v>https://vividseekers.utau.sorairomarch.com済</v>
      </c>
      <c r="P17" s="17">
        <f>1-(COUNTIF(O:O,_xlfn.TEXTJOIN(",",TRUE,テーブル1[[#This Row],[リンク]],テーブル1[[#This Row],[描画状況]]))/COUNTIF(F:F,テーブル1[[#This Row],[リンク]]))</f>
        <v>1</v>
      </c>
      <c r="Q17" s="16" t="str">
        <f ca="1">IFERROR(IF(テーブル1[[#This Row],[描画状況]]="",RAND()+(テーブル1[[#This Row],[列2]]*100),""),RAND())</f>
        <v/>
      </c>
      <c r="R17" s="1" t="s">
        <v>12</v>
      </c>
      <c r="S17" s="24" t="str">
        <f ca="1">IF(AND(テーブル1[[#This Row],[描画状況]]="済",テーブル1[[#This Row],[投稿状況]]=""),RAND(),"")</f>
        <v/>
      </c>
      <c r="T17" s="23" t="str">
        <f>"|&amp;image("&amp;テーブル1[[#This Row],[画像]]&amp;".png,width=100,height=100)"</f>
        <v>|&amp;image(kagiai-aya.png,width=100,height=100)</v>
      </c>
      <c r="U17" s="23" t="str">
        <f>"|MIDDLE:​"&amp;テーブル1[[#This Row],[名前]]</f>
        <v>|MIDDLE:​鍵合アヤ</v>
      </c>
      <c r="V17" s="23" t="str">
        <f>"|MIDDLE:​"&amp;テーブル1[[#This Row],[なまえ]]</f>
        <v>|MIDDLE:​かぎあい あや</v>
      </c>
      <c r="W17" s="23" t="str">
        <f>"|MIDDLE:​"&amp;テーブル1[[#This Row],[Name]]</f>
        <v>|MIDDLE:​Kagiai Aya</v>
      </c>
      <c r="X17" s="23" t="str">
        <f>"|MIDDLE:​&amp;link(配布所はこちら){​"&amp;テーブル1[[#This Row],[リンク]]&amp;"}|"</f>
        <v>|MIDDLE:​&amp;link(配布所はこちら){​https://vividseekers.utau.sorairomarch.com}|</v>
      </c>
    </row>
    <row r="18" spans="1:24" ht="20.149999999999999" customHeight="1" x14ac:dyDescent="0.35">
      <c r="A18" s="20">
        <v>17</v>
      </c>
      <c r="B18" s="23" t="str">
        <f>SUBSTITUTE(SUBSTITUTE(SUBSTITUTE(SUBSTITUTE(SUBSTITUTE(SUBSTITUTE(SUBSTITUTE(SUBSTITUTE(LOWER(テーブル1[[#This Row],[Name]])," ","-"),".","-"),"&amp;","-"),"_","-"),"・","-"),"=","-"),"--","-"),"--","-")</f>
        <v>kagiai-suzu</v>
      </c>
      <c r="C18" s="24" t="s">
        <v>415</v>
      </c>
      <c r="D18" s="23" t="s">
        <v>416</v>
      </c>
      <c r="E18" s="23" t="s">
        <v>417</v>
      </c>
      <c r="F18" s="2" t="s">
        <v>1537</v>
      </c>
      <c r="G18" s="23" t="s">
        <v>414</v>
      </c>
      <c r="H18" s="23" t="s">
        <v>1663</v>
      </c>
      <c r="I18" s="23" t="s">
        <v>1649</v>
      </c>
      <c r="J18" s="23" t="s">
        <v>1702</v>
      </c>
      <c r="M18" s="1" t="s">
        <v>1517</v>
      </c>
      <c r="N18" s="1" t="s">
        <v>1443</v>
      </c>
      <c r="O18" s="24" t="str">
        <f>テーブル1[[#This Row],[リンク]]&amp;テーブル1[[#This Row],[描画状況]]</f>
        <v>https://vividseekers.utau.sorairomarch.com済</v>
      </c>
      <c r="P18" s="17">
        <f>1-(COUNTIF(O:O,_xlfn.TEXTJOIN(",",TRUE,テーブル1[[#This Row],[リンク]],テーブル1[[#This Row],[描画状況]]))/COUNTIF(F:F,テーブル1[[#This Row],[リンク]]))</f>
        <v>1</v>
      </c>
      <c r="Q18" s="16" t="str">
        <f ca="1">IFERROR(IF(テーブル1[[#This Row],[描画状況]]="",RAND()+(テーブル1[[#This Row],[列2]]*100),""),RAND())</f>
        <v/>
      </c>
      <c r="R18" s="1" t="s">
        <v>12</v>
      </c>
      <c r="S18" s="24" t="str">
        <f ca="1">IF(AND(テーブル1[[#This Row],[描画状況]]="済",テーブル1[[#This Row],[投稿状況]]=""),RAND(),"")</f>
        <v/>
      </c>
      <c r="T18" s="23" t="str">
        <f>"|&amp;image("&amp;テーブル1[[#This Row],[画像]]&amp;".png,width=100,height=100)"</f>
        <v>|&amp;image(kagiai-suzu.png,width=100,height=100)</v>
      </c>
      <c r="U18" s="23" t="str">
        <f>"|MIDDLE:​"&amp;テーブル1[[#This Row],[名前]]</f>
        <v>|MIDDLE:​鍵合スズ</v>
      </c>
      <c r="V18" s="23" t="str">
        <f>"|MIDDLE:​"&amp;テーブル1[[#This Row],[なまえ]]</f>
        <v>|MIDDLE:​かぎあい すず</v>
      </c>
      <c r="W18" s="23" t="str">
        <f>"|MIDDLE:​"&amp;テーブル1[[#This Row],[Name]]</f>
        <v>|MIDDLE:​Kagiai Suzu</v>
      </c>
      <c r="X18" s="23" t="str">
        <f>"|MIDDLE:​&amp;link(配布所はこちら){​"&amp;テーブル1[[#This Row],[リンク]]&amp;"}|"</f>
        <v>|MIDDLE:​&amp;link(配布所はこちら){​https://vividseekers.utau.sorairomarch.com}|</v>
      </c>
    </row>
    <row r="19" spans="1:24" ht="20.149999999999999" customHeight="1" x14ac:dyDescent="0.35">
      <c r="A19" s="20">
        <v>18</v>
      </c>
      <c r="B19" s="23" t="str">
        <f>SUBSTITUTE(SUBSTITUTE(SUBSTITUTE(SUBSTITUTE(SUBSTITUTE(SUBSTITUTE(SUBSTITUTE(SUBSTITUTE(LOWER(テーブル1[[#This Row],[Name]])," ","-"),".","-"),"&amp;","-"),"_","-"),"・","-"),"=","-"),"--","-"),"--","-")</f>
        <v>kakune-shanonn</v>
      </c>
      <c r="C19" s="24" t="s">
        <v>43</v>
      </c>
      <c r="D19" s="23" t="s">
        <v>44</v>
      </c>
      <c r="E19" s="23" t="s">
        <v>45</v>
      </c>
      <c r="F19" s="15" t="s">
        <v>1703</v>
      </c>
      <c r="G19" s="23" t="s">
        <v>46</v>
      </c>
      <c r="H19" s="23" t="s">
        <v>1626</v>
      </c>
      <c r="K19" s="23" t="s">
        <v>1704</v>
      </c>
      <c r="M19" s="1" t="s">
        <v>1518</v>
      </c>
      <c r="N19" s="1" t="s">
        <v>1443</v>
      </c>
      <c r="O19" s="24" t="str">
        <f>テーブル1[[#This Row],[リンク]]&amp;テーブル1[[#This Row],[描画状況]]</f>
        <v>https://ameutaulii.wixsite.com/telepathycapsule済</v>
      </c>
      <c r="P19" s="17">
        <f>1-(COUNTIF(O:O,_xlfn.TEXTJOIN(",",TRUE,テーブル1[[#This Row],[リンク]],テーブル1[[#This Row],[描画状況]]))/COUNTIF(F:F,テーブル1[[#This Row],[リンク]]))</f>
        <v>1</v>
      </c>
      <c r="Q19" s="16" t="str">
        <f ca="1">IFERROR(IF(テーブル1[[#This Row],[描画状況]]="",RAND()+(テーブル1[[#This Row],[列2]]*100),""),RAND())</f>
        <v/>
      </c>
      <c r="R19" s="1" t="s">
        <v>12</v>
      </c>
      <c r="S19" s="24" t="str">
        <f ca="1">IF(AND(テーブル1[[#This Row],[描画状況]]="済",テーブル1[[#This Row],[投稿状況]]=""),RAND(),"")</f>
        <v/>
      </c>
      <c r="T19" s="23" t="str">
        <f>"|&amp;image("&amp;テーブル1[[#This Row],[画像]]&amp;".png,width=100,height=100)"</f>
        <v>|&amp;image(kakune-shanonn.png,width=100,height=100)</v>
      </c>
      <c r="U19" s="23" t="str">
        <f>"|MIDDLE:​"&amp;テーブル1[[#This Row],[名前]]</f>
        <v>|MIDDLE:​​拡音シャノン</v>
      </c>
      <c r="V19" s="23" t="str">
        <f>"|MIDDLE:​"&amp;テーブル1[[#This Row],[なまえ]]</f>
        <v>|MIDDLE:​かくね しゃのん</v>
      </c>
      <c r="W19" s="23" t="str">
        <f>"|MIDDLE:​"&amp;テーブル1[[#This Row],[Name]]</f>
        <v>|MIDDLE:​Kakune Shanonn</v>
      </c>
      <c r="X19" s="23" t="str">
        <f>"|MIDDLE:​&amp;link(配布所はこちら){​"&amp;テーブル1[[#This Row],[リンク]]&amp;"}|"</f>
        <v>|MIDDLE:​&amp;link(配布所はこちら){​https://ameutaulii.wixsite.com/telepathycapsule}|</v>
      </c>
    </row>
    <row r="20" spans="1:24" ht="20.149999999999999" customHeight="1" x14ac:dyDescent="0.35">
      <c r="A20" s="20">
        <v>19</v>
      </c>
      <c r="B20" s="23" t="str">
        <f>SUBSTITUTE(SUBSTITUTE(SUBSTITUTE(SUBSTITUTE(SUBSTITUTE(SUBSTITUTE(SUBSTITUTE(SUBSTITUTE(LOWER(テーブル1[[#This Row],[Name]])," ","-"),".","-"),"&amp;","-"),"_","-"),"・","-"),"=","-"),"--","-"),"--","-")</f>
        <v>kasane-teddo</v>
      </c>
      <c r="C20" s="24" t="s">
        <v>149</v>
      </c>
      <c r="D20" s="23" t="s">
        <v>150</v>
      </c>
      <c r="E20" s="23" t="s">
        <v>151</v>
      </c>
      <c r="F20" s="2" t="s">
        <v>152</v>
      </c>
      <c r="G20" s="23" t="s">
        <v>153</v>
      </c>
      <c r="H20" s="23" t="s">
        <v>1708</v>
      </c>
      <c r="I20" s="23" t="s">
        <v>1649</v>
      </c>
      <c r="K20" s="23" t="s">
        <v>1646</v>
      </c>
      <c r="N20" s="1" t="s">
        <v>1443</v>
      </c>
      <c r="O20" s="24" t="str">
        <f>テーブル1[[#This Row],[リンク]]&amp;テーブル1[[#This Row],[描画状況]]</f>
        <v>https://kasaneteto.jp済</v>
      </c>
      <c r="P20" s="17">
        <f>1-(COUNTIF(O:O,_xlfn.TEXTJOIN(",",TRUE,テーブル1[[#This Row],[リンク]],テーブル1[[#This Row],[描画状況]]))/COUNTIF(F:F,テーブル1[[#This Row],[リンク]]))</f>
        <v>1</v>
      </c>
      <c r="Q20" s="16" t="str">
        <f ca="1">IFERROR(IF(テーブル1[[#This Row],[描画状況]]="",RAND()+(テーブル1[[#This Row],[列2]]*100),""),RAND())</f>
        <v/>
      </c>
      <c r="R20" s="1" t="s">
        <v>12</v>
      </c>
      <c r="S20" s="24" t="str">
        <f ca="1">IF(AND(テーブル1[[#This Row],[描画状況]]="済",テーブル1[[#This Row],[投稿状況]]=""),RAND(),"")</f>
        <v/>
      </c>
      <c r="T20" s="23" t="str">
        <f>"|&amp;image("&amp;テーブル1[[#This Row],[画像]]&amp;".png,width=100,height=100)"</f>
        <v>|&amp;image(kasane-teddo.png,width=100,height=100)</v>
      </c>
      <c r="U20" s="23" t="str">
        <f>"|MIDDLE:​"&amp;テーブル1[[#This Row],[名前]]</f>
        <v>|MIDDLE:​重音テッド</v>
      </c>
      <c r="V20" s="23" t="str">
        <f>"|MIDDLE:​"&amp;テーブル1[[#This Row],[なまえ]]</f>
        <v>|MIDDLE:​かさね てっど</v>
      </c>
      <c r="W20" s="23" t="str">
        <f>"|MIDDLE:​"&amp;テーブル1[[#This Row],[Name]]</f>
        <v>|MIDDLE:​Kasane Teddo</v>
      </c>
      <c r="X20" s="23" t="str">
        <f>"|MIDDLE:​&amp;link(配布所はこちら){​"&amp;テーブル1[[#This Row],[リンク]]&amp;"}|"</f>
        <v>|MIDDLE:​&amp;link(配布所はこちら){​https://kasaneteto.jp}|</v>
      </c>
    </row>
    <row r="21" spans="1:24" ht="20.149999999999999" customHeight="1" x14ac:dyDescent="0.35">
      <c r="A21" s="20">
        <v>20</v>
      </c>
      <c r="B21" s="23" t="str">
        <f>SUBSTITUTE(SUBSTITUTE(SUBSTITUTE(SUBSTITUTE(SUBSTITUTE(SUBSTITUTE(SUBSTITUTE(SUBSTITUTE(LOWER(テーブル1[[#This Row],[Name]])," ","-"),".","-"),"&amp;","-"),"_","-"),"・","-"),"=","-"),"--","-"),"--","-")</f>
        <v>kasane-teto</v>
      </c>
      <c r="C21" s="24" t="s">
        <v>154</v>
      </c>
      <c r="D21" s="23" t="s">
        <v>155</v>
      </c>
      <c r="E21" s="23" t="s">
        <v>156</v>
      </c>
      <c r="F21" s="2" t="s">
        <v>152</v>
      </c>
      <c r="G21" s="23" t="s">
        <v>157</v>
      </c>
      <c r="H21" s="23" t="s">
        <v>1708</v>
      </c>
      <c r="I21" s="23" t="s">
        <v>1649</v>
      </c>
      <c r="N21" s="1" t="s">
        <v>1443</v>
      </c>
      <c r="O21" s="24" t="str">
        <f>テーブル1[[#This Row],[リンク]]&amp;テーブル1[[#This Row],[描画状況]]</f>
        <v>https://kasaneteto.jp済</v>
      </c>
      <c r="P21" s="17">
        <f>1-(COUNTIF(O:O,_xlfn.TEXTJOIN(",",TRUE,テーブル1[[#This Row],[リンク]],テーブル1[[#This Row],[描画状況]]))/COUNTIF(F:F,テーブル1[[#This Row],[リンク]]))</f>
        <v>1</v>
      </c>
      <c r="Q21" s="16" t="str">
        <f ca="1">IFERROR(IF(テーブル1[[#This Row],[描画状況]]="",RAND()+(テーブル1[[#This Row],[列2]]*100),""),RAND())</f>
        <v/>
      </c>
      <c r="R21" s="1" t="s">
        <v>12</v>
      </c>
      <c r="S21" s="24" t="str">
        <f ca="1">IF(AND(テーブル1[[#This Row],[描画状況]]="済",テーブル1[[#This Row],[投稿状況]]=""),RAND(),"")</f>
        <v/>
      </c>
      <c r="T21" s="23" t="str">
        <f>"|&amp;image("&amp;テーブル1[[#This Row],[画像]]&amp;".png,width=100,height=100)"</f>
        <v>|&amp;image(kasane-teto.png,width=100,height=100)</v>
      </c>
      <c r="U21" s="23" t="str">
        <f>"|MIDDLE:​"&amp;テーブル1[[#This Row],[名前]]</f>
        <v>|MIDDLE:​重音テト</v>
      </c>
      <c r="V21" s="23" t="str">
        <f>"|MIDDLE:​"&amp;テーブル1[[#This Row],[なまえ]]</f>
        <v>|MIDDLE:​かさね てと</v>
      </c>
      <c r="W21" s="23" t="str">
        <f>"|MIDDLE:​"&amp;テーブル1[[#This Row],[Name]]</f>
        <v>|MIDDLE:​Kasane Teto</v>
      </c>
      <c r="X21" s="23" t="str">
        <f>"|MIDDLE:​&amp;link(配布所はこちら){​"&amp;テーブル1[[#This Row],[リンク]]&amp;"}|"</f>
        <v>|MIDDLE:​&amp;link(配布所はこちら){​https://kasaneteto.jp}|</v>
      </c>
    </row>
    <row r="22" spans="1:24" ht="20.149999999999999" customHeight="1" x14ac:dyDescent="0.35">
      <c r="A22" s="20">
        <v>21</v>
      </c>
      <c r="B22" s="23" t="str">
        <f>SUBSTITUTE(SUBSTITUTE(SUBSTITUTE(SUBSTITUTE(SUBSTITUTE(SUBSTITUTE(SUBSTITUTE(SUBSTITUTE(LOWER(テーブル1[[#This Row],[Name]])," ","-"),".","-"),"&amp;","-"),"_","-"),"・","-"),"=","-"),"--","-"),"--","-")</f>
        <v>kasumi-ua</v>
      </c>
      <c r="C22" s="24" t="s">
        <v>1406</v>
      </c>
      <c r="D22" s="23" t="s">
        <v>69</v>
      </c>
      <c r="E22" s="23" t="s">
        <v>70</v>
      </c>
      <c r="F22" s="2" t="s">
        <v>540</v>
      </c>
      <c r="G22" s="23" t="s">
        <v>71</v>
      </c>
      <c r="H22" s="23" t="s">
        <v>1626</v>
      </c>
      <c r="I22" s="23" t="s">
        <v>1709</v>
      </c>
      <c r="L22" s="23" t="s">
        <v>1710</v>
      </c>
      <c r="M22" s="1" t="s">
        <v>1517</v>
      </c>
      <c r="N22" s="1" t="s">
        <v>1443</v>
      </c>
      <c r="O22" s="24" t="str">
        <f>テーブル1[[#This Row],[リンク]]&amp;テーブル1[[#This Row],[描画状況]]</f>
        <v>https://bowlroll.net/user/980255済</v>
      </c>
      <c r="P22" s="17">
        <f>1-(COUNTIF(O:O,_xlfn.TEXTJOIN(",",TRUE,テーブル1[[#This Row],[リンク]],テーブル1[[#This Row],[描画状況]]))/COUNTIF(F:F,テーブル1[[#This Row],[リンク]]))</f>
        <v>1</v>
      </c>
      <c r="Q22" s="16" t="str">
        <f ca="1">IFERROR(IF(テーブル1[[#This Row],[描画状況]]="",RAND()+(テーブル1[[#This Row],[列2]]*100),""),RAND())</f>
        <v/>
      </c>
      <c r="R22" s="1" t="s">
        <v>12</v>
      </c>
      <c r="S22" s="24" t="str">
        <f ca="1">IF(AND(テーブル1[[#This Row],[描画状況]]="済",テーブル1[[#This Row],[投稿状況]]=""),RAND(),"")</f>
        <v/>
      </c>
      <c r="T22" s="23" t="str">
        <f>"|&amp;image("&amp;テーブル1[[#This Row],[画像]]&amp;".png,width=100,height=100)"</f>
        <v>|&amp;image(kasumi-ua.png,width=100,height=100)</v>
      </c>
      <c r="U22" s="23" t="str">
        <f>"|MIDDLE:​"&amp;テーブル1[[#This Row],[名前]]</f>
        <v>|MIDDLE:​化炭ウア</v>
      </c>
      <c r="V22" s="23" t="str">
        <f>"|MIDDLE:​"&amp;テーブル1[[#This Row],[なまえ]]</f>
        <v>|MIDDLE:​かすみ うあ</v>
      </c>
      <c r="W22" s="23" t="str">
        <f>"|MIDDLE:​"&amp;テーブル1[[#This Row],[Name]]</f>
        <v>|MIDDLE:​Kasumi Ua</v>
      </c>
      <c r="X22" s="23" t="str">
        <f>"|MIDDLE:​&amp;link(配布所はこちら){​"&amp;テーブル1[[#This Row],[リンク]]&amp;"}|"</f>
        <v>|MIDDLE:​&amp;link(配布所はこちら){​https://bowlroll.net/user/980255}|</v>
      </c>
    </row>
    <row r="23" spans="1:24" ht="20.149999999999999" customHeight="1" x14ac:dyDescent="0.35">
      <c r="A23" s="20">
        <v>22</v>
      </c>
      <c r="B23" s="23" t="str">
        <f>SUBSTITUTE(SUBSTITUTE(SUBSTITUTE(SUBSTITUTE(SUBSTITUTE(SUBSTITUTE(SUBSTITUTE(SUBSTITUTE(LOWER(テーブル1[[#This Row],[Name]])," ","-"),".","-"),"&amp;","-"),"_","-"),"・","-"),"=","-"),"--","-"),"--","-")</f>
        <v>kazehiki</v>
      </c>
      <c r="C23" s="24" t="s">
        <v>167</v>
      </c>
      <c r="D23" s="23" t="s">
        <v>168</v>
      </c>
      <c r="E23" s="23" t="s">
        <v>169</v>
      </c>
      <c r="F23" s="2" t="s">
        <v>170</v>
      </c>
      <c r="G23" s="23" t="s">
        <v>171</v>
      </c>
      <c r="N23" s="1" t="s">
        <v>1443</v>
      </c>
      <c r="O23" s="24" t="str">
        <f>テーブル1[[#This Row],[リンク]]&amp;テーブル1[[#This Row],[描画状況]]</f>
        <v>https://kurukuru2suuzi.wixsite.com/kuzutokaze済</v>
      </c>
      <c r="P23" s="17">
        <f>1-(COUNTIF(O:O,_xlfn.TEXTJOIN(",",TRUE,テーブル1[[#This Row],[リンク]],テーブル1[[#This Row],[描画状況]]))/COUNTIF(F:F,テーブル1[[#This Row],[リンク]]))</f>
        <v>1</v>
      </c>
      <c r="Q23" s="16" t="str">
        <f ca="1">IFERROR(IF(テーブル1[[#This Row],[描画状況]]="",RAND()+(テーブル1[[#This Row],[列2]]*100),""),RAND())</f>
        <v/>
      </c>
      <c r="R23" s="1" t="s">
        <v>12</v>
      </c>
      <c r="S23" s="24" t="str">
        <f ca="1">IF(AND(テーブル1[[#This Row],[描画状況]]="済",テーブル1[[#This Row],[投稿状況]]=""),RAND(),"")</f>
        <v/>
      </c>
      <c r="T23" s="23" t="str">
        <f>"|&amp;image("&amp;テーブル1[[#This Row],[画像]]&amp;".png,width=100,height=100)"</f>
        <v>|&amp;image(kazehiki.png,width=100,height=100)</v>
      </c>
      <c r="U23" s="23" t="str">
        <f>"|MIDDLE:​"&amp;テーブル1[[#This Row],[名前]]</f>
        <v>|MIDDLE:​カゼヒキ</v>
      </c>
      <c r="V23" s="23" t="str">
        <f>"|MIDDLE:​"&amp;テーブル1[[#This Row],[なまえ]]</f>
        <v>|MIDDLE:​かぜひき</v>
      </c>
      <c r="W23" s="23" t="str">
        <f>"|MIDDLE:​"&amp;テーブル1[[#This Row],[Name]]</f>
        <v>|MIDDLE:​Kazehiki</v>
      </c>
      <c r="X23" s="23" t="str">
        <f>"|MIDDLE:​&amp;link(配布所はこちら){​"&amp;テーブル1[[#This Row],[リンク]]&amp;"}|"</f>
        <v>|MIDDLE:​&amp;link(配布所はこちら){​https://kurukuru2suuzi.wixsite.com/kuzutokaze}|</v>
      </c>
    </row>
    <row r="24" spans="1:24" ht="20.149999999999999" customHeight="1" x14ac:dyDescent="0.35">
      <c r="A24" s="20">
        <v>23</v>
      </c>
      <c r="B24" s="23" t="str">
        <f>SUBSTITUTE(SUBSTITUTE(SUBSTITUTE(SUBSTITUTE(SUBSTITUTE(SUBSTITUTE(SUBSTITUTE(SUBSTITUTE(LOWER(テーブル1[[#This Row],[Name]])," ","-"),".","-"),"&amp;","-"),"_","-"),"・","-"),"=","-"),"--","-"),"--","-")</f>
        <v>katabami</v>
      </c>
      <c r="C24" s="24" t="s">
        <v>1407</v>
      </c>
      <c r="D24" s="23" t="s">
        <v>294</v>
      </c>
      <c r="E24" s="23" t="s">
        <v>295</v>
      </c>
      <c r="F24" s="2" t="s">
        <v>292</v>
      </c>
      <c r="G24" s="23" t="s">
        <v>293</v>
      </c>
      <c r="H24" s="23" t="s">
        <v>1662</v>
      </c>
      <c r="I24" s="23" t="s">
        <v>1675</v>
      </c>
      <c r="K24" s="23" t="s">
        <v>1637</v>
      </c>
      <c r="M24" s="1" t="s">
        <v>1517</v>
      </c>
      <c r="N24" s="1" t="s">
        <v>1443</v>
      </c>
      <c r="O24" s="24" t="str">
        <f>テーブル1[[#This Row],[リンク]]&amp;テーブル1[[#This Row],[描画状況]]</f>
        <v>https://seirentoybox.jimdofree.com済</v>
      </c>
      <c r="P24" s="17">
        <f>1-(COUNTIF(O:O,_xlfn.TEXTJOIN(",",TRUE,テーブル1[[#This Row],[リンク]],テーブル1[[#This Row],[描画状況]]))/COUNTIF(F:F,テーブル1[[#This Row],[リンク]]))</f>
        <v>1</v>
      </c>
      <c r="Q24" s="16" t="str">
        <f ca="1">IFERROR(IF(テーブル1[[#This Row],[描画状況]]="",RAND()+(テーブル1[[#This Row],[列2]]*100),""),RAND())</f>
        <v/>
      </c>
      <c r="R24" s="1" t="s">
        <v>12</v>
      </c>
      <c r="S24" s="24" t="str">
        <f ca="1">IF(AND(テーブル1[[#This Row],[描画状況]]="済",テーブル1[[#This Row],[投稿状況]]=""),RAND(),"")</f>
        <v/>
      </c>
      <c r="T24" s="23" t="str">
        <f>"|&amp;image("&amp;テーブル1[[#This Row],[画像]]&amp;".png,width=100,height=100)"</f>
        <v>|&amp;image(katabami.png,width=100,height=100)</v>
      </c>
      <c r="U24" s="23" t="str">
        <f>"|MIDDLE:​"&amp;テーブル1[[#This Row],[名前]]</f>
        <v>|MIDDLE:​カタバミ</v>
      </c>
      <c r="V24" s="23" t="str">
        <f>"|MIDDLE:​"&amp;テーブル1[[#This Row],[なまえ]]</f>
        <v>|MIDDLE:​かたばみ</v>
      </c>
      <c r="W24" s="23" t="str">
        <f>"|MIDDLE:​"&amp;テーブル1[[#This Row],[Name]]</f>
        <v>|MIDDLE:​Katabami</v>
      </c>
      <c r="X24" s="23" t="str">
        <f>"|MIDDLE:​&amp;link(配布所はこちら){​"&amp;テーブル1[[#This Row],[リンク]]&amp;"}|"</f>
        <v>|MIDDLE:​&amp;link(配布所はこちら){​https://seirentoybox.jimdofree.com}|</v>
      </c>
    </row>
    <row r="25" spans="1:24" ht="20.149999999999999" customHeight="1" x14ac:dyDescent="0.35">
      <c r="A25" s="20">
        <v>24</v>
      </c>
      <c r="B25" s="23" t="str">
        <f>SUBSTITUTE(SUBSTITUTE(SUBSTITUTE(SUBSTITUTE(SUBSTITUTE(SUBSTITUTE(SUBSTITUTE(SUBSTITUTE(LOWER(テーブル1[[#This Row],[Name]])," ","-"),".","-"),"&amp;","-"),"_","-"),"・","-"),"=","-"),"--","-"),"--","-")</f>
        <v>katabanhumei</v>
      </c>
      <c r="C25" s="24" t="s">
        <v>1408</v>
      </c>
      <c r="D25" s="23" t="s">
        <v>217</v>
      </c>
      <c r="E25" s="23" t="s">
        <v>218</v>
      </c>
      <c r="F25" s="2" t="s">
        <v>219</v>
      </c>
      <c r="G25" s="23" t="s">
        <v>220</v>
      </c>
      <c r="N25" s="1" t="s">
        <v>1443</v>
      </c>
      <c r="O25" s="24" t="str">
        <f>テーブル1[[#This Row],[リンク]]&amp;テーブル1[[#This Row],[描画状況]]</f>
        <v>https://moqujc.wixsite.com/mqtop済</v>
      </c>
      <c r="P25" s="17">
        <f>1-(COUNTIF(O:O,_xlfn.TEXTJOIN(",",TRUE,テーブル1[[#This Row],[リンク]],テーブル1[[#This Row],[描画状況]]))/COUNTIF(F:F,テーブル1[[#This Row],[リンク]]))</f>
        <v>1</v>
      </c>
      <c r="Q25" s="16" t="str">
        <f ca="1">IFERROR(IF(テーブル1[[#This Row],[描画状況]]="",RAND()+(テーブル1[[#This Row],[列2]]*100),""),RAND())</f>
        <v/>
      </c>
      <c r="R25" s="1" t="s">
        <v>12</v>
      </c>
      <c r="S25" s="24" t="str">
        <f ca="1">IF(AND(テーブル1[[#This Row],[描画状況]]="済",テーブル1[[#This Row],[投稿状況]]=""),RAND(),"")</f>
        <v/>
      </c>
      <c r="T25" s="23" t="str">
        <f>"|&amp;image("&amp;テーブル1[[#This Row],[画像]]&amp;".png,width=100,height=100)"</f>
        <v>|&amp;image(katabanhumei.png,width=100,height=100)</v>
      </c>
      <c r="U25" s="23" t="str">
        <f>"|MIDDLE:​"&amp;テーブル1[[#This Row],[名前]]</f>
        <v>|MIDDLE:​型番不明</v>
      </c>
      <c r="V25" s="23" t="str">
        <f>"|MIDDLE:​"&amp;テーブル1[[#This Row],[なまえ]]</f>
        <v>|MIDDLE:​かたばんふめい</v>
      </c>
      <c r="W25" s="23" t="str">
        <f>"|MIDDLE:​"&amp;テーブル1[[#This Row],[Name]]</f>
        <v>|MIDDLE:​Katabanhumei</v>
      </c>
      <c r="X25" s="23" t="str">
        <f>"|MIDDLE:​&amp;link(配布所はこちら){​"&amp;テーブル1[[#This Row],[リンク]]&amp;"}|"</f>
        <v>|MIDDLE:​&amp;link(配布所はこちら){​https://moqujc.wixsite.com/mqtop}|</v>
      </c>
    </row>
    <row r="26" spans="1:24" ht="20.149999999999999" customHeight="1" x14ac:dyDescent="0.35">
      <c r="A26" s="20">
        <v>25</v>
      </c>
      <c r="B26" s="23" t="str">
        <f>SUBSTITUTE(SUBSTITUTE(SUBSTITUTE(SUBSTITUTE(SUBSTITUTE(SUBSTITUTE(SUBSTITUTE(SUBSTITUTE(LOWER(テーブル1[[#This Row],[Name]])," ","-"),".","-"),"&amp;","-"),"_","-"),"・","-"),"=","-"),"--","-"),"--","-")</f>
        <v>kanade-shia</v>
      </c>
      <c r="C26" s="24" t="s">
        <v>124</v>
      </c>
      <c r="D26" s="23" t="s">
        <v>125</v>
      </c>
      <c r="E26" s="23" t="s">
        <v>126</v>
      </c>
      <c r="F26" s="2" t="s">
        <v>127</v>
      </c>
      <c r="G26" s="23" t="s">
        <v>128</v>
      </c>
      <c r="N26" s="1" t="s">
        <v>1443</v>
      </c>
      <c r="O26" s="24" t="str">
        <f>テーブル1[[#This Row],[リンク]]&amp;テーブル1[[#This Row],[描画状況]]</f>
        <v>https://itsuriutau.wixsite.com/kanadeshia済</v>
      </c>
      <c r="P26" s="17">
        <f>1-(COUNTIF(O:O,_xlfn.TEXTJOIN(",",TRUE,テーブル1[[#This Row],[リンク]],テーブル1[[#This Row],[描画状況]]))/COUNTIF(F:F,テーブル1[[#This Row],[リンク]]))</f>
        <v>1</v>
      </c>
      <c r="Q26" s="16" t="str">
        <f ca="1">IFERROR(IF(テーブル1[[#This Row],[描画状況]]="",RAND()+(テーブル1[[#This Row],[列2]]*100),""),RAND())</f>
        <v/>
      </c>
      <c r="R26" s="1" t="s">
        <v>12</v>
      </c>
      <c r="S26" s="24" t="str">
        <f ca="1">IF(AND(テーブル1[[#This Row],[描画状況]]="済",テーブル1[[#This Row],[投稿状況]]=""),RAND(),"")</f>
        <v/>
      </c>
      <c r="T26" s="23" t="str">
        <f>"|&amp;image("&amp;テーブル1[[#This Row],[画像]]&amp;".png,width=100,height=100)"</f>
        <v>|&amp;image(kanade-shia.png,width=100,height=100)</v>
      </c>
      <c r="U26" s="23" t="str">
        <f>"|MIDDLE:​"&amp;テーブル1[[#This Row],[名前]]</f>
        <v>|MIDDLE:​花撫シア</v>
      </c>
      <c r="V26" s="23" t="str">
        <f>"|MIDDLE:​"&amp;テーブル1[[#This Row],[なまえ]]</f>
        <v>|MIDDLE:​かなで しあ</v>
      </c>
      <c r="W26" s="23" t="str">
        <f>"|MIDDLE:​"&amp;テーブル1[[#This Row],[Name]]</f>
        <v>|MIDDLE:​Kanade Shia</v>
      </c>
      <c r="X26" s="23" t="str">
        <f>"|MIDDLE:​&amp;link(配布所はこちら){​"&amp;テーブル1[[#This Row],[リンク]]&amp;"}|"</f>
        <v>|MIDDLE:​&amp;link(配布所はこちら){​https://itsuriutau.wixsite.com/kanadeshia}|</v>
      </c>
    </row>
    <row r="27" spans="1:24" ht="20.149999999999999" customHeight="1" x14ac:dyDescent="0.35">
      <c r="A27" s="20">
        <v>26</v>
      </c>
      <c r="B27" s="23" t="str">
        <f>SUBSTITUTE(SUBSTITUTE(SUBSTITUTE(SUBSTITUTE(SUBSTITUTE(SUBSTITUTE(SUBSTITUTE(SUBSTITUTE(LOWER(テーブル1[[#This Row],[Name]])," ","-"),".","-"),"&amp;","-"),"_","-"),"・","-"),"=","-"),"--","-"),"--","-")</f>
        <v>kanade-shion</v>
      </c>
      <c r="C27" s="24" t="s">
        <v>129</v>
      </c>
      <c r="D27" s="23" t="s">
        <v>130</v>
      </c>
      <c r="E27" s="23" t="s">
        <v>131</v>
      </c>
      <c r="F27" s="2" t="s">
        <v>127</v>
      </c>
      <c r="G27" s="23" t="s">
        <v>132</v>
      </c>
      <c r="N27" s="1" t="s">
        <v>1443</v>
      </c>
      <c r="O27" s="24" t="str">
        <f>テーブル1[[#This Row],[リンク]]&amp;テーブル1[[#This Row],[描画状況]]</f>
        <v>https://itsuriutau.wixsite.com/kanadeshia済</v>
      </c>
      <c r="P27" s="17">
        <f>1-(COUNTIF(O:O,_xlfn.TEXTJOIN(",",TRUE,テーブル1[[#This Row],[リンク]],テーブル1[[#This Row],[描画状況]]))/COUNTIF(F:F,テーブル1[[#This Row],[リンク]]))</f>
        <v>1</v>
      </c>
      <c r="Q27" s="16" t="str">
        <f ca="1">IFERROR(IF(テーブル1[[#This Row],[描画状況]]="",RAND()+(テーブル1[[#This Row],[列2]]*100),""),RAND())</f>
        <v/>
      </c>
      <c r="R27" s="1" t="s">
        <v>12</v>
      </c>
      <c r="S27" s="24" t="str">
        <f ca="1">IF(AND(テーブル1[[#This Row],[描画状況]]="済",テーブル1[[#This Row],[投稿状況]]=""),RAND(),"")</f>
        <v/>
      </c>
      <c r="T27" s="23" t="str">
        <f>"|&amp;image("&amp;テーブル1[[#This Row],[画像]]&amp;".png,width=100,height=100)"</f>
        <v>|&amp;image(kanade-shion.png,width=100,height=100)</v>
      </c>
      <c r="U27" s="23" t="str">
        <f>"|MIDDLE:​"&amp;テーブル1[[#This Row],[名前]]</f>
        <v>|MIDDLE:​花撫シオン</v>
      </c>
      <c r="V27" s="23" t="str">
        <f>"|MIDDLE:​"&amp;テーブル1[[#This Row],[なまえ]]</f>
        <v>|MIDDLE:​かなで しおん</v>
      </c>
      <c r="W27" s="23" t="str">
        <f>"|MIDDLE:​"&amp;テーブル1[[#This Row],[Name]]</f>
        <v>|MIDDLE:​Kanade Shion</v>
      </c>
      <c r="X27" s="23" t="str">
        <f>"|MIDDLE:​&amp;link(配布所はこちら){​"&amp;テーブル1[[#This Row],[リンク]]&amp;"}|"</f>
        <v>|MIDDLE:​&amp;link(配布所はこちら){​https://itsuriutau.wixsite.com/kanadeshia}|</v>
      </c>
    </row>
    <row r="28" spans="1:24" ht="20.149999999999999" customHeight="1" x14ac:dyDescent="0.35">
      <c r="A28" s="20">
        <v>27</v>
      </c>
      <c r="B28" s="23" t="str">
        <f>SUBSTITUTE(SUBSTITUTE(SUBSTITUTE(SUBSTITUTE(SUBSTITUTE(SUBSTITUTE(SUBSTITUTE(SUBSTITUTE(LOWER(テーブル1[[#This Row],[Name]])," ","-"),".","-"),"&amp;","-"),"_","-"),"・","-"),"=","-"),"--","-"),"--","-")</f>
        <v>kanari-niito</v>
      </c>
      <c r="C28" s="24" t="s">
        <v>61</v>
      </c>
      <c r="D28" s="23" t="s">
        <v>62</v>
      </c>
      <c r="E28" s="23" t="s">
        <v>63</v>
      </c>
      <c r="F28" s="2" t="s">
        <v>64</v>
      </c>
      <c r="G28" s="23" t="s">
        <v>65</v>
      </c>
      <c r="M28" s="1" t="s">
        <v>1517</v>
      </c>
      <c r="N28" s="1" t="s">
        <v>1443</v>
      </c>
      <c r="O28" s="24" t="str">
        <f>テーブル1[[#This Row],[リンク]]&amp;テーブル1[[#This Row],[描画状況]]</f>
        <v>https://bowlroll.net/user/852117/files済</v>
      </c>
      <c r="P28" s="17">
        <f>1-(COUNTIF(O:O,_xlfn.TEXTJOIN(",",TRUE,テーブル1[[#This Row],[リンク]],テーブル1[[#This Row],[描画状況]]))/COUNTIF(F:F,テーブル1[[#This Row],[リンク]]))</f>
        <v>1</v>
      </c>
      <c r="Q28" s="16" t="str">
        <f ca="1">IFERROR(IF(テーブル1[[#This Row],[描画状況]]="",RAND()+(テーブル1[[#This Row],[列2]]*100),""),RAND())</f>
        <v/>
      </c>
      <c r="R28" s="1" t="s">
        <v>12</v>
      </c>
      <c r="S28" s="24" t="str">
        <f ca="1">IF(AND(テーブル1[[#This Row],[描画状況]]="済",テーブル1[[#This Row],[投稿状況]]=""),RAND(),"")</f>
        <v/>
      </c>
      <c r="T28" s="23" t="str">
        <f>"|&amp;image("&amp;テーブル1[[#This Row],[画像]]&amp;".png,width=100,height=100)"</f>
        <v>|&amp;image(kanari-niito.png,width=100,height=100)</v>
      </c>
      <c r="U28" s="23" t="str">
        <f>"|MIDDLE:​"&amp;テーブル1[[#This Row],[名前]]</f>
        <v>|MIDDLE:​歌為にーと</v>
      </c>
      <c r="V28" s="23" t="str">
        <f>"|MIDDLE:​"&amp;テーブル1[[#This Row],[なまえ]]</f>
        <v>|MIDDLE:​かなり にーと</v>
      </c>
      <c r="W28" s="23" t="str">
        <f>"|MIDDLE:​"&amp;テーブル1[[#This Row],[Name]]</f>
        <v>|MIDDLE:​Kanari Niito</v>
      </c>
      <c r="X28" s="23" t="str">
        <f>"|MIDDLE:​&amp;link(配布所はこちら){​"&amp;テーブル1[[#This Row],[リンク]]&amp;"}|"</f>
        <v>|MIDDLE:​&amp;link(配布所はこちら){​https://bowlroll.net/user/852117/files}|</v>
      </c>
    </row>
    <row r="29" spans="1:24" ht="20.149999999999999" customHeight="1" x14ac:dyDescent="0.35">
      <c r="A29" s="20">
        <v>28</v>
      </c>
      <c r="B29" s="23" t="str">
        <f>SUBSTITUTE(SUBSTITUTE(SUBSTITUTE(SUBSTITUTE(SUBSTITUTE(SUBSTITUTE(SUBSTITUTE(SUBSTITUTE(LOWER(テーブル1[[#This Row],[Name]])," ","-"),".","-"),"&amp;","-"),"_","-"),"・","-"),"=","-"),"--","-"),"--","-")</f>
        <v>karane-kyoka</v>
      </c>
      <c r="C29" s="24" t="s">
        <v>1409</v>
      </c>
      <c r="D29" s="23" t="s">
        <v>133</v>
      </c>
      <c r="E29" s="23" t="s">
        <v>134</v>
      </c>
      <c r="F29" s="2" t="s">
        <v>135</v>
      </c>
      <c r="G29" s="23" t="s">
        <v>136</v>
      </c>
      <c r="N29" s="1" t="s">
        <v>1443</v>
      </c>
      <c r="O29" s="24" t="str">
        <f>テーブル1[[#This Row],[リンク]]&amp;テーブル1[[#This Row],[描画状況]]</f>
        <v>https://kaitoramma.chu.jp済</v>
      </c>
      <c r="P29" s="17">
        <f>1-(COUNTIF(O:O,_xlfn.TEXTJOIN(",",TRUE,テーブル1[[#This Row],[リンク]],テーブル1[[#This Row],[描画状況]]))/COUNTIF(F:F,テーブル1[[#This Row],[リンク]]))</f>
        <v>1</v>
      </c>
      <c r="Q29" s="16" t="str">
        <f ca="1">IFERROR(IF(テーブル1[[#This Row],[描画状況]]="",RAND()+(テーブル1[[#This Row],[列2]]*100),""),RAND())</f>
        <v/>
      </c>
      <c r="R29" s="1" t="s">
        <v>12</v>
      </c>
      <c r="S29" s="24" t="str">
        <f ca="1">IF(AND(テーブル1[[#This Row],[描画状況]]="済",テーブル1[[#This Row],[投稿状況]]=""),RAND(),"")</f>
        <v/>
      </c>
      <c r="T29" s="23" t="str">
        <f>"|&amp;image("&amp;テーブル1[[#This Row],[画像]]&amp;".png,width=100,height=100)"</f>
        <v>|&amp;image(karane-kyoka.png,width=100,height=100)</v>
      </c>
      <c r="U29" s="23" t="str">
        <f>"|MIDDLE:​"&amp;テーブル1[[#This Row],[名前]]</f>
        <v>|MIDDLE:​空音響歌</v>
      </c>
      <c r="V29" s="23" t="str">
        <f>"|MIDDLE:​"&amp;テーブル1[[#This Row],[なまえ]]</f>
        <v>|MIDDLE:​からね きょうか</v>
      </c>
      <c r="W29" s="23" t="str">
        <f>"|MIDDLE:​"&amp;テーブル1[[#This Row],[Name]]</f>
        <v>|MIDDLE:​Karane Kyoka</v>
      </c>
      <c r="X29" s="23" t="str">
        <f>"|MIDDLE:​&amp;link(配布所はこちら){​"&amp;テーブル1[[#This Row],[リンク]]&amp;"}|"</f>
        <v>|MIDDLE:​&amp;link(配布所はこちら){​https://kaitoramma.chu.jp}|</v>
      </c>
    </row>
    <row r="30" spans="1:24" ht="20.149999999999999" customHeight="1" x14ac:dyDescent="0.35">
      <c r="A30" s="20">
        <v>29</v>
      </c>
      <c r="B30" s="23" t="str">
        <f>SUBSTITUTE(SUBSTITUTE(SUBSTITUTE(SUBSTITUTE(SUBSTITUTE(SUBSTITUTE(SUBSTITUTE(SUBSTITUTE(LOWER(テーブル1[[#This Row],[Name]])," ","-"),".","-"),"&amp;","-"),"_","-"),"・","-"),"=","-"),"--","-"),"--","-")</f>
        <v>karane-hibiki</v>
      </c>
      <c r="C30" s="24" t="s">
        <v>1410</v>
      </c>
      <c r="D30" s="23" t="s">
        <v>137</v>
      </c>
      <c r="E30" s="23" t="s">
        <v>138</v>
      </c>
      <c r="F30" s="2" t="s">
        <v>135</v>
      </c>
      <c r="G30" s="23" t="s">
        <v>136</v>
      </c>
      <c r="N30" s="1" t="s">
        <v>1443</v>
      </c>
      <c r="O30" s="24" t="str">
        <f>テーブル1[[#This Row],[リンク]]&amp;テーブル1[[#This Row],[描画状況]]</f>
        <v>https://kaitoramma.chu.jp済</v>
      </c>
      <c r="P30" s="17">
        <f>1-(COUNTIF(O:O,_xlfn.TEXTJOIN(",",TRUE,テーブル1[[#This Row],[リンク]],テーブル1[[#This Row],[描画状況]]))/COUNTIF(F:F,テーブル1[[#This Row],[リンク]]))</f>
        <v>1</v>
      </c>
      <c r="Q30" s="16" t="str">
        <f ca="1">IFERROR(IF(テーブル1[[#This Row],[描画状況]]="",RAND()+(テーブル1[[#This Row],[列2]]*100),""),RAND())</f>
        <v/>
      </c>
      <c r="R30" s="1" t="s">
        <v>12</v>
      </c>
      <c r="S30" s="24" t="str">
        <f ca="1">IF(AND(テーブル1[[#This Row],[描画状況]]="済",テーブル1[[#This Row],[投稿状況]]=""),RAND(),"")</f>
        <v/>
      </c>
      <c r="T30" s="23" t="str">
        <f>"|&amp;image("&amp;テーブル1[[#This Row],[画像]]&amp;".png,width=100,height=100)"</f>
        <v>|&amp;image(karane-hibiki.png,width=100,height=100)</v>
      </c>
      <c r="U30" s="23" t="str">
        <f>"|MIDDLE:​"&amp;テーブル1[[#This Row],[名前]]</f>
        <v>|MIDDLE:​空音ヒビキ</v>
      </c>
      <c r="V30" s="23" t="str">
        <f>"|MIDDLE:​"&amp;テーブル1[[#This Row],[なまえ]]</f>
        <v>|MIDDLE:​からね ひびき</v>
      </c>
      <c r="W30" s="23" t="str">
        <f>"|MIDDLE:​"&amp;テーブル1[[#This Row],[Name]]</f>
        <v>|MIDDLE:​Karane Hibiki</v>
      </c>
      <c r="X30" s="23" t="str">
        <f>"|MIDDLE:​&amp;link(配布所はこちら){​"&amp;テーブル1[[#This Row],[リンク]]&amp;"}|"</f>
        <v>|MIDDLE:​&amp;link(配布所はこちら){​https://kaitoramma.chu.jp}|</v>
      </c>
    </row>
    <row r="31" spans="1:24" ht="20.149999999999999" customHeight="1" x14ac:dyDescent="0.35">
      <c r="A31" s="20">
        <v>30</v>
      </c>
      <c r="B31" s="23" t="str">
        <f>SUBSTITUTE(SUBSTITUTE(SUBSTITUTE(SUBSTITUTE(SUBSTITUTE(SUBSTITUTE(SUBSTITUTE(SUBSTITUTE(LOWER(テーブル1[[#This Row],[Name]])," ","-"),".","-"),"&amp;","-"),"_","-"),"・","-"),"=","-"),"--","-"),"--","-")</f>
        <v>kiyenn</v>
      </c>
      <c r="C31" s="24" t="s">
        <v>1411</v>
      </c>
      <c r="D31" s="23" t="s">
        <v>364</v>
      </c>
      <c r="E31" s="23" t="s">
        <v>365</v>
      </c>
      <c r="F31" s="2" t="s">
        <v>366</v>
      </c>
      <c r="G31" s="23" t="s">
        <v>367</v>
      </c>
      <c r="N31" s="1" t="s">
        <v>1443</v>
      </c>
      <c r="O31" s="24" t="str">
        <f>テーブル1[[#This Row],[リンク]]&amp;テーブル1[[#This Row],[描画状況]]</f>
        <v>https://utaunanaproplus.wixsite.com/of-web済</v>
      </c>
      <c r="P31" s="17">
        <f>1-(COUNTIF(O:O,_xlfn.TEXTJOIN(",",TRUE,テーブル1[[#This Row],[リンク]],テーブル1[[#This Row],[描画状況]]))/COUNTIF(F:F,テーブル1[[#This Row],[リンク]]))</f>
        <v>1</v>
      </c>
      <c r="Q31" s="16" t="str">
        <f ca="1">IFERROR(IF(テーブル1[[#This Row],[描画状況]]="",RAND()+(テーブル1[[#This Row],[列2]]*100),""),RAND())</f>
        <v/>
      </c>
      <c r="R31" s="1" t="s">
        <v>12</v>
      </c>
      <c r="S31" s="24" t="str">
        <f ca="1">IF(AND(テーブル1[[#This Row],[描画状況]]="済",テーブル1[[#This Row],[投稿状況]]=""),RAND(),"")</f>
        <v/>
      </c>
      <c r="T31" s="23" t="str">
        <f>"|&amp;image("&amp;テーブル1[[#This Row],[画像]]&amp;".png,width=100,height=100)"</f>
        <v>|&amp;image(kiyenn.png,width=100,height=100)</v>
      </c>
      <c r="U31" s="23" t="str">
        <f>"|MIDDLE:​"&amp;テーブル1[[#This Row],[名前]]</f>
        <v>|MIDDLE:​キエン</v>
      </c>
      <c r="V31" s="23" t="str">
        <f>"|MIDDLE:​"&amp;テーブル1[[#This Row],[なまえ]]</f>
        <v>|MIDDLE:​きえん</v>
      </c>
      <c r="W31" s="23" t="str">
        <f>"|MIDDLE:​"&amp;テーブル1[[#This Row],[Name]]</f>
        <v>|MIDDLE:​Kiyenn</v>
      </c>
      <c r="X31" s="23" t="str">
        <f>"|MIDDLE:​&amp;link(配布所はこちら){​"&amp;テーブル1[[#This Row],[リンク]]&amp;"}|"</f>
        <v>|MIDDLE:​&amp;link(配布所はこちら){​https://utaunanaproplus.wixsite.com/of-web}|</v>
      </c>
    </row>
    <row r="32" spans="1:24" ht="20.149999999999999" customHeight="1" x14ac:dyDescent="0.35">
      <c r="A32" s="20">
        <v>31</v>
      </c>
      <c r="B32" s="23" t="str">
        <f>SUBSTITUTE(SUBSTITUTE(SUBSTITUTE(SUBSTITUTE(SUBSTITUTE(SUBSTITUTE(SUBSTITUTE(SUBSTITUTE(LOWER(テーブル1[[#This Row],[Name]])," ","-"),".","-"),"&amp;","-"),"_","-"),"・","-"),"=","-"),"--","-"),"--","-")</f>
        <v>kigeki-warota</v>
      </c>
      <c r="C32" s="24" t="s">
        <v>1412</v>
      </c>
      <c r="D32" s="23" t="s">
        <v>296</v>
      </c>
      <c r="E32" s="23" t="s">
        <v>297</v>
      </c>
      <c r="F32" s="2" t="s">
        <v>292</v>
      </c>
      <c r="G32" s="23" t="s">
        <v>293</v>
      </c>
      <c r="H32" s="23" t="s">
        <v>1626</v>
      </c>
      <c r="I32" s="23" t="s">
        <v>1666</v>
      </c>
      <c r="J32" s="23" t="s">
        <v>1667</v>
      </c>
      <c r="K32" s="23" t="s">
        <v>1669</v>
      </c>
      <c r="L32" s="23" t="s">
        <v>1670</v>
      </c>
      <c r="M32" s="1" t="s">
        <v>1517</v>
      </c>
      <c r="N32" s="1" t="s">
        <v>1443</v>
      </c>
      <c r="O32" s="24" t="str">
        <f>テーブル1[[#This Row],[リンク]]&amp;テーブル1[[#This Row],[描画状況]]</f>
        <v>https://seirentoybox.jimdofree.com済</v>
      </c>
      <c r="P32" s="17">
        <f>1-(COUNTIF(O:O,_xlfn.TEXTJOIN(",",TRUE,テーブル1[[#This Row],[リンク]],テーブル1[[#This Row],[描画状況]]))/COUNTIF(F:F,テーブル1[[#This Row],[リンク]]))</f>
        <v>1</v>
      </c>
      <c r="Q32" s="16" t="str">
        <f ca="1">IFERROR(IF(テーブル1[[#This Row],[描画状況]]="",RAND()+(テーブル1[[#This Row],[列2]]*100),""),RAND())</f>
        <v/>
      </c>
      <c r="R32" s="1" t="s">
        <v>12</v>
      </c>
      <c r="S32" s="24" t="str">
        <f ca="1">IF(AND(テーブル1[[#This Row],[描画状況]]="済",テーブル1[[#This Row],[投稿状況]]=""),RAND(),"")</f>
        <v/>
      </c>
      <c r="T32" s="23" t="str">
        <f>"|&amp;image("&amp;テーブル1[[#This Row],[画像]]&amp;".png,width=100,height=100)"</f>
        <v>|&amp;image(kigeki-warota.png,width=100,height=100)</v>
      </c>
      <c r="U32" s="23" t="str">
        <f>"|MIDDLE:​"&amp;テーブル1[[#This Row],[名前]]</f>
        <v>|MIDDLE:​喜檄わろた</v>
      </c>
      <c r="V32" s="23" t="str">
        <f>"|MIDDLE:​"&amp;テーブル1[[#This Row],[なまえ]]</f>
        <v>|MIDDLE:​きげき わろた</v>
      </c>
      <c r="W32" s="23" t="str">
        <f>"|MIDDLE:​"&amp;テーブル1[[#This Row],[Name]]</f>
        <v>|MIDDLE:​Kigeki Warota</v>
      </c>
      <c r="X32" s="23" t="str">
        <f>"|MIDDLE:​&amp;link(配布所はこちら){​"&amp;テーブル1[[#This Row],[リンク]]&amp;"}|"</f>
        <v>|MIDDLE:​&amp;link(配布所はこちら){​https://seirentoybox.jimdofree.com}|</v>
      </c>
    </row>
    <row r="33" spans="1:24" ht="20.149999999999999" customHeight="1" x14ac:dyDescent="0.35">
      <c r="A33" s="20">
        <v>32</v>
      </c>
      <c r="B33" s="23" t="str">
        <f>SUBSTITUTE(SUBSTITUTE(SUBSTITUTE(SUBSTITUTE(SUBSTITUTE(SUBSTITUTE(SUBSTITUTE(SUBSTITUTE(LOWER(テーブル1[[#This Row],[Name]])," ","-"),".","-"),"&amp;","-"),"_","-"),"・","-"),"=","-"),"--","-"),"--","-")</f>
        <v>kizuboshi-sora</v>
      </c>
      <c r="C33" s="24" t="s">
        <v>253</v>
      </c>
      <c r="D33" s="23" t="s">
        <v>254</v>
      </c>
      <c r="E33" s="23" t="s">
        <v>255</v>
      </c>
      <c r="F33" s="2" t="s">
        <v>256</v>
      </c>
      <c r="G33" s="23" t="s">
        <v>257</v>
      </c>
      <c r="N33" s="1" t="s">
        <v>1443</v>
      </c>
      <c r="O33" s="24" t="str">
        <f>テーブル1[[#This Row],[リンク]]&amp;テーブル1[[#This Row],[描画状況]]</f>
        <v>https://nyaruru.wixsite.com/s-p-w済</v>
      </c>
      <c r="P33" s="17">
        <f>1-(COUNTIF(O:O,_xlfn.TEXTJOIN(",",TRUE,テーブル1[[#This Row],[リンク]],テーブル1[[#This Row],[描画状況]]))/COUNTIF(F:F,テーブル1[[#This Row],[リンク]]))</f>
        <v>1</v>
      </c>
      <c r="Q33" s="16" t="str">
        <f ca="1">IFERROR(IF(テーブル1[[#This Row],[描画状況]]="",RAND()+(テーブル1[[#This Row],[列2]]*100),""),RAND())</f>
        <v/>
      </c>
      <c r="R33" s="1" t="s">
        <v>12</v>
      </c>
      <c r="S33" s="24" t="str">
        <f ca="1">IF(AND(テーブル1[[#This Row],[描画状況]]="済",テーブル1[[#This Row],[投稿状況]]=""),RAND(),"")</f>
        <v/>
      </c>
      <c r="T33" s="23" t="str">
        <f>"|&amp;image("&amp;テーブル1[[#This Row],[画像]]&amp;".png,width=100,height=100)"</f>
        <v>|&amp;image(kizuboshi-sora.png,width=100,height=100)</v>
      </c>
      <c r="U33" s="23" t="str">
        <f>"|MIDDLE:​"&amp;テーブル1[[#This Row],[名前]]</f>
        <v>|MIDDLE:​創星宙</v>
      </c>
      <c r="V33" s="23" t="str">
        <f>"|MIDDLE:​"&amp;テーブル1[[#This Row],[なまえ]]</f>
        <v>|MIDDLE:​きずぼし そら</v>
      </c>
      <c r="W33" s="23" t="str">
        <f>"|MIDDLE:​"&amp;テーブル1[[#This Row],[Name]]</f>
        <v>|MIDDLE:​Kizuboshi Sora</v>
      </c>
      <c r="X33" s="23" t="str">
        <f>"|MIDDLE:​&amp;link(配布所はこちら){​"&amp;テーブル1[[#This Row],[リンク]]&amp;"}|"</f>
        <v>|MIDDLE:​&amp;link(配布所はこちら){​https://nyaruru.wixsite.com/s-p-w}|</v>
      </c>
    </row>
    <row r="34" spans="1:24" ht="20.149999999999999" customHeight="1" x14ac:dyDescent="0.35">
      <c r="A34" s="20">
        <v>33</v>
      </c>
      <c r="B34" s="23" t="str">
        <f>SUBSTITUTE(SUBSTITUTE(SUBSTITUTE(SUBSTITUTE(SUBSTITUTE(SUBSTITUTE(SUBSTITUTE(SUBSTITUTE(LOWER(テーブル1[[#This Row],[Name]])," ","-"),".","-"),"&amp;","-"),"_","-"),"・","-"),"=","-"),"--","-"),"--","-")</f>
        <v>kine-kine</v>
      </c>
      <c r="C34" s="24" t="s">
        <v>66</v>
      </c>
      <c r="D34" s="23" t="s">
        <v>67</v>
      </c>
      <c r="E34" s="23" t="s">
        <v>68</v>
      </c>
      <c r="F34" s="2" t="s">
        <v>64</v>
      </c>
      <c r="G34" s="23" t="s">
        <v>65</v>
      </c>
      <c r="M34" s="1" t="s">
        <v>1517</v>
      </c>
      <c r="N34" s="1" t="s">
        <v>1443</v>
      </c>
      <c r="O34" s="24" t="str">
        <f>テーブル1[[#This Row],[リンク]]&amp;テーブル1[[#This Row],[描画状況]]</f>
        <v>https://bowlroll.net/user/852117/files済</v>
      </c>
      <c r="P34" s="17">
        <f>1-(COUNTIF(O:O,_xlfn.TEXTJOIN(",",TRUE,テーブル1[[#This Row],[リンク]],テーブル1[[#This Row],[描画状況]]))/COUNTIF(F:F,テーブル1[[#This Row],[リンク]]))</f>
        <v>1</v>
      </c>
      <c r="Q34" s="16" t="str">
        <f ca="1">IFERROR(IF(テーブル1[[#This Row],[描画状況]]="",RAND()+(テーブル1[[#This Row],[列2]]*100),""),RAND())</f>
        <v/>
      </c>
      <c r="R34" s="1" t="s">
        <v>12</v>
      </c>
      <c r="S34" s="24" t="str">
        <f ca="1">IF(AND(テーブル1[[#This Row],[描画状況]]="済",テーブル1[[#This Row],[投稿状況]]=""),RAND(),"")</f>
        <v/>
      </c>
      <c r="T34" s="23" t="str">
        <f>"|&amp;image("&amp;テーブル1[[#This Row],[画像]]&amp;".png,width=100,height=100)"</f>
        <v>|&amp;image(kine-kine.png,width=100,height=100)</v>
      </c>
      <c r="U34" s="23" t="str">
        <f>"|MIDDLE:​"&amp;テーブル1[[#This Row],[名前]]</f>
        <v>|MIDDLE:​キ音キネ</v>
      </c>
      <c r="V34" s="23" t="str">
        <f>"|MIDDLE:​"&amp;テーブル1[[#This Row],[なまえ]]</f>
        <v>|MIDDLE:​きね きね</v>
      </c>
      <c r="W34" s="23" t="str">
        <f>"|MIDDLE:​"&amp;テーブル1[[#This Row],[Name]]</f>
        <v>|MIDDLE:​Kine kine</v>
      </c>
      <c r="X34" s="23" t="str">
        <f>"|MIDDLE:​&amp;link(配布所はこちら){​"&amp;テーブル1[[#This Row],[リンク]]&amp;"}|"</f>
        <v>|MIDDLE:​&amp;link(配布所はこちら){​https://bowlroll.net/user/852117/files}|</v>
      </c>
    </row>
    <row r="35" spans="1:24" ht="20.149999999999999" customHeight="1" x14ac:dyDescent="0.35">
      <c r="A35" s="20">
        <v>34</v>
      </c>
      <c r="B35" s="23" t="str">
        <f>SUBSTITUTE(SUBSTITUTE(SUBSTITUTE(SUBSTITUTE(SUBSTITUTE(SUBSTITUTE(SUBSTITUTE(SUBSTITUTE(LOWER(テーブル1[[#This Row],[Name]])," ","-"),".","-"),"&amp;","-"),"_","-"),"・","-"),"=","-"),"--","-"),"--","-")</f>
        <v>kyomachi-morte</v>
      </c>
      <c r="C35" s="24" t="s">
        <v>1413</v>
      </c>
      <c r="D35" s="23" t="s">
        <v>368</v>
      </c>
      <c r="E35" s="23" t="s">
        <v>369</v>
      </c>
      <c r="F35" s="2" t="s">
        <v>366</v>
      </c>
      <c r="G35" s="23" t="s">
        <v>367</v>
      </c>
      <c r="N35" s="1" t="s">
        <v>1443</v>
      </c>
      <c r="O35" s="24" t="str">
        <f>テーブル1[[#This Row],[リンク]]&amp;テーブル1[[#This Row],[描画状況]]</f>
        <v>https://utaunanaproplus.wixsite.com/of-web済</v>
      </c>
      <c r="P35" s="17">
        <f>1-(COUNTIF(O:O,_xlfn.TEXTJOIN(",",TRUE,テーブル1[[#This Row],[リンク]],テーブル1[[#This Row],[描画状況]]))/COUNTIF(F:F,テーブル1[[#This Row],[リンク]]))</f>
        <v>1</v>
      </c>
      <c r="Q35" s="16" t="str">
        <f ca="1">IFERROR(IF(テーブル1[[#This Row],[描画状況]]="",RAND()+(テーブル1[[#This Row],[列2]]*100),""),RAND())</f>
        <v/>
      </c>
      <c r="R35" s="1" t="s">
        <v>12</v>
      </c>
      <c r="S35" s="24" t="str">
        <f ca="1">IF(AND(テーブル1[[#This Row],[描画状況]]="済",テーブル1[[#This Row],[投稿状況]]=""),RAND(),"")</f>
        <v/>
      </c>
      <c r="T35" s="23" t="str">
        <f>"|&amp;image("&amp;テーブル1[[#This Row],[画像]]&amp;".png,width=100,height=100)"</f>
        <v>|&amp;image(kyomachi-morte.png,width=100,height=100)</v>
      </c>
      <c r="U35" s="23" t="str">
        <f>"|MIDDLE:​"&amp;テーブル1[[#This Row],[名前]]</f>
        <v>|MIDDLE:​凶街モルテ</v>
      </c>
      <c r="V35" s="23" t="str">
        <f>"|MIDDLE:​"&amp;テーブル1[[#This Row],[なまえ]]</f>
        <v>|MIDDLE:​きょうまち もるて</v>
      </c>
      <c r="W35" s="23" t="str">
        <f>"|MIDDLE:​"&amp;テーブル1[[#This Row],[Name]]</f>
        <v>|MIDDLE:​Kyomachi Morte</v>
      </c>
      <c r="X35" s="23" t="str">
        <f>"|MIDDLE:​&amp;link(配布所はこちら){​"&amp;テーブル1[[#This Row],[リンク]]&amp;"}|"</f>
        <v>|MIDDLE:​&amp;link(配布所はこちら){​https://utaunanaproplus.wixsite.com/of-web}|</v>
      </c>
    </row>
    <row r="36" spans="1:24" ht="20.149999999999999" customHeight="1" x14ac:dyDescent="0.35">
      <c r="A36" s="20">
        <v>35</v>
      </c>
      <c r="B36" s="23" t="str">
        <f>SUBSTITUTE(SUBSTITUTE(SUBSTITUTE(SUBSTITUTE(SUBSTITUTE(SUBSTITUTE(SUBSTITUTE(SUBSTITUTE(LOWER(テーブル1[[#This Row],[Name]])," ","-"),".","-"),"&amp;","-"),"_","-"),"・","-"),"=","-"),"--","-"),"--","-")</f>
        <v>kiraboshi-waku</v>
      </c>
      <c r="C36" s="24" t="s">
        <v>258</v>
      </c>
      <c r="D36" s="23" t="s">
        <v>259</v>
      </c>
      <c r="E36" s="23" t="s">
        <v>260</v>
      </c>
      <c r="F36" s="2" t="s">
        <v>256</v>
      </c>
      <c r="G36" s="23" t="s">
        <v>261</v>
      </c>
      <c r="N36" s="1" t="s">
        <v>1443</v>
      </c>
      <c r="O36" s="24" t="str">
        <f>テーブル1[[#This Row],[リンク]]&amp;テーブル1[[#This Row],[描画状況]]</f>
        <v>https://nyaruru.wixsite.com/s-p-w済</v>
      </c>
      <c r="P36" s="17">
        <f>1-(COUNTIF(O:O,_xlfn.TEXTJOIN(",",TRUE,テーブル1[[#This Row],[リンク]],テーブル1[[#This Row],[描画状況]]))/COUNTIF(F:F,テーブル1[[#This Row],[リンク]]))</f>
        <v>1</v>
      </c>
      <c r="Q36" s="16" t="str">
        <f ca="1">IFERROR(IF(テーブル1[[#This Row],[描画状況]]="",RAND()+(テーブル1[[#This Row],[列2]]*100),""),RAND())</f>
        <v/>
      </c>
      <c r="R36" s="1" t="s">
        <v>12</v>
      </c>
      <c r="S36" s="24" t="str">
        <f ca="1">IF(AND(テーブル1[[#This Row],[描画状況]]="済",テーブル1[[#This Row],[投稿状況]]=""),RAND(),"")</f>
        <v/>
      </c>
      <c r="T36" s="23" t="str">
        <f>"|&amp;image("&amp;テーブル1[[#This Row],[画像]]&amp;".png,width=100,height=100)"</f>
        <v>|&amp;image(kiraboshi-waku.png,width=100,height=100)</v>
      </c>
      <c r="U36" s="23" t="str">
        <f>"|MIDDLE:​"&amp;テーブル1[[#This Row],[名前]]</f>
        <v>|MIDDLE:​輝星惑</v>
      </c>
      <c r="V36" s="23" t="str">
        <f>"|MIDDLE:​"&amp;テーブル1[[#This Row],[なまえ]]</f>
        <v>|MIDDLE:​きらぼし わく</v>
      </c>
      <c r="W36" s="23" t="str">
        <f>"|MIDDLE:​"&amp;テーブル1[[#This Row],[Name]]</f>
        <v>|MIDDLE:​Kiraboshi Waku</v>
      </c>
      <c r="X36" s="23" t="str">
        <f>"|MIDDLE:​&amp;link(配布所はこちら){​"&amp;テーブル1[[#This Row],[リンク]]&amp;"}|"</f>
        <v>|MIDDLE:​&amp;link(配布所はこちら){​https://nyaruru.wixsite.com/s-p-w}|</v>
      </c>
    </row>
    <row r="37" spans="1:24" ht="20.149999999999999" customHeight="1" x14ac:dyDescent="0.35">
      <c r="A37" s="20">
        <v>36</v>
      </c>
      <c r="B37" s="23" t="str">
        <f>SUBSTITUTE(SUBSTITUTE(SUBSTITUTE(SUBSTITUTE(SUBSTITUTE(SUBSTITUTE(SUBSTITUTE(SUBSTITUTE(LOWER(テーブル1[[#This Row],[Name]])," ","-"),".","-"),"&amp;","-"),"_","-"),"・","-"),"=","-"),"--","-"),"--","-")</f>
        <v>kuzyaku-eren</v>
      </c>
      <c r="C37" s="24" t="s">
        <v>107</v>
      </c>
      <c r="D37" s="23" t="s">
        <v>108</v>
      </c>
      <c r="E37" s="23" t="s">
        <v>109</v>
      </c>
      <c r="F37" s="15" t="s">
        <v>110</v>
      </c>
      <c r="G37" s="23" t="s">
        <v>111</v>
      </c>
      <c r="M37" s="1" t="s">
        <v>1517</v>
      </c>
      <c r="N37" s="1" t="s">
        <v>1443</v>
      </c>
      <c r="O37" s="24" t="str">
        <f>テーブル1[[#This Row],[リンク]]&amp;テーブル1[[#This Row],[描画状況]]</f>
        <v>https://hznonoka.wixsite.com/utau済</v>
      </c>
      <c r="P37" s="17">
        <f>1-(COUNTIF(O:O,_xlfn.TEXTJOIN(",",TRUE,テーブル1[[#This Row],[リンク]],テーブル1[[#This Row],[描画状況]]))/COUNTIF(F:F,テーブル1[[#This Row],[リンク]]))</f>
        <v>1</v>
      </c>
      <c r="Q37" s="16" t="str">
        <f ca="1">IFERROR(IF(テーブル1[[#This Row],[描画状況]]="",RAND()+(テーブル1[[#This Row],[列2]]*100),""),RAND())</f>
        <v/>
      </c>
      <c r="R37" s="1" t="s">
        <v>12</v>
      </c>
      <c r="S37" s="24" t="str">
        <f ca="1">IF(AND(テーブル1[[#This Row],[描画状況]]="済",テーブル1[[#This Row],[投稿状況]]=""),RAND(),"")</f>
        <v/>
      </c>
      <c r="T37" s="23" t="str">
        <f>"|&amp;image("&amp;テーブル1[[#This Row],[画像]]&amp;".png,width=100,height=100)"</f>
        <v>|&amp;image(kuzyaku-eren.png,width=100,height=100)</v>
      </c>
      <c r="U37" s="23" t="str">
        <f>"|MIDDLE:​"&amp;テーブル1[[#This Row],[名前]]</f>
        <v>|MIDDLE:​玖婥えれん</v>
      </c>
      <c r="V37" s="23" t="str">
        <f>"|MIDDLE:​"&amp;テーブル1[[#This Row],[なまえ]]</f>
        <v>|MIDDLE:​くじゃく えれん</v>
      </c>
      <c r="W37" s="23" t="str">
        <f>"|MIDDLE:​"&amp;テーブル1[[#This Row],[Name]]</f>
        <v>|MIDDLE:​Kuzyaku Eren</v>
      </c>
      <c r="X37" s="23" t="str">
        <f>"|MIDDLE:​&amp;link(配布所はこちら){​"&amp;テーブル1[[#This Row],[リンク]]&amp;"}|"</f>
        <v>|MIDDLE:​&amp;link(配布所はこちら){​https://hznonoka.wixsite.com/utau}|</v>
      </c>
    </row>
    <row r="38" spans="1:24" ht="20.149999999999999" customHeight="1" x14ac:dyDescent="0.35">
      <c r="A38" s="20">
        <v>37</v>
      </c>
      <c r="B38" s="23" t="str">
        <f>SUBSTITUTE(SUBSTITUTE(SUBSTITUTE(SUBSTITUTE(SUBSTITUTE(SUBSTITUTE(SUBSTITUTE(SUBSTITUTE(LOWER(テーブル1[[#This Row],[Name]])," ","-"),".","-"),"&amp;","-"),"_","-"),"・","-"),"=","-"),"--","-"),"--","-")</f>
        <v>kuchinashi-awo</v>
      </c>
      <c r="C38" s="24" t="s">
        <v>1414</v>
      </c>
      <c r="D38" s="23" t="s">
        <v>239</v>
      </c>
      <c r="E38" s="23" t="s">
        <v>240</v>
      </c>
      <c r="F38" s="2" t="s">
        <v>241</v>
      </c>
      <c r="G38" s="23" t="s">
        <v>242</v>
      </c>
      <c r="N38" s="1" t="s">
        <v>1443</v>
      </c>
      <c r="O38" s="24" t="str">
        <f>テーブル1[[#This Row],[リンク]]&amp;テーブル1[[#This Row],[描画状況]]</f>
        <v>https://nichikuniku1129063.wixsite.com/website-3済</v>
      </c>
      <c r="P38" s="17">
        <f>1-(COUNTIF(O:O,_xlfn.TEXTJOIN(",",TRUE,テーブル1[[#This Row],[リンク]],テーブル1[[#This Row],[描画状況]]))/COUNTIF(F:F,テーブル1[[#This Row],[リンク]]))</f>
        <v>1</v>
      </c>
      <c r="Q38" s="16" t="str">
        <f ca="1">IFERROR(IF(テーブル1[[#This Row],[描画状況]]="",RAND()+(テーブル1[[#This Row],[列2]]*100),""),RAND())</f>
        <v/>
      </c>
      <c r="R38" s="1" t="s">
        <v>12</v>
      </c>
      <c r="S38" s="24" t="str">
        <f ca="1">IF(AND(テーブル1[[#This Row],[描画状況]]="済",テーブル1[[#This Row],[投稿状況]]=""),RAND(),"")</f>
        <v/>
      </c>
      <c r="T38" s="23" t="str">
        <f>"|&amp;image("&amp;テーブル1[[#This Row],[画像]]&amp;".png,width=100,height=100)"</f>
        <v>|&amp;image(kuchinashi-awo.png,width=100,height=100)</v>
      </c>
      <c r="U38" s="23" t="str">
        <f>"|MIDDLE:​"&amp;テーブル1[[#This Row],[名前]]</f>
        <v>|MIDDLE:​口無アヲ</v>
      </c>
      <c r="V38" s="23" t="str">
        <f>"|MIDDLE:​"&amp;テーブル1[[#This Row],[なまえ]]</f>
        <v>|MIDDLE:​くちなし あを</v>
      </c>
      <c r="W38" s="23" t="str">
        <f>"|MIDDLE:​"&amp;テーブル1[[#This Row],[Name]]</f>
        <v>|MIDDLE:​Kuchinashi Awo</v>
      </c>
      <c r="X38" s="23" t="str">
        <f>"|MIDDLE:​&amp;link(配布所はこちら){​"&amp;テーブル1[[#This Row],[リンク]]&amp;"}|"</f>
        <v>|MIDDLE:​&amp;link(配布所はこちら){​https://nichikuniku1129063.wixsite.com/website-3}|</v>
      </c>
    </row>
    <row r="39" spans="1:24" ht="20.149999999999999" customHeight="1" x14ac:dyDescent="0.35">
      <c r="A39" s="20">
        <v>38</v>
      </c>
      <c r="B39" s="23" t="str">
        <f>SUBSTITUTE(SUBSTITUTE(SUBSTITUTE(SUBSTITUTE(SUBSTITUTE(SUBSTITUTE(SUBSTITUTE(SUBSTITUTE(LOWER(テーブル1[[#This Row],[Name]])," ","-"),".","-"),"&amp;","-"),"_","-"),"・","-"),"=","-"),"--","-"),"--","-")</f>
        <v>kurobousuku</v>
      </c>
      <c r="C39" s="24" t="s">
        <v>317</v>
      </c>
      <c r="D39" s="23" t="s">
        <v>318</v>
      </c>
      <c r="E39" s="23" t="s">
        <v>319</v>
      </c>
      <c r="F39" s="2" t="s">
        <v>320</v>
      </c>
      <c r="G39" s="23" t="s">
        <v>321</v>
      </c>
      <c r="N39" s="1" t="s">
        <v>1443</v>
      </c>
      <c r="O39" s="24" t="str">
        <f>テーブル1[[#This Row],[リンク]]&amp;テーブル1[[#This Row],[描画状況]]</f>
        <v>https://subarumusicstore.studio.site済</v>
      </c>
      <c r="P39" s="17">
        <f>1-(COUNTIF(O:O,_xlfn.TEXTJOIN(",",TRUE,テーブル1[[#This Row],[リンク]],テーブル1[[#This Row],[描画状況]]))/COUNTIF(F:F,テーブル1[[#This Row],[リンク]]))</f>
        <v>1</v>
      </c>
      <c r="Q39" s="16" t="str">
        <f ca="1">IFERROR(IF(テーブル1[[#This Row],[描画状況]]="",RAND()+(テーブル1[[#This Row],[列2]]*100),""),RAND())</f>
        <v/>
      </c>
      <c r="R39" s="1" t="s">
        <v>12</v>
      </c>
      <c r="S39" s="24" t="str">
        <f ca="1">IF(AND(テーブル1[[#This Row],[描画状況]]="済",テーブル1[[#This Row],[投稿状況]]=""),RAND(),"")</f>
        <v/>
      </c>
      <c r="T39" s="23" t="str">
        <f>"|&amp;image("&amp;テーブル1[[#This Row],[画像]]&amp;".png,width=100,height=100)"</f>
        <v>|&amp;image(kurobousuku.png,width=100,height=100)</v>
      </c>
      <c r="U39" s="23" t="str">
        <f>"|MIDDLE:​"&amp;テーブル1[[#This Row],[名前]]</f>
        <v>|MIDDLE:​黒昴宿</v>
      </c>
      <c r="V39" s="23" t="str">
        <f>"|MIDDLE:​"&amp;テーブル1[[#This Row],[なまえ]]</f>
        <v>|MIDDLE:​くろぼうすく</v>
      </c>
      <c r="W39" s="23" t="str">
        <f>"|MIDDLE:​"&amp;テーブル1[[#This Row],[Name]]</f>
        <v>|MIDDLE:​Kurobousuku</v>
      </c>
      <c r="X39" s="23" t="str">
        <f>"|MIDDLE:​&amp;link(配布所はこちら){​"&amp;テーブル1[[#This Row],[リンク]]&amp;"}|"</f>
        <v>|MIDDLE:​&amp;link(配布所はこちら){​https://subarumusicstore.studio.site}|</v>
      </c>
    </row>
    <row r="40" spans="1:24" ht="20.149999999999999" customHeight="1" x14ac:dyDescent="0.35">
      <c r="A40" s="20">
        <v>39</v>
      </c>
      <c r="B40" s="23" t="str">
        <f>SUBSTITUTE(SUBSTITUTE(SUBSTITUTE(SUBSTITUTE(SUBSTITUTE(SUBSTITUTE(SUBSTITUTE(SUBSTITUTE(LOWER(テーブル1[[#This Row],[Name]])," ","-"),".","-"),"&amp;","-"),"_","-"),"・","-"),"=","-"),"--","-"),"--","-")</f>
        <v>kei</v>
      </c>
      <c r="C40" s="24" t="s">
        <v>17</v>
      </c>
      <c r="D40" s="23" t="s">
        <v>18</v>
      </c>
      <c r="E40" s="23" t="s">
        <v>19</v>
      </c>
      <c r="F40" s="2" t="s">
        <v>20</v>
      </c>
      <c r="G40" s="23" t="s">
        <v>21</v>
      </c>
      <c r="M40" s="1" t="s">
        <v>1518</v>
      </c>
      <c r="N40" s="1" t="s">
        <v>1443</v>
      </c>
      <c r="O40" s="24" t="str">
        <f>テーブル1[[#This Row],[リンク]]&amp;テーブル1[[#This Row],[描画状況]]</f>
        <v>http://park2.wakwak.com/~mbox/vo/hk/hkfre.htm済</v>
      </c>
      <c r="P40" s="17">
        <f>1-(COUNTIF(O:O,_xlfn.TEXTJOIN(",",TRUE,テーブル1[[#This Row],[リンク]],テーブル1[[#This Row],[描画状況]]))/COUNTIF(F:F,テーブル1[[#This Row],[リンク]]))</f>
        <v>1</v>
      </c>
      <c r="Q40" s="16" t="str">
        <f ca="1">IFERROR(IF(テーブル1[[#This Row],[描画状況]]="",RAND()+(テーブル1[[#This Row],[列2]]*100),""),RAND())</f>
        <v/>
      </c>
      <c r="R40" s="1" t="s">
        <v>12</v>
      </c>
      <c r="S40" s="24" t="str">
        <f ca="1">IF(AND(テーブル1[[#This Row],[描画状況]]="済",テーブル1[[#This Row],[投稿状況]]=""),RAND(),"")</f>
        <v/>
      </c>
      <c r="T40" s="23" t="str">
        <f>"|&amp;image("&amp;テーブル1[[#This Row],[画像]]&amp;".png,width=100,height=100)"</f>
        <v>|&amp;image(kei.png,width=100,height=100)</v>
      </c>
      <c r="U40" s="23" t="str">
        <f>"|MIDDLE:​"&amp;テーブル1[[#This Row],[名前]]</f>
        <v>|MIDDLE:​蛍(ケイ)</v>
      </c>
      <c r="V40" s="23" t="str">
        <f>"|MIDDLE:​"&amp;テーブル1[[#This Row],[なまえ]]</f>
        <v>|MIDDLE:​けい</v>
      </c>
      <c r="W40" s="23" t="str">
        <f>"|MIDDLE:​"&amp;テーブル1[[#This Row],[Name]]</f>
        <v>|MIDDLE:​Kei</v>
      </c>
      <c r="X40" s="23" t="str">
        <f>"|MIDDLE:​&amp;link(配布所はこちら){​"&amp;テーブル1[[#This Row],[リンク]]&amp;"}|"</f>
        <v>|MIDDLE:​&amp;link(配布所はこちら){​http://park2.wakwak.com/~mbox/vo/hk/hkfre.htm}|</v>
      </c>
    </row>
    <row r="41" spans="1:24" ht="20.149999999999999" customHeight="1" x14ac:dyDescent="0.35">
      <c r="A41" s="20">
        <v>40</v>
      </c>
      <c r="B41" s="23" t="str">
        <f>SUBSTITUTE(SUBSTITUTE(SUBSTITUTE(SUBSTITUTE(SUBSTITUTE(SUBSTITUTE(SUBSTITUTE(SUBSTITUTE(LOWER(テーブル1[[#This Row],[Name]])," ","-"),".","-"),"&amp;","-"),"_","-"),"・","-"),"=","-"),"--","-"),"--","-")</f>
        <v>keine-ron</v>
      </c>
      <c r="C41" s="24" t="s">
        <v>158</v>
      </c>
      <c r="D41" s="23" t="s">
        <v>159</v>
      </c>
      <c r="E41" s="23" t="s">
        <v>160</v>
      </c>
      <c r="F41" s="2" t="s">
        <v>161</v>
      </c>
      <c r="G41" s="23" t="s">
        <v>162</v>
      </c>
      <c r="N41" s="1" t="s">
        <v>1443</v>
      </c>
      <c r="O41" s="24" t="str">
        <f>テーブル1[[#This Row],[リンク]]&amp;テーブル1[[#This Row],[描画状況]]</f>
        <v>https://keineron.wixsite.com/index済</v>
      </c>
      <c r="P41" s="17">
        <f>1-(COUNTIF(O:O,_xlfn.TEXTJOIN(",",TRUE,テーブル1[[#This Row],[リンク]],テーブル1[[#This Row],[描画状況]]))/COUNTIF(F:F,テーブル1[[#This Row],[リンク]]))</f>
        <v>1</v>
      </c>
      <c r="Q41" s="16" t="str">
        <f ca="1">IFERROR(IF(テーブル1[[#This Row],[描画状況]]="",RAND()+(テーブル1[[#This Row],[列2]]*100),""),RAND())</f>
        <v/>
      </c>
      <c r="R41" s="1" t="s">
        <v>12</v>
      </c>
      <c r="S41" s="24" t="str">
        <f ca="1">IF(AND(テーブル1[[#This Row],[描画状況]]="済",テーブル1[[#This Row],[投稿状況]]=""),RAND(),"")</f>
        <v/>
      </c>
      <c r="T41" s="23" t="str">
        <f>"|&amp;image("&amp;テーブル1[[#This Row],[画像]]&amp;".png,width=100,height=100)"</f>
        <v>|&amp;image(keine-ron.png,width=100,height=100)</v>
      </c>
      <c r="U41" s="23" t="str">
        <f>"|MIDDLE:​"&amp;テーブル1[[#This Row],[名前]]</f>
        <v>|MIDDLE:​京音ロン</v>
      </c>
      <c r="V41" s="23" t="str">
        <f>"|MIDDLE:​"&amp;テーブル1[[#This Row],[なまえ]]</f>
        <v>|MIDDLE:​けいね ろん</v>
      </c>
      <c r="W41" s="23" t="str">
        <f>"|MIDDLE:​"&amp;テーブル1[[#This Row],[Name]]</f>
        <v>|MIDDLE:​Keine Ron</v>
      </c>
      <c r="X41" s="23" t="str">
        <f>"|MIDDLE:​&amp;link(配布所はこちら){​"&amp;テーブル1[[#This Row],[リンク]]&amp;"}|"</f>
        <v>|MIDDLE:​&amp;link(配布所はこちら){​https://keineron.wixsite.com/index}|</v>
      </c>
    </row>
    <row r="42" spans="1:24" ht="20.149999999999999" customHeight="1" x14ac:dyDescent="0.35">
      <c r="A42" s="20">
        <v>41</v>
      </c>
      <c r="B42" s="23" t="str">
        <f>SUBSTITUTE(SUBSTITUTE(SUBSTITUTE(SUBSTITUTE(SUBSTITUTE(SUBSTITUTE(SUBSTITUTE(SUBSTITUTE(LOWER(テーブル1[[#This Row],[Name]])," ","-"),".","-"),"&amp;","-"),"_","-"),"・","-"),"=","-"),"--","-"),"--","-")</f>
        <v>gekiyaku</v>
      </c>
      <c r="C42" s="24" t="s">
        <v>172</v>
      </c>
      <c r="D42" s="23" t="s">
        <v>173</v>
      </c>
      <c r="E42" s="23" t="s">
        <v>174</v>
      </c>
      <c r="F42" s="2" t="s">
        <v>170</v>
      </c>
      <c r="G42" s="23" t="s">
        <v>171</v>
      </c>
      <c r="N42" s="1" t="s">
        <v>1443</v>
      </c>
      <c r="O42" s="24" t="str">
        <f>テーブル1[[#This Row],[リンク]]&amp;テーブル1[[#This Row],[描画状況]]</f>
        <v>https://kurukuru2suuzi.wixsite.com/kuzutokaze済</v>
      </c>
      <c r="P42" s="17">
        <f>1-(COUNTIF(O:O,_xlfn.TEXTJOIN(",",TRUE,テーブル1[[#This Row],[リンク]],テーブル1[[#This Row],[描画状況]]))/COUNTIF(F:F,テーブル1[[#This Row],[リンク]]))</f>
        <v>1</v>
      </c>
      <c r="Q42" s="16" t="str">
        <f ca="1">IFERROR(IF(テーブル1[[#This Row],[描画状況]]="",RAND()+(テーブル1[[#This Row],[列2]]*100),""),RAND())</f>
        <v/>
      </c>
      <c r="R42" s="1" t="s">
        <v>12</v>
      </c>
      <c r="S42" s="24" t="str">
        <f ca="1">IF(AND(テーブル1[[#This Row],[描画状況]]="済",テーブル1[[#This Row],[投稿状況]]=""),RAND(),"")</f>
        <v/>
      </c>
      <c r="T42" s="23" t="str">
        <f>"|&amp;image("&amp;テーブル1[[#This Row],[画像]]&amp;".png,width=100,height=100)"</f>
        <v>|&amp;image(gekiyaku.png,width=100,height=100)</v>
      </c>
      <c r="U42" s="23" t="str">
        <f>"|MIDDLE:​"&amp;テーブル1[[#This Row],[名前]]</f>
        <v>|MIDDLE:​ゲキヤク</v>
      </c>
      <c r="V42" s="23" t="str">
        <f>"|MIDDLE:​"&amp;テーブル1[[#This Row],[なまえ]]</f>
        <v>|MIDDLE:​げきやく</v>
      </c>
      <c r="W42" s="23" t="str">
        <f>"|MIDDLE:​"&amp;テーブル1[[#This Row],[Name]]</f>
        <v>|MIDDLE:​Gekiyaku</v>
      </c>
      <c r="X42" s="23" t="str">
        <f>"|MIDDLE:​&amp;link(配布所はこちら){​"&amp;テーブル1[[#This Row],[リンク]]&amp;"}|"</f>
        <v>|MIDDLE:​&amp;link(配布所はこちら){​https://kurukuru2suuzi.wixsite.com/kuzutokaze}|</v>
      </c>
    </row>
    <row r="43" spans="1:24" ht="20.149999999999999" customHeight="1" x14ac:dyDescent="0.35">
      <c r="A43" s="20">
        <v>42</v>
      </c>
      <c r="B43" s="23" t="str">
        <f>SUBSTITUTE(SUBSTITUTE(SUBSTITUTE(SUBSTITUTE(SUBSTITUTE(SUBSTITUTE(SUBSTITUTE(SUBSTITUTE(LOWER(テーブル1[[#This Row],[Name]])," ","-"),".","-"),"&amp;","-"),"_","-"),"・","-"),"=","-"),"--","-"),"--","-")</f>
        <v>kedaruge</v>
      </c>
      <c r="C43" s="24" t="s">
        <v>139</v>
      </c>
      <c r="D43" s="23" t="s">
        <v>140</v>
      </c>
      <c r="E43" s="23" t="s">
        <v>141</v>
      </c>
      <c r="F43" s="2" t="s">
        <v>142</v>
      </c>
      <c r="G43" s="23" t="s">
        <v>143</v>
      </c>
      <c r="N43" s="1" t="s">
        <v>1443</v>
      </c>
      <c r="O43" s="24" t="str">
        <f>テーブル1[[#This Row],[リンク]]&amp;テーブル1[[#This Row],[描画状況]]</f>
        <v>https://kakokyu102krbs.wixsite.com/greenmilky済</v>
      </c>
      <c r="P43" s="17">
        <f>1-(COUNTIF(O:O,_xlfn.TEXTJOIN(",",TRUE,テーブル1[[#This Row],[リンク]],テーブル1[[#This Row],[描画状況]]))/COUNTIF(F:F,テーブル1[[#This Row],[リンク]]))</f>
        <v>1</v>
      </c>
      <c r="Q43" s="16" t="str">
        <f ca="1">IFERROR(IF(テーブル1[[#This Row],[描画状況]]="",RAND()+(テーブル1[[#This Row],[列2]]*100),""),RAND())</f>
        <v/>
      </c>
      <c r="R43" s="1" t="s">
        <v>12</v>
      </c>
      <c r="S43" s="24" t="str">
        <f ca="1">IF(AND(テーブル1[[#This Row],[描画状況]]="済",テーブル1[[#This Row],[投稿状況]]=""),RAND(),"")</f>
        <v/>
      </c>
      <c r="T43" s="23" t="str">
        <f>"|&amp;image("&amp;テーブル1[[#This Row],[画像]]&amp;".png,width=100,height=100)"</f>
        <v>|&amp;image(kedaruge.png,width=100,height=100)</v>
      </c>
      <c r="U43" s="23" t="str">
        <f>"|MIDDLE:​"&amp;テーブル1[[#This Row],[名前]]</f>
        <v>|MIDDLE:​蹴堕流激</v>
      </c>
      <c r="V43" s="23" t="str">
        <f>"|MIDDLE:​"&amp;テーブル1[[#This Row],[なまえ]]</f>
        <v>|MIDDLE:​けだるげ</v>
      </c>
      <c r="W43" s="23" t="str">
        <f>"|MIDDLE:​"&amp;テーブル1[[#This Row],[Name]]</f>
        <v>|MIDDLE:​Kedaruge</v>
      </c>
      <c r="X43" s="23" t="str">
        <f>"|MIDDLE:​&amp;link(配布所はこちら){​"&amp;テーブル1[[#This Row],[リンク]]&amp;"}|"</f>
        <v>|MIDDLE:​&amp;link(配布所はこちら){​https://kakokyu102krbs.wixsite.com/greenmilky}|</v>
      </c>
    </row>
    <row r="44" spans="1:24" ht="20.149999999999999" customHeight="1" x14ac:dyDescent="0.35">
      <c r="A44" s="20">
        <v>43</v>
      </c>
      <c r="B44" s="23" t="str">
        <f>SUBSTITUTE(SUBSTITUTE(SUBSTITUTE(SUBSTITUTE(SUBSTITUTE(SUBSTITUTE(SUBSTITUTE(SUBSTITUTE(LOWER(テーブル1[[#This Row],[Name]])," ","-"),".","-"),"&amp;","-"),"_","-"),"・","-"),"=","-"),"--","-"),"--","-")</f>
        <v>kon-kokuto</v>
      </c>
      <c r="C44" s="24" t="s">
        <v>1415</v>
      </c>
      <c r="D44" s="23" t="s">
        <v>85</v>
      </c>
      <c r="E44" s="23" t="s">
        <v>86</v>
      </c>
      <c r="F44" s="27" t="s">
        <v>87</v>
      </c>
      <c r="G44" s="23" t="s">
        <v>88</v>
      </c>
      <c r="M44" s="1" t="s">
        <v>1518</v>
      </c>
      <c r="N44" s="1" t="s">
        <v>1443</v>
      </c>
      <c r="O44" s="24" t="str">
        <f>テーブル1[[#This Row],[リンク]]&amp;テーブル1[[#This Row],[描画状況]]</f>
        <v>https://chunyinhui021.wixsite.com/mutyuusaisei済</v>
      </c>
      <c r="P44" s="17">
        <f>1-(COUNTIF(O:O,_xlfn.TEXTJOIN(",",TRUE,テーブル1[[#This Row],[リンク]],テーブル1[[#This Row],[描画状況]]))/COUNTIF(F:F,テーブル1[[#This Row],[リンク]]))</f>
        <v>1</v>
      </c>
      <c r="Q44" s="16" t="str">
        <f ca="1">IFERROR(IF(テーブル1[[#This Row],[描画状況]]="",RAND()+(テーブル1[[#This Row],[列2]]*100),""),RAND())</f>
        <v/>
      </c>
      <c r="R44" s="1" t="s">
        <v>12</v>
      </c>
      <c r="S44" s="24" t="str">
        <f ca="1">IF(AND(テーブル1[[#This Row],[描画状況]]="済",テーブル1[[#This Row],[投稿状況]]=""),RAND(),"")</f>
        <v/>
      </c>
      <c r="T44" s="23" t="str">
        <f>"|&amp;image("&amp;テーブル1[[#This Row],[画像]]&amp;".png,width=100,height=100)"</f>
        <v>|&amp;image(kon-kokuto.png,width=100,height=100)</v>
      </c>
      <c r="U44" s="23" t="str">
        <f>"|MIDDLE:​"&amp;テーブル1[[#This Row],[名前]]</f>
        <v>|MIDDLE:​​狐隠黒途</v>
      </c>
      <c r="V44" s="23" t="str">
        <f>"|MIDDLE:​"&amp;テーブル1[[#This Row],[なまえ]]</f>
        <v>|MIDDLE:​こおん こくと</v>
      </c>
      <c r="W44" s="23" t="str">
        <f>"|MIDDLE:​"&amp;テーブル1[[#This Row],[Name]]</f>
        <v>|MIDDLE:​Kon Kokuto</v>
      </c>
      <c r="X44" s="23" t="str">
        <f>"|MIDDLE:​&amp;link(配布所はこちら){​"&amp;テーブル1[[#This Row],[リンク]]&amp;"}|"</f>
        <v>|MIDDLE:​&amp;link(配布所はこちら){​https://chunyinhui021.wixsite.com/mutyuusaisei}|</v>
      </c>
    </row>
    <row r="45" spans="1:24" ht="20.149999999999999" customHeight="1" x14ac:dyDescent="0.35">
      <c r="A45" s="20">
        <v>44</v>
      </c>
      <c r="B45" s="23" t="str">
        <f>SUBSTITUTE(SUBSTITUTE(SUBSTITUTE(SUBSTITUTE(SUBSTITUTE(SUBSTITUTE(SUBSTITUTE(SUBSTITUTE(LOWER(テーブル1[[#This Row],[Name]])," ","-"),".","-"),"&amp;","-"),"_","-"),"・","-"),"=","-"),"--","-"),"--","-")</f>
        <v>kokubangakari</v>
      </c>
      <c r="C45" s="24" t="s">
        <v>1416</v>
      </c>
      <c r="D45" s="23" t="s">
        <v>379</v>
      </c>
      <c r="E45" s="23" t="s">
        <v>380</v>
      </c>
      <c r="F45" s="2" t="s">
        <v>381</v>
      </c>
      <c r="G45" s="23" t="s">
        <v>382</v>
      </c>
      <c r="N45" s="1" t="s">
        <v>1443</v>
      </c>
      <c r="O45" s="24" t="str">
        <f>テーブル1[[#This Row],[リンク]]&amp;テーブル1[[#This Row],[描画状況]]</f>
        <v>https://utauudon.wixsite.com/origamisyokudou済</v>
      </c>
      <c r="P45" s="17">
        <f>1-(COUNTIF(O:O,_xlfn.TEXTJOIN(",",TRUE,テーブル1[[#This Row],[リンク]],テーブル1[[#This Row],[描画状況]]))/COUNTIF(F:F,テーブル1[[#This Row],[リンク]]))</f>
        <v>1</v>
      </c>
      <c r="Q45" s="16" t="str">
        <f ca="1">IFERROR(IF(テーブル1[[#This Row],[描画状況]]="",RAND()+(テーブル1[[#This Row],[列2]]*100),""),RAND())</f>
        <v/>
      </c>
      <c r="R45" s="1" t="s">
        <v>12</v>
      </c>
      <c r="S45" s="24" t="str">
        <f ca="1">IF(AND(テーブル1[[#This Row],[描画状況]]="済",テーブル1[[#This Row],[投稿状況]]=""),RAND(),"")</f>
        <v/>
      </c>
      <c r="T45" s="23" t="str">
        <f>"|&amp;image("&amp;テーブル1[[#This Row],[画像]]&amp;".png,width=100,height=100)"</f>
        <v>|&amp;image(kokubangakari.png,width=100,height=100)</v>
      </c>
      <c r="U45" s="23" t="str">
        <f>"|MIDDLE:​"&amp;テーブル1[[#This Row],[名前]]</f>
        <v>|MIDDLE:​​黒板係</v>
      </c>
      <c r="V45" s="23" t="str">
        <f>"|MIDDLE:​"&amp;テーブル1[[#This Row],[なまえ]]</f>
        <v>|MIDDLE:​こくばんがかり</v>
      </c>
      <c r="W45" s="23" t="str">
        <f>"|MIDDLE:​"&amp;テーブル1[[#This Row],[Name]]</f>
        <v>|MIDDLE:​kokubangakari</v>
      </c>
      <c r="X45" s="23" t="str">
        <f>"|MIDDLE:​&amp;link(配布所はこちら){​"&amp;テーブル1[[#This Row],[リンク]]&amp;"}|"</f>
        <v>|MIDDLE:​&amp;link(配布所はこちら){​https://utauudon.wixsite.com/origamisyokudou}|</v>
      </c>
    </row>
    <row r="46" spans="1:24" ht="20.149999999999999" customHeight="1" x14ac:dyDescent="0.35">
      <c r="A46" s="20">
        <v>45</v>
      </c>
      <c r="B46" s="23" t="str">
        <f>SUBSTITUTE(SUBSTITUTE(SUBSTITUTE(SUBSTITUTE(SUBSTITUTE(SUBSTITUTE(SUBSTITUTE(SUBSTITUTE(LOWER(テーブル1[[#This Row],[Name]])," ","-"),".","-"),"&amp;","-"),"_","-"),"・","-"),"=","-"),"--","-"),"--","-")</f>
        <v>kokorone-futaba</v>
      </c>
      <c r="C46" s="24" t="s">
        <v>1417</v>
      </c>
      <c r="D46" s="23" t="s">
        <v>98</v>
      </c>
      <c r="E46" s="23" t="s">
        <v>99</v>
      </c>
      <c r="F46" s="2" t="s">
        <v>100</v>
      </c>
      <c r="G46" s="23" t="s">
        <v>101</v>
      </c>
      <c r="M46" s="1" t="s">
        <v>1517</v>
      </c>
      <c r="N46" s="1" t="s">
        <v>1443</v>
      </c>
      <c r="O46" s="24" t="str">
        <f>テーブル1[[#This Row],[リンク]]&amp;テーブル1[[#This Row],[描画状況]]</f>
        <v>https://hinagitsune-utau.wixsite.com/utaukokorone済</v>
      </c>
      <c r="P46" s="17">
        <f>1-(COUNTIF(O:O,_xlfn.TEXTJOIN(",",TRUE,テーブル1[[#This Row],[リンク]],テーブル1[[#This Row],[描画状況]]))/COUNTIF(F:F,テーブル1[[#This Row],[リンク]]))</f>
        <v>1</v>
      </c>
      <c r="Q46" s="16" t="str">
        <f ca="1">IFERROR(IF(テーブル1[[#This Row],[描画状況]]="",RAND()+(テーブル1[[#This Row],[列2]]*100),""),RAND())</f>
        <v/>
      </c>
      <c r="R46" s="1" t="s">
        <v>12</v>
      </c>
      <c r="S46" s="24" t="str">
        <f ca="1">IF(AND(テーブル1[[#This Row],[描画状況]]="済",テーブル1[[#This Row],[投稿状況]]=""),RAND(),"")</f>
        <v/>
      </c>
      <c r="T46" s="23" t="str">
        <f>"|&amp;image("&amp;テーブル1[[#This Row],[画像]]&amp;".png,width=100,height=100)"</f>
        <v>|&amp;image(kokorone-futaba.png,width=100,height=100)</v>
      </c>
      <c r="U46" s="23" t="str">
        <f>"|MIDDLE:​"&amp;テーブル1[[#This Row],[名前]]</f>
        <v>|MIDDLE:​心音フタバ</v>
      </c>
      <c r="V46" s="23" t="str">
        <f>"|MIDDLE:​"&amp;テーブル1[[#This Row],[なまえ]]</f>
        <v>|MIDDLE:​こころね ふたば</v>
      </c>
      <c r="W46" s="23" t="str">
        <f>"|MIDDLE:​"&amp;テーブル1[[#This Row],[Name]]</f>
        <v>|MIDDLE:​Kokorone Futaba</v>
      </c>
      <c r="X46" s="23" t="str">
        <f>"|MIDDLE:​&amp;link(配布所はこちら){​"&amp;テーブル1[[#This Row],[リンク]]&amp;"}|"</f>
        <v>|MIDDLE:​&amp;link(配布所はこちら){​https://hinagitsune-utau.wixsite.com/utaukokorone}|</v>
      </c>
    </row>
    <row r="47" spans="1:24" ht="20.149999999999999" customHeight="1" x14ac:dyDescent="0.35">
      <c r="A47" s="20">
        <v>46</v>
      </c>
      <c r="B47" s="23" t="str">
        <f>SUBSTITUTE(SUBSTITUTE(SUBSTITUTE(SUBSTITUTE(SUBSTITUTE(SUBSTITUTE(SUBSTITUTE(SUBSTITUTE(LOWER(テーブル1[[#This Row],[Name]])," ","-"),".","-"),"&amp;","-"),"_","-"),"・","-"),"=","-"),"--","-"),"--","-")</f>
        <v>kodou-hakuya</v>
      </c>
      <c r="C47" s="24" t="s">
        <v>1418</v>
      </c>
      <c r="D47" s="23" t="s">
        <v>224</v>
      </c>
      <c r="E47" s="23" t="s">
        <v>225</v>
      </c>
      <c r="F47" s="2" t="s">
        <v>226</v>
      </c>
      <c r="G47" s="23" t="s">
        <v>227</v>
      </c>
      <c r="N47" s="1" t="s">
        <v>1443</v>
      </c>
      <c r="O47" s="24" t="str">
        <f>テーブル1[[#This Row],[リンク]]&amp;テーブル1[[#This Row],[描画状況]]</f>
        <v>https://nananasyrup.wixsite.com/13kka済</v>
      </c>
      <c r="P47" s="17">
        <f>1-(COUNTIF(O:O,_xlfn.TEXTJOIN(",",TRUE,テーブル1[[#This Row],[リンク]],テーブル1[[#This Row],[描画状況]]))/COUNTIF(F:F,テーブル1[[#This Row],[リンク]]))</f>
        <v>1</v>
      </c>
      <c r="Q47" s="16" t="str">
        <f ca="1">IFERROR(IF(テーブル1[[#This Row],[描画状況]]="",RAND()+(テーブル1[[#This Row],[列2]]*100),""),RAND())</f>
        <v/>
      </c>
      <c r="R47" s="1" t="s">
        <v>12</v>
      </c>
      <c r="S47" s="24" t="str">
        <f ca="1">IF(AND(テーブル1[[#This Row],[描画状況]]="済",テーブル1[[#This Row],[投稿状況]]=""),RAND(),"")</f>
        <v/>
      </c>
      <c r="T47" s="23" t="str">
        <f>"|&amp;image("&amp;テーブル1[[#This Row],[画像]]&amp;".png,width=100,height=100)"</f>
        <v>|&amp;image(kodou-hakuya.png,width=100,height=100)</v>
      </c>
      <c r="U47" s="23" t="str">
        <f>"|MIDDLE:​"&amp;テーブル1[[#This Row],[名前]]</f>
        <v>|MIDDLE:​鼓童拍也</v>
      </c>
      <c r="V47" s="23" t="str">
        <f>"|MIDDLE:​"&amp;テーブル1[[#This Row],[なまえ]]</f>
        <v>|MIDDLE:​こどう はくや</v>
      </c>
      <c r="W47" s="23" t="str">
        <f>"|MIDDLE:​"&amp;テーブル1[[#This Row],[Name]]</f>
        <v>|MIDDLE:​Kodou Hakuya</v>
      </c>
      <c r="X47" s="23" t="str">
        <f>"|MIDDLE:​&amp;link(配布所はこちら){​"&amp;テーブル1[[#This Row],[リンク]]&amp;"}|"</f>
        <v>|MIDDLE:​&amp;link(配布所はこちら){​https://nananasyrup.wixsite.com/13kka}|</v>
      </c>
    </row>
    <row r="48" spans="1:24" ht="20.149999999999999" customHeight="1" x14ac:dyDescent="0.35">
      <c r="A48" s="20">
        <v>47</v>
      </c>
      <c r="B48" s="23" t="str">
        <f>SUBSTITUTE(SUBSTITUTE(SUBSTITUTE(SUBSTITUTE(SUBSTITUTE(SUBSTITUTE(SUBSTITUTE(SUBSTITUTE(LOWER(テーブル1[[#This Row],[Name]])," ","-"),".","-"),"&amp;","-"),"_","-"),"・","-"),"=","-"),"--","-"),"--","-")</f>
        <v>saika</v>
      </c>
      <c r="C48" s="24" t="s">
        <v>1419</v>
      </c>
      <c r="D48" s="23" t="s">
        <v>243</v>
      </c>
      <c r="E48" s="23" t="s">
        <v>244</v>
      </c>
      <c r="F48" s="2" t="s">
        <v>241</v>
      </c>
      <c r="G48" s="23" t="s">
        <v>242</v>
      </c>
      <c r="N48" s="1" t="s">
        <v>1443</v>
      </c>
      <c r="O48" s="24" t="str">
        <f>テーブル1[[#This Row],[リンク]]&amp;テーブル1[[#This Row],[描画状況]]</f>
        <v>https://nichikuniku1129063.wixsite.com/website-3済</v>
      </c>
      <c r="P48" s="17">
        <f>1-(COUNTIF(O:O,_xlfn.TEXTJOIN(",",TRUE,テーブル1[[#This Row],[リンク]],テーブル1[[#This Row],[描画状況]]))/COUNTIF(F:F,テーブル1[[#This Row],[リンク]]))</f>
        <v>1</v>
      </c>
      <c r="Q48" s="16" t="str">
        <f ca="1">IFERROR(IF(テーブル1[[#This Row],[描画状況]]="",RAND()+(テーブル1[[#This Row],[列2]]*100),""),RAND())</f>
        <v/>
      </c>
      <c r="R48" s="1" t="s">
        <v>12</v>
      </c>
      <c r="S48" s="24" t="str">
        <f ca="1">IF(AND(テーブル1[[#This Row],[描画状況]]="済",テーブル1[[#This Row],[投稿状況]]=""),RAND(),"")</f>
        <v/>
      </c>
      <c r="T48" s="23" t="str">
        <f>"|&amp;image("&amp;テーブル1[[#This Row],[画像]]&amp;".png,width=100,height=100)"</f>
        <v>|&amp;image(saika.png,width=100,height=100)</v>
      </c>
      <c r="U48" s="23" t="str">
        <f>"|MIDDLE:​"&amp;テーブル1[[#This Row],[名前]]</f>
        <v>|MIDDLE:​サイカ</v>
      </c>
      <c r="V48" s="23" t="str">
        <f>"|MIDDLE:​"&amp;テーブル1[[#This Row],[なまえ]]</f>
        <v>|MIDDLE:​さいか</v>
      </c>
      <c r="W48" s="23" t="str">
        <f>"|MIDDLE:​"&amp;テーブル1[[#This Row],[Name]]</f>
        <v>|MIDDLE:​Saika</v>
      </c>
      <c r="X48" s="23" t="str">
        <f>"|MIDDLE:​&amp;link(配布所はこちら){​"&amp;テーブル1[[#This Row],[リンク]]&amp;"}|"</f>
        <v>|MIDDLE:​&amp;link(配布所はこちら){​https://nichikuniku1129063.wixsite.com/website-3}|</v>
      </c>
    </row>
    <row r="49" spans="1:24" ht="20.149999999999999" customHeight="1" x14ac:dyDescent="0.35">
      <c r="A49" s="20">
        <v>48</v>
      </c>
      <c r="B49" s="23" t="str">
        <f>SUBSTITUTE(SUBSTITUTE(SUBSTITUTE(SUBSTITUTE(SUBSTITUTE(SUBSTITUTE(SUBSTITUTE(SUBSTITUTE(LOWER(テーブル1[[#This Row],[Name]])," ","-"),".","-"),"&amp;","-"),"_","-"),"・","-"),"=","-"),"--","-"),"--","-")</f>
        <v>savul</v>
      </c>
      <c r="C49" s="24" t="s">
        <v>1420</v>
      </c>
      <c r="D49" s="23" t="s">
        <v>235</v>
      </c>
      <c r="E49" s="23" t="s">
        <v>236</v>
      </c>
      <c r="F49" s="2" t="s">
        <v>237</v>
      </c>
      <c r="G49" s="23" t="s">
        <v>238</v>
      </c>
      <c r="N49" s="1" t="s">
        <v>1443</v>
      </c>
      <c r="O49" s="24" t="str">
        <f>テーブル1[[#This Row],[リンク]]&amp;テーブル1[[#This Row],[描画状況]]</f>
        <v>https://ne510channel.wixsite.com/website済</v>
      </c>
      <c r="P49" s="17">
        <f>1-(COUNTIF(O:O,_xlfn.TEXTJOIN(",",TRUE,テーブル1[[#This Row],[リンク]],テーブル1[[#This Row],[描画状況]]))/COUNTIF(F:F,テーブル1[[#This Row],[リンク]]))</f>
        <v>1</v>
      </c>
      <c r="Q49" s="16" t="str">
        <f ca="1">IFERROR(IF(テーブル1[[#This Row],[描画状況]]="",RAND()+(テーブル1[[#This Row],[列2]]*100),""),RAND())</f>
        <v/>
      </c>
      <c r="R49" s="1" t="s">
        <v>12</v>
      </c>
      <c r="S49" s="24" t="str">
        <f ca="1">IF(AND(テーブル1[[#This Row],[描画状況]]="済",テーブル1[[#This Row],[投稿状況]]=""),RAND(),"")</f>
        <v/>
      </c>
      <c r="T49" s="23" t="str">
        <f>"|&amp;image("&amp;テーブル1[[#This Row],[画像]]&amp;".png,width=100,height=100)"</f>
        <v>|&amp;image(savul.png,width=100,height=100)</v>
      </c>
      <c r="U49" s="23" t="str">
        <f>"|MIDDLE:​"&amp;テーブル1[[#This Row],[名前]]</f>
        <v>|MIDDLE:​サヴル</v>
      </c>
      <c r="V49" s="23" t="str">
        <f>"|MIDDLE:​"&amp;テーブル1[[#This Row],[なまえ]]</f>
        <v>|MIDDLE:​さゔる</v>
      </c>
      <c r="W49" s="23" t="str">
        <f>"|MIDDLE:​"&amp;テーブル1[[#This Row],[Name]]</f>
        <v>|MIDDLE:​Savul</v>
      </c>
      <c r="X49" s="23" t="str">
        <f>"|MIDDLE:​&amp;link(配布所はこちら){​"&amp;テーブル1[[#This Row],[リンク]]&amp;"}|"</f>
        <v>|MIDDLE:​&amp;link(配布所はこちら){​https://ne510channel.wixsite.com/website}|</v>
      </c>
    </row>
    <row r="50" spans="1:24" ht="20.149999999999999" customHeight="1" x14ac:dyDescent="0.35">
      <c r="A50" s="20">
        <v>49</v>
      </c>
      <c r="B50" s="23" t="str">
        <f>SUBSTITUTE(SUBSTITUTE(SUBSTITUTE(SUBSTITUTE(SUBSTITUTE(SUBSTITUTE(SUBSTITUTE(SUBSTITUTE(LOWER(テーブル1[[#This Row],[Name]])," ","-"),".","-"),"&amp;","-"),"_","-"),"・","-"),"=","-"),"--","-"),"--","-")</f>
        <v>satene</v>
      </c>
      <c r="C50" s="24" t="s">
        <v>191</v>
      </c>
      <c r="D50" s="23" t="s">
        <v>191</v>
      </c>
      <c r="E50" s="23" t="s">
        <v>192</v>
      </c>
      <c r="F50" s="2" t="s">
        <v>189</v>
      </c>
      <c r="G50" s="23" t="s">
        <v>193</v>
      </c>
      <c r="N50" s="1" t="s">
        <v>1443</v>
      </c>
      <c r="O50" s="24" t="str">
        <f>テーブル1[[#This Row],[リンク]]&amp;テーブル1[[#This Row],[描画状況]]</f>
        <v>https://lit.link/sereinrain済</v>
      </c>
      <c r="P50" s="17">
        <f>1-(COUNTIF(O:O,_xlfn.TEXTJOIN(",",TRUE,テーブル1[[#This Row],[リンク]],テーブル1[[#This Row],[描画状況]]))/COUNTIF(F:F,テーブル1[[#This Row],[リンク]]))</f>
        <v>1</v>
      </c>
      <c r="Q50" s="16" t="str">
        <f ca="1">IFERROR(IF(テーブル1[[#This Row],[描画状況]]="",RAND()+(テーブル1[[#This Row],[列2]]*100),""),RAND())</f>
        <v/>
      </c>
      <c r="R50" s="1" t="s">
        <v>12</v>
      </c>
      <c r="S50" s="24" t="str">
        <f ca="1">IF(AND(テーブル1[[#This Row],[描画状況]]="済",テーブル1[[#This Row],[投稿状況]]=""),RAND(),"")</f>
        <v/>
      </c>
      <c r="T50" s="23" t="str">
        <f>"|&amp;image("&amp;テーブル1[[#This Row],[画像]]&amp;".png,width=100,height=100)"</f>
        <v>|&amp;image(satene.png,width=100,height=100)</v>
      </c>
      <c r="U50" s="23" t="str">
        <f>"|MIDDLE:​"&amp;テーブル1[[#This Row],[名前]]</f>
        <v>|MIDDLE:​さてね</v>
      </c>
      <c r="V50" s="23" t="str">
        <f>"|MIDDLE:​"&amp;テーブル1[[#This Row],[なまえ]]</f>
        <v>|MIDDLE:​さてね</v>
      </c>
      <c r="W50" s="23" t="str">
        <f>"|MIDDLE:​"&amp;テーブル1[[#This Row],[Name]]</f>
        <v>|MIDDLE:​Satene</v>
      </c>
      <c r="X50" s="23" t="str">
        <f>"|MIDDLE:​&amp;link(配布所はこちら){​"&amp;テーブル1[[#This Row],[リンク]]&amp;"}|"</f>
        <v>|MIDDLE:​&amp;link(配布所はこちら){​https://lit.link/sereinrain}|</v>
      </c>
    </row>
    <row r="51" spans="1:24" ht="20.149999999999999" customHeight="1" x14ac:dyDescent="0.35">
      <c r="A51" s="20">
        <v>50</v>
      </c>
      <c r="B51" s="23" t="str">
        <f>SUBSTITUTE(SUBSTITUTE(SUBSTITUTE(SUBSTITUTE(SUBSTITUTE(SUBSTITUTE(SUBSTITUTE(SUBSTITUTE(LOWER(テーブル1[[#This Row],[Name]])," ","-"),".","-"),"&amp;","-"),"_","-"),"・","-"),"=","-"),"--","-"),"--","-")</f>
        <v>sabane-kan</v>
      </c>
      <c r="C51" s="24" t="s">
        <v>1421</v>
      </c>
      <c r="D51" s="23" t="s">
        <v>389</v>
      </c>
      <c r="E51" s="23" t="s">
        <v>1422</v>
      </c>
      <c r="F51" s="2" t="s">
        <v>390</v>
      </c>
      <c r="G51" s="23" t="s">
        <v>391</v>
      </c>
      <c r="N51" s="1" t="s">
        <v>1443</v>
      </c>
      <c r="O51" s="24" t="str">
        <f>テーブル1[[#This Row],[リンク]]&amp;テーブル1[[#This Row],[描画状況]]</f>
        <v>https://witchdoll.jimdofree.com済</v>
      </c>
      <c r="P51" s="17">
        <f>1-(COUNTIF(O:O,_xlfn.TEXTJOIN(",",TRUE,テーブル1[[#This Row],[リンク]],テーブル1[[#This Row],[描画状況]]))/COUNTIF(F:F,テーブル1[[#This Row],[リンク]]))</f>
        <v>1</v>
      </c>
      <c r="Q51" s="16" t="str">
        <f ca="1">IFERROR(IF(テーブル1[[#This Row],[描画状況]]="",RAND()+(テーブル1[[#This Row],[列2]]*100),""),RAND())</f>
        <v/>
      </c>
      <c r="R51" s="1" t="s">
        <v>12</v>
      </c>
      <c r="S51" s="24" t="str">
        <f ca="1">IF(AND(テーブル1[[#This Row],[描画状況]]="済",テーブル1[[#This Row],[投稿状況]]=""),RAND(),"")</f>
        <v/>
      </c>
      <c r="T51" s="23" t="str">
        <f>"|&amp;image("&amp;テーブル1[[#This Row],[画像]]&amp;".png,width=100,height=100)"</f>
        <v>|&amp;image(sabane-kan.png,width=100,height=100)</v>
      </c>
      <c r="U51" s="23" t="str">
        <f>"|MIDDLE:​"&amp;テーブル1[[#This Row],[名前]]</f>
        <v>|MIDDLE:​鯖音カン</v>
      </c>
      <c r="V51" s="23" t="str">
        <f>"|MIDDLE:​"&amp;テーブル1[[#This Row],[なまえ]]</f>
        <v>|MIDDLE:​さばね かん</v>
      </c>
      <c r="W51" s="23" t="str">
        <f>"|MIDDLE:​"&amp;テーブル1[[#This Row],[Name]]</f>
        <v>|MIDDLE:​Sabane Kan</v>
      </c>
      <c r="X51" s="23" t="str">
        <f>"|MIDDLE:​&amp;link(配布所はこちら){​"&amp;テーブル1[[#This Row],[リンク]]&amp;"}|"</f>
        <v>|MIDDLE:​&amp;link(配布所はこちら){​https://witchdoll.jimdofree.com}|</v>
      </c>
    </row>
    <row r="52" spans="1:24" ht="20.149999999999999" customHeight="1" x14ac:dyDescent="0.35">
      <c r="A52" s="20">
        <v>51</v>
      </c>
      <c r="B52" s="23" t="str">
        <f>SUBSTITUTE(SUBSTITUTE(SUBSTITUTE(SUBSTITUTE(SUBSTITUTE(SUBSTITUTE(SUBSTITUTE(SUBSTITUTE(LOWER(テーブル1[[#This Row],[Name]])," ","-"),".","-"),"&amp;","-"),"_","-"),"・","-"),"=","-"),"--","-"),"--","-")</f>
        <v>jiura-kazagiri</v>
      </c>
      <c r="C52" s="24" t="s">
        <v>1423</v>
      </c>
      <c r="D52" s="23" t="s">
        <v>352</v>
      </c>
      <c r="E52" s="23" t="s">
        <v>353</v>
      </c>
      <c r="F52" s="2" t="s">
        <v>354</v>
      </c>
      <c r="G52" s="23" t="s">
        <v>355</v>
      </c>
      <c r="N52" s="1" t="s">
        <v>1443</v>
      </c>
      <c r="O52" s="24" t="str">
        <f>テーブル1[[#This Row],[リンク]]&amp;テーブル1[[#This Row],[描画状況]]</f>
        <v>https://tsukimiya0728.wixsite.com/silverbullet済</v>
      </c>
      <c r="P52" s="17">
        <f>1-(COUNTIF(O:O,_xlfn.TEXTJOIN(",",TRUE,テーブル1[[#This Row],[リンク]],テーブル1[[#This Row],[描画状況]]))/COUNTIF(F:F,テーブル1[[#This Row],[リンク]]))</f>
        <v>1</v>
      </c>
      <c r="Q52" s="16" t="str">
        <f ca="1">IFERROR(IF(テーブル1[[#This Row],[描画状況]]="",RAND()+(テーブル1[[#This Row],[列2]]*100),""),RAND())</f>
        <v/>
      </c>
      <c r="R52" s="1" t="s">
        <v>12</v>
      </c>
      <c r="S52" s="24" t="str">
        <f ca="1">IF(AND(テーブル1[[#This Row],[描画状況]]="済",テーブル1[[#This Row],[投稿状況]]=""),RAND(),"")</f>
        <v/>
      </c>
      <c r="T52" s="23" t="str">
        <f>"|&amp;image("&amp;テーブル1[[#This Row],[画像]]&amp;".png,width=100,height=100)"</f>
        <v>|&amp;image(jiura-kazagiri.png,width=100,height=100)</v>
      </c>
      <c r="U52" s="23" t="str">
        <f>"|MIDDLE:​"&amp;テーブル1[[#This Row],[名前]]</f>
        <v>|MIDDLE:​ジウラ・カザギリ</v>
      </c>
      <c r="V52" s="23" t="str">
        <f>"|MIDDLE:​"&amp;テーブル1[[#This Row],[なまえ]]</f>
        <v>|MIDDLE:​じうら かざぎり</v>
      </c>
      <c r="W52" s="23" t="str">
        <f>"|MIDDLE:​"&amp;テーブル1[[#This Row],[Name]]</f>
        <v>|MIDDLE:​Jiura Kazagiri</v>
      </c>
      <c r="X52" s="23" t="str">
        <f>"|MIDDLE:​&amp;link(配布所はこちら){​"&amp;テーブル1[[#This Row],[リンク]]&amp;"}|"</f>
        <v>|MIDDLE:​&amp;link(配布所はこちら){​https://tsukimiya0728.wixsite.com/silverbullet}|</v>
      </c>
    </row>
    <row r="53" spans="1:24" ht="20.149999999999999" customHeight="1" x14ac:dyDescent="0.35">
      <c r="A53" s="20">
        <v>52</v>
      </c>
      <c r="B53" s="23" t="str">
        <f>SUBSTITUTE(SUBSTITUTE(SUBSTITUTE(SUBSTITUTE(SUBSTITUTE(SUBSTITUTE(SUBSTITUTE(SUBSTITUTE(LOWER(テーブル1[[#This Row],[Name]])," ","-"),".","-"),"&amp;","-"),"_","-"),"・","-"),"=","-"),"--","-"),"--","-")</f>
        <v>shion</v>
      </c>
      <c r="C53" s="24" t="s">
        <v>1424</v>
      </c>
      <c r="D53" s="23" t="s">
        <v>245</v>
      </c>
      <c r="E53" s="23" t="s">
        <v>246</v>
      </c>
      <c r="F53" s="2" t="s">
        <v>241</v>
      </c>
      <c r="G53" s="23" t="s">
        <v>242</v>
      </c>
      <c r="N53" s="1" t="s">
        <v>1443</v>
      </c>
      <c r="O53" s="24" t="str">
        <f>テーブル1[[#This Row],[リンク]]&amp;テーブル1[[#This Row],[描画状況]]</f>
        <v>https://nichikuniku1129063.wixsite.com/website-3済</v>
      </c>
      <c r="P53" s="17">
        <f>1-(COUNTIF(O:O,_xlfn.TEXTJOIN(",",TRUE,テーブル1[[#This Row],[リンク]],テーブル1[[#This Row],[描画状況]]))/COUNTIF(F:F,テーブル1[[#This Row],[リンク]]))</f>
        <v>1</v>
      </c>
      <c r="Q53" s="16" t="str">
        <f ca="1">IFERROR(IF(テーブル1[[#This Row],[描画状況]]="",RAND()+(テーブル1[[#This Row],[列2]]*100),""),RAND())</f>
        <v/>
      </c>
      <c r="R53" s="1" t="s">
        <v>12</v>
      </c>
      <c r="S53" s="24" t="str">
        <f ca="1">IF(AND(テーブル1[[#This Row],[描画状況]]="済",テーブル1[[#This Row],[投稿状況]]=""),RAND(),"")</f>
        <v/>
      </c>
      <c r="T53" s="23" t="str">
        <f>"|&amp;image("&amp;テーブル1[[#This Row],[画像]]&amp;".png,width=100,height=100)"</f>
        <v>|&amp;image(shion.png,width=100,height=100)</v>
      </c>
      <c r="U53" s="23" t="str">
        <f>"|MIDDLE:​"&amp;テーブル1[[#This Row],[名前]]</f>
        <v>|MIDDLE:​シオン</v>
      </c>
      <c r="V53" s="23" t="str">
        <f>"|MIDDLE:​"&amp;テーブル1[[#This Row],[なまえ]]</f>
        <v>|MIDDLE:​しおん</v>
      </c>
      <c r="W53" s="23" t="str">
        <f>"|MIDDLE:​"&amp;テーブル1[[#This Row],[Name]]</f>
        <v>|MIDDLE:​Shion</v>
      </c>
      <c r="X53" s="23" t="str">
        <f>"|MIDDLE:​&amp;link(配布所はこちら){​"&amp;テーブル1[[#This Row],[リンク]]&amp;"}|"</f>
        <v>|MIDDLE:​&amp;link(配布所はこちら){​https://nichikuniku1129063.wixsite.com/website-3}|</v>
      </c>
    </row>
    <row r="54" spans="1:24" ht="20.149999999999999" customHeight="1" x14ac:dyDescent="0.35">
      <c r="A54" s="20">
        <v>53</v>
      </c>
      <c r="B54" s="23" t="str">
        <f>SUBSTITUTE(SUBSTITUTE(SUBSTITUTE(SUBSTITUTE(SUBSTITUTE(SUBSTITUTE(SUBSTITUTE(SUBSTITUTE(LOWER(テーブル1[[#This Row],[Name]])," ","-"),".","-"),"&amp;","-"),"_","-"),"・","-"),"=","-"),"--","-"),"--","-")</f>
        <v>shion-miyo</v>
      </c>
      <c r="C54" s="24" t="s">
        <v>1425</v>
      </c>
      <c r="D54" s="23" t="s">
        <v>75</v>
      </c>
      <c r="E54" s="23" t="s">
        <v>76</v>
      </c>
      <c r="F54" s="15" t="s">
        <v>1628</v>
      </c>
      <c r="G54" s="23" t="s">
        <v>77</v>
      </c>
      <c r="M54" s="1" t="s">
        <v>1518</v>
      </c>
      <c r="N54" s="1" t="s">
        <v>1443</v>
      </c>
      <c r="O54" s="24" t="str">
        <f>テーブル1[[#This Row],[リンク]]&amp;テーブル1[[#This Row],[描画状況]]</f>
        <v>https://utau.kurotsuka.xyz済</v>
      </c>
      <c r="P54" s="17">
        <f>1-(COUNTIF(O:O,_xlfn.TEXTJOIN(",",TRUE,テーブル1[[#This Row],[リンク]],テーブル1[[#This Row],[描画状況]]))/COUNTIF(F:F,テーブル1[[#This Row],[リンク]]))</f>
        <v>1</v>
      </c>
      <c r="Q54" s="16" t="str">
        <f ca="1">IFERROR(IF(テーブル1[[#This Row],[描画状況]]="",RAND()+(テーブル1[[#This Row],[列2]]*100),""),RAND())</f>
        <v/>
      </c>
      <c r="R54" s="1" t="s">
        <v>12</v>
      </c>
      <c r="S54" s="24" t="str">
        <f ca="1">IF(AND(テーブル1[[#This Row],[描画状況]]="済",テーブル1[[#This Row],[投稿状況]]=""),RAND(),"")</f>
        <v/>
      </c>
      <c r="T54" s="23" t="str">
        <f>"|&amp;image("&amp;テーブル1[[#This Row],[画像]]&amp;".png,width=100,height=100)"</f>
        <v>|&amp;image(shion-miyo.png,width=100,height=100)</v>
      </c>
      <c r="U54" s="23" t="str">
        <f>"|MIDDLE:​"&amp;テーブル1[[#This Row],[名前]]</f>
        <v>|MIDDLE:​偲音ミヨ</v>
      </c>
      <c r="V54" s="23" t="str">
        <f>"|MIDDLE:​"&amp;テーブル1[[#This Row],[なまえ]]</f>
        <v>|MIDDLE:​しおん みよ</v>
      </c>
      <c r="W54" s="23" t="str">
        <f>"|MIDDLE:​"&amp;テーブル1[[#This Row],[Name]]</f>
        <v>|MIDDLE:​Shion Miyo</v>
      </c>
      <c r="X54" s="23" t="str">
        <f>"|MIDDLE:​&amp;link(配布所はこちら){​"&amp;テーブル1[[#This Row],[リンク]]&amp;"}|"</f>
        <v>|MIDDLE:​&amp;link(配布所はこちら){​https://utau.kurotsuka.xyz}|</v>
      </c>
    </row>
    <row r="55" spans="1:24" ht="20.149999999999999" customHeight="1" x14ac:dyDescent="0.35">
      <c r="A55" s="20">
        <v>54</v>
      </c>
      <c r="B55" s="23" t="str">
        <f>SUBSTITUTE(SUBSTITUTE(SUBSTITUTE(SUBSTITUTE(SUBSTITUTE(SUBSTITUTE(SUBSTITUTE(SUBSTITUTE(LOWER(テーブル1[[#This Row],[Name]])," ","-"),".","-"),"&amp;","-"),"_","-"),"・","-"),"=","-"),"--","-"),"--","-")</f>
        <v>shidei</v>
      </c>
      <c r="C55" s="24" t="s">
        <v>1426</v>
      </c>
      <c r="D55" s="23" t="s">
        <v>144</v>
      </c>
      <c r="E55" s="23" t="s">
        <v>145</v>
      </c>
      <c r="F55" s="2" t="s">
        <v>142</v>
      </c>
      <c r="G55" s="28" t="s">
        <v>143</v>
      </c>
      <c r="H55" s="28"/>
      <c r="I55" s="28"/>
      <c r="J55" s="28"/>
      <c r="K55" s="28"/>
      <c r="L55" s="28"/>
      <c r="M55" s="29"/>
      <c r="N55" s="1" t="s">
        <v>1443</v>
      </c>
      <c r="O55" s="24" t="str">
        <f>テーブル1[[#This Row],[リンク]]&amp;テーブル1[[#This Row],[描画状況]]</f>
        <v>https://kakokyu102krbs.wixsite.com/greenmilky済</v>
      </c>
      <c r="P55" s="17">
        <f>1-(COUNTIF(O:O,_xlfn.TEXTJOIN(",",TRUE,テーブル1[[#This Row],[リンク]],テーブル1[[#This Row],[描画状況]]))/COUNTIF(F:F,テーブル1[[#This Row],[リンク]]))</f>
        <v>1</v>
      </c>
      <c r="Q55" s="16" t="str">
        <f ca="1">IFERROR(IF(テーブル1[[#This Row],[描画状況]]="",RAND()+(テーブル1[[#This Row],[列2]]*100),""),RAND())</f>
        <v/>
      </c>
      <c r="R55" s="1" t="s">
        <v>12</v>
      </c>
      <c r="S55" s="24" t="str">
        <f ca="1">IF(AND(テーブル1[[#This Row],[描画状況]]="済",テーブル1[[#This Row],[投稿状況]]=""),RAND(),"")</f>
        <v/>
      </c>
      <c r="T55" s="23" t="str">
        <f>"|&amp;image("&amp;テーブル1[[#This Row],[画像]]&amp;".png,width=100,height=100)"</f>
        <v>|&amp;image(shidei.png,width=100,height=100)</v>
      </c>
      <c r="U55" s="23" t="str">
        <f>"|MIDDLE:​"&amp;テーブル1[[#This Row],[名前]]</f>
        <v>|MIDDLE:​屍泥飴</v>
      </c>
      <c r="V55" s="23" t="str">
        <f>"|MIDDLE:​"&amp;テーブル1[[#This Row],[なまえ]]</f>
        <v>|MIDDLE:​しでい</v>
      </c>
      <c r="W55" s="23" t="str">
        <f>"|MIDDLE:​"&amp;テーブル1[[#This Row],[Name]]</f>
        <v>|MIDDLE:​Shidei</v>
      </c>
      <c r="X55" s="23" t="str">
        <f>"|MIDDLE:​&amp;link(配布所はこちら){​"&amp;テーブル1[[#This Row],[リンク]]&amp;"}|"</f>
        <v>|MIDDLE:​&amp;link(配布所はこちら){​https://kakokyu102krbs.wixsite.com/greenmilky}|</v>
      </c>
    </row>
    <row r="56" spans="1:24" ht="20.149999999999999" customHeight="1" x14ac:dyDescent="0.35">
      <c r="A56" s="20">
        <v>55</v>
      </c>
      <c r="B56" s="23" t="str">
        <f>SUBSTITUTE(SUBSTITUTE(SUBSTITUTE(SUBSTITUTE(SUBSTITUTE(SUBSTITUTE(SUBSTITUTE(SUBSTITUTE(LOWER(テーブル1[[#This Row],[Name]])," ","-"),".","-"),"&amp;","-"),"_","-"),"・","-"),"=","-"),"--","-"),"--","-")</f>
        <v>shinri</v>
      </c>
      <c r="C56" s="24" t="s">
        <v>1427</v>
      </c>
      <c r="D56" s="23" t="s">
        <v>308</v>
      </c>
      <c r="E56" s="23" t="s">
        <v>309</v>
      </c>
      <c r="F56" s="2" t="s">
        <v>310</v>
      </c>
      <c r="G56" s="23" t="s">
        <v>311</v>
      </c>
      <c r="N56" s="1" t="s">
        <v>1443</v>
      </c>
      <c r="O56" s="24" t="str">
        <f>テーブル1[[#This Row],[リンク]]&amp;テーブル1[[#This Row],[描画状況]]</f>
        <v>https://shinri517.wixsite.com/shinri0517済</v>
      </c>
      <c r="P56" s="17">
        <f>1-(COUNTIF(O:O,_xlfn.TEXTJOIN(",",TRUE,テーブル1[[#This Row],[リンク]],テーブル1[[#This Row],[描画状況]]))/COUNTIF(F:F,テーブル1[[#This Row],[リンク]]))</f>
        <v>1</v>
      </c>
      <c r="Q56" s="16" t="str">
        <f ca="1">IFERROR(IF(テーブル1[[#This Row],[描画状況]]="",RAND()+(テーブル1[[#This Row],[列2]]*100),""),RAND())</f>
        <v/>
      </c>
      <c r="R56" s="1" t="s">
        <v>12</v>
      </c>
      <c r="S56" s="24" t="str">
        <f ca="1">IF(AND(テーブル1[[#This Row],[描画状況]]="済",テーブル1[[#This Row],[投稿状況]]=""),RAND(),"")</f>
        <v/>
      </c>
      <c r="T56" s="23" t="str">
        <f>"|&amp;image("&amp;テーブル1[[#This Row],[画像]]&amp;".png,width=100,height=100)"</f>
        <v>|&amp;image(shinri.png,width=100,height=100)</v>
      </c>
      <c r="U56" s="23" t="str">
        <f>"|MIDDLE:​"&amp;テーブル1[[#This Row],[名前]]</f>
        <v>|MIDDLE:​心理</v>
      </c>
      <c r="V56" s="23" t="str">
        <f>"|MIDDLE:​"&amp;テーブル1[[#This Row],[なまえ]]</f>
        <v>|MIDDLE:​しんり</v>
      </c>
      <c r="W56" s="23" t="str">
        <f>"|MIDDLE:​"&amp;テーブル1[[#This Row],[Name]]</f>
        <v>|MIDDLE:​Shinri</v>
      </c>
      <c r="X56" s="23" t="str">
        <f>"|MIDDLE:​&amp;link(配布所はこちら){​"&amp;テーブル1[[#This Row],[リンク]]&amp;"}|"</f>
        <v>|MIDDLE:​&amp;link(配布所はこちら){​https://shinri517.wixsite.com/shinri0517}|</v>
      </c>
    </row>
    <row r="57" spans="1:24" ht="20.149999999999999" customHeight="1" x14ac:dyDescent="0.35">
      <c r="A57" s="20">
        <v>56</v>
      </c>
      <c r="B57" s="23" t="str">
        <f>SUBSTITUTE(SUBSTITUTE(SUBSTITUTE(SUBSTITUTE(SUBSTITUTE(SUBSTITUTE(SUBSTITUTE(SUBSTITUTE(LOWER(テーブル1[[#This Row],[Name]])," ","-"),".","-"),"&amp;","-"),"_","-"),"・","-"),"=","-"),"--","-"),"--","-")</f>
        <v>sui</v>
      </c>
      <c r="C57" s="24" t="s">
        <v>209</v>
      </c>
      <c r="D57" s="23" t="s">
        <v>209</v>
      </c>
      <c r="E57" s="23" t="s">
        <v>210</v>
      </c>
      <c r="F57" s="2" t="s">
        <v>211</v>
      </c>
      <c r="G57" s="23" t="s">
        <v>212</v>
      </c>
      <c r="N57" s="1" t="s">
        <v>1443</v>
      </c>
      <c r="O57" s="24" t="str">
        <f>テーブル1[[#This Row],[リンク]]&amp;テーブル1[[#This Row],[描画状況]]</f>
        <v>https://minazukiringo.wixsite.com/amatsubu済</v>
      </c>
      <c r="P57" s="17">
        <f>1-(COUNTIF(O:O,_xlfn.TEXTJOIN(",",TRUE,テーブル1[[#This Row],[リンク]],テーブル1[[#This Row],[描画状況]]))/COUNTIF(F:F,テーブル1[[#This Row],[リンク]]))</f>
        <v>1</v>
      </c>
      <c r="Q57" s="16" t="str">
        <f ca="1">IFERROR(IF(テーブル1[[#This Row],[描画状況]]="",RAND()+(テーブル1[[#This Row],[列2]]*100),""),RAND())</f>
        <v/>
      </c>
      <c r="R57" s="1" t="s">
        <v>12</v>
      </c>
      <c r="S57" s="24" t="str">
        <f ca="1">IF(AND(テーブル1[[#This Row],[描画状況]]="済",テーブル1[[#This Row],[投稿状況]]=""),RAND(),"")</f>
        <v/>
      </c>
      <c r="T57" s="23" t="str">
        <f>"|&amp;image("&amp;テーブル1[[#This Row],[画像]]&amp;".png,width=100,height=100)"</f>
        <v>|&amp;image(sui.png,width=100,height=100)</v>
      </c>
      <c r="U57" s="23" t="str">
        <f>"|MIDDLE:​"&amp;テーブル1[[#This Row],[名前]]</f>
        <v>|MIDDLE:​すい</v>
      </c>
      <c r="V57" s="23" t="str">
        <f>"|MIDDLE:​"&amp;テーブル1[[#This Row],[なまえ]]</f>
        <v>|MIDDLE:​すい</v>
      </c>
      <c r="W57" s="23" t="str">
        <f>"|MIDDLE:​"&amp;テーブル1[[#This Row],[Name]]</f>
        <v>|MIDDLE:​Sui</v>
      </c>
      <c r="X57" s="23" t="str">
        <f>"|MIDDLE:​&amp;link(配布所はこちら){​"&amp;テーブル1[[#This Row],[リンク]]&amp;"}|"</f>
        <v>|MIDDLE:​&amp;link(配布所はこちら){​https://minazukiringo.wixsite.com/amatsubu}|</v>
      </c>
    </row>
    <row r="58" spans="1:24" ht="20.149999999999999" customHeight="1" x14ac:dyDescent="0.35">
      <c r="A58" s="20">
        <v>57</v>
      </c>
      <c r="B58" s="23" t="str">
        <f>SUBSTITUTE(SUBSTITUTE(SUBSTITUTE(SUBSTITUTE(SUBSTITUTE(SUBSTITUTE(SUBSTITUTE(SUBSTITUTE(LOWER(テーブル1[[#This Row],[Name]])," ","-"),".","-"),"&amp;","-"),"_","-"),"・","-"),"=","-"),"--","-"),"--","-")</f>
        <v>suzuno-suzu</v>
      </c>
      <c r="C58" s="24" t="s">
        <v>1428</v>
      </c>
      <c r="D58" s="23" t="s">
        <v>52</v>
      </c>
      <c r="E58" s="23" t="s">
        <v>53</v>
      </c>
      <c r="F58" s="2" t="s">
        <v>54</v>
      </c>
      <c r="G58" s="23" t="s">
        <v>55</v>
      </c>
      <c r="M58" s="1" t="s">
        <v>1518</v>
      </c>
      <c r="N58" s="1" t="s">
        <v>1443</v>
      </c>
      <c r="O58" s="24" t="str">
        <f>テーブル1[[#This Row],[リンク]]&amp;テーブル1[[#This Row],[描画状況]]</f>
        <v>https://bellsworks.wixsite.com/bellsworks済</v>
      </c>
      <c r="P58" s="17">
        <f>1-(COUNTIF(O:O,_xlfn.TEXTJOIN(",",TRUE,テーブル1[[#This Row],[リンク]],テーブル1[[#This Row],[描画状況]]))/COUNTIF(F:F,テーブル1[[#This Row],[リンク]]))</f>
        <v>1</v>
      </c>
      <c r="Q58" s="16" t="str">
        <f ca="1">IFERROR(IF(テーブル1[[#This Row],[描画状況]]="",RAND()+(テーブル1[[#This Row],[列2]]*100),""),RAND())</f>
        <v/>
      </c>
      <c r="R58" s="1" t="s">
        <v>12</v>
      </c>
      <c r="S58" s="24" t="str">
        <f ca="1">IF(AND(テーブル1[[#This Row],[描画状況]]="済",テーブル1[[#This Row],[投稿状況]]=""),RAND(),"")</f>
        <v/>
      </c>
      <c r="T58" s="23" t="str">
        <f>"|&amp;image("&amp;テーブル1[[#This Row],[画像]]&amp;".png,width=100,height=100)"</f>
        <v>|&amp;image(suzuno-suzu.png,width=100,height=100)</v>
      </c>
      <c r="U58" s="23" t="str">
        <f>"|MIDDLE:​"&amp;テーブル1[[#This Row],[名前]]</f>
        <v>|MIDDLE:​鈴音スズ</v>
      </c>
      <c r="V58" s="23" t="str">
        <f>"|MIDDLE:​"&amp;テーブル1[[#This Row],[なまえ]]</f>
        <v>|MIDDLE:​すずの すず</v>
      </c>
      <c r="W58" s="23" t="str">
        <f>"|MIDDLE:​"&amp;テーブル1[[#This Row],[Name]]</f>
        <v>|MIDDLE:​Suzuno Suzu</v>
      </c>
      <c r="X58" s="23" t="str">
        <f>"|MIDDLE:​&amp;link(配布所はこちら){​"&amp;テーブル1[[#This Row],[リンク]]&amp;"}|"</f>
        <v>|MIDDLE:​&amp;link(配布所はこちら){​https://bellsworks.wixsite.com/bellsworks}|</v>
      </c>
    </row>
    <row r="59" spans="1:24" ht="20.149999999999999" customHeight="1" x14ac:dyDescent="0.35">
      <c r="A59" s="20">
        <v>58</v>
      </c>
      <c r="B59" s="23" t="str">
        <f>SUBSTITUTE(SUBSTITUTE(SUBSTITUTE(SUBSTITUTE(SUBSTITUTE(SUBSTITUTE(SUBSTITUTE(SUBSTITUTE(LOWER(テーブル1[[#This Row],[Name]])," ","-"),".","-"),"&amp;","-"),"_","-"),"・","-"),"=","-"),"--","-"),"--","-")</f>
        <v>suzuno-mion</v>
      </c>
      <c r="C59" s="24" t="s">
        <v>1429</v>
      </c>
      <c r="D59" s="23" t="s">
        <v>56</v>
      </c>
      <c r="E59" s="23" t="s">
        <v>57</v>
      </c>
      <c r="F59" s="2" t="s">
        <v>54</v>
      </c>
      <c r="G59" s="23" t="s">
        <v>55</v>
      </c>
      <c r="M59" s="1" t="s">
        <v>1518</v>
      </c>
      <c r="N59" s="1" t="s">
        <v>1443</v>
      </c>
      <c r="O59" s="24" t="str">
        <f>テーブル1[[#This Row],[リンク]]&amp;テーブル1[[#This Row],[描画状況]]</f>
        <v>https://bellsworks.wixsite.com/bellsworks済</v>
      </c>
      <c r="P59" s="17">
        <f>1-(COUNTIF(O:O,_xlfn.TEXTJOIN(",",TRUE,テーブル1[[#This Row],[リンク]],テーブル1[[#This Row],[描画状況]]))/COUNTIF(F:F,テーブル1[[#This Row],[リンク]]))</f>
        <v>1</v>
      </c>
      <c r="Q59" s="16" t="str">
        <f ca="1">IFERROR(IF(テーブル1[[#This Row],[描画状況]]="",RAND()+(テーブル1[[#This Row],[列2]]*100),""),RAND())</f>
        <v/>
      </c>
      <c r="R59" s="1" t="s">
        <v>12</v>
      </c>
      <c r="S59" s="24" t="str">
        <f ca="1">IF(AND(テーブル1[[#This Row],[描画状況]]="済",テーブル1[[#This Row],[投稿状況]]=""),RAND(),"")</f>
        <v/>
      </c>
      <c r="T59" s="23" t="str">
        <f>"|&amp;image("&amp;テーブル1[[#This Row],[画像]]&amp;".png,width=100,height=100)"</f>
        <v>|&amp;image(suzuno-mion.png,width=100,height=100)</v>
      </c>
      <c r="U59" s="23" t="str">
        <f>"|MIDDLE:​"&amp;テーブル1[[#This Row],[名前]]</f>
        <v>|MIDDLE:​鈴音ミオン</v>
      </c>
      <c r="V59" s="23" t="str">
        <f>"|MIDDLE:​"&amp;テーブル1[[#This Row],[なまえ]]</f>
        <v>|MIDDLE:​すずの みおん</v>
      </c>
      <c r="W59" s="23" t="str">
        <f>"|MIDDLE:​"&amp;テーブル1[[#This Row],[Name]]</f>
        <v>|MIDDLE:​Suzuno Mion</v>
      </c>
      <c r="X59" s="23" t="str">
        <f>"|MIDDLE:​&amp;link(配布所はこちら){​"&amp;テーブル1[[#This Row],[リンク]]&amp;"}|"</f>
        <v>|MIDDLE:​&amp;link(配布所はこちら){​https://bellsworks.wixsite.com/bellsworks}|</v>
      </c>
    </row>
    <row r="60" spans="1:24" ht="20.149999999999999" customHeight="1" x14ac:dyDescent="0.35">
      <c r="A60" s="20">
        <v>59</v>
      </c>
      <c r="B60" s="23" t="str">
        <f>SUBSTITUTE(SUBSTITUTE(SUBSTITUTE(SUBSTITUTE(SUBSTITUTE(SUBSTITUTE(SUBSTITUTE(SUBSTITUTE(LOWER(テーブル1[[#This Row],[Name]])," ","-"),".","-"),"&amp;","-"),"_","-"),"・","-"),"=","-"),"--","-"),"--","-")</f>
        <v>seiun-amato</v>
      </c>
      <c r="C60" s="24" t="s">
        <v>274</v>
      </c>
      <c r="D60" s="23" t="s">
        <v>275</v>
      </c>
      <c r="E60" s="23" t="s">
        <v>276</v>
      </c>
      <c r="F60" s="2" t="s">
        <v>277</v>
      </c>
      <c r="G60" s="23" t="s">
        <v>278</v>
      </c>
      <c r="N60" s="1" t="s">
        <v>1443</v>
      </c>
      <c r="O60" s="24" t="str">
        <f>テーブル1[[#This Row],[リンク]]&amp;テーブル1[[#This Row],[描画状況]]</f>
        <v>https://offlamingo21.wixsite.com/amato-seiun済</v>
      </c>
      <c r="P60" s="17">
        <f>1-(COUNTIF(O:O,_xlfn.TEXTJOIN(",",TRUE,テーブル1[[#This Row],[リンク]],テーブル1[[#This Row],[描画状況]]))/COUNTIF(F:F,テーブル1[[#This Row],[リンク]]))</f>
        <v>1</v>
      </c>
      <c r="Q60" s="16" t="str">
        <f ca="1">IFERROR(IF(テーブル1[[#This Row],[描画状況]]="",RAND()+(テーブル1[[#This Row],[列2]]*100),""),RAND())</f>
        <v/>
      </c>
      <c r="R60" s="1" t="s">
        <v>12</v>
      </c>
      <c r="S60" s="24" t="str">
        <f ca="1">IF(AND(テーブル1[[#This Row],[描画状況]]="済",テーブル1[[#This Row],[投稿状況]]=""),RAND(),"")</f>
        <v/>
      </c>
      <c r="T60" s="23" t="str">
        <f>"|&amp;image("&amp;テーブル1[[#This Row],[画像]]&amp;".png,width=100,height=100)"</f>
        <v>|&amp;image(seiun-amato.png,width=100,height=100)</v>
      </c>
      <c r="U60" s="23" t="str">
        <f>"|MIDDLE:​"&amp;テーブル1[[#This Row],[名前]]</f>
        <v>|MIDDLE:​星雲アマト</v>
      </c>
      <c r="V60" s="23" t="str">
        <f>"|MIDDLE:​"&amp;テーブル1[[#This Row],[なまえ]]</f>
        <v>|MIDDLE:​せいうん あまと</v>
      </c>
      <c r="W60" s="23" t="str">
        <f>"|MIDDLE:​"&amp;テーブル1[[#This Row],[Name]]</f>
        <v>|MIDDLE:​Seiun Amato</v>
      </c>
      <c r="X60" s="23" t="str">
        <f>"|MIDDLE:​&amp;link(配布所はこちら){​"&amp;テーブル1[[#This Row],[リンク]]&amp;"}|"</f>
        <v>|MIDDLE:​&amp;link(配布所はこちら){​https://offlamingo21.wixsite.com/amato-seiun}|</v>
      </c>
    </row>
    <row r="61" spans="1:24" ht="20.149999999999999" customHeight="1" x14ac:dyDescent="0.35">
      <c r="A61" s="20">
        <v>60</v>
      </c>
      <c r="B61" s="23" t="str">
        <f>SUBSTITUTE(SUBSTITUTE(SUBSTITUTE(SUBSTITUTE(SUBSTITUTE(SUBSTITUTE(SUBSTITUTE(SUBSTITUTE(LOWER(テーブル1[[#This Row],[Name]])," ","-"),".","-"),"&amp;","-"),"_","-"),"・","-"),"=","-"),"--","-"),"--","-")</f>
        <v>sennomiya-sirou</v>
      </c>
      <c r="C61" s="24" t="s">
        <v>22</v>
      </c>
      <c r="D61" s="23" t="s">
        <v>23</v>
      </c>
      <c r="E61" s="23" t="s">
        <v>24</v>
      </c>
      <c r="F61" s="2" t="s">
        <v>20</v>
      </c>
      <c r="G61" s="23" t="s">
        <v>25</v>
      </c>
      <c r="M61" s="1" t="s">
        <v>1518</v>
      </c>
      <c r="N61" s="1" t="s">
        <v>1443</v>
      </c>
      <c r="O61" s="24" t="str">
        <f>テーブル1[[#This Row],[リンク]]&amp;テーブル1[[#This Row],[描画状況]]</f>
        <v>http://park2.wakwak.com/~mbox/vo/hk/hkfre.htm済</v>
      </c>
      <c r="P61" s="17">
        <f>1-(COUNTIF(O:O,_xlfn.TEXTJOIN(",",TRUE,テーブル1[[#This Row],[リンク]],テーブル1[[#This Row],[描画状況]]))/COUNTIF(F:F,テーブル1[[#This Row],[リンク]]))</f>
        <v>1</v>
      </c>
      <c r="Q61" s="16" t="str">
        <f ca="1">IFERROR(IF(テーブル1[[#This Row],[描画状況]]="",RAND()+(テーブル1[[#This Row],[列2]]*100),""),RAND())</f>
        <v/>
      </c>
      <c r="R61" s="1" t="s">
        <v>12</v>
      </c>
      <c r="S61" s="24" t="str">
        <f ca="1">IF(AND(テーブル1[[#This Row],[描画状況]]="済",テーブル1[[#This Row],[投稿状況]]=""),RAND(),"")</f>
        <v/>
      </c>
      <c r="T61" s="23" t="str">
        <f>"|&amp;image("&amp;テーブル1[[#This Row],[画像]]&amp;".png,width=100,height=100)"</f>
        <v>|&amp;image(sennomiya-sirou.png,width=100,height=100)</v>
      </c>
      <c r="U61" s="23" t="str">
        <f>"|MIDDLE:​"&amp;テーブル1[[#This Row],[名前]]</f>
        <v>|MIDDLE:​仟乃宮紫狼</v>
      </c>
      <c r="V61" s="23" t="str">
        <f>"|MIDDLE:​"&amp;テーブル1[[#This Row],[なまえ]]</f>
        <v>|MIDDLE:​せんのみや しろう</v>
      </c>
      <c r="W61" s="23" t="str">
        <f>"|MIDDLE:​"&amp;テーブル1[[#This Row],[Name]]</f>
        <v>|MIDDLE:​Sennomiya Sirou</v>
      </c>
      <c r="X61" s="23" t="str">
        <f>"|MIDDLE:​&amp;link(配布所はこちら){​"&amp;テーブル1[[#This Row],[リンク]]&amp;"}|"</f>
        <v>|MIDDLE:​&amp;link(配布所はこちら){​http://park2.wakwak.com/~mbox/vo/hk/hkfre.htm}|</v>
      </c>
    </row>
    <row r="62" spans="1:24" ht="20.149999999999999" customHeight="1" x14ac:dyDescent="0.35">
      <c r="A62" s="20">
        <v>61</v>
      </c>
      <c r="B62" s="23" t="str">
        <f>SUBSTITUTE(SUBSTITUTE(SUBSTITUTE(SUBSTITUTE(SUBSTITUTE(SUBSTITUTE(SUBSTITUTE(SUBSTITUTE(LOWER(テーブル1[[#This Row],[Name]])," ","-"),".","-"),"&amp;","-"),"_","-"),"・","-"),"=","-"),"--","-"),"--","-")</f>
        <v>sorane-nanashi</v>
      </c>
      <c r="C62" s="24" t="s">
        <v>1476</v>
      </c>
      <c r="D62" s="23" t="s">
        <v>279</v>
      </c>
      <c r="E62" s="23" t="s">
        <v>1477</v>
      </c>
      <c r="F62" s="2" t="s">
        <v>280</v>
      </c>
      <c r="G62" s="23" t="s">
        <v>281</v>
      </c>
      <c r="N62" s="1" t="s">
        <v>1443</v>
      </c>
      <c r="O62" s="24" t="str">
        <f>テーブル1[[#This Row],[リンク]]&amp;テーブル1[[#This Row],[描画状況]]</f>
        <v>https://rinnneuta.wixsite.com/my-site-2?s=09済</v>
      </c>
      <c r="P62" s="17">
        <f>1-(COUNTIF(O:O,_xlfn.TEXTJOIN(",",TRUE,テーブル1[[#This Row],[リンク]],テーブル1[[#This Row],[描画状況]]))/COUNTIF(F:F,テーブル1[[#This Row],[リンク]]))</f>
        <v>1</v>
      </c>
      <c r="Q62" s="16" t="str">
        <f ca="1">IFERROR(IF(テーブル1[[#This Row],[描画状況]]="",RAND()+(テーブル1[[#This Row],[列2]]*100),""),RAND())</f>
        <v/>
      </c>
      <c r="R62" s="1" t="s">
        <v>12</v>
      </c>
      <c r="S62" s="24" t="str">
        <f ca="1">IF(AND(テーブル1[[#This Row],[描画状況]]="済",テーブル1[[#This Row],[投稿状況]]=""),RAND(),"")</f>
        <v/>
      </c>
      <c r="T62" s="23" t="str">
        <f>"|&amp;image("&amp;テーブル1[[#This Row],[画像]]&amp;".png,width=100,height=100)"</f>
        <v>|&amp;image(sorane-nanashi.png,width=100,height=100)</v>
      </c>
      <c r="U62" s="23" t="str">
        <f>"|MIDDLE:​"&amp;テーブル1[[#This Row],[名前]]</f>
        <v>|MIDDLE:​​星音ななし</v>
      </c>
      <c r="V62" s="23" t="str">
        <f>"|MIDDLE:​"&amp;テーブル1[[#This Row],[なまえ]]</f>
        <v>|MIDDLE:​そらね ななし</v>
      </c>
      <c r="W62" s="23" t="str">
        <f>"|MIDDLE:​"&amp;テーブル1[[#This Row],[Name]]</f>
        <v>|MIDDLE:​Sorane Nanashi</v>
      </c>
      <c r="X62" s="23" t="str">
        <f>"|MIDDLE:​&amp;link(配布所はこちら){​"&amp;テーブル1[[#This Row],[リンク]]&amp;"}|"</f>
        <v>|MIDDLE:​&amp;link(配布所はこちら){​https://rinnneuta.wixsite.com/my-site-2?s=09}|</v>
      </c>
    </row>
    <row r="63" spans="1:24" ht="20.149999999999999" customHeight="1" x14ac:dyDescent="0.35">
      <c r="A63" s="20">
        <v>62</v>
      </c>
      <c r="B63" s="23" t="str">
        <f>SUBSTITUTE(SUBSTITUTE(SUBSTITUTE(SUBSTITUTE(SUBSTITUTE(SUBSTITUTE(SUBSTITUTE(SUBSTITUTE(LOWER(テーブル1[[#This Row],[Name]])," ","-"),".","-"),"&amp;","-"),"_","-"),"・","-"),"=","-"),"--","-"),"--","-")</f>
        <v>chimori-hakaze</v>
      </c>
      <c r="C63" s="24" t="s">
        <v>1273</v>
      </c>
      <c r="D63" s="23" t="s">
        <v>175</v>
      </c>
      <c r="E63" s="23" t="s">
        <v>176</v>
      </c>
      <c r="F63" s="15" t="s">
        <v>177</v>
      </c>
      <c r="G63" s="23" t="s">
        <v>178</v>
      </c>
      <c r="N63" s="1" t="s">
        <v>1443</v>
      </c>
      <c r="O63" s="24" t="str">
        <f>テーブル1[[#This Row],[リンク]]&amp;テーブル1[[#This Row],[描画状況]]</f>
        <v>https://lenskkpb.wixsite.com/len-sakaki-official済</v>
      </c>
      <c r="P63" s="17">
        <f>1-(COUNTIF(O:O,_xlfn.TEXTJOIN(",",TRUE,テーブル1[[#This Row],[リンク]],テーブル1[[#This Row],[描画状況]]))/COUNTIF(F:F,テーブル1[[#This Row],[リンク]]))</f>
        <v>1</v>
      </c>
      <c r="Q63" s="16" t="str">
        <f ca="1">IFERROR(IF(テーブル1[[#This Row],[描画状況]]="",RAND()+(テーブル1[[#This Row],[列2]]*100),""),RAND())</f>
        <v/>
      </c>
      <c r="R63" s="1" t="s">
        <v>12</v>
      </c>
      <c r="S63" s="24" t="str">
        <f ca="1">IF(AND(テーブル1[[#This Row],[描画状況]]="済",テーブル1[[#This Row],[投稿状況]]=""),RAND(),"")</f>
        <v/>
      </c>
      <c r="T63" s="23" t="str">
        <f>"|&amp;image("&amp;テーブル1[[#This Row],[画像]]&amp;".png,width=100,height=100)"</f>
        <v>|&amp;image(chimori-hakaze.png,width=100,height=100)</v>
      </c>
      <c r="U63" s="23" t="str">
        <f>"|MIDDLE:​"&amp;テーブル1[[#This Row],[名前]]</f>
        <v>|MIDDLE:​​地守葉風</v>
      </c>
      <c r="V63" s="23" t="str">
        <f>"|MIDDLE:​"&amp;テーブル1[[#This Row],[なまえ]]</f>
        <v>|MIDDLE:​ちもり はかぜ</v>
      </c>
      <c r="W63" s="23" t="str">
        <f>"|MIDDLE:​"&amp;テーブル1[[#This Row],[Name]]</f>
        <v>|MIDDLE:​Chimori Hakaze</v>
      </c>
      <c r="X63" s="23" t="str">
        <f>"|MIDDLE:​&amp;link(配布所はこちら){​"&amp;テーブル1[[#This Row],[リンク]]&amp;"}|"</f>
        <v>|MIDDLE:​&amp;link(配布所はこちら){​https://lenskkpb.wixsite.com/len-sakaki-official}|</v>
      </c>
    </row>
    <row r="64" spans="1:24" ht="20.149999999999999" customHeight="1" x14ac:dyDescent="0.35">
      <c r="A64" s="20">
        <v>63</v>
      </c>
      <c r="B64" s="23" t="str">
        <f>SUBSTITUTE(SUBSTITUTE(SUBSTITUTE(SUBSTITUTE(SUBSTITUTE(SUBSTITUTE(SUBSTITUTE(SUBSTITUTE(LOWER(テーブル1[[#This Row],[Name]])," ","-"),".","-"),"&amp;","-"),"_","-"),"・","-"),"=","-"),"--","-"),"--","-")</f>
        <v>chaka-nari</v>
      </c>
      <c r="C64" s="24" t="s">
        <v>1478</v>
      </c>
      <c r="D64" s="23" t="s">
        <v>81</v>
      </c>
      <c r="E64" s="23" t="s">
        <v>82</v>
      </c>
      <c r="F64" s="26" t="s">
        <v>83</v>
      </c>
      <c r="G64" s="23" t="s">
        <v>84</v>
      </c>
      <c r="M64" s="1" t="s">
        <v>1517</v>
      </c>
      <c r="N64" s="1" t="s">
        <v>1443</v>
      </c>
      <c r="O64" s="24" t="str">
        <f>テーブル1[[#This Row],[リンク]]&amp;テーブル1[[#This Row],[描画状況]]</f>
        <v>https://chaka000.wixsite.com/chaka済</v>
      </c>
      <c r="P64" s="17">
        <f>1-(COUNTIF(O:O,_xlfn.TEXTJOIN(",",TRUE,テーブル1[[#This Row],[リンク]],テーブル1[[#This Row],[描画状況]]))/COUNTIF(F:F,テーブル1[[#This Row],[リンク]]))</f>
        <v>1</v>
      </c>
      <c r="Q64" s="16" t="str">
        <f ca="1">IFERROR(IF(テーブル1[[#This Row],[描画状況]]="",RAND()+(テーブル1[[#This Row],[列2]]*100),""),RAND())</f>
        <v/>
      </c>
      <c r="R64" s="1" t="s">
        <v>12</v>
      </c>
      <c r="S64" s="24" t="str">
        <f ca="1">IF(AND(テーブル1[[#This Row],[描画状況]]="済",テーブル1[[#This Row],[投稿状況]]=""),RAND(),"")</f>
        <v/>
      </c>
      <c r="T64" s="23" t="str">
        <f>"|&amp;image("&amp;テーブル1[[#This Row],[画像]]&amp;".png,width=100,height=100)"</f>
        <v>|&amp;image(chaka-nari.png,width=100,height=100)</v>
      </c>
      <c r="U64" s="23" t="str">
        <f>"|MIDDLE:​"&amp;テーブル1[[#This Row],[名前]]</f>
        <v>|MIDDLE:​茶歌成</v>
      </c>
      <c r="V64" s="23" t="str">
        <f>"|MIDDLE:​"&amp;テーブル1[[#This Row],[なまえ]]</f>
        <v>|MIDDLE:​ちゃか なり</v>
      </c>
      <c r="W64" s="23" t="str">
        <f>"|MIDDLE:​"&amp;テーブル1[[#This Row],[Name]]</f>
        <v>|MIDDLE:​Chaka Nari</v>
      </c>
      <c r="X64" s="23" t="str">
        <f>"|MIDDLE:​&amp;link(配布所はこちら){​"&amp;テーブル1[[#This Row],[リンク]]&amp;"}|"</f>
        <v>|MIDDLE:​&amp;link(配布所はこちら){​https://chaka000.wixsite.com/chaka}|</v>
      </c>
    </row>
    <row r="65" spans="1:24" ht="20.149999999999999" customHeight="1" x14ac:dyDescent="0.35">
      <c r="A65" s="20">
        <v>64</v>
      </c>
      <c r="B65" s="23" t="str">
        <f>SUBSTITUTE(SUBSTITUTE(SUBSTITUTE(SUBSTITUTE(SUBSTITUTE(SUBSTITUTE(SUBSTITUTE(SUBSTITUTE(LOWER(テーブル1[[#This Row],[Name]])," ","-"),".","-"),"&amp;","-"),"_","-"),"・","-"),"=","-"),"--","-"),"--","-")</f>
        <v>chankonabe</v>
      </c>
      <c r="C65" s="24" t="s">
        <v>1479</v>
      </c>
      <c r="D65" s="23" t="s">
        <v>117</v>
      </c>
      <c r="E65" s="23" t="s">
        <v>118</v>
      </c>
      <c r="F65" s="2" t="s">
        <v>115</v>
      </c>
      <c r="G65" s="23" t="s">
        <v>116</v>
      </c>
      <c r="H65" s="23" t="s">
        <v>1627</v>
      </c>
      <c r="I65" s="23" t="s">
        <v>1654</v>
      </c>
      <c r="K65" s="23" t="s">
        <v>1700</v>
      </c>
      <c r="M65" s="1" t="s">
        <v>1517</v>
      </c>
      <c r="N65" s="1" t="s">
        <v>1443</v>
      </c>
      <c r="O65" s="24" t="str">
        <f>テーブル1[[#This Row],[リンク]]&amp;テーブル1[[#This Row],[描画状況]]</f>
        <v>https://ichistart.wixsite.com/official/respiaker済</v>
      </c>
      <c r="P65" s="17">
        <f>1-(COUNTIF(O:O,_xlfn.TEXTJOIN(",",TRUE,テーブル1[[#This Row],[リンク]],テーブル1[[#This Row],[描画状況]]))/COUNTIF(F:F,テーブル1[[#This Row],[リンク]]))</f>
        <v>1</v>
      </c>
      <c r="Q65" s="16" t="str">
        <f ca="1">IFERROR(IF(テーブル1[[#This Row],[描画状況]]="",RAND()+(テーブル1[[#This Row],[列2]]*100),""),RAND())</f>
        <v/>
      </c>
      <c r="R65" s="1" t="s">
        <v>12</v>
      </c>
      <c r="S65" s="24" t="str">
        <f ca="1">IF(AND(テーブル1[[#This Row],[描画状況]]="済",テーブル1[[#This Row],[投稿状況]]=""),RAND(),"")</f>
        <v/>
      </c>
      <c r="T65" s="23" t="str">
        <f>"|&amp;image("&amp;テーブル1[[#This Row],[画像]]&amp;".png,width=100,height=100)"</f>
        <v>|&amp;image(chankonabe.png,width=100,height=100)</v>
      </c>
      <c r="U65" s="23" t="str">
        <f>"|MIDDLE:​"&amp;テーブル1[[#This Row],[名前]]</f>
        <v>|MIDDLE:​ちゃんこ鍋</v>
      </c>
      <c r="V65" s="23" t="str">
        <f>"|MIDDLE:​"&amp;テーブル1[[#This Row],[なまえ]]</f>
        <v>|MIDDLE:​ちゃんこなべ</v>
      </c>
      <c r="W65" s="23" t="str">
        <f>"|MIDDLE:​"&amp;テーブル1[[#This Row],[Name]]</f>
        <v>|MIDDLE:​Chankonabe</v>
      </c>
      <c r="X65" s="23" t="str">
        <f>"|MIDDLE:​&amp;link(配布所はこちら){​"&amp;テーブル1[[#This Row],[リンク]]&amp;"}|"</f>
        <v>|MIDDLE:​&amp;link(配布所はこちら){​https://ichistart.wixsite.com/official/respiaker}|</v>
      </c>
    </row>
    <row r="66" spans="1:24" ht="20.149999999999999" customHeight="1" x14ac:dyDescent="0.35">
      <c r="A66" s="20">
        <v>65</v>
      </c>
      <c r="B66" s="23" t="str">
        <f>SUBSTITUTE(SUBSTITUTE(SUBSTITUTE(SUBSTITUTE(SUBSTITUTE(SUBSTITUTE(SUBSTITUTE(SUBSTITUTE(LOWER(テーブル1[[#This Row],[Name]])," ","-"),".","-"),"&amp;","-"),"_","-"),"・","-"),"=","-"),"--","-"),"--","-")</f>
        <v>chunne-haiki</v>
      </c>
      <c r="C66" s="24" t="s">
        <v>1480</v>
      </c>
      <c r="D66" s="23" t="s">
        <v>89</v>
      </c>
      <c r="E66" s="23" t="s">
        <v>90</v>
      </c>
      <c r="F66" s="27" t="s">
        <v>87</v>
      </c>
      <c r="G66" s="23" t="s">
        <v>88</v>
      </c>
      <c r="M66" s="1" t="s">
        <v>1518</v>
      </c>
      <c r="N66" s="1" t="s">
        <v>1443</v>
      </c>
      <c r="O66" s="24" t="str">
        <f>テーブル1[[#This Row],[リンク]]&amp;テーブル1[[#This Row],[描画状況]]</f>
        <v>https://chunyinhui021.wixsite.com/mutyuusaisei済</v>
      </c>
      <c r="P66" s="17">
        <f>1-(COUNTIF(O:O,_xlfn.TEXTJOIN(",",TRUE,テーブル1[[#This Row],[リンク]],テーブル1[[#This Row],[描画状況]]))/COUNTIF(F:F,テーブル1[[#This Row],[リンク]]))</f>
        <v>1</v>
      </c>
      <c r="Q66" s="16" t="str">
        <f ca="1">IFERROR(IF(テーブル1[[#This Row],[描画状況]]="",RAND()+(テーブル1[[#This Row],[列2]]*100),""),RAND())</f>
        <v/>
      </c>
      <c r="R66" s="1" t="s">
        <v>12</v>
      </c>
      <c r="S66" s="24" t="str">
        <f ca="1">IF(AND(テーブル1[[#This Row],[描画状況]]="済",テーブル1[[#This Row],[投稿状況]]=""),RAND(),"")</f>
        <v/>
      </c>
      <c r="T66" s="23" t="str">
        <f>"|&amp;image("&amp;テーブル1[[#This Row],[画像]]&amp;".png,width=100,height=100)"</f>
        <v>|&amp;image(chunne-haiki.png,width=100,height=100)</v>
      </c>
      <c r="U66" s="23" t="str">
        <f>"|MIDDLE:​"&amp;テーブル1[[#This Row],[名前]]</f>
        <v>|MIDDLE:​椿音灰鬼</v>
      </c>
      <c r="V66" s="23" t="str">
        <f>"|MIDDLE:​"&amp;テーブル1[[#This Row],[なまえ]]</f>
        <v>|MIDDLE:​ちゅんね はいき</v>
      </c>
      <c r="W66" s="23" t="str">
        <f>"|MIDDLE:​"&amp;テーブル1[[#This Row],[Name]]</f>
        <v>|MIDDLE:​Chunne Haiki</v>
      </c>
      <c r="X66" s="23" t="str">
        <f>"|MIDDLE:​&amp;link(配布所はこちら){​"&amp;テーブル1[[#This Row],[リンク]]&amp;"}|"</f>
        <v>|MIDDLE:​&amp;link(配布所はこちら){​https://chunyinhui021.wixsite.com/mutyuusaisei}|</v>
      </c>
    </row>
    <row r="67" spans="1:24" ht="20.149999999999999" customHeight="1" x14ac:dyDescent="0.35">
      <c r="A67" s="20">
        <v>66</v>
      </c>
      <c r="B67" s="23" t="str">
        <f>SUBSTITUTE(SUBSTITUTE(SUBSTITUTE(SUBSTITUTE(SUBSTITUTE(SUBSTITUTE(SUBSTITUTE(SUBSTITUTE(LOWER(テーブル1[[#This Row],[Name]])," ","-"),".","-"),"&amp;","-"),"_","-"),"・","-"),"=","-"),"--","-"),"--","-")</f>
        <v>tsukumo-ichioto</v>
      </c>
      <c r="C67" s="24" t="s">
        <v>1481</v>
      </c>
      <c r="D67" s="23" t="s">
        <v>404</v>
      </c>
      <c r="E67" s="23" t="s">
        <v>1482</v>
      </c>
      <c r="F67" s="2" t="s">
        <v>405</v>
      </c>
      <c r="G67" s="23" t="s">
        <v>406</v>
      </c>
      <c r="N67" s="1" t="s">
        <v>1443</v>
      </c>
      <c r="O67" s="24" t="str">
        <f>テーブル1[[#This Row],[リンク]]&amp;テーブル1[[#This Row],[描画状況]]</f>
        <v>https://yukiichik.wixsite.com/kokofool/utau済</v>
      </c>
      <c r="P67" s="17">
        <f>1-(COUNTIF(O:O,_xlfn.TEXTJOIN(",",TRUE,テーブル1[[#This Row],[リンク]],テーブル1[[#This Row],[描画状況]]))/COUNTIF(F:F,テーブル1[[#This Row],[リンク]]))</f>
        <v>1</v>
      </c>
      <c r="Q67" s="16" t="str">
        <f ca="1">IFERROR(IF(テーブル1[[#This Row],[描画状況]]="",RAND()+(テーブル1[[#This Row],[列2]]*100),""),RAND())</f>
        <v/>
      </c>
      <c r="R67" s="1" t="s">
        <v>12</v>
      </c>
      <c r="S67" s="24" t="str">
        <f ca="1">IF(AND(テーブル1[[#This Row],[描画状況]]="済",テーブル1[[#This Row],[投稿状況]]=""),RAND(),"")</f>
        <v/>
      </c>
      <c r="T67" s="23" t="str">
        <f>"|&amp;image("&amp;テーブル1[[#This Row],[画像]]&amp;".png,width=100,height=100)"</f>
        <v>|&amp;image(tsukumo-ichioto.png,width=100,height=100)</v>
      </c>
      <c r="U67" s="23" t="str">
        <f>"|MIDDLE:​"&amp;テーブル1[[#This Row],[名前]]</f>
        <v>|MIDDLE:​九十九一音​</v>
      </c>
      <c r="V67" s="23" t="str">
        <f>"|MIDDLE:​"&amp;テーブル1[[#This Row],[なまえ]]</f>
        <v>|MIDDLE:​つくも いちおと</v>
      </c>
      <c r="W67" s="23" t="str">
        <f>"|MIDDLE:​"&amp;テーブル1[[#This Row],[Name]]</f>
        <v>|MIDDLE:​Tsukumo Ichioto</v>
      </c>
      <c r="X67" s="23" t="str">
        <f>"|MIDDLE:​&amp;link(配布所はこちら){​"&amp;テーブル1[[#This Row],[リンク]]&amp;"}|"</f>
        <v>|MIDDLE:​&amp;link(配布所はこちら){​https://yukiichik.wixsite.com/kokofool/utau}|</v>
      </c>
    </row>
    <row r="68" spans="1:24" ht="20.149999999999999" customHeight="1" x14ac:dyDescent="0.35">
      <c r="A68" s="20">
        <v>67</v>
      </c>
      <c r="B68" s="23" t="str">
        <f>SUBSTITUTE(SUBSTITUTE(SUBSTITUTE(SUBSTITUTE(SUBSTITUTE(SUBSTITUTE(SUBSTITUTE(SUBSTITUTE(LOWER(テーブル1[[#This Row],[Name]])," ","-"),".","-"),"&amp;","-"),"_","-"),"・","-"),"=","-"),"--","-"),"--","-")</f>
        <v>tsukurine-mika</v>
      </c>
      <c r="C68" s="24" t="s">
        <v>1483</v>
      </c>
      <c r="D68" s="23" t="s">
        <v>228</v>
      </c>
      <c r="E68" s="23" t="s">
        <v>229</v>
      </c>
      <c r="F68" s="2" t="s">
        <v>226</v>
      </c>
      <c r="G68" s="23" t="s">
        <v>227</v>
      </c>
      <c r="N68" s="1" t="s">
        <v>1443</v>
      </c>
      <c r="O68" s="24" t="str">
        <f>テーブル1[[#This Row],[リンク]]&amp;テーブル1[[#This Row],[描画状況]]</f>
        <v>https://nananasyrup.wixsite.com/13kka済</v>
      </c>
      <c r="P68" s="17">
        <f>1-(COUNTIF(O:O,_xlfn.TEXTJOIN(",",TRUE,テーブル1[[#This Row],[リンク]],テーブル1[[#This Row],[描画状況]]))/COUNTIF(F:F,テーブル1[[#This Row],[リンク]]))</f>
        <v>1</v>
      </c>
      <c r="Q68" s="16" t="str">
        <f ca="1">IFERROR(IF(テーブル1[[#This Row],[描画状況]]="",RAND()+(テーブル1[[#This Row],[列2]]*100),""),RAND())</f>
        <v/>
      </c>
      <c r="R68" s="1" t="s">
        <v>12</v>
      </c>
      <c r="S68" s="24" t="str">
        <f ca="1">IF(AND(テーブル1[[#This Row],[描画状況]]="済",テーブル1[[#This Row],[投稿状況]]=""),RAND(),"")</f>
        <v/>
      </c>
      <c r="T68" s="23" t="str">
        <f>"|&amp;image("&amp;テーブル1[[#This Row],[画像]]&amp;".png,width=100,height=100)"</f>
        <v>|&amp;image(tsukurine-mika.png,width=100,height=100)</v>
      </c>
      <c r="U68" s="23" t="str">
        <f>"|MIDDLE:​"&amp;テーブル1[[#This Row],[名前]]</f>
        <v>|MIDDLE:​創音みか</v>
      </c>
      <c r="V68" s="23" t="str">
        <f>"|MIDDLE:​"&amp;テーブル1[[#This Row],[なまえ]]</f>
        <v>|MIDDLE:​つくりね みか</v>
      </c>
      <c r="W68" s="23" t="str">
        <f>"|MIDDLE:​"&amp;テーブル1[[#This Row],[Name]]</f>
        <v>|MIDDLE:​Tsukurine Mika</v>
      </c>
      <c r="X68" s="23" t="str">
        <f>"|MIDDLE:​&amp;link(配布所はこちら){​"&amp;テーブル1[[#This Row],[リンク]]&amp;"}|"</f>
        <v>|MIDDLE:​&amp;link(配布所はこちら){​https://nananasyrup.wixsite.com/13kka}|</v>
      </c>
    </row>
    <row r="69" spans="1:24" ht="20.149999999999999" customHeight="1" x14ac:dyDescent="0.35">
      <c r="A69" s="20">
        <v>68</v>
      </c>
      <c r="B69" s="23" t="str">
        <f>SUBSTITUTE(SUBSTITUTE(SUBSTITUTE(SUBSTITUTE(SUBSTITUTE(SUBSTITUTE(SUBSTITUTE(SUBSTITUTE(LOWER(テーブル1[[#This Row],[Name]])," ","-"),".","-"),"&amp;","-"),"_","-"),"・","-"),"=","-"),"--","-"),"--","-")</f>
        <v>tsurune-sutera</v>
      </c>
      <c r="C69" s="24" t="s">
        <v>58</v>
      </c>
      <c r="D69" s="23" t="s">
        <v>59</v>
      </c>
      <c r="E69" s="23" t="s">
        <v>60</v>
      </c>
      <c r="F69" s="2" t="s">
        <v>54</v>
      </c>
      <c r="G69" s="23" t="s">
        <v>55</v>
      </c>
      <c r="M69" s="1" t="s">
        <v>1518</v>
      </c>
      <c r="N69" s="1" t="s">
        <v>1443</v>
      </c>
      <c r="O69" s="24" t="str">
        <f>テーブル1[[#This Row],[リンク]]&amp;テーブル1[[#This Row],[描画状況]]</f>
        <v>https://bellsworks.wixsite.com/bellsworks済</v>
      </c>
      <c r="P69" s="17">
        <f>1-(COUNTIF(O:O,_xlfn.TEXTJOIN(",",TRUE,テーブル1[[#This Row],[リンク]],テーブル1[[#This Row],[描画状況]]))/COUNTIF(F:F,テーブル1[[#This Row],[リンク]]))</f>
        <v>1</v>
      </c>
      <c r="Q69" s="16" t="str">
        <f ca="1">IFERROR(IF(テーブル1[[#This Row],[描画状況]]="",RAND()+(テーブル1[[#This Row],[列2]]*100),""),RAND())</f>
        <v/>
      </c>
      <c r="R69" s="1" t="s">
        <v>12</v>
      </c>
      <c r="S69" s="24" t="str">
        <f ca="1">IF(AND(テーブル1[[#This Row],[描画状況]]="済",テーブル1[[#This Row],[投稿状況]]=""),RAND(),"")</f>
        <v/>
      </c>
      <c r="T69" s="23" t="str">
        <f>"|&amp;image("&amp;テーブル1[[#This Row],[画像]]&amp;".png,width=100,height=100)"</f>
        <v>|&amp;image(tsurune-sutera.png,width=100,height=100)</v>
      </c>
      <c r="U69" s="23" t="str">
        <f>"|MIDDLE:​"&amp;テーブル1[[#This Row],[名前]]</f>
        <v>|MIDDLE:​​弦音ステラ</v>
      </c>
      <c r="V69" s="23" t="str">
        <f>"|MIDDLE:​"&amp;テーブル1[[#This Row],[なまえ]]</f>
        <v>|MIDDLE:​つるね すてら</v>
      </c>
      <c r="W69" s="23" t="str">
        <f>"|MIDDLE:​"&amp;テーブル1[[#This Row],[Name]]</f>
        <v>|MIDDLE:​Tsurune Sutera</v>
      </c>
      <c r="X69" s="23" t="str">
        <f>"|MIDDLE:​&amp;link(配布所はこちら){​"&amp;テーブル1[[#This Row],[リンク]]&amp;"}|"</f>
        <v>|MIDDLE:​&amp;link(配布所はこちら){​https://bellsworks.wixsite.com/bellsworks}|</v>
      </c>
    </row>
    <row r="70" spans="1:24" ht="20.149999999999999" customHeight="1" x14ac:dyDescent="0.35">
      <c r="A70" s="20">
        <v>69</v>
      </c>
      <c r="B70" s="23" t="str">
        <f>SUBSTITUTE(SUBSTITUTE(SUBSTITUTE(SUBSTITUTE(SUBSTITUTE(SUBSTITUTE(SUBSTITUTE(SUBSTITUTE(LOWER(テーブル1[[#This Row],[Name]])," ","-"),".","-"),"&amp;","-"),"_","-"),"・","-"),"=","-"),"--","-"),"--","-")</f>
        <v>terado-rabu</v>
      </c>
      <c r="C70" s="24" t="s">
        <v>1484</v>
      </c>
      <c r="D70" s="23" t="s">
        <v>392</v>
      </c>
      <c r="E70" s="23" t="s">
        <v>393</v>
      </c>
      <c r="F70" s="2" t="s">
        <v>390</v>
      </c>
      <c r="G70" s="23" t="s">
        <v>391</v>
      </c>
      <c r="N70" s="1" t="s">
        <v>1443</v>
      </c>
      <c r="O70" s="24" t="str">
        <f>テーブル1[[#This Row],[リンク]]&amp;テーブル1[[#This Row],[描画状況]]</f>
        <v>https://witchdoll.jimdofree.com済</v>
      </c>
      <c r="P70" s="17">
        <f>1-(COUNTIF(O:O,_xlfn.TEXTJOIN(",",TRUE,テーブル1[[#This Row],[リンク]],テーブル1[[#This Row],[描画状況]]))/COUNTIF(F:F,テーブル1[[#This Row],[リンク]]))</f>
        <v>1</v>
      </c>
      <c r="Q70" s="16" t="str">
        <f ca="1">IFERROR(IF(テーブル1[[#This Row],[描画状況]]="",RAND()+(テーブル1[[#This Row],[列2]]*100),""),RAND())</f>
        <v/>
      </c>
      <c r="R70" s="1" t="s">
        <v>12</v>
      </c>
      <c r="S70" s="24" t="str">
        <f ca="1">IF(AND(テーブル1[[#This Row],[描画状況]]="済",テーブル1[[#This Row],[投稿状況]]=""),RAND(),"")</f>
        <v/>
      </c>
      <c r="T70" s="23" t="str">
        <f>"|&amp;image("&amp;テーブル1[[#This Row],[画像]]&amp;".png,width=100,height=100)"</f>
        <v>|&amp;image(terado-rabu.png,width=100,height=100)</v>
      </c>
      <c r="U70" s="23" t="str">
        <f>"|MIDDLE:​"&amp;テーブル1[[#This Row],[名前]]</f>
        <v>|MIDDLE:​寺戸ラヴ</v>
      </c>
      <c r="V70" s="23" t="str">
        <f>"|MIDDLE:​"&amp;テーブル1[[#This Row],[なまえ]]</f>
        <v>|MIDDLE:​てらど らぶ</v>
      </c>
      <c r="W70" s="23" t="str">
        <f>"|MIDDLE:​"&amp;テーブル1[[#This Row],[Name]]</f>
        <v>|MIDDLE:​Terado Rabu</v>
      </c>
      <c r="X70" s="23" t="str">
        <f>"|MIDDLE:​&amp;link(配布所はこちら){​"&amp;テーブル1[[#This Row],[リンク]]&amp;"}|"</f>
        <v>|MIDDLE:​&amp;link(配布所はこちら){​https://witchdoll.jimdofree.com}|</v>
      </c>
    </row>
    <row r="71" spans="1:24" ht="20.149999999999999" customHeight="1" x14ac:dyDescent="0.35">
      <c r="A71" s="20">
        <v>70</v>
      </c>
      <c r="B71" s="23" t="str">
        <f>SUBSTITUTE(SUBSTITUTE(SUBSTITUTE(SUBSTITUTE(SUBSTITUTE(SUBSTITUTE(SUBSTITUTE(SUBSTITUTE(LOWER(テーブル1[[#This Row],[Name]])," ","-"),".","-"),"&amp;","-"),"_","-"),"・","-"),"=","-"),"--","-"),"--","-")</f>
        <v>teranaga-toichi</v>
      </c>
      <c r="C71" s="24" t="s">
        <v>1485</v>
      </c>
      <c r="D71" s="23" t="s">
        <v>407</v>
      </c>
      <c r="E71" s="23" t="s">
        <v>1486</v>
      </c>
      <c r="F71" s="2" t="s">
        <v>405</v>
      </c>
      <c r="G71" s="23" t="s">
        <v>406</v>
      </c>
      <c r="N71" s="1" t="s">
        <v>1443</v>
      </c>
      <c r="O71" s="24" t="str">
        <f>テーブル1[[#This Row],[リンク]]&amp;テーブル1[[#This Row],[描画状況]]</f>
        <v>https://yukiichik.wixsite.com/kokofool/utau済</v>
      </c>
      <c r="P71" s="17">
        <f>1-(COUNTIF(O:O,_xlfn.TEXTJOIN(",",TRUE,テーブル1[[#This Row],[リンク]],テーブル1[[#This Row],[描画状況]]))/COUNTIF(F:F,テーブル1[[#This Row],[リンク]]))</f>
        <v>1</v>
      </c>
      <c r="Q71" s="16" t="str">
        <f ca="1">IFERROR(IF(テーブル1[[#This Row],[描画状況]]="",RAND()+(テーブル1[[#This Row],[列2]]*100),""),RAND())</f>
        <v/>
      </c>
      <c r="R71" s="1" t="s">
        <v>12</v>
      </c>
      <c r="S71" s="24" t="str">
        <f ca="1">IF(AND(テーブル1[[#This Row],[描画状況]]="済",テーブル1[[#This Row],[投稿状況]]=""),RAND(),"")</f>
        <v/>
      </c>
      <c r="T71" s="23" t="str">
        <f>"|&amp;image("&amp;テーブル1[[#This Row],[画像]]&amp;".png,width=100,height=100)"</f>
        <v>|&amp;image(teranaga-toichi.png,width=100,height=100)</v>
      </c>
      <c r="U71" s="23" t="str">
        <f>"|MIDDLE:​"&amp;テーブル1[[#This Row],[名前]]</f>
        <v>|MIDDLE:​寺永十逸</v>
      </c>
      <c r="V71" s="23" t="str">
        <f>"|MIDDLE:​"&amp;テーブル1[[#This Row],[なまえ]]</f>
        <v>|MIDDLE:​てらなが とおいち</v>
      </c>
      <c r="W71" s="23" t="str">
        <f>"|MIDDLE:​"&amp;テーブル1[[#This Row],[Name]]</f>
        <v>|MIDDLE:​Teranaga Toichi</v>
      </c>
      <c r="X71" s="23" t="str">
        <f>"|MIDDLE:​&amp;link(配布所はこちら){​"&amp;テーブル1[[#This Row],[リンク]]&amp;"}|"</f>
        <v>|MIDDLE:​&amp;link(配布所はこちら){​https://yukiichik.wixsite.com/kokofool/utau}|</v>
      </c>
    </row>
    <row r="72" spans="1:24" ht="20.149999999999999" customHeight="1" x14ac:dyDescent="0.35">
      <c r="A72" s="20">
        <v>71</v>
      </c>
      <c r="B72" s="23" t="str">
        <f>SUBSTITUTE(SUBSTITUTE(SUBSTITUTE(SUBSTITUTE(SUBSTITUTE(SUBSTITUTE(SUBSTITUTE(SUBSTITUTE(LOWER(テーブル1[[#This Row],[Name]])," ","-"),".","-"),"&amp;","-"),"_","-"),"・","-"),"=","-"),"--","-"),"--","-")</f>
        <v>tota-hisame</v>
      </c>
      <c r="C72" s="24" t="s">
        <v>1487</v>
      </c>
      <c r="D72" s="23" t="s">
        <v>322</v>
      </c>
      <c r="E72" s="23" t="s">
        <v>323</v>
      </c>
      <c r="F72" s="2" t="s">
        <v>324</v>
      </c>
      <c r="G72" s="23" t="s">
        <v>325</v>
      </c>
      <c r="N72" s="1" t="s">
        <v>1443</v>
      </c>
      <c r="O72" s="24" t="str">
        <f>テーブル1[[#This Row],[リンク]]&amp;テーブル1[[#This Row],[描画状況]]</f>
        <v>https://suihankinonaka.wixsite.com/my-site-1済</v>
      </c>
      <c r="P72" s="17">
        <f>1-(COUNTIF(O:O,_xlfn.TEXTJOIN(",",TRUE,テーブル1[[#This Row],[リンク]],テーブル1[[#This Row],[描画状況]]))/COUNTIF(F:F,テーブル1[[#This Row],[リンク]]))</f>
        <v>1</v>
      </c>
      <c r="Q72" s="16" t="str">
        <f ca="1">IFERROR(IF(テーブル1[[#This Row],[描画状況]]="",RAND()+(テーブル1[[#This Row],[列2]]*100),""),RAND())</f>
        <v/>
      </c>
      <c r="R72" s="1" t="s">
        <v>12</v>
      </c>
      <c r="S72" s="24" t="str">
        <f ca="1">IF(AND(テーブル1[[#This Row],[描画状況]]="済",テーブル1[[#This Row],[投稿状況]]=""),RAND(),"")</f>
        <v/>
      </c>
      <c r="T72" s="23" t="str">
        <f>"|&amp;image("&amp;テーブル1[[#This Row],[画像]]&amp;".png,width=100,height=100)"</f>
        <v>|&amp;image(tota-hisame.png,width=100,height=100)</v>
      </c>
      <c r="U72" s="23" t="str">
        <f>"|MIDDLE:​"&amp;テーブル1[[#This Row],[名前]]</f>
        <v>|MIDDLE:​透唄氷雨</v>
      </c>
      <c r="V72" s="23" t="str">
        <f>"|MIDDLE:​"&amp;テーブル1[[#This Row],[なまえ]]</f>
        <v>|MIDDLE:​とうた ひさめ</v>
      </c>
      <c r="W72" s="23" t="str">
        <f>"|MIDDLE:​"&amp;テーブル1[[#This Row],[Name]]</f>
        <v>|MIDDLE:​Tota Hisame</v>
      </c>
      <c r="X72" s="23" t="str">
        <f>"|MIDDLE:​&amp;link(配布所はこちら){​"&amp;テーブル1[[#This Row],[リンク]]&amp;"}|"</f>
        <v>|MIDDLE:​&amp;link(配布所はこちら){​https://suihankinonaka.wixsite.com/my-site-1}|</v>
      </c>
    </row>
    <row r="73" spans="1:24" ht="20.149999999999999" customHeight="1" x14ac:dyDescent="0.35">
      <c r="A73" s="20">
        <v>72</v>
      </c>
      <c r="B73" s="23" t="str">
        <f>SUBSTITUTE(SUBSTITUTE(SUBSTITUTE(SUBSTITUTE(SUBSTITUTE(SUBSTITUTE(SUBSTITUTE(SUBSTITUTE(LOWER(テーブル1[[#This Row],[Name]])," ","-"),".","-"),"&amp;","-"),"_","-"),"・","-"),"=","-"),"--","-"),"--","-")</f>
        <v>todoroki-madara</v>
      </c>
      <c r="C73" s="24" t="s">
        <v>1488</v>
      </c>
      <c r="D73" s="23" t="s">
        <v>326</v>
      </c>
      <c r="E73" s="23" t="s">
        <v>327</v>
      </c>
      <c r="F73" s="2" t="s">
        <v>324</v>
      </c>
      <c r="G73" s="23" t="s">
        <v>325</v>
      </c>
      <c r="N73" s="1" t="s">
        <v>1443</v>
      </c>
      <c r="O73" s="24" t="str">
        <f>テーブル1[[#This Row],[リンク]]&amp;テーブル1[[#This Row],[描画状況]]</f>
        <v>https://suihankinonaka.wixsite.com/my-site-1済</v>
      </c>
      <c r="P73" s="17">
        <f>1-(COUNTIF(O:O,_xlfn.TEXTJOIN(",",TRUE,テーブル1[[#This Row],[リンク]],テーブル1[[#This Row],[描画状況]]))/COUNTIF(F:F,テーブル1[[#This Row],[リンク]]))</f>
        <v>1</v>
      </c>
      <c r="Q73" s="16" t="str">
        <f ca="1">IFERROR(IF(テーブル1[[#This Row],[描画状況]]="",RAND()+(テーブル1[[#This Row],[列2]]*100),""),RAND())</f>
        <v/>
      </c>
      <c r="R73" s="1" t="s">
        <v>12</v>
      </c>
      <c r="S73" s="24" t="str">
        <f ca="1">IF(AND(テーブル1[[#This Row],[描画状況]]="済",テーブル1[[#This Row],[投稿状況]]=""),RAND(),"")</f>
        <v/>
      </c>
      <c r="T73" s="23" t="str">
        <f>"|&amp;image("&amp;テーブル1[[#This Row],[画像]]&amp;".png,width=100,height=100)"</f>
        <v>|&amp;image(todoroki-madara.png,width=100,height=100)</v>
      </c>
      <c r="U73" s="23" t="str">
        <f>"|MIDDLE:​"&amp;テーブル1[[#This Row],[名前]]</f>
        <v>|MIDDLE:​轟まだら</v>
      </c>
      <c r="V73" s="23" t="str">
        <f>"|MIDDLE:​"&amp;テーブル1[[#This Row],[なまえ]]</f>
        <v>|MIDDLE:​とどろき まだら</v>
      </c>
      <c r="W73" s="23" t="str">
        <f>"|MIDDLE:​"&amp;テーブル1[[#This Row],[Name]]</f>
        <v>|MIDDLE:​Todoroki Madara</v>
      </c>
      <c r="X73" s="23" t="str">
        <f>"|MIDDLE:​&amp;link(配布所はこちら){​"&amp;テーブル1[[#This Row],[リンク]]&amp;"}|"</f>
        <v>|MIDDLE:​&amp;link(配布所はこちら){​https://suihankinonaka.wixsite.com/my-site-1}|</v>
      </c>
    </row>
    <row r="74" spans="1:24" ht="20.149999999999999" customHeight="1" x14ac:dyDescent="0.35">
      <c r="A74" s="20">
        <v>73</v>
      </c>
      <c r="B74" s="23" t="str">
        <f>SUBSTITUTE(SUBSTITUTE(SUBSTITUTE(SUBSTITUTE(SUBSTITUTE(SUBSTITUTE(SUBSTITUTE(SUBSTITUTE(LOWER(テーブル1[[#This Row],[Name]])," ","-"),".","-"),"&amp;","-"),"_","-"),"・","-"),"=","-"),"--","-"),"--","-")</f>
        <v>doba-juga</v>
      </c>
      <c r="C74" s="24" t="s">
        <v>1489</v>
      </c>
      <c r="D74" s="23" t="s">
        <v>179</v>
      </c>
      <c r="E74" s="23" t="s">
        <v>180</v>
      </c>
      <c r="F74" s="2" t="s">
        <v>181</v>
      </c>
      <c r="G74" s="23" t="s">
        <v>182</v>
      </c>
      <c r="N74" s="1" t="s">
        <v>1443</v>
      </c>
      <c r="O74" s="24" t="str">
        <f>テーブル1[[#This Row],[リンク]]&amp;テーブル1[[#This Row],[描画状況]]</f>
        <v>https://lit.link/nemukoneko済</v>
      </c>
      <c r="P74" s="17">
        <f>1-(COUNTIF(O:O,_xlfn.TEXTJOIN(",",TRUE,テーブル1[[#This Row],[リンク]],テーブル1[[#This Row],[描画状況]]))/COUNTIF(F:F,テーブル1[[#This Row],[リンク]]))</f>
        <v>1</v>
      </c>
      <c r="Q74" s="16" t="str">
        <f ca="1">IFERROR(IF(テーブル1[[#This Row],[描画状況]]="",RAND()+(テーブル1[[#This Row],[列2]]*100),""),RAND())</f>
        <v/>
      </c>
      <c r="R74" s="1" t="s">
        <v>12</v>
      </c>
      <c r="S74" s="24" t="str">
        <f ca="1">IF(AND(テーブル1[[#This Row],[描画状況]]="済",テーブル1[[#This Row],[投稿状況]]=""),RAND(),"")</f>
        <v/>
      </c>
      <c r="T74" s="23" t="str">
        <f>"|&amp;image("&amp;テーブル1[[#This Row],[画像]]&amp;".png,width=100,height=100)"</f>
        <v>|&amp;image(doba-juga.png,width=100,height=100)</v>
      </c>
      <c r="U74" s="23" t="str">
        <f>"|MIDDLE:​"&amp;テーブル1[[#This Row],[名前]]</f>
        <v>|MIDDLE:​駑馬十駕</v>
      </c>
      <c r="V74" s="23" t="str">
        <f>"|MIDDLE:​"&amp;テーブル1[[#This Row],[なまえ]]</f>
        <v>|MIDDLE:​どば じゅうが</v>
      </c>
      <c r="W74" s="23" t="str">
        <f>"|MIDDLE:​"&amp;テーブル1[[#This Row],[Name]]</f>
        <v>|MIDDLE:​Doba Juga</v>
      </c>
      <c r="X74" s="23" t="str">
        <f>"|MIDDLE:​&amp;link(配布所はこちら){​"&amp;テーブル1[[#This Row],[リンク]]&amp;"}|"</f>
        <v>|MIDDLE:​&amp;link(配布所はこちら){​https://lit.link/nemukoneko}|</v>
      </c>
    </row>
    <row r="75" spans="1:24" ht="20.149999999999999" customHeight="1" x14ac:dyDescent="0.35">
      <c r="A75" s="20">
        <v>74</v>
      </c>
      <c r="B75" s="23" t="str">
        <f>SUBSTITUTE(SUBSTITUTE(SUBSTITUTE(SUBSTITUTE(SUBSTITUTE(SUBSTITUTE(SUBSTITUTE(SUBSTITUTE(LOWER(テーブル1[[#This Row],[Name]])," ","-"),".","-"),"&amp;","-"),"_","-"),"・","-"),"=","-"),"--","-"),"--","-")</f>
        <v>torune-tea</v>
      </c>
      <c r="C75" s="24" t="s">
        <v>47</v>
      </c>
      <c r="D75" s="23" t="s">
        <v>48</v>
      </c>
      <c r="E75" s="23" t="s">
        <v>49</v>
      </c>
      <c r="F75" s="2" t="s">
        <v>50</v>
      </c>
      <c r="G75" s="23" t="s">
        <v>51</v>
      </c>
      <c r="M75" s="1" t="s">
        <v>1517</v>
      </c>
      <c r="N75" s="1" t="s">
        <v>1443</v>
      </c>
      <c r="O75" s="24" t="str">
        <f>テーブル1[[#This Row],[リンク]]&amp;テーブル1[[#This Row],[描画状況]]</f>
        <v>https://amiseniamnu.wixsite.com/amisenia済</v>
      </c>
      <c r="P75" s="17">
        <f>1-(COUNTIF(O:O,_xlfn.TEXTJOIN(",",TRUE,テーブル1[[#This Row],[リンク]],テーブル1[[#This Row],[描画状況]]))/COUNTIF(F:F,テーブル1[[#This Row],[リンク]]))</f>
        <v>1</v>
      </c>
      <c r="Q75" s="16" t="str">
        <f ca="1">IFERROR(IF(テーブル1[[#This Row],[描画状況]]="",RAND()+(テーブル1[[#This Row],[列2]]*100),""),RAND())</f>
        <v/>
      </c>
      <c r="R75" s="1" t="s">
        <v>12</v>
      </c>
      <c r="S75" s="24" t="str">
        <f ca="1">IF(AND(テーブル1[[#This Row],[描画状況]]="済",テーブル1[[#This Row],[投稿状況]]=""),RAND(),"")</f>
        <v/>
      </c>
      <c r="T75" s="23" t="str">
        <f>"|&amp;image("&amp;テーブル1[[#This Row],[画像]]&amp;".png,width=100,height=100)"</f>
        <v>|&amp;image(torune-tea.png,width=100,height=100)</v>
      </c>
      <c r="U75" s="23" t="str">
        <f>"|MIDDLE:​"&amp;テーブル1[[#This Row],[名前]]</f>
        <v>|MIDDLE:​取音テア</v>
      </c>
      <c r="V75" s="23" t="str">
        <f>"|MIDDLE:​"&amp;テーブル1[[#This Row],[なまえ]]</f>
        <v>|MIDDLE:​とるね てあ</v>
      </c>
      <c r="W75" s="23" t="str">
        <f>"|MIDDLE:​"&amp;テーブル1[[#This Row],[Name]]</f>
        <v>|MIDDLE:​Torune Tea</v>
      </c>
      <c r="X75" s="23" t="str">
        <f>"|MIDDLE:​&amp;link(配布所はこちら){​"&amp;テーブル1[[#This Row],[リンク]]&amp;"}|"</f>
        <v>|MIDDLE:​&amp;link(配布所はこちら){​https://amiseniamnu.wixsite.com/amisenia}|</v>
      </c>
    </row>
    <row r="76" spans="1:24" ht="20.149999999999999" customHeight="1" x14ac:dyDescent="0.35">
      <c r="A76" s="20">
        <v>75</v>
      </c>
      <c r="B76" s="23" t="str">
        <f>SUBSTITUTE(SUBSTITUTE(SUBSTITUTE(SUBSTITUTE(SUBSTITUTE(SUBSTITUTE(SUBSTITUTE(SUBSTITUTE(LOWER(テーブル1[[#This Row],[Name]])," ","-"),".","-"),"&amp;","-"),"_","-"),"・","-"),"=","-"),"--","-"),"--","-")</f>
        <v>dolln</v>
      </c>
      <c r="C76" s="24" t="s">
        <v>1490</v>
      </c>
      <c r="D76" s="23" t="s">
        <v>298</v>
      </c>
      <c r="E76" s="23" t="s">
        <v>299</v>
      </c>
      <c r="F76" s="2" t="s">
        <v>292</v>
      </c>
      <c r="G76" s="23" t="s">
        <v>293</v>
      </c>
      <c r="H76" s="23" t="s">
        <v>1626</v>
      </c>
      <c r="I76" s="23" t="s">
        <v>1671</v>
      </c>
      <c r="K76" s="23" t="s">
        <v>1668</v>
      </c>
      <c r="M76" s="1" t="s">
        <v>1517</v>
      </c>
      <c r="N76" s="1" t="s">
        <v>1443</v>
      </c>
      <c r="O76" s="24" t="str">
        <f>テーブル1[[#This Row],[リンク]]&amp;テーブル1[[#This Row],[描画状況]]</f>
        <v>https://seirentoybox.jimdofree.com済</v>
      </c>
      <c r="P76" s="17">
        <f>1-(COUNTIF(O:O,_xlfn.TEXTJOIN(",",TRUE,テーブル1[[#This Row],[リンク]],テーブル1[[#This Row],[描画状況]]))/COUNTIF(F:F,テーブル1[[#This Row],[リンク]]))</f>
        <v>1</v>
      </c>
      <c r="Q76" s="16" t="str">
        <f ca="1">IFERROR(IF(テーブル1[[#This Row],[描画状況]]="",RAND()+(テーブル1[[#This Row],[列2]]*100),""),RAND())</f>
        <v/>
      </c>
      <c r="R76" s="1" t="s">
        <v>12</v>
      </c>
      <c r="S76" s="24" t="str">
        <f ca="1">IF(AND(テーブル1[[#This Row],[描画状況]]="済",テーブル1[[#This Row],[投稿状況]]=""),RAND(),"")</f>
        <v/>
      </c>
      <c r="T76" s="23" t="str">
        <f>"|&amp;image("&amp;テーブル1[[#This Row],[画像]]&amp;".png,width=100,height=100)"</f>
        <v>|&amp;image(dolln.png,width=100,height=100)</v>
      </c>
      <c r="U76" s="23" t="str">
        <f>"|MIDDLE:​"&amp;テーブル1[[#This Row],[名前]]</f>
        <v>|MIDDLE:​ドルン</v>
      </c>
      <c r="V76" s="23" t="str">
        <f>"|MIDDLE:​"&amp;テーブル1[[#This Row],[なまえ]]</f>
        <v>|MIDDLE:​どるん</v>
      </c>
      <c r="W76" s="23" t="str">
        <f>"|MIDDLE:​"&amp;テーブル1[[#This Row],[Name]]</f>
        <v>|MIDDLE:​Dolln</v>
      </c>
      <c r="X76" s="23" t="str">
        <f>"|MIDDLE:​&amp;link(配布所はこちら){​"&amp;テーブル1[[#This Row],[リンク]]&amp;"}|"</f>
        <v>|MIDDLE:​&amp;link(配布所はこちら){​https://seirentoybox.jimdofree.com}|</v>
      </c>
    </row>
    <row r="77" spans="1:24" ht="20.149999999999999" customHeight="1" x14ac:dyDescent="0.35">
      <c r="A77" s="20">
        <v>76</v>
      </c>
      <c r="B77" s="23" t="str">
        <f>SUBSTITUTE(SUBSTITUTE(SUBSTITUTE(SUBSTITUTE(SUBSTITUTE(SUBSTITUTE(SUBSTITUTE(SUBSTITUTE(LOWER(テーブル1[[#This Row],[Name]])," ","-"),".","-"),"&amp;","-"),"_","-"),"・","-"),"=","-"),"--","-"),"--","-")</f>
        <v>nurserobot-typet</v>
      </c>
      <c r="C77" s="24" t="s">
        <v>394</v>
      </c>
      <c r="D77" s="23" t="s">
        <v>395</v>
      </c>
      <c r="E77" s="23" t="s">
        <v>396</v>
      </c>
      <c r="F77" s="2" t="s">
        <v>397</v>
      </c>
      <c r="G77" s="23" t="s">
        <v>398</v>
      </c>
      <c r="N77" s="1" t="s">
        <v>1443</v>
      </c>
      <c r="O77" s="24" t="str">
        <f>テーブル1[[#This Row],[リンク]]&amp;テーブル1[[#This Row],[描画状況]]</f>
        <v>https://www.krnr.top済</v>
      </c>
      <c r="P77" s="17">
        <f>1-(COUNTIF(O:O,_xlfn.TEXTJOIN(",",TRUE,テーブル1[[#This Row],[リンク]],テーブル1[[#This Row],[描画状況]]))/COUNTIF(F:F,テーブル1[[#This Row],[リンク]]))</f>
        <v>1</v>
      </c>
      <c r="Q77" s="16" t="str">
        <f ca="1">IFERROR(IF(テーブル1[[#This Row],[描画状況]]="",RAND()+(テーブル1[[#This Row],[列2]]*100),""),RAND())</f>
        <v/>
      </c>
      <c r="R77" s="1" t="s">
        <v>12</v>
      </c>
      <c r="S77" s="24" t="str">
        <f ca="1">IF(AND(テーブル1[[#This Row],[描画状況]]="済",テーブル1[[#This Row],[投稿状況]]=""),RAND(),"")</f>
        <v/>
      </c>
      <c r="T77" s="23" t="str">
        <f>"|&amp;image("&amp;テーブル1[[#This Row],[画像]]&amp;".png,width=100,height=100)"</f>
        <v>|&amp;image(nurserobot-typet.png,width=100,height=100)</v>
      </c>
      <c r="U77" s="23" t="str">
        <f>"|MIDDLE:​"&amp;テーブル1[[#This Row],[名前]]</f>
        <v>|MIDDLE:​ナースロボ_タイプT</v>
      </c>
      <c r="V77" s="23" t="str">
        <f>"|MIDDLE:​"&amp;テーブル1[[#This Row],[なまえ]]</f>
        <v>|MIDDLE:​なーすろぼ_たいぷてぃ</v>
      </c>
      <c r="W77" s="23" t="str">
        <f>"|MIDDLE:​"&amp;テーブル1[[#This Row],[Name]]</f>
        <v>|MIDDLE:​NurseRobot_TypeT</v>
      </c>
      <c r="X77" s="23" t="str">
        <f>"|MIDDLE:​&amp;link(配布所はこちら){​"&amp;テーブル1[[#This Row],[リンク]]&amp;"}|"</f>
        <v>|MIDDLE:​&amp;link(配布所はこちら){​https://www.krnr.top}|</v>
      </c>
    </row>
    <row r="78" spans="1:24" ht="20.149999999999999" customHeight="1" x14ac:dyDescent="0.35">
      <c r="A78" s="20">
        <v>77</v>
      </c>
      <c r="B78" s="23" t="str">
        <f>SUBSTITUTE(SUBSTITUTE(SUBSTITUTE(SUBSTITUTE(SUBSTITUTE(SUBSTITUTE(SUBSTITUTE(SUBSTITUTE(LOWER(テーブル1[[#This Row],[Name]])," ","-"),".","-"),"&amp;","-"),"_","-"),"・","-"),"=","-"),"--","-"),"--","-")</f>
        <v>nagakura-miji</v>
      </c>
      <c r="C78" s="24" t="s">
        <v>33</v>
      </c>
      <c r="D78" s="23" t="s">
        <v>34</v>
      </c>
      <c r="E78" s="23" t="s">
        <v>35</v>
      </c>
      <c r="F78" s="2" t="s">
        <v>36</v>
      </c>
      <c r="G78" s="23" t="s">
        <v>37</v>
      </c>
      <c r="M78" s="1" t="s">
        <v>1517</v>
      </c>
      <c r="N78" s="1" t="s">
        <v>1443</v>
      </c>
      <c r="O78" s="24" t="str">
        <f>テーブル1[[#This Row],[リンク]]&amp;テーブル1[[#This Row],[描画状況]]</f>
        <v>https://666not.wixsite.com/partition-voyage済</v>
      </c>
      <c r="P78" s="17">
        <f>1-(COUNTIF(O:O,_xlfn.TEXTJOIN(",",TRUE,テーブル1[[#This Row],[リンク]],テーブル1[[#This Row],[描画状況]]))/COUNTIF(F:F,テーブル1[[#This Row],[リンク]]))</f>
        <v>1</v>
      </c>
      <c r="Q78" s="16" t="str">
        <f ca="1">IFERROR(IF(テーブル1[[#This Row],[描画状況]]="",RAND()+(テーブル1[[#This Row],[列2]]*100),""),RAND())</f>
        <v/>
      </c>
      <c r="R78" s="1" t="s">
        <v>12</v>
      </c>
      <c r="S78" s="24" t="str">
        <f ca="1">IF(AND(テーブル1[[#This Row],[描画状況]]="済",テーブル1[[#This Row],[投稿状況]]=""),RAND(),"")</f>
        <v/>
      </c>
      <c r="T78" s="23" t="str">
        <f>"|&amp;image("&amp;テーブル1[[#This Row],[画像]]&amp;".png,width=100,height=100)"</f>
        <v>|&amp;image(nagakura-miji.png,width=100,height=100)</v>
      </c>
      <c r="U78" s="23" t="str">
        <f>"|MIDDLE:​"&amp;テーブル1[[#This Row],[名前]]</f>
        <v>|MIDDLE:​詠冥ミジ</v>
      </c>
      <c r="V78" s="23" t="str">
        <f>"|MIDDLE:​"&amp;テーブル1[[#This Row],[なまえ]]</f>
        <v>|MIDDLE:​ながくら みじ</v>
      </c>
      <c r="W78" s="23" t="str">
        <f>"|MIDDLE:​"&amp;テーブル1[[#This Row],[Name]]</f>
        <v>|MIDDLE:​Nagakura Miji</v>
      </c>
      <c r="X78" s="23" t="str">
        <f>"|MIDDLE:​&amp;link(配布所はこちら){​"&amp;テーブル1[[#This Row],[リンク]]&amp;"}|"</f>
        <v>|MIDDLE:​&amp;link(配布所はこちら){​https://666not.wixsite.com/partition-voyage}|</v>
      </c>
    </row>
    <row r="79" spans="1:24" ht="20.149999999999999" customHeight="1" x14ac:dyDescent="0.35">
      <c r="A79" s="20">
        <v>78</v>
      </c>
      <c r="B79" s="23" t="str">
        <f>SUBSTITUTE(SUBSTITUTE(SUBSTITUTE(SUBSTITUTE(SUBSTITUTE(SUBSTITUTE(SUBSTITUTE(SUBSTITUTE(LOWER(テーブル1[[#This Row],[Name]])," ","-"),".","-"),"&amp;","-"),"_","-"),"・","-"),"=","-"),"--","-"),"--","-")</f>
        <v>nagarene-nanashi</v>
      </c>
      <c r="C79" s="24" t="s">
        <v>282</v>
      </c>
      <c r="D79" s="23" t="s">
        <v>283</v>
      </c>
      <c r="E79" s="23" t="s">
        <v>1491</v>
      </c>
      <c r="F79" s="2" t="s">
        <v>280</v>
      </c>
      <c r="G79" s="23" t="s">
        <v>281</v>
      </c>
      <c r="N79" s="1" t="s">
        <v>1443</v>
      </c>
      <c r="O79" s="24" t="str">
        <f>テーブル1[[#This Row],[リンク]]&amp;テーブル1[[#This Row],[描画状況]]</f>
        <v>https://rinnneuta.wixsite.com/my-site-2?s=09済</v>
      </c>
      <c r="P79" s="17">
        <f>1-(COUNTIF(O:O,_xlfn.TEXTJOIN(",",TRUE,テーブル1[[#This Row],[リンク]],テーブル1[[#This Row],[描画状況]]))/COUNTIF(F:F,テーブル1[[#This Row],[リンク]]))</f>
        <v>1</v>
      </c>
      <c r="Q79" s="16" t="str">
        <f ca="1">IFERROR(IF(テーブル1[[#This Row],[描画状況]]="",RAND()+(テーブル1[[#This Row],[列2]]*100),""),RAND())</f>
        <v/>
      </c>
      <c r="R79" s="1" t="s">
        <v>12</v>
      </c>
      <c r="S79" s="24" t="str">
        <f ca="1">IF(AND(テーブル1[[#This Row],[描画状況]]="済",テーブル1[[#This Row],[投稿状況]]=""),RAND(),"")</f>
        <v/>
      </c>
      <c r="T79" s="23" t="str">
        <f>"|&amp;image("&amp;テーブル1[[#This Row],[画像]]&amp;".png,width=100,height=100)"</f>
        <v>|&amp;image(nagarene-nanashi.png,width=100,height=100)</v>
      </c>
      <c r="U79" s="23" t="str">
        <f>"|MIDDLE:​"&amp;テーブル1[[#This Row],[名前]]</f>
        <v>|MIDDLE:​流音ナナシ</v>
      </c>
      <c r="V79" s="23" t="str">
        <f>"|MIDDLE:​"&amp;テーブル1[[#This Row],[なまえ]]</f>
        <v>|MIDDLE:​ながれね ななし</v>
      </c>
      <c r="W79" s="23" t="str">
        <f>"|MIDDLE:​"&amp;テーブル1[[#This Row],[Name]]</f>
        <v>|MIDDLE:​Nagarene Nanashi</v>
      </c>
      <c r="X79" s="23" t="str">
        <f>"|MIDDLE:​&amp;link(配布所はこちら){​"&amp;テーブル1[[#This Row],[リンク]]&amp;"}|"</f>
        <v>|MIDDLE:​&amp;link(配布所はこちら){​https://rinnneuta.wixsite.com/my-site-2?s=09}|</v>
      </c>
    </row>
    <row r="80" spans="1:24" ht="20.149999999999999" customHeight="1" x14ac:dyDescent="0.35">
      <c r="A80" s="20">
        <v>79</v>
      </c>
      <c r="B80" s="23" t="str">
        <f>SUBSTITUTE(SUBSTITUTE(SUBSTITUTE(SUBSTITUTE(SUBSTITUTE(SUBSTITUTE(SUBSTITUTE(SUBSTITUTE(LOWER(テーブル1[[#This Row],[Name]])," ","-"),".","-"),"&amp;","-"),"_","-"),"・","-"),"=","-"),"--","-"),"--","-")</f>
        <v>nakogaki-itsuki</v>
      </c>
      <c r="C80" s="24" t="s">
        <v>26</v>
      </c>
      <c r="D80" s="23" t="s">
        <v>27</v>
      </c>
      <c r="E80" s="23" t="s">
        <v>28</v>
      </c>
      <c r="F80" s="2" t="s">
        <v>20</v>
      </c>
      <c r="G80" s="23" t="s">
        <v>29</v>
      </c>
      <c r="M80" s="1" t="s">
        <v>1518</v>
      </c>
      <c r="N80" s="1" t="s">
        <v>1443</v>
      </c>
      <c r="O80" s="24" t="str">
        <f>テーブル1[[#This Row],[リンク]]&amp;テーブル1[[#This Row],[描画状況]]</f>
        <v>http://park2.wakwak.com/~mbox/vo/hk/hkfre.htm済</v>
      </c>
      <c r="P80" s="17">
        <f>1-(COUNTIF(O:O,_xlfn.TEXTJOIN(",",TRUE,テーブル1[[#This Row],[リンク]],テーブル1[[#This Row],[描画状況]]))/COUNTIF(F:F,テーブル1[[#This Row],[リンク]]))</f>
        <v>1</v>
      </c>
      <c r="Q80" s="16" t="str">
        <f ca="1">IFERROR(IF(テーブル1[[#This Row],[描画状況]]="",RAND()+(テーブル1[[#This Row],[列2]]*100),""),RAND())</f>
        <v/>
      </c>
      <c r="R80" s="1" t="s">
        <v>12</v>
      </c>
      <c r="S80" s="24" t="str">
        <f ca="1">IF(AND(テーブル1[[#This Row],[描画状況]]="済",テーブル1[[#This Row],[投稿状況]]=""),RAND(),"")</f>
        <v/>
      </c>
      <c r="T80" s="23" t="str">
        <f>"|&amp;image("&amp;テーブル1[[#This Row],[画像]]&amp;".png,width=100,height=100)"</f>
        <v>|&amp;image(nakogaki-itsuki.png,width=100,height=100)</v>
      </c>
      <c r="U80" s="23" t="str">
        <f>"|MIDDLE:​"&amp;テーブル1[[#This Row],[名前]]</f>
        <v>|MIDDLE:​猫垣一姫</v>
      </c>
      <c r="V80" s="23" t="str">
        <f>"|MIDDLE:​"&amp;テーブル1[[#This Row],[なまえ]]</f>
        <v>|MIDDLE:​なこがき いつき</v>
      </c>
      <c r="W80" s="23" t="str">
        <f>"|MIDDLE:​"&amp;テーブル1[[#This Row],[Name]]</f>
        <v>|MIDDLE:​Nakogaki Itsuki</v>
      </c>
      <c r="X80" s="23" t="str">
        <f>"|MIDDLE:​&amp;link(配布所はこちら){​"&amp;テーブル1[[#This Row],[リンク]]&amp;"}|"</f>
        <v>|MIDDLE:​&amp;link(配布所はこちら){​http://park2.wakwak.com/~mbox/vo/hk/hkfre.htm}|</v>
      </c>
    </row>
    <row r="81" spans="1:24" ht="20.149999999999999" customHeight="1" x14ac:dyDescent="0.35">
      <c r="A81" s="20">
        <v>80</v>
      </c>
      <c r="B81" s="23" t="str">
        <f>SUBSTITUTE(SUBSTITUTE(SUBSTITUTE(SUBSTITUTE(SUBSTITUTE(SUBSTITUTE(SUBSTITUTE(SUBSTITUTE(LOWER(テーブル1[[#This Row],[Name]])," ","-"),".","-"),"&amp;","-"),"_","-"),"・","-"),"=","-"),"--","-"),"--","-")</f>
        <v>nadene-komari</v>
      </c>
      <c r="C81" s="24" t="s">
        <v>194</v>
      </c>
      <c r="D81" s="23" t="s">
        <v>195</v>
      </c>
      <c r="E81" s="23" t="s">
        <v>196</v>
      </c>
      <c r="F81" s="2" t="s">
        <v>197</v>
      </c>
      <c r="G81" s="23" t="s">
        <v>198</v>
      </c>
      <c r="N81" s="1" t="s">
        <v>1443</v>
      </c>
      <c r="O81" s="24" t="str">
        <f>テーブル1[[#This Row],[リンク]]&amp;テーブル1[[#This Row],[描画状況]]</f>
        <v>https://lonelyapple011.wixsite.com/nadenade済</v>
      </c>
      <c r="P81" s="17">
        <f>1-(COUNTIF(O:O,_xlfn.TEXTJOIN(",",TRUE,テーブル1[[#This Row],[リンク]],テーブル1[[#This Row],[描画状況]]))/COUNTIF(F:F,テーブル1[[#This Row],[リンク]]))</f>
        <v>1</v>
      </c>
      <c r="Q81" s="16" t="str">
        <f ca="1">IFERROR(IF(テーブル1[[#This Row],[描画状況]]="",RAND()+(テーブル1[[#This Row],[列2]]*100),""),RAND())</f>
        <v/>
      </c>
      <c r="R81" s="1" t="s">
        <v>12</v>
      </c>
      <c r="S81" s="24" t="str">
        <f ca="1">IF(AND(テーブル1[[#This Row],[描画状況]]="済",テーブル1[[#This Row],[投稿状況]]=""),RAND(),"")</f>
        <v/>
      </c>
      <c r="T81" s="23" t="str">
        <f>"|&amp;image("&amp;テーブル1[[#This Row],[画像]]&amp;".png,width=100,height=100)"</f>
        <v>|&amp;image(nadene-komari.png,width=100,height=100)</v>
      </c>
      <c r="U81" s="23" t="str">
        <f>"|MIDDLE:​"&amp;テーブル1[[#This Row],[名前]]</f>
        <v>|MIDDLE:​撫音小鞠</v>
      </c>
      <c r="V81" s="23" t="str">
        <f>"|MIDDLE:​"&amp;テーブル1[[#This Row],[なまえ]]</f>
        <v>|MIDDLE:​なでね こまり</v>
      </c>
      <c r="W81" s="23" t="str">
        <f>"|MIDDLE:​"&amp;テーブル1[[#This Row],[Name]]</f>
        <v>|MIDDLE:​Nadene Komari</v>
      </c>
      <c r="X81" s="23" t="str">
        <f>"|MIDDLE:​&amp;link(配布所はこちら){​"&amp;テーブル1[[#This Row],[リンク]]&amp;"}|"</f>
        <v>|MIDDLE:​&amp;link(配布所はこちら){​https://lonelyapple011.wixsite.com/nadenade}|</v>
      </c>
    </row>
    <row r="82" spans="1:24" ht="20.149999999999999" customHeight="1" x14ac:dyDescent="0.35">
      <c r="A82" s="20">
        <v>81</v>
      </c>
      <c r="B82" s="23" t="str">
        <f>SUBSTITUTE(SUBSTITUTE(SUBSTITUTE(SUBSTITUTE(SUBSTITUTE(SUBSTITUTE(SUBSTITUTE(SUBSTITUTE(LOWER(テーブル1[[#This Row],[Name]])," ","-"),".","-"),"&amp;","-"),"_","-"),"・","-"),"=","-"),"--","-"),"--","-")</f>
        <v>nekomimiuchufuku</v>
      </c>
      <c r="C82" s="24" t="s">
        <v>262</v>
      </c>
      <c r="D82" s="23" t="s">
        <v>263</v>
      </c>
      <c r="E82" s="23" t="s">
        <v>264</v>
      </c>
      <c r="F82" s="2" t="s">
        <v>256</v>
      </c>
      <c r="G82" s="23" t="s">
        <v>265</v>
      </c>
      <c r="N82" s="1" t="s">
        <v>1443</v>
      </c>
      <c r="O82" s="24" t="str">
        <f>テーブル1[[#This Row],[リンク]]&amp;テーブル1[[#This Row],[描画状況]]</f>
        <v>https://nyaruru.wixsite.com/s-p-w済</v>
      </c>
      <c r="P82" s="17">
        <f>1-(COUNTIF(O:O,_xlfn.TEXTJOIN(",",TRUE,テーブル1[[#This Row],[リンク]],テーブル1[[#This Row],[描画状況]]))/COUNTIF(F:F,テーブル1[[#This Row],[リンク]]))</f>
        <v>1</v>
      </c>
      <c r="Q82" s="16" t="str">
        <f ca="1">IFERROR(IF(テーブル1[[#This Row],[描画状況]]="",RAND()+(テーブル1[[#This Row],[列2]]*100),""),RAND())</f>
        <v/>
      </c>
      <c r="R82" s="1" t="s">
        <v>12</v>
      </c>
      <c r="S82" s="24" t="str">
        <f ca="1">IF(AND(テーブル1[[#This Row],[描画状況]]="済",テーブル1[[#This Row],[投稿状況]]=""),RAND(),"")</f>
        <v/>
      </c>
      <c r="T82" s="23" t="str">
        <f>"|&amp;image("&amp;テーブル1[[#This Row],[画像]]&amp;".png,width=100,height=100)"</f>
        <v>|&amp;image(nekomimiuchufuku.png,width=100,height=100)</v>
      </c>
      <c r="U82" s="23" t="str">
        <f>"|MIDDLE:​"&amp;テーブル1[[#This Row],[名前]]</f>
        <v>|MIDDLE:​猫耳宇宙服</v>
      </c>
      <c r="V82" s="23" t="str">
        <f>"|MIDDLE:​"&amp;テーブル1[[#This Row],[なまえ]]</f>
        <v>|MIDDLE:​ねこみみうちゅうふく</v>
      </c>
      <c r="W82" s="23" t="str">
        <f>"|MIDDLE:​"&amp;テーブル1[[#This Row],[Name]]</f>
        <v>|MIDDLE:​Nekomimiuchufuku</v>
      </c>
      <c r="X82" s="23" t="str">
        <f>"|MIDDLE:​&amp;link(配布所はこちら){​"&amp;テーブル1[[#This Row],[リンク]]&amp;"}|"</f>
        <v>|MIDDLE:​&amp;link(配布所はこちら){​https://nyaruru.wixsite.com/s-p-w}|</v>
      </c>
    </row>
    <row r="83" spans="1:24" ht="20.149999999999999" customHeight="1" x14ac:dyDescent="0.35">
      <c r="A83" s="20">
        <v>82</v>
      </c>
      <c r="B83" s="23" t="str">
        <f>SUBSTITUTE(SUBSTITUTE(SUBSTITUTE(SUBSTITUTE(SUBSTITUTE(SUBSTITUTE(SUBSTITUTE(SUBSTITUTE(LOWER(テーブル1[[#This Row],[Name]])," ","-"),".","-"),"&amp;","-"),"_","-"),"・","-"),"=","-"),"--","-"),"--","-")</f>
        <v>nemui-you</v>
      </c>
      <c r="C83" s="24" t="s">
        <v>328</v>
      </c>
      <c r="D83" s="23" t="s">
        <v>329</v>
      </c>
      <c r="E83" s="23" t="s">
        <v>330</v>
      </c>
      <c r="F83" s="2" t="s">
        <v>331</v>
      </c>
      <c r="G83" s="23" t="s">
        <v>332</v>
      </c>
      <c r="N83" s="1" t="s">
        <v>1443</v>
      </c>
      <c r="O83" s="24" t="str">
        <f>テーブル1[[#This Row],[リンク]]&amp;テーブル1[[#This Row],[描画状況]]</f>
        <v>https://sysynmnm.wixsite.com/oyasumi-zzz済</v>
      </c>
      <c r="P83" s="17">
        <f>1-(COUNTIF(O:O,_xlfn.TEXTJOIN(",",TRUE,テーブル1[[#This Row],[リンク]],テーブル1[[#This Row],[描画状況]]))/COUNTIF(F:F,テーブル1[[#This Row],[リンク]]))</f>
        <v>1</v>
      </c>
      <c r="Q83" s="16" t="str">
        <f ca="1">IFERROR(IF(テーブル1[[#This Row],[描画状況]]="",RAND()+(テーブル1[[#This Row],[列2]]*100),""),RAND())</f>
        <v/>
      </c>
      <c r="R83" s="1" t="s">
        <v>12</v>
      </c>
      <c r="S83" s="24" t="str">
        <f ca="1">IF(AND(テーブル1[[#This Row],[描画状況]]="済",テーブル1[[#This Row],[投稿状況]]=""),RAND(),"")</f>
        <v/>
      </c>
      <c r="T83" s="23" t="str">
        <f>"|&amp;image("&amp;テーブル1[[#This Row],[画像]]&amp;".png,width=100,height=100)"</f>
        <v>|&amp;image(nemui-you.png,width=100,height=100)</v>
      </c>
      <c r="U83" s="23" t="str">
        <f>"|MIDDLE:​"&amp;テーブル1[[#This Row],[名前]]</f>
        <v>|MIDDLE:​眠井ヨウ</v>
      </c>
      <c r="V83" s="23" t="str">
        <f>"|MIDDLE:​"&amp;テーブル1[[#This Row],[なまえ]]</f>
        <v>|MIDDLE:​ねむい よう</v>
      </c>
      <c r="W83" s="23" t="str">
        <f>"|MIDDLE:​"&amp;テーブル1[[#This Row],[Name]]</f>
        <v>|MIDDLE:​Nemui You</v>
      </c>
      <c r="X83" s="23" t="str">
        <f>"|MIDDLE:​&amp;link(配布所はこちら){​"&amp;テーブル1[[#This Row],[リンク]]&amp;"}|"</f>
        <v>|MIDDLE:​&amp;link(配布所はこちら){​https://sysynmnm.wixsite.com/oyasumi-zzz}|</v>
      </c>
    </row>
    <row r="84" spans="1:24" ht="20.149999999999999" customHeight="1" x14ac:dyDescent="0.35">
      <c r="A84" s="20">
        <v>83</v>
      </c>
      <c r="B84" s="23" t="str">
        <f>SUBSTITUTE(SUBSTITUTE(SUBSTITUTE(SUBSTITUTE(SUBSTITUTE(SUBSTITUTE(SUBSTITUTE(SUBSTITUTE(LOWER(テーブル1[[#This Row],[Name]])," ","-"),".","-"),"&amp;","-"),"_","-"),"・","-"),"=","-"),"--","-"),"--","-")</f>
        <v>nemura-nai</v>
      </c>
      <c r="C84" s="24" t="s">
        <v>333</v>
      </c>
      <c r="D84" s="23" t="s">
        <v>334</v>
      </c>
      <c r="E84" s="23" t="s">
        <v>335</v>
      </c>
      <c r="F84" s="2" t="s">
        <v>331</v>
      </c>
      <c r="G84" s="23" t="s">
        <v>332</v>
      </c>
      <c r="N84" s="1" t="s">
        <v>1443</v>
      </c>
      <c r="O84" s="24" t="str">
        <f>テーブル1[[#This Row],[リンク]]&amp;テーブル1[[#This Row],[描画状況]]</f>
        <v>https://sysynmnm.wixsite.com/oyasumi-zzz済</v>
      </c>
      <c r="P84" s="17">
        <f>1-(COUNTIF(O:O,_xlfn.TEXTJOIN(",",TRUE,テーブル1[[#This Row],[リンク]],テーブル1[[#This Row],[描画状況]]))/COUNTIF(F:F,テーブル1[[#This Row],[リンク]]))</f>
        <v>1</v>
      </c>
      <c r="Q84" s="16" t="str">
        <f ca="1">IFERROR(IF(テーブル1[[#This Row],[描画状況]]="",RAND()+(テーブル1[[#This Row],[列2]]*100),""),RAND())</f>
        <v/>
      </c>
      <c r="R84" s="1" t="s">
        <v>12</v>
      </c>
      <c r="S84" s="24" t="str">
        <f ca="1">IF(AND(テーブル1[[#This Row],[描画状況]]="済",テーブル1[[#This Row],[投稿状況]]=""),RAND(),"")</f>
        <v/>
      </c>
      <c r="T84" s="23" t="str">
        <f>"|&amp;image("&amp;テーブル1[[#This Row],[画像]]&amp;".png,width=100,height=100)"</f>
        <v>|&amp;image(nemura-nai.png,width=100,height=100)</v>
      </c>
      <c r="U84" s="23" t="str">
        <f>"|MIDDLE:​"&amp;テーブル1[[#This Row],[名前]]</f>
        <v>|MIDDLE:​寝村ナイ</v>
      </c>
      <c r="V84" s="23" t="str">
        <f>"|MIDDLE:​"&amp;テーブル1[[#This Row],[なまえ]]</f>
        <v>|MIDDLE:​ねむら ない</v>
      </c>
      <c r="W84" s="23" t="str">
        <f>"|MIDDLE:​"&amp;テーブル1[[#This Row],[Name]]</f>
        <v>|MIDDLE:​Nemura Nai</v>
      </c>
      <c r="X84" s="23" t="str">
        <f>"|MIDDLE:​&amp;link(配布所はこちら){​"&amp;テーブル1[[#This Row],[リンク]]&amp;"}|"</f>
        <v>|MIDDLE:​&amp;link(配布所はこちら){​https://sysynmnm.wixsite.com/oyasumi-zzz}|</v>
      </c>
    </row>
    <row r="85" spans="1:24" ht="20.149999999999999" customHeight="1" x14ac:dyDescent="0.35">
      <c r="A85" s="20">
        <v>84</v>
      </c>
      <c r="B85" s="23" t="str">
        <f>SUBSTITUTE(SUBSTITUTE(SUBSTITUTE(SUBSTITUTE(SUBSTITUTE(SUBSTITUTE(SUBSTITUTE(SUBSTITUTE(LOWER(テーブル1[[#This Row],[Name]])," ","-"),".","-"),"&amp;","-"),"_","-"),"・","-"),"=","-"),"--","-"),"--","-")</f>
        <v>nenneko</v>
      </c>
      <c r="C85" s="24" t="s">
        <v>183</v>
      </c>
      <c r="D85" s="23" t="s">
        <v>184</v>
      </c>
      <c r="E85" s="23" t="s">
        <v>185</v>
      </c>
      <c r="F85" s="2" t="s">
        <v>181</v>
      </c>
      <c r="G85" s="23" t="s">
        <v>186</v>
      </c>
      <c r="N85" s="1" t="s">
        <v>1443</v>
      </c>
      <c r="O85" s="24" t="str">
        <f>テーブル1[[#This Row],[リンク]]&amp;テーブル1[[#This Row],[描画状況]]</f>
        <v>https://lit.link/nemukoneko済</v>
      </c>
      <c r="P85" s="17">
        <f>1-(COUNTIF(O:O,_xlfn.TEXTJOIN(",",TRUE,テーブル1[[#This Row],[リンク]],テーブル1[[#This Row],[描画状況]]))/COUNTIF(F:F,テーブル1[[#This Row],[リンク]]))</f>
        <v>1</v>
      </c>
      <c r="Q85" s="16" t="str">
        <f ca="1">IFERROR(IF(テーブル1[[#This Row],[描画状況]]="",RAND()+(テーブル1[[#This Row],[列2]]*100),""),RAND())</f>
        <v/>
      </c>
      <c r="R85" s="1" t="s">
        <v>12</v>
      </c>
      <c r="S85" s="24" t="str">
        <f ca="1">IF(AND(テーブル1[[#This Row],[描画状況]]="済",テーブル1[[#This Row],[投稿状況]]=""),RAND(),"")</f>
        <v/>
      </c>
      <c r="T85" s="23" t="str">
        <f>"|&amp;image("&amp;テーブル1[[#This Row],[画像]]&amp;".png,width=100,height=100)"</f>
        <v>|&amp;image(nenneko.png,width=100,height=100)</v>
      </c>
      <c r="U85" s="23" t="str">
        <f>"|MIDDLE:​"&amp;テーブル1[[#This Row],[名前]]</f>
        <v>|MIDDLE:​ねんねこ</v>
      </c>
      <c r="V85" s="23" t="str">
        <f>"|MIDDLE:​"&amp;テーブル1[[#This Row],[なまえ]]</f>
        <v>|MIDDLE:​ねんねこ</v>
      </c>
      <c r="W85" s="23" t="str">
        <f>"|MIDDLE:​"&amp;テーブル1[[#This Row],[Name]]</f>
        <v>|MIDDLE:​Nenneko</v>
      </c>
      <c r="X85" s="23" t="str">
        <f>"|MIDDLE:​&amp;link(配布所はこちら){​"&amp;テーブル1[[#This Row],[リンク]]&amp;"}|"</f>
        <v>|MIDDLE:​&amp;link(配布所はこちら){​https://lit.link/nemukoneko}|</v>
      </c>
    </row>
    <row r="86" spans="1:24" ht="20.149999999999999" customHeight="1" x14ac:dyDescent="0.35">
      <c r="A86" s="20">
        <v>85</v>
      </c>
      <c r="B86" s="23" t="str">
        <f>SUBSTITUTE(SUBSTITUTE(SUBSTITUTE(SUBSTITUTE(SUBSTITUTE(SUBSTITUTE(SUBSTITUTE(SUBSTITUTE(LOWER(テーブル1[[#This Row],[Name]])," ","-"),".","-"),"&amp;","-"),"_","-"),"・","-"),"=","-"),"--","-"),"--","-")</f>
        <v>nozoki-miro</v>
      </c>
      <c r="C86" s="24" t="s">
        <v>418</v>
      </c>
      <c r="D86" s="23" t="s">
        <v>419</v>
      </c>
      <c r="E86" s="23" t="s">
        <v>420</v>
      </c>
      <c r="F86" s="23" t="s">
        <v>421</v>
      </c>
      <c r="G86" s="23" t="str">
        <f>テーブル1[[#This Row],[名前]]&amp;"(UTAU)"</f>
        <v>覗キ視炉(UTAU)</v>
      </c>
      <c r="M86" s="1" t="s">
        <v>1517</v>
      </c>
      <c r="N86" s="1" t="s">
        <v>1443</v>
      </c>
      <c r="O86" s="24" t="str">
        <f>テーブル1[[#This Row],[リンク]]&amp;テーブル1[[#This Row],[描画状況]]</f>
        <v>-済</v>
      </c>
      <c r="P86" s="17">
        <f>1-(COUNTIF(O:O,_xlfn.TEXTJOIN(",",TRUE,テーブル1[[#This Row],[リンク]],テーブル1[[#This Row],[描画状況]]))/COUNTIF(F:F,テーブル1[[#This Row],[リンク]]))</f>
        <v>1</v>
      </c>
      <c r="Q86" s="16" t="str">
        <f ca="1">IFERROR(IF(テーブル1[[#This Row],[描画状況]]="",RAND()+(テーブル1[[#This Row],[列2]]*100),""),RAND())</f>
        <v/>
      </c>
      <c r="R86" s="1" t="s">
        <v>12</v>
      </c>
      <c r="S86" s="24" t="str">
        <f ca="1">IF(AND(テーブル1[[#This Row],[描画状況]]="済",テーブル1[[#This Row],[投稿状況]]=""),RAND(),"")</f>
        <v/>
      </c>
      <c r="T86" s="23" t="str">
        <f>"|&amp;image("&amp;テーブル1[[#This Row],[画像]]&amp;".png,width=100,height=100)"</f>
        <v>|&amp;image(nozoki-miro.png,width=100,height=100)</v>
      </c>
      <c r="U86" s="23" t="str">
        <f>"|MIDDLE:​"&amp;テーブル1[[#This Row],[名前]]</f>
        <v>|MIDDLE:​覗キ視炉</v>
      </c>
      <c r="V86" s="23" t="str">
        <f>"|MIDDLE:​"&amp;テーブル1[[#This Row],[なまえ]]</f>
        <v>|MIDDLE:​のぞき みろ</v>
      </c>
      <c r="W86" s="23" t="str">
        <f>"|MIDDLE:​"&amp;テーブル1[[#This Row],[Name]]</f>
        <v>|MIDDLE:​Nozoki Miro</v>
      </c>
      <c r="X86" s="23" t="str">
        <f>"|MIDDLE:​&amp;link(配布所はこちら){​"&amp;テーブル1[[#This Row],[リンク]]&amp;"}|"</f>
        <v>|MIDDLE:​&amp;link(配布所はこちら){​-}|</v>
      </c>
    </row>
    <row r="87" spans="1:24" ht="20.149999999999999" customHeight="1" x14ac:dyDescent="0.35">
      <c r="A87" s="20">
        <v>86</v>
      </c>
      <c r="B87" s="23" t="str">
        <f>SUBSTITUTE(SUBSTITUTE(SUBSTITUTE(SUBSTITUTE(SUBSTITUTE(SUBSTITUTE(SUBSTITUTE(SUBSTITUTE(LOWER(テーブル1[[#This Row],[Name]])," ","-"),".","-"),"&amp;","-"),"_","-"),"・","-"),"=","-"),"--","-"),"--","-")</f>
        <v>higeki-muripo</v>
      </c>
      <c r="C87" s="24" t="s">
        <v>300</v>
      </c>
      <c r="D87" s="23" t="s">
        <v>301</v>
      </c>
      <c r="E87" s="23" t="s">
        <v>1492</v>
      </c>
      <c r="F87" s="2" t="s">
        <v>292</v>
      </c>
      <c r="G87" s="23" t="s">
        <v>293</v>
      </c>
      <c r="H87" s="23" t="s">
        <v>1627</v>
      </c>
      <c r="I87" s="23" t="s">
        <v>1666</v>
      </c>
      <c r="J87" s="23" t="s">
        <v>1667</v>
      </c>
      <c r="K87" s="23" t="s">
        <v>1669</v>
      </c>
      <c r="L87" s="23" t="s">
        <v>1670</v>
      </c>
      <c r="M87" s="1" t="s">
        <v>1517</v>
      </c>
      <c r="N87" s="1" t="s">
        <v>1443</v>
      </c>
      <c r="O87" s="24" t="str">
        <f>テーブル1[[#This Row],[リンク]]&amp;テーブル1[[#This Row],[描画状況]]</f>
        <v>https://seirentoybox.jimdofree.com済</v>
      </c>
      <c r="P87" s="17">
        <f>1-(COUNTIF(O:O,_xlfn.TEXTJOIN(",",TRUE,テーブル1[[#This Row],[リンク]],テーブル1[[#This Row],[描画状況]]))/COUNTIF(F:F,テーブル1[[#This Row],[リンク]]))</f>
        <v>1</v>
      </c>
      <c r="Q87" s="16" t="str">
        <f ca="1">IFERROR(IF(テーブル1[[#This Row],[描画状況]]="",RAND()+(テーブル1[[#This Row],[列2]]*100),""),RAND())</f>
        <v/>
      </c>
      <c r="R87" s="1" t="s">
        <v>12</v>
      </c>
      <c r="S87" s="24" t="str">
        <f ca="1">IF(AND(テーブル1[[#This Row],[描画状況]]="済",テーブル1[[#This Row],[投稿状況]]=""),RAND(),"")</f>
        <v/>
      </c>
      <c r="T87" s="23" t="str">
        <f>"|&amp;image("&amp;テーブル1[[#This Row],[画像]]&amp;".png,width=100,height=100)"</f>
        <v>|&amp;image(higeki-muripo.png,width=100,height=100)</v>
      </c>
      <c r="U87" s="23" t="str">
        <f>"|MIDDLE:​"&amp;テーブル1[[#This Row],[名前]]</f>
        <v>|MIDDLE:​悲檄むりぽ</v>
      </c>
      <c r="V87" s="23" t="str">
        <f>"|MIDDLE:​"&amp;テーブル1[[#This Row],[なまえ]]</f>
        <v>|MIDDLE:​ひげき むりぽ</v>
      </c>
      <c r="W87" s="23" t="str">
        <f>"|MIDDLE:​"&amp;テーブル1[[#This Row],[Name]]</f>
        <v>|MIDDLE:​Higeki Muripo</v>
      </c>
      <c r="X87" s="23" t="str">
        <f>"|MIDDLE:​&amp;link(配布所はこちら){​"&amp;テーブル1[[#This Row],[リンク]]&amp;"}|"</f>
        <v>|MIDDLE:​&amp;link(配布所はこちら){​https://seirentoybox.jimdofree.com}|</v>
      </c>
    </row>
    <row r="88" spans="1:24" ht="20.149999999999999" customHeight="1" x14ac:dyDescent="0.35">
      <c r="A88" s="20">
        <v>87</v>
      </c>
      <c r="B88" s="23" t="str">
        <f>SUBSTITUTE(SUBSTITUTE(SUBSTITUTE(SUBSTITUTE(SUBSTITUTE(SUBSTITUTE(SUBSTITUTE(SUBSTITUTE(LOWER(テーブル1[[#This Row],[Name]])," ","-"),".","-"),"&amp;","-"),"_","-"),"・","-"),"=","-"),"--","-"),"--","-")</f>
        <v>fis</v>
      </c>
      <c r="C88" s="24" t="s">
        <v>302</v>
      </c>
      <c r="D88" s="23" t="s">
        <v>303</v>
      </c>
      <c r="E88" s="23" t="s">
        <v>304</v>
      </c>
      <c r="F88" s="2" t="s">
        <v>292</v>
      </c>
      <c r="G88" s="23" t="s">
        <v>293</v>
      </c>
      <c r="H88" s="23" t="s">
        <v>1627</v>
      </c>
      <c r="I88" s="23" t="s">
        <v>1636</v>
      </c>
      <c r="K88" s="23" t="s">
        <v>1637</v>
      </c>
      <c r="L88" s="23" t="s">
        <v>1672</v>
      </c>
      <c r="M88" s="1" t="s">
        <v>1517</v>
      </c>
      <c r="N88" s="1" t="s">
        <v>1443</v>
      </c>
      <c r="O88" s="24" t="str">
        <f>テーブル1[[#This Row],[リンク]]&amp;テーブル1[[#This Row],[描画状況]]</f>
        <v>https://seirentoybox.jimdofree.com済</v>
      </c>
      <c r="P88" s="17">
        <f>1-(COUNTIF(O:O,_xlfn.TEXTJOIN(",",TRUE,テーブル1[[#This Row],[リンク]],テーブル1[[#This Row],[描画状況]]))/COUNTIF(F:F,テーブル1[[#This Row],[リンク]]))</f>
        <v>1</v>
      </c>
      <c r="Q88" s="16" t="str">
        <f ca="1">IFERROR(IF(テーブル1[[#This Row],[描画状況]]="",RAND()+(テーブル1[[#This Row],[列2]]*100),""),RAND())</f>
        <v/>
      </c>
      <c r="R88" s="1" t="s">
        <v>12</v>
      </c>
      <c r="S88" s="24" t="str">
        <f ca="1">IF(AND(テーブル1[[#This Row],[描画状況]]="済",テーブル1[[#This Row],[投稿状況]]=""),RAND(),"")</f>
        <v/>
      </c>
      <c r="T88" s="23" t="str">
        <f>"|&amp;image("&amp;テーブル1[[#This Row],[画像]]&amp;".png,width=100,height=100)"</f>
        <v>|&amp;image(fis.png,width=100,height=100)</v>
      </c>
      <c r="U88" s="23" t="str">
        <f>"|MIDDLE:​"&amp;テーブル1[[#This Row],[名前]]</f>
        <v>|MIDDLE:​フィス</v>
      </c>
      <c r="V88" s="23" t="str">
        <f>"|MIDDLE:​"&amp;テーブル1[[#This Row],[なまえ]]</f>
        <v>|MIDDLE:​ふぃす</v>
      </c>
      <c r="W88" s="23" t="str">
        <f>"|MIDDLE:​"&amp;テーブル1[[#This Row],[Name]]</f>
        <v>|MIDDLE:​Fis</v>
      </c>
      <c r="X88" s="23" t="str">
        <f>"|MIDDLE:​&amp;link(配布所はこちら){​"&amp;テーブル1[[#This Row],[リンク]]&amp;"}|"</f>
        <v>|MIDDLE:​&amp;link(配布所はこちら){​https://seirentoybox.jimdofree.com}|</v>
      </c>
    </row>
    <row r="89" spans="1:24" ht="20.149999999999999" customHeight="1" x14ac:dyDescent="0.35">
      <c r="A89" s="20">
        <v>88</v>
      </c>
      <c r="B89" s="23" t="str">
        <f>SUBSTITUTE(SUBSTITUTE(SUBSTITUTE(SUBSTITUTE(SUBSTITUTE(SUBSTITUTE(SUBSTITUTE(SUBSTITUTE(LOWER(テーブル1[[#This Row],[Name]])," ","-"),".","-"),"&amp;","-"),"_","-"),"・","-"),"=","-"),"--","-"),"--","-")</f>
        <v>abschan</v>
      </c>
      <c r="C89" s="24" t="s">
        <v>38</v>
      </c>
      <c r="D89" s="23" t="s">
        <v>39</v>
      </c>
      <c r="E89" s="23" t="s">
        <v>40</v>
      </c>
      <c r="F89" s="2" t="s">
        <v>41</v>
      </c>
      <c r="G89" s="23" t="s">
        <v>42</v>
      </c>
      <c r="M89" s="1" t="s">
        <v>1517</v>
      </c>
      <c r="N89" s="1" t="s">
        <v>1443</v>
      </c>
      <c r="O89" s="24" t="str">
        <f>テーブル1[[#This Row],[リンク]]&amp;テーブル1[[#This Row],[描画状況]]</f>
        <v>https://abschandayo.wixsite.com/abschan済</v>
      </c>
      <c r="P89" s="17">
        <f>1-(COUNTIF(O:O,_xlfn.TEXTJOIN(",",TRUE,テーブル1[[#This Row],[リンク]],テーブル1[[#This Row],[描画状況]]))/COUNTIF(F:F,テーブル1[[#This Row],[リンク]]))</f>
        <v>1</v>
      </c>
      <c r="Q89" s="16" t="str">
        <f ca="1">IFERROR(IF(テーブル1[[#This Row],[描画状況]]="",RAND()+(テーブル1[[#This Row],[列2]]*100),""),RAND())</f>
        <v/>
      </c>
      <c r="R89" s="1" t="s">
        <v>12</v>
      </c>
      <c r="S89" s="24" t="str">
        <f ca="1">IF(AND(テーブル1[[#This Row],[描画状況]]="済",テーブル1[[#This Row],[投稿状況]]=""),RAND(),"")</f>
        <v/>
      </c>
      <c r="T89" s="23" t="str">
        <f>"|&amp;image("&amp;テーブル1[[#This Row],[画像]]&amp;".png,width=100,height=100)"</f>
        <v>|&amp;image(abschan.png,width=100,height=100)</v>
      </c>
      <c r="U89" s="23" t="str">
        <f>"|MIDDLE:​"&amp;テーブル1[[#This Row],[名前]]</f>
        <v>|MIDDLE:​ふっきんちゃん</v>
      </c>
      <c r="V89" s="23" t="str">
        <f>"|MIDDLE:​"&amp;テーブル1[[#This Row],[なまえ]]</f>
        <v>|MIDDLE:​ふっきんちゃん</v>
      </c>
      <c r="W89" s="23" t="str">
        <f>"|MIDDLE:​"&amp;テーブル1[[#This Row],[Name]]</f>
        <v>|MIDDLE:​Abschan</v>
      </c>
      <c r="X89" s="23" t="str">
        <f>"|MIDDLE:​&amp;link(配布所はこちら){​"&amp;テーブル1[[#This Row],[リンク]]&amp;"}|"</f>
        <v>|MIDDLE:​&amp;link(配布所はこちら){​https://abschandayo.wixsite.com/abschan}|</v>
      </c>
    </row>
    <row r="90" spans="1:24" ht="20.149999999999999" customHeight="1" x14ac:dyDescent="0.35">
      <c r="A90" s="20">
        <v>89</v>
      </c>
      <c r="B90" s="23" t="str">
        <f>SUBSTITUTE(SUBSTITUTE(SUBSTITUTE(SUBSTITUTE(SUBSTITUTE(SUBSTITUTE(SUBSTITUTE(SUBSTITUTE(LOWER(テーブル1[[#This Row],[Name]])," ","-"),".","-"),"&amp;","-"),"_","-"),"・","-"),"=","-"),"--","-"),"--","-")</f>
        <v>hoga-not</v>
      </c>
      <c r="C90" s="24" t="s">
        <v>359</v>
      </c>
      <c r="D90" s="23" t="s">
        <v>360</v>
      </c>
      <c r="E90" s="23" t="s">
        <v>361</v>
      </c>
      <c r="F90" s="2" t="s">
        <v>362</v>
      </c>
      <c r="G90" s="23" t="s">
        <v>363</v>
      </c>
      <c r="N90" s="1" t="s">
        <v>1443</v>
      </c>
      <c r="O90" s="24" t="str">
        <f>テーブル1[[#This Row],[リンク]]&amp;テーブル1[[#This Row],[描画状況]]</f>
        <v>https://uta-tsunagi.jimdofree.com済</v>
      </c>
      <c r="P90" s="17">
        <f>1-(COUNTIF(O:O,_xlfn.TEXTJOIN(",",TRUE,テーブル1[[#This Row],[リンク]],テーブル1[[#This Row],[描画状況]]))/COUNTIF(F:F,テーブル1[[#This Row],[リンク]]))</f>
        <v>1</v>
      </c>
      <c r="Q90" s="16" t="str">
        <f ca="1">IFERROR(IF(テーブル1[[#This Row],[描画状況]]="",RAND()+(テーブル1[[#This Row],[列2]]*100),""),RAND())</f>
        <v/>
      </c>
      <c r="R90" s="1" t="s">
        <v>12</v>
      </c>
      <c r="S90" s="24" t="str">
        <f ca="1">IF(AND(テーブル1[[#This Row],[描画状況]]="済",テーブル1[[#This Row],[投稿状況]]=""),RAND(),"")</f>
        <v/>
      </c>
      <c r="T90" s="23" t="str">
        <f>"|&amp;image("&amp;テーブル1[[#This Row],[画像]]&amp;".png,width=100,height=100)"</f>
        <v>|&amp;image(hoga-not.png,width=100,height=100)</v>
      </c>
      <c r="U90" s="23" t="str">
        <f>"|MIDDLE:​"&amp;テーブル1[[#This Row],[名前]]</f>
        <v>|MIDDLE:​芳歌ノト</v>
      </c>
      <c r="V90" s="23" t="str">
        <f>"|MIDDLE:​"&amp;テーブル1[[#This Row],[なまえ]]</f>
        <v>|MIDDLE:​ほうが のと</v>
      </c>
      <c r="W90" s="23" t="str">
        <f>"|MIDDLE:​"&amp;テーブル1[[#This Row],[Name]]</f>
        <v>|MIDDLE:​Hoga Not</v>
      </c>
      <c r="X90" s="23" t="str">
        <f>"|MIDDLE:​&amp;link(配布所はこちら){​"&amp;テーブル1[[#This Row],[リンク]]&amp;"}|"</f>
        <v>|MIDDLE:​&amp;link(配布所はこちら){​https://uta-tsunagi.jimdofree.com}|</v>
      </c>
    </row>
    <row r="91" spans="1:24" ht="20.149999999999999" customHeight="1" x14ac:dyDescent="0.35">
      <c r="A91" s="20">
        <v>90</v>
      </c>
      <c r="B91" s="23" t="str">
        <f>SUBSTITUTE(SUBSTITUTE(SUBSTITUTE(SUBSTITUTE(SUBSTITUTE(SUBSTITUTE(SUBSTITUTE(SUBSTITUTE(LOWER(テーブル1[[#This Row],[Name]])," ","-"),".","-"),"&amp;","-"),"_","-"),"・","-"),"=","-"),"--","-"),"--","-")</f>
        <v>hoshikawa-tia</v>
      </c>
      <c r="C91" s="24" t="s">
        <v>266</v>
      </c>
      <c r="D91" s="23" t="s">
        <v>267</v>
      </c>
      <c r="E91" s="23" t="s">
        <v>268</v>
      </c>
      <c r="F91" s="2" t="s">
        <v>256</v>
      </c>
      <c r="G91" s="23" t="s">
        <v>269</v>
      </c>
      <c r="N91" s="1" t="s">
        <v>1443</v>
      </c>
      <c r="O91" s="24" t="str">
        <f>テーブル1[[#This Row],[リンク]]&amp;テーブル1[[#This Row],[描画状況]]</f>
        <v>https://nyaruru.wixsite.com/s-p-w済</v>
      </c>
      <c r="P91" s="17">
        <f>1-(COUNTIF(O:O,_xlfn.TEXTJOIN(",",TRUE,テーブル1[[#This Row],[リンク]],テーブル1[[#This Row],[描画状況]]))/COUNTIF(F:F,テーブル1[[#This Row],[リンク]]))</f>
        <v>1</v>
      </c>
      <c r="Q91" s="16" t="str">
        <f ca="1">IFERROR(IF(テーブル1[[#This Row],[描画状況]]="",RAND()+(テーブル1[[#This Row],[列2]]*100),""),RAND())</f>
        <v/>
      </c>
      <c r="R91" s="1" t="s">
        <v>12</v>
      </c>
      <c r="S91" s="24" t="str">
        <f ca="1">IF(AND(テーブル1[[#This Row],[描画状況]]="済",テーブル1[[#This Row],[投稿状況]]=""),RAND(),"")</f>
        <v/>
      </c>
      <c r="T91" s="23" t="str">
        <f>"|&amp;image("&amp;テーブル1[[#This Row],[画像]]&amp;".png,width=100,height=100)"</f>
        <v>|&amp;image(hoshikawa-tia.png,width=100,height=100)</v>
      </c>
      <c r="U91" s="23" t="str">
        <f>"|MIDDLE:​"&amp;テーブル1[[#This Row],[名前]]</f>
        <v>|MIDDLE:​星河ティア</v>
      </c>
      <c r="V91" s="23" t="str">
        <f>"|MIDDLE:​"&amp;テーブル1[[#This Row],[なまえ]]</f>
        <v>|MIDDLE:​ほしかわ てぃあ</v>
      </c>
      <c r="W91" s="23" t="str">
        <f>"|MIDDLE:​"&amp;テーブル1[[#This Row],[Name]]</f>
        <v>|MIDDLE:​Hoshikawa Tia</v>
      </c>
      <c r="X91" s="23" t="str">
        <f>"|MIDDLE:​&amp;link(配布所はこちら){​"&amp;テーブル1[[#This Row],[リンク]]&amp;"}|"</f>
        <v>|MIDDLE:​&amp;link(配布所はこちら){​https://nyaruru.wixsite.com/s-p-w}|</v>
      </c>
    </row>
    <row r="92" spans="1:24" ht="20.149999999999999" customHeight="1" x14ac:dyDescent="0.35">
      <c r="A92" s="20">
        <v>91</v>
      </c>
      <c r="B92" s="23" t="str">
        <f>SUBSTITUTE(SUBSTITUTE(SUBSTITUTE(SUBSTITUTE(SUBSTITUTE(SUBSTITUTE(SUBSTITUTE(SUBSTITUTE(LOWER(テーブル1[[#This Row],[Name]])," ","-"),".","-"),"&amp;","-"),"_","-"),"・","-"),"=","-"),"--","-"),"--","-")</f>
        <v>hoshikawa-furea</v>
      </c>
      <c r="C92" s="24" t="s">
        <v>270</v>
      </c>
      <c r="D92" s="23" t="s">
        <v>271</v>
      </c>
      <c r="E92" s="23" t="s">
        <v>272</v>
      </c>
      <c r="F92" s="2" t="s">
        <v>256</v>
      </c>
      <c r="G92" s="23" t="s">
        <v>273</v>
      </c>
      <c r="N92" s="1" t="s">
        <v>1443</v>
      </c>
      <c r="O92" s="24" t="str">
        <f>テーブル1[[#This Row],[リンク]]&amp;テーブル1[[#This Row],[描画状況]]</f>
        <v>https://nyaruru.wixsite.com/s-p-w済</v>
      </c>
      <c r="P92" s="17">
        <f>1-(COUNTIF(O:O,_xlfn.TEXTJOIN(",",TRUE,テーブル1[[#This Row],[リンク]],テーブル1[[#This Row],[描画状況]]))/COUNTIF(F:F,テーブル1[[#This Row],[リンク]]))</f>
        <v>1</v>
      </c>
      <c r="Q92" s="16" t="str">
        <f ca="1">IFERROR(IF(テーブル1[[#This Row],[描画状況]]="",RAND()+(テーブル1[[#This Row],[列2]]*100),""),RAND())</f>
        <v/>
      </c>
      <c r="R92" s="1" t="s">
        <v>12</v>
      </c>
      <c r="S92" s="24" t="str">
        <f ca="1">IF(AND(テーブル1[[#This Row],[描画状況]]="済",テーブル1[[#This Row],[投稿状況]]=""),RAND(),"")</f>
        <v/>
      </c>
      <c r="T92" s="23" t="str">
        <f>"|&amp;image("&amp;テーブル1[[#This Row],[画像]]&amp;".png,width=100,height=100)"</f>
        <v>|&amp;image(hoshikawa-furea.png,width=100,height=100)</v>
      </c>
      <c r="U92" s="23" t="str">
        <f>"|MIDDLE:​"&amp;テーブル1[[#This Row],[名前]]</f>
        <v>|MIDDLE:​星河フレア</v>
      </c>
      <c r="V92" s="23" t="str">
        <f>"|MIDDLE:​"&amp;テーブル1[[#This Row],[なまえ]]</f>
        <v>|MIDDLE:​ほしかわ ふれあ</v>
      </c>
      <c r="W92" s="23" t="str">
        <f>"|MIDDLE:​"&amp;テーブル1[[#This Row],[Name]]</f>
        <v>|MIDDLE:​Hoshikawa Furea</v>
      </c>
      <c r="X92" s="23" t="str">
        <f>"|MIDDLE:​&amp;link(配布所はこちら){​"&amp;テーブル1[[#This Row],[リンク]]&amp;"}|"</f>
        <v>|MIDDLE:​&amp;link(配布所はこちら){​https://nyaruru.wixsite.com/s-p-w}|</v>
      </c>
    </row>
    <row r="93" spans="1:24" ht="20.149999999999999" customHeight="1" x14ac:dyDescent="0.35">
      <c r="A93" s="20">
        <v>92</v>
      </c>
      <c r="B93" s="23" t="str">
        <f>SUBSTITUTE(SUBSTITUTE(SUBSTITUTE(SUBSTITUTE(SUBSTITUTE(SUBSTITUTE(SUBSTITUTE(SUBSTITUTE(LOWER(テーブル1[[#This Row],[Name]])," ","-"),".","-"),"&amp;","-"),"_","-"),"・","-"),"=","-"),"--","-"),"--","-")</f>
        <v>hosiyomi-yume</v>
      </c>
      <c r="C93" s="24" t="s">
        <v>102</v>
      </c>
      <c r="D93" s="23" t="s">
        <v>103</v>
      </c>
      <c r="E93" s="23" t="s">
        <v>104</v>
      </c>
      <c r="F93" s="2" t="s">
        <v>105</v>
      </c>
      <c r="G93" s="23" t="s">
        <v>106</v>
      </c>
      <c r="M93" s="1" t="s">
        <v>1517</v>
      </c>
      <c r="N93" s="1" t="s">
        <v>1443</v>
      </c>
      <c r="O93" s="24" t="str">
        <f>テーブル1[[#This Row],[リンク]]&amp;テーブル1[[#This Row],[描画状況]]</f>
        <v>https://hosiyomi.jimdofree.com済</v>
      </c>
      <c r="P93" s="17">
        <f>1-(COUNTIF(O:O,_xlfn.TEXTJOIN(",",TRUE,テーブル1[[#This Row],[リンク]],テーブル1[[#This Row],[描画状況]]))/COUNTIF(F:F,テーブル1[[#This Row],[リンク]]))</f>
        <v>1</v>
      </c>
      <c r="Q93" s="16" t="str">
        <f ca="1">IFERROR(IF(テーブル1[[#This Row],[描画状況]]="",RAND()+(テーブル1[[#This Row],[列2]]*100),""),RAND())</f>
        <v/>
      </c>
      <c r="R93" s="1" t="s">
        <v>12</v>
      </c>
      <c r="S93" s="24" t="str">
        <f ca="1">IF(AND(テーブル1[[#This Row],[描画状況]]="済",テーブル1[[#This Row],[投稿状況]]=""),RAND(),"")</f>
        <v/>
      </c>
      <c r="T93" s="23" t="str">
        <f>"|&amp;image("&amp;テーブル1[[#This Row],[画像]]&amp;".png,width=100,height=100)"</f>
        <v>|&amp;image(hosiyomi-yume.png,width=100,height=100)</v>
      </c>
      <c r="U93" s="23" t="str">
        <f>"|MIDDLE:​"&amp;テーブル1[[#This Row],[名前]]</f>
        <v>|MIDDLE:​星詠ゆめ</v>
      </c>
      <c r="V93" s="23" t="str">
        <f>"|MIDDLE:​"&amp;テーブル1[[#This Row],[なまえ]]</f>
        <v>|MIDDLE:​ほしよみ ゆめ</v>
      </c>
      <c r="W93" s="23" t="str">
        <f>"|MIDDLE:​"&amp;テーブル1[[#This Row],[Name]]</f>
        <v>|MIDDLE:​Hosiyomi Yume</v>
      </c>
      <c r="X93" s="23" t="str">
        <f>"|MIDDLE:​&amp;link(配布所はこちら){​"&amp;テーブル1[[#This Row],[リンク]]&amp;"}|"</f>
        <v>|MIDDLE:​&amp;link(配布所はこちら){​https://hosiyomi.jimdofree.com}|</v>
      </c>
    </row>
    <row r="94" spans="1:24" ht="20.149999999999999" customHeight="1" x14ac:dyDescent="0.35">
      <c r="A94" s="20">
        <v>93</v>
      </c>
      <c r="B94" s="23" t="str">
        <f>SUBSTITUTE(SUBSTITUTE(SUBSTITUTE(SUBSTITUTE(SUBSTITUTE(SUBSTITUTE(SUBSTITUTE(SUBSTITUTE(LOWER(テーブル1[[#This Row],[Name]])," ","-"),".","-"),"&amp;","-"),"_","-"),"・","-"),"=","-"),"--","-"),"--","-")</f>
        <v>hotaru</v>
      </c>
      <c r="C94" s="24" t="s">
        <v>30</v>
      </c>
      <c r="D94" s="23" t="s">
        <v>31</v>
      </c>
      <c r="E94" s="23" t="s">
        <v>32</v>
      </c>
      <c r="F94" s="2" t="s">
        <v>20</v>
      </c>
      <c r="G94" s="23" t="s">
        <v>21</v>
      </c>
      <c r="M94" s="1" t="s">
        <v>1518</v>
      </c>
      <c r="N94" s="1" t="s">
        <v>1443</v>
      </c>
      <c r="O94" s="24" t="str">
        <f>テーブル1[[#This Row],[リンク]]&amp;テーブル1[[#This Row],[描画状況]]</f>
        <v>http://park2.wakwak.com/~mbox/vo/hk/hkfre.htm済</v>
      </c>
      <c r="P94" s="17">
        <f>1-(COUNTIF(O:O,_xlfn.TEXTJOIN(",",TRUE,テーブル1[[#This Row],[リンク]],テーブル1[[#This Row],[描画状況]]))/COUNTIF(F:F,テーブル1[[#This Row],[リンク]]))</f>
        <v>1</v>
      </c>
      <c r="Q94" s="16" t="str">
        <f ca="1">IFERROR(IF(テーブル1[[#This Row],[描画状況]]="",RAND()+(テーブル1[[#This Row],[列2]]*100),""),RAND())</f>
        <v/>
      </c>
      <c r="R94" s="1" t="s">
        <v>12</v>
      </c>
      <c r="S94" s="24" t="str">
        <f ca="1">IF(AND(テーブル1[[#This Row],[描画状況]]="済",テーブル1[[#This Row],[投稿状況]]=""),RAND(),"")</f>
        <v/>
      </c>
      <c r="T94" s="23" t="str">
        <f>"|&amp;image("&amp;テーブル1[[#This Row],[画像]]&amp;".png,width=100,height=100)"</f>
        <v>|&amp;image(hotaru.png,width=100,height=100)</v>
      </c>
      <c r="U94" s="23" t="str">
        <f>"|MIDDLE:​"&amp;テーブル1[[#This Row],[名前]]</f>
        <v>|MIDDLE:​蛍(ほたる)</v>
      </c>
      <c r="V94" s="23" t="str">
        <f>"|MIDDLE:​"&amp;テーブル1[[#This Row],[なまえ]]</f>
        <v>|MIDDLE:​ほたる</v>
      </c>
      <c r="W94" s="23" t="str">
        <f>"|MIDDLE:​"&amp;テーブル1[[#This Row],[Name]]</f>
        <v>|MIDDLE:​Hotaru</v>
      </c>
      <c r="X94" s="23" t="str">
        <f>"|MIDDLE:​&amp;link(配布所はこちら){​"&amp;テーブル1[[#This Row],[リンク]]&amp;"}|"</f>
        <v>|MIDDLE:​&amp;link(配布所はこちら){​http://park2.wakwak.com/~mbox/vo/hk/hkfre.htm}|</v>
      </c>
    </row>
    <row r="95" spans="1:24" ht="20.149999999999999" customHeight="1" x14ac:dyDescent="0.35">
      <c r="A95" s="20">
        <v>94</v>
      </c>
      <c r="B95" s="23" t="str">
        <f>SUBSTITUTE(SUBSTITUTE(SUBSTITUTE(SUBSTITUTE(SUBSTITUTE(SUBSTITUTE(SUBSTITUTE(SUBSTITUTE(LOWER(テーブル1[[#This Row],[Name]])," ","-"),".","-"),"&amp;","-"),"_","-"),"・","-"),"=","-"),"--","-"),"--","-")</f>
        <v>matsudappoine</v>
      </c>
      <c r="C95" s="24" t="s">
        <v>7</v>
      </c>
      <c r="D95" s="23" t="s">
        <v>8</v>
      </c>
      <c r="E95" s="23" t="s">
        <v>9</v>
      </c>
      <c r="F95" s="2" t="s">
        <v>10</v>
      </c>
      <c r="G95" s="23" t="s">
        <v>11</v>
      </c>
      <c r="M95" s="1" t="s">
        <v>1517</v>
      </c>
      <c r="N95" s="1" t="s">
        <v>1443</v>
      </c>
      <c r="O95" s="24" t="str">
        <f>テーブル1[[#This Row],[リンク]]&amp;テーブル1[[#This Row],[描画状況]]</f>
        <v>http://lllll17.web.fc2.com/index.html済</v>
      </c>
      <c r="P95" s="17">
        <f>1-(COUNTIF(O:O,_xlfn.TEXTJOIN(",",TRUE,テーブル1[[#This Row],[リンク]],テーブル1[[#This Row],[描画状況]]))/COUNTIF(F:F,テーブル1[[#This Row],[リンク]]))</f>
        <v>1</v>
      </c>
      <c r="Q95" s="16" t="str">
        <f ca="1">IFERROR(IF(テーブル1[[#This Row],[描画状況]]="",RAND()+(テーブル1[[#This Row],[列2]]*100),""),RAND())</f>
        <v/>
      </c>
      <c r="R95" s="1" t="s">
        <v>12</v>
      </c>
      <c r="S95" s="24" t="str">
        <f ca="1">IF(AND(テーブル1[[#This Row],[描画状況]]="済",テーブル1[[#This Row],[投稿状況]]=""),RAND(),"")</f>
        <v/>
      </c>
      <c r="T95" s="23" t="str">
        <f>"|&amp;image("&amp;テーブル1[[#This Row],[画像]]&amp;".png,width=100,height=100)"</f>
        <v>|&amp;image(matsudappoine.png,width=100,height=100)</v>
      </c>
      <c r="U95" s="23" t="str">
        <f>"|MIDDLE:​"&amp;テーブル1[[#This Row],[名前]]</f>
        <v>|MIDDLE:​松田っぽいね</v>
      </c>
      <c r="V95" s="23" t="str">
        <f>"|MIDDLE:​"&amp;テーブル1[[#This Row],[なまえ]]</f>
        <v>|MIDDLE:​まつだっぽいね</v>
      </c>
      <c r="W95" s="23" t="str">
        <f>"|MIDDLE:​"&amp;テーブル1[[#This Row],[Name]]</f>
        <v>|MIDDLE:​Matsudappoine</v>
      </c>
      <c r="X95" s="23" t="str">
        <f>"|MIDDLE:​&amp;link(配布所はこちら){​"&amp;テーブル1[[#This Row],[リンク]]&amp;"}|"</f>
        <v>|MIDDLE:​&amp;link(配布所はこちら){​http://lllll17.web.fc2.com/index.html}|</v>
      </c>
    </row>
    <row r="96" spans="1:24" ht="20.149999999999999" customHeight="1" x14ac:dyDescent="0.35">
      <c r="A96" s="20">
        <v>95</v>
      </c>
      <c r="B96" s="23" t="str">
        <f>SUBSTITUTE(SUBSTITUTE(SUBSTITUTE(SUBSTITUTE(SUBSTITUTE(SUBSTITUTE(SUBSTITUTE(SUBSTITUTE(LOWER(テーブル1[[#This Row],[Name]])," ","-"),".","-"),"&amp;","-"),"_","-"),"・","-"),"=","-"),"--","-"),"--","-")</f>
        <v>matsudappoiyo</v>
      </c>
      <c r="C96" s="24" t="s">
        <v>13</v>
      </c>
      <c r="D96" s="23" t="s">
        <v>14</v>
      </c>
      <c r="E96" s="23" t="s">
        <v>15</v>
      </c>
      <c r="F96" s="2" t="s">
        <v>10</v>
      </c>
      <c r="G96" s="23" t="s">
        <v>16</v>
      </c>
      <c r="M96" s="1" t="s">
        <v>1517</v>
      </c>
      <c r="N96" s="1" t="s">
        <v>1443</v>
      </c>
      <c r="O96" s="24" t="str">
        <f>テーブル1[[#This Row],[リンク]]&amp;テーブル1[[#This Row],[描画状況]]</f>
        <v>http://lllll17.web.fc2.com/index.html済</v>
      </c>
      <c r="P96" s="17">
        <f>1-(COUNTIF(O:O,_xlfn.TEXTJOIN(",",TRUE,テーブル1[[#This Row],[リンク]],テーブル1[[#This Row],[描画状況]]))/COUNTIF(F:F,テーブル1[[#This Row],[リンク]]))</f>
        <v>1</v>
      </c>
      <c r="Q96" s="16" t="str">
        <f ca="1">IFERROR(IF(テーブル1[[#This Row],[描画状況]]="",RAND()+(テーブル1[[#This Row],[列2]]*100),""),RAND())</f>
        <v/>
      </c>
      <c r="R96" s="1" t="s">
        <v>12</v>
      </c>
      <c r="S96" s="24" t="str">
        <f ca="1">IF(AND(テーブル1[[#This Row],[描画状況]]="済",テーブル1[[#This Row],[投稿状況]]=""),RAND(),"")</f>
        <v/>
      </c>
      <c r="T96" s="23" t="str">
        <f>"|&amp;image("&amp;テーブル1[[#This Row],[画像]]&amp;".png,width=100,height=100)"</f>
        <v>|&amp;image(matsudappoiyo.png,width=100,height=100)</v>
      </c>
      <c r="U96" s="23" t="str">
        <f>"|MIDDLE:​"&amp;テーブル1[[#This Row],[名前]]</f>
        <v>|MIDDLE:​松田っぽいよ</v>
      </c>
      <c r="V96" s="23" t="str">
        <f>"|MIDDLE:​"&amp;テーブル1[[#This Row],[なまえ]]</f>
        <v>|MIDDLE:​まつだっぽいよ</v>
      </c>
      <c r="W96" s="23" t="str">
        <f>"|MIDDLE:​"&amp;テーブル1[[#This Row],[Name]]</f>
        <v>|MIDDLE:​Matsudappoiyo</v>
      </c>
      <c r="X96" s="23" t="str">
        <f>"|MIDDLE:​&amp;link(配布所はこちら){​"&amp;テーブル1[[#This Row],[リンク]]&amp;"}|"</f>
        <v>|MIDDLE:​&amp;link(配布所はこちら){​http://lllll17.web.fc2.com/index.html}|</v>
      </c>
    </row>
    <row r="97" spans="1:24" ht="20.149999999999999" customHeight="1" x14ac:dyDescent="0.35">
      <c r="A97" s="20">
        <v>96</v>
      </c>
      <c r="B97" s="28" t="str">
        <f>SUBSTITUTE(SUBSTITUTE(SUBSTITUTE(SUBSTITUTE(SUBSTITUTE(SUBSTITUTE(SUBSTITUTE(SUBSTITUTE(LOWER(テーブル1[[#This Row],[Name]])," ","-"),".","-"),"&amp;","-"),"_","-"),"・","-"),"=","-"),"--","-"),"--","-")</f>
        <v>matsuyuki-chitose</v>
      </c>
      <c r="C97" s="24" t="s">
        <v>247</v>
      </c>
      <c r="D97" s="23" t="s">
        <v>248</v>
      </c>
      <c r="E97" s="23" t="s">
        <v>249</v>
      </c>
      <c r="F97" s="2" t="s">
        <v>241</v>
      </c>
      <c r="G97" s="23" t="s">
        <v>242</v>
      </c>
      <c r="N97" s="1" t="s">
        <v>1443</v>
      </c>
      <c r="O97" s="24" t="str">
        <f>テーブル1[[#This Row],[リンク]]&amp;テーブル1[[#This Row],[描画状況]]</f>
        <v>https://nichikuniku1129063.wixsite.com/website-3済</v>
      </c>
      <c r="P97" s="17">
        <f>1-(COUNTIF(O:O,_xlfn.TEXTJOIN(",",TRUE,テーブル1[[#This Row],[リンク]],テーブル1[[#This Row],[描画状況]]))/COUNTIF(F:F,テーブル1[[#This Row],[リンク]]))</f>
        <v>1</v>
      </c>
      <c r="Q97" s="16" t="str">
        <f ca="1">IFERROR(IF(テーブル1[[#This Row],[描画状況]]="",RAND()+(テーブル1[[#This Row],[列2]]*100),""),RAND())</f>
        <v/>
      </c>
      <c r="R97" s="1" t="s">
        <v>12</v>
      </c>
      <c r="S97" s="24" t="str">
        <f ca="1">IF(AND(テーブル1[[#This Row],[描画状況]]="済",テーブル1[[#This Row],[投稿状況]]=""),RAND(),"")</f>
        <v/>
      </c>
      <c r="T97" s="23" t="str">
        <f>"|&amp;image("&amp;テーブル1[[#This Row],[画像]]&amp;".png,width=100,height=100)"</f>
        <v>|&amp;image(matsuyuki-chitose.png,width=100,height=100)</v>
      </c>
      <c r="U97" s="23" t="str">
        <f>"|MIDDLE:​"&amp;テーブル1[[#This Row],[名前]]</f>
        <v>|MIDDLE:​​沫幸チトセ</v>
      </c>
      <c r="V97" s="23" t="str">
        <f>"|MIDDLE:​"&amp;テーブル1[[#This Row],[なまえ]]</f>
        <v>|MIDDLE:​まつゆき ちとせ</v>
      </c>
      <c r="W97" s="23" t="str">
        <f>"|MIDDLE:​"&amp;テーブル1[[#This Row],[Name]]</f>
        <v>|MIDDLE:​Matsuyuki Chitose</v>
      </c>
      <c r="X97" s="23" t="str">
        <f>"|MIDDLE:​&amp;link(配布所はこちら){​"&amp;テーブル1[[#This Row],[リンク]]&amp;"}|"</f>
        <v>|MIDDLE:​&amp;link(配布所はこちら){​https://nichikuniku1129063.wixsite.com/website-3}|</v>
      </c>
    </row>
    <row r="98" spans="1:24" ht="20.149999999999999" customHeight="1" x14ac:dyDescent="0.35">
      <c r="A98" s="20">
        <v>97</v>
      </c>
      <c r="B98" s="23" t="str">
        <f>SUBSTITUTE(SUBSTITUTE(SUBSTITUTE(SUBSTITUTE(SUBSTITUTE(SUBSTITUTE(SUBSTITUTE(SUBSTITUTE(LOWER(テーブル1[[#This Row],[Name]])," ","-"),".","-"),"&amp;","-"),"_","-"),"・","-"),"=","-"),"--","-"),"--","-")</f>
        <v>marune-shunichi</v>
      </c>
      <c r="C98" s="24" t="s">
        <v>399</v>
      </c>
      <c r="D98" s="23" t="s">
        <v>400</v>
      </c>
      <c r="E98" s="23" t="s">
        <v>401</v>
      </c>
      <c r="F98" s="2" t="s">
        <v>402</v>
      </c>
      <c r="G98" s="23" t="s">
        <v>403</v>
      </c>
      <c r="N98" s="1" t="s">
        <v>1443</v>
      </c>
      <c r="O98" s="24" t="str">
        <f>テーブル1[[#This Row],[リンク]]&amp;テーブル1[[#This Row],[描画状況]]</f>
        <v>https://www.postype.com/@utau-deepvocal-dalso済</v>
      </c>
      <c r="P98" s="17">
        <f>1-(COUNTIF(O:O,_xlfn.TEXTJOIN(",",TRUE,テーブル1[[#This Row],[リンク]],テーブル1[[#This Row],[描画状況]]))/COUNTIF(F:F,テーブル1[[#This Row],[リンク]]))</f>
        <v>1</v>
      </c>
      <c r="Q98" s="16" t="str">
        <f ca="1">IFERROR(IF(テーブル1[[#This Row],[描画状況]]="",RAND()+(テーブル1[[#This Row],[列2]]*100),""),RAND())</f>
        <v/>
      </c>
      <c r="R98" s="1" t="s">
        <v>12</v>
      </c>
      <c r="S98" s="24" t="str">
        <f ca="1">IF(AND(テーブル1[[#This Row],[描画状況]]="済",テーブル1[[#This Row],[投稿状況]]=""),RAND(),"")</f>
        <v/>
      </c>
      <c r="T98" s="23" t="str">
        <f>"|&amp;image("&amp;テーブル1[[#This Row],[画像]]&amp;".png,width=100,height=100)"</f>
        <v>|&amp;image(marune-shunichi.png,width=100,height=100)</v>
      </c>
      <c r="U98" s="23" t="str">
        <f>"|MIDDLE:​"&amp;テーブル1[[#This Row],[名前]]</f>
        <v>|MIDDLE:​円音春二ノ前</v>
      </c>
      <c r="V98" s="23" t="str">
        <f>"|MIDDLE:​"&amp;テーブル1[[#This Row],[なまえ]]</f>
        <v>|MIDDLE:​まるね しゅんいち</v>
      </c>
      <c r="W98" s="23" t="str">
        <f>"|MIDDLE:​"&amp;テーブル1[[#This Row],[Name]]</f>
        <v>|MIDDLE:​Marune Shunichi</v>
      </c>
      <c r="X98" s="23" t="str">
        <f>"|MIDDLE:​&amp;link(配布所はこちら){​"&amp;テーブル1[[#This Row],[リンク]]&amp;"}|"</f>
        <v>|MIDDLE:​&amp;link(配布所はこちら){​https://www.postype.com/@utau-deepvocal-dalso}|</v>
      </c>
    </row>
    <row r="99" spans="1:24" ht="20.149999999999999" customHeight="1" x14ac:dyDescent="0.35">
      <c r="A99" s="20">
        <v>98</v>
      </c>
      <c r="B99" s="23" t="str">
        <f>SUBSTITUTE(SUBSTITUTE(SUBSTITUTE(SUBSTITUTE(SUBSTITUTE(SUBSTITUTE(SUBSTITUTE(SUBSTITUTE(LOWER(テーブル1[[#This Row],[Name]])," ","-"),".","-"),"&amp;","-"),"_","-"),"・","-"),"=","-"),"--","-"),"--","-")</f>
        <v>mikuji</v>
      </c>
      <c r="C99" s="24" t="s">
        <v>383</v>
      </c>
      <c r="D99" s="23" t="s">
        <v>384</v>
      </c>
      <c r="E99" s="23" t="s">
        <v>385</v>
      </c>
      <c r="F99" s="2" t="s">
        <v>381</v>
      </c>
      <c r="G99" s="23" t="s">
        <v>382</v>
      </c>
      <c r="N99" s="1" t="s">
        <v>1443</v>
      </c>
      <c r="O99" s="24" t="str">
        <f>テーブル1[[#This Row],[リンク]]&amp;テーブル1[[#This Row],[描画状況]]</f>
        <v>https://utauudon.wixsite.com/origamisyokudou済</v>
      </c>
      <c r="P99" s="17">
        <f>1-(COUNTIF(O:O,_xlfn.TEXTJOIN(",",TRUE,テーブル1[[#This Row],[リンク]],テーブル1[[#This Row],[描画状況]]))/COUNTIF(F:F,テーブル1[[#This Row],[リンク]]))</f>
        <v>1</v>
      </c>
      <c r="Q99" s="16" t="str">
        <f ca="1">IFERROR(IF(テーブル1[[#This Row],[描画状況]]="",RAND()+(テーブル1[[#This Row],[列2]]*100),""),RAND())</f>
        <v/>
      </c>
      <c r="R99" s="1" t="s">
        <v>12</v>
      </c>
      <c r="S99" s="24" t="str">
        <f ca="1">IF(AND(テーブル1[[#This Row],[描画状況]]="済",テーブル1[[#This Row],[投稿状況]]=""),RAND(),"")</f>
        <v/>
      </c>
      <c r="T99" s="23" t="str">
        <f>"|&amp;image("&amp;テーブル1[[#This Row],[画像]]&amp;".png,width=100,height=100)"</f>
        <v>|&amp;image(mikuji.png,width=100,height=100)</v>
      </c>
      <c r="U99" s="23" t="str">
        <f>"|MIDDLE:​"&amp;テーブル1[[#This Row],[名前]]</f>
        <v>|MIDDLE:​​みくじ</v>
      </c>
      <c r="V99" s="23" t="str">
        <f>"|MIDDLE:​"&amp;テーブル1[[#This Row],[なまえ]]</f>
        <v>|MIDDLE:​みくじ</v>
      </c>
      <c r="W99" s="23" t="str">
        <f>"|MIDDLE:​"&amp;テーブル1[[#This Row],[Name]]</f>
        <v>|MIDDLE:​mikuji</v>
      </c>
      <c r="X99" s="23" t="str">
        <f>"|MIDDLE:​&amp;link(配布所はこちら){​"&amp;テーブル1[[#This Row],[リンク]]&amp;"}|"</f>
        <v>|MIDDLE:​&amp;link(配布所はこちら){​https://utauudon.wixsite.com/origamisyokudou}|</v>
      </c>
    </row>
    <row r="100" spans="1:24" ht="20.149999999999999" customHeight="1" x14ac:dyDescent="0.35">
      <c r="A100" s="20">
        <v>99</v>
      </c>
      <c r="B100" s="23" t="str">
        <f>SUBSTITUTE(SUBSTITUTE(SUBSTITUTE(SUBSTITUTE(SUBSTITUTE(SUBSTITUTE(SUBSTITUTE(SUBSTITUTE(LOWER(テーブル1[[#This Row],[Name]])," ","-"),".","-"),"&amp;","-"),"_","-"),"・","-"),"=","-"),"--","-"),"--","-")</f>
        <v>mx-dream</v>
      </c>
      <c r="C100" s="24" t="s">
        <v>386</v>
      </c>
      <c r="D100" s="23" t="s">
        <v>387</v>
      </c>
      <c r="E100" s="23" t="s">
        <v>388</v>
      </c>
      <c r="F100" s="2" t="s">
        <v>381</v>
      </c>
      <c r="G100" s="23" t="s">
        <v>382</v>
      </c>
      <c r="N100" s="1" t="s">
        <v>1443</v>
      </c>
      <c r="O100" s="24" t="str">
        <f>テーブル1[[#This Row],[リンク]]&amp;テーブル1[[#This Row],[描画状況]]</f>
        <v>https://utauudon.wixsite.com/origamisyokudou済</v>
      </c>
      <c r="P100" s="17">
        <f>1-(COUNTIF(O:O,_xlfn.TEXTJOIN(",",TRUE,テーブル1[[#This Row],[リンク]],テーブル1[[#This Row],[描画状況]]))/COUNTIF(F:F,テーブル1[[#This Row],[リンク]]))</f>
        <v>1</v>
      </c>
      <c r="Q100" s="16" t="str">
        <f ca="1">IFERROR(IF(テーブル1[[#This Row],[描画状況]]="",RAND()+(テーブル1[[#This Row],[列2]]*100),""),RAND())</f>
        <v/>
      </c>
      <c r="R100" s="1" t="s">
        <v>12</v>
      </c>
      <c r="S100" s="24" t="str">
        <f ca="1">IF(AND(テーブル1[[#This Row],[描画状況]]="済",テーブル1[[#This Row],[投稿状況]]=""),RAND(),"")</f>
        <v/>
      </c>
      <c r="T100" s="23" t="str">
        <f>"|&amp;image("&amp;テーブル1[[#This Row],[画像]]&amp;".png,width=100,height=100)"</f>
        <v>|&amp;image(mx-dream.png,width=100,height=100)</v>
      </c>
      <c r="U100" s="23" t="str">
        <f>"|MIDDLE:​"&amp;テーブル1[[#This Row],[名前]]</f>
        <v>|MIDDLE:​Mx.ドリーム</v>
      </c>
      <c r="V100" s="23" t="str">
        <f>"|MIDDLE:​"&amp;テーブル1[[#This Row],[なまえ]]</f>
        <v>|MIDDLE:​みくす どりーむ</v>
      </c>
      <c r="W100" s="23" t="str">
        <f>"|MIDDLE:​"&amp;テーブル1[[#This Row],[Name]]</f>
        <v>|MIDDLE:​Mx.Dream</v>
      </c>
      <c r="X100" s="23" t="str">
        <f>"|MIDDLE:​&amp;link(配布所はこちら){​"&amp;テーブル1[[#This Row],[リンク]]&amp;"}|"</f>
        <v>|MIDDLE:​&amp;link(配布所はこちら){​https://utauudon.wixsite.com/origamisyokudou}|</v>
      </c>
    </row>
    <row r="101" spans="1:24" ht="20.149999999999999" customHeight="1" x14ac:dyDescent="0.35">
      <c r="A101" s="20">
        <v>100</v>
      </c>
      <c r="B101" s="23" t="str">
        <f>SUBSTITUTE(SUBSTITUTE(SUBSTITUTE(SUBSTITUTE(SUBSTITUTE(SUBSTITUTE(SUBSTITUTE(SUBSTITUTE(LOWER(テーブル1[[#This Row],[Name]])," ","-"),".","-"),"&amp;","-"),"_","-"),"・","-"),"=","-"),"--","-"),"--","-")</f>
        <v>melua-miumiu</v>
      </c>
      <c r="C101" s="24" t="s">
        <v>375</v>
      </c>
      <c r="D101" s="23" t="s">
        <v>376</v>
      </c>
      <c r="E101" s="23" t="s">
        <v>377</v>
      </c>
      <c r="F101" s="2" t="s">
        <v>373</v>
      </c>
      <c r="G101" s="23" t="s">
        <v>378</v>
      </c>
      <c r="H101" s="23" t="s">
        <v>1626</v>
      </c>
      <c r="I101" s="23" t="s">
        <v>1680</v>
      </c>
      <c r="J101" s="23" t="s">
        <v>1681</v>
      </c>
      <c r="K101" s="23" t="s">
        <v>1683</v>
      </c>
      <c r="L101" s="23" t="s">
        <v>1682</v>
      </c>
      <c r="N101" s="1" t="s">
        <v>1443</v>
      </c>
      <c r="O101" s="24" t="str">
        <f>テーブル1[[#This Row],[リンク]]&amp;テーブル1[[#This Row],[描画状況]]</f>
        <v>https://utausuzuminnya.jimdofree.com済</v>
      </c>
      <c r="P101" s="17">
        <f>1-(COUNTIF(O:O,_xlfn.TEXTJOIN(",",TRUE,テーブル1[[#This Row],[リンク]],テーブル1[[#This Row],[描画状況]]))/COUNTIF(F:F,テーブル1[[#This Row],[リンク]]))</f>
        <v>1</v>
      </c>
      <c r="Q101" s="16" t="str">
        <f ca="1">IFERROR(IF(テーブル1[[#This Row],[描画状況]]="",RAND()+(テーブル1[[#This Row],[列2]]*100),""),RAND())</f>
        <v/>
      </c>
      <c r="R101" s="1" t="s">
        <v>12</v>
      </c>
      <c r="S101" s="24" t="str">
        <f ca="1">IF(AND(テーブル1[[#This Row],[描画状況]]="済",テーブル1[[#This Row],[投稿状況]]=""),RAND(),"")</f>
        <v/>
      </c>
      <c r="T101" s="23" t="str">
        <f>"|&amp;image("&amp;テーブル1[[#This Row],[画像]]&amp;".png,width=100,height=100)"</f>
        <v>|&amp;image(melua-miumiu.png,width=100,height=100)</v>
      </c>
      <c r="U101" s="23" t="str">
        <f>"|MIDDLE:​"&amp;テーブル1[[#This Row],[名前]]</f>
        <v>|MIDDLE:​苺愛みゅみゅ</v>
      </c>
      <c r="V101" s="23" t="str">
        <f>"|MIDDLE:​"&amp;テーブル1[[#This Row],[なまえ]]</f>
        <v>|MIDDLE:​めるあ みゅみゅ</v>
      </c>
      <c r="W101" s="23" t="str">
        <f>"|MIDDLE:​"&amp;テーブル1[[#This Row],[Name]]</f>
        <v>|MIDDLE:​Melua Miumiu</v>
      </c>
      <c r="X101" s="23" t="str">
        <f>"|MIDDLE:​&amp;link(配布所はこちら){​"&amp;テーブル1[[#This Row],[リンク]]&amp;"}|"</f>
        <v>|MIDDLE:​&amp;link(配布所はこちら){​https://utausuzuminnya.jimdofree.com}|</v>
      </c>
    </row>
    <row r="102" spans="1:24" ht="20.149999999999999" customHeight="1" x14ac:dyDescent="0.35">
      <c r="A102" s="20">
        <v>101</v>
      </c>
      <c r="B102" s="23" t="str">
        <f>SUBSTITUTE(SUBSTITUTE(SUBSTITUTE(SUBSTITUTE(SUBSTITUTE(SUBSTITUTE(SUBSTITUTE(SUBSTITUTE(LOWER(テーブル1[[#This Row],[Name]])," ","-"),".","-"),"&amp;","-"),"_","-"),"・","-"),"=","-"),"--","-"),"--","-")</f>
        <v>yakazuroid</v>
      </c>
      <c r="C102" s="24" t="s">
        <v>221</v>
      </c>
      <c r="D102" s="23" t="s">
        <v>222</v>
      </c>
      <c r="E102" s="23" t="s">
        <v>223</v>
      </c>
      <c r="F102" s="2" t="s">
        <v>219</v>
      </c>
      <c r="G102" s="23" t="s">
        <v>220</v>
      </c>
      <c r="N102" s="1" t="s">
        <v>1443</v>
      </c>
      <c r="O102" s="24" t="str">
        <f>テーブル1[[#This Row],[リンク]]&amp;テーブル1[[#This Row],[描画状況]]</f>
        <v>https://moqujc.wixsite.com/mqtop済</v>
      </c>
      <c r="P102" s="17">
        <f>1-(COUNTIF(O:O,_xlfn.TEXTJOIN(",",TRUE,テーブル1[[#This Row],[リンク]],テーブル1[[#This Row],[描画状況]]))/COUNTIF(F:F,テーブル1[[#This Row],[リンク]]))</f>
        <v>1</v>
      </c>
      <c r="Q102" s="16" t="str">
        <f ca="1">IFERROR(IF(テーブル1[[#This Row],[描画状況]]="",RAND()+(テーブル1[[#This Row],[列2]]*100),""),RAND())</f>
        <v/>
      </c>
      <c r="R102" s="1" t="s">
        <v>12</v>
      </c>
      <c r="S102" s="24" t="str">
        <f ca="1">IF(AND(テーブル1[[#This Row],[描画状況]]="済",テーブル1[[#This Row],[投稿状況]]=""),RAND(),"")</f>
        <v/>
      </c>
      <c r="T102" s="23" t="str">
        <f>"|&amp;image("&amp;テーブル1[[#This Row],[画像]]&amp;".png,width=100,height=100)"</f>
        <v>|&amp;image(yakazuroid.png,width=100,height=100)</v>
      </c>
      <c r="U102" s="23" t="str">
        <f>"|MIDDLE:​"&amp;テーブル1[[#This Row],[名前]]</f>
        <v>|MIDDLE:​ykzroid-5000 HSC TG</v>
      </c>
      <c r="V102" s="23" t="str">
        <f>"|MIDDLE:​"&amp;テーブル1[[#This Row],[なまえ]]</f>
        <v>|MIDDLE:​やかずろいど</v>
      </c>
      <c r="W102" s="23" t="str">
        <f>"|MIDDLE:​"&amp;テーブル1[[#This Row],[Name]]</f>
        <v>|MIDDLE:​Yakazuroid</v>
      </c>
      <c r="X102" s="23" t="str">
        <f>"|MIDDLE:​&amp;link(配布所はこちら){​"&amp;テーブル1[[#This Row],[リンク]]&amp;"}|"</f>
        <v>|MIDDLE:​&amp;link(配布所はこちら){​https://moqujc.wixsite.com/mqtop}|</v>
      </c>
    </row>
    <row r="103" spans="1:24" ht="20.149999999999999" customHeight="1" x14ac:dyDescent="0.35">
      <c r="A103" s="20">
        <v>102</v>
      </c>
      <c r="B103" s="23" t="str">
        <f>SUBSTITUTE(SUBSTITUTE(SUBSTITUTE(SUBSTITUTE(SUBSTITUTE(SUBSTITUTE(SUBSTITUTE(SUBSTITUTE(LOWER(テーブル1[[#This Row],[Name]])," ","-"),".","-"),"&amp;","-"),"_","-"),"・","-"),"=","-"),"--","-"),"--","-")</f>
        <v>yamitsuka-kuroitsu</v>
      </c>
      <c r="C103" s="24" t="s">
        <v>78</v>
      </c>
      <c r="D103" s="23" t="s">
        <v>79</v>
      </c>
      <c r="E103" s="23" t="s">
        <v>80</v>
      </c>
      <c r="F103" s="27" t="s">
        <v>1628</v>
      </c>
      <c r="G103" s="23" t="s">
        <v>77</v>
      </c>
      <c r="M103" s="1" t="s">
        <v>1518</v>
      </c>
      <c r="N103" s="1" t="s">
        <v>1443</v>
      </c>
      <c r="O103" s="24" t="str">
        <f>テーブル1[[#This Row],[リンク]]&amp;テーブル1[[#This Row],[描画状況]]</f>
        <v>https://utau.kurotsuka.xyz済</v>
      </c>
      <c r="P103" s="17">
        <f>1-(COUNTIF(O:O,_xlfn.TEXTJOIN(",",TRUE,テーブル1[[#This Row],[リンク]],テーブル1[[#This Row],[描画状況]]))/COUNTIF(F:F,テーブル1[[#This Row],[リンク]]))</f>
        <v>1</v>
      </c>
      <c r="Q103" s="16" t="str">
        <f ca="1">IFERROR(IF(テーブル1[[#This Row],[描画状況]]="",RAND()+(テーブル1[[#This Row],[列2]]*100),""),RAND())</f>
        <v/>
      </c>
      <c r="R103" s="1" t="s">
        <v>12</v>
      </c>
      <c r="S103" s="24" t="str">
        <f ca="1">IF(AND(テーブル1[[#This Row],[描画状況]]="済",テーブル1[[#This Row],[投稿状況]]=""),RAND(),"")</f>
        <v/>
      </c>
      <c r="T103" s="23" t="str">
        <f>"|&amp;image("&amp;テーブル1[[#This Row],[画像]]&amp;".png,width=100,height=100)"</f>
        <v>|&amp;image(yamitsuka-kuroitsu.png,width=100,height=100)</v>
      </c>
      <c r="U103" s="23" t="str">
        <f>"|MIDDLE:​"&amp;テーブル1[[#This Row],[名前]]</f>
        <v>|MIDDLE:​闇塚黒逸</v>
      </c>
      <c r="V103" s="23" t="str">
        <f>"|MIDDLE:​"&amp;テーブル1[[#This Row],[なまえ]]</f>
        <v>|MIDDLE:​やみつか くろいつ</v>
      </c>
      <c r="W103" s="23" t="str">
        <f>"|MIDDLE:​"&amp;テーブル1[[#This Row],[Name]]</f>
        <v>|MIDDLE:​Yamitsuka Kuroitsu</v>
      </c>
      <c r="X103" s="23" t="str">
        <f>"|MIDDLE:​&amp;link(配布所はこちら){​"&amp;テーブル1[[#This Row],[リンク]]&amp;"}|"</f>
        <v>|MIDDLE:​&amp;link(配布所はこちら){​https://utau.kurotsuka.xyz}|</v>
      </c>
    </row>
    <row r="104" spans="1:24" ht="20.149999999999999" customHeight="1" x14ac:dyDescent="0.35">
      <c r="A104" s="20">
        <v>103</v>
      </c>
      <c r="B104" s="23" t="str">
        <f>SUBSTITUTE(SUBSTITUTE(SUBSTITUTE(SUBSTITUTE(SUBSTITUTE(SUBSTITUTE(SUBSTITUTE(SUBSTITUTE(LOWER(テーブル1[[#This Row],[Name]])," ","-"),".","-"),"&amp;","-"),"_","-"),"・","-"),"=","-"),"--","-"),"--","-")</f>
        <v>yumeji-katari</v>
      </c>
      <c r="C104" s="24" t="s">
        <v>349</v>
      </c>
      <c r="D104" s="23" t="s">
        <v>350</v>
      </c>
      <c r="E104" s="23" t="s">
        <v>351</v>
      </c>
      <c r="F104" s="2" t="s">
        <v>347</v>
      </c>
      <c r="G104" s="23" t="s">
        <v>348</v>
      </c>
      <c r="H104" s="23" t="s">
        <v>1627</v>
      </c>
      <c r="I104" s="23" t="s">
        <v>1636</v>
      </c>
      <c r="J104" s="23" t="s">
        <v>1693</v>
      </c>
      <c r="K104" s="23" t="s">
        <v>1637</v>
      </c>
      <c r="N104" s="1" t="s">
        <v>1443</v>
      </c>
      <c r="O104" s="24" t="str">
        <f>テーブル1[[#This Row],[リンク]]&amp;テーブル1[[#This Row],[描画状況]]</f>
        <v>https://tourist100f.wixsite.com/utakata-kosyo済</v>
      </c>
      <c r="P104" s="17">
        <f>1-(COUNTIF(O:O,_xlfn.TEXTJOIN(",",TRUE,テーブル1[[#This Row],[リンク]],テーブル1[[#This Row],[描画状況]]))/COUNTIF(F:F,テーブル1[[#This Row],[リンク]]))</f>
        <v>1</v>
      </c>
      <c r="Q104" s="16" t="str">
        <f ca="1">IFERROR(IF(テーブル1[[#This Row],[描画状況]]="",RAND()+(テーブル1[[#This Row],[列2]]*100),""),RAND())</f>
        <v/>
      </c>
      <c r="R104" s="1" t="s">
        <v>12</v>
      </c>
      <c r="S104" s="24" t="str">
        <f ca="1">IF(AND(テーブル1[[#This Row],[描画状況]]="済",テーブル1[[#This Row],[投稿状況]]=""),RAND(),"")</f>
        <v/>
      </c>
      <c r="T104" s="23" t="str">
        <f>"|&amp;image("&amp;テーブル1[[#This Row],[画像]]&amp;".png,width=100,height=100)"</f>
        <v>|&amp;image(yumeji-katari.png,width=100,height=100)</v>
      </c>
      <c r="U104" s="23" t="str">
        <f>"|MIDDLE:​"&amp;テーブル1[[#This Row],[名前]]</f>
        <v>|MIDDLE:​夢路語</v>
      </c>
      <c r="V104" s="23" t="str">
        <f>"|MIDDLE:​"&amp;テーブル1[[#This Row],[なまえ]]</f>
        <v>|MIDDLE:​ゆめじ かたり</v>
      </c>
      <c r="W104" s="23" t="str">
        <f>"|MIDDLE:​"&amp;テーブル1[[#This Row],[Name]]</f>
        <v>|MIDDLE:​Yumeji Katari</v>
      </c>
      <c r="X104" s="23" t="str">
        <f>"|MIDDLE:​&amp;link(配布所はこちら){​"&amp;テーブル1[[#This Row],[リンク]]&amp;"}|"</f>
        <v>|MIDDLE:​&amp;link(配布所はこちら){​https://tourist100f.wixsite.com/utakata-kosyo}|</v>
      </c>
    </row>
    <row r="105" spans="1:24" ht="20.149999999999999" customHeight="1" x14ac:dyDescent="0.35">
      <c r="A105" s="20">
        <v>104</v>
      </c>
      <c r="B105" s="23" t="str">
        <f>SUBSTITUTE(SUBSTITUTE(SUBSTITUTE(SUBSTITUTE(SUBSTITUTE(SUBSTITUTE(SUBSTITUTE(SUBSTITUTE(LOWER(テーブル1[[#This Row],[Name]])," ","-"),".","-"),"&amp;","-"),"_","-"),"・","-"),"=","-"),"--","-"),"--","-")</f>
        <v>yuragine-rio</v>
      </c>
      <c r="C105" s="24" t="s">
        <v>230</v>
      </c>
      <c r="D105" s="23" t="s">
        <v>231</v>
      </c>
      <c r="E105" s="23" t="s">
        <v>232</v>
      </c>
      <c r="F105" s="2" t="s">
        <v>233</v>
      </c>
      <c r="G105" s="23" t="s">
        <v>234</v>
      </c>
      <c r="N105" s="1" t="s">
        <v>1443</v>
      </c>
      <c r="O105" s="24" t="str">
        <f>テーブル1[[#This Row],[リンク]]&amp;テーブル1[[#This Row],[描画状況]]</f>
        <v>https://nanyuanxiaojieji.wixsite.com/yuragine-kannsokujo済</v>
      </c>
      <c r="P105" s="17">
        <f>1-(COUNTIF(O:O,_xlfn.TEXTJOIN(",",TRUE,テーブル1[[#This Row],[リンク]],テーブル1[[#This Row],[描画状況]]))/COUNTIF(F:F,テーブル1[[#This Row],[リンク]]))</f>
        <v>1</v>
      </c>
      <c r="Q105" s="16" t="str">
        <f ca="1">IFERROR(IF(テーブル1[[#This Row],[描画状況]]="",RAND()+(テーブル1[[#This Row],[列2]]*100),""),RAND())</f>
        <v/>
      </c>
      <c r="R105" s="1" t="s">
        <v>12</v>
      </c>
      <c r="S105" s="24" t="str">
        <f ca="1">IF(AND(テーブル1[[#This Row],[描画状況]]="済",テーブル1[[#This Row],[投稿状況]]=""),RAND(),"")</f>
        <v/>
      </c>
      <c r="T105" s="23" t="str">
        <f>"|&amp;image("&amp;テーブル1[[#This Row],[画像]]&amp;".png,width=100,height=100)"</f>
        <v>|&amp;image(yuragine-rio.png,width=100,height=100)</v>
      </c>
      <c r="U105" s="23" t="str">
        <f>"|MIDDLE:​"&amp;テーブル1[[#This Row],[名前]]</f>
        <v>|MIDDLE:​揺音リオ</v>
      </c>
      <c r="V105" s="23" t="str">
        <f>"|MIDDLE:​"&amp;テーブル1[[#This Row],[なまえ]]</f>
        <v>|MIDDLE:​ゆらぎね りお</v>
      </c>
      <c r="W105" s="23" t="str">
        <f>"|MIDDLE:​"&amp;テーブル1[[#This Row],[Name]]</f>
        <v>|MIDDLE:​Yuragine Rio</v>
      </c>
      <c r="X105" s="23" t="str">
        <f>"|MIDDLE:​&amp;link(配布所はこちら){​"&amp;テーブル1[[#This Row],[リンク]]&amp;"}|"</f>
        <v>|MIDDLE:​&amp;link(配布所はこちら){​https://nanyuanxiaojieji.wixsite.com/yuragine-kannsokujo}|</v>
      </c>
    </row>
    <row r="106" spans="1:24" ht="20.149999999999999" customHeight="1" x14ac:dyDescent="0.35">
      <c r="A106" s="20">
        <v>105</v>
      </c>
      <c r="B106" s="23" t="str">
        <f>SUBSTITUTE(SUBSTITUTE(SUBSTITUTE(SUBSTITUTE(SUBSTITUTE(SUBSTITUTE(SUBSTITUTE(SUBSTITUTE(LOWER(テーブル1[[#This Row],[Name]])," ","-"),".","-"),"&amp;","-"),"_","-"),"・","-"),"=","-"),"--","-"),"--","-")</f>
        <v>yokune-ruko</v>
      </c>
      <c r="C106" s="24" t="s">
        <v>422</v>
      </c>
      <c r="D106" s="23" t="s">
        <v>423</v>
      </c>
      <c r="E106" s="23" t="s">
        <v>424</v>
      </c>
      <c r="F106" s="15" t="s">
        <v>1405</v>
      </c>
      <c r="G106" s="23" t="s">
        <v>425</v>
      </c>
      <c r="N106" s="1" t="s">
        <v>1443</v>
      </c>
      <c r="O106" s="24" t="str">
        <f>テーブル1[[#This Row],[リンク]]&amp;テーブル1[[#This Row],[描画状況]]</f>
        <v>https://long-sleeper.net済</v>
      </c>
      <c r="P106" s="17">
        <f>1-(COUNTIF(O:O,_xlfn.TEXTJOIN(",",TRUE,テーブル1[[#This Row],[リンク]],テーブル1[[#This Row],[描画状況]]))/COUNTIF(F:F,テーブル1[[#This Row],[リンク]]))</f>
        <v>1</v>
      </c>
      <c r="Q106" s="16" t="str">
        <f ca="1">IFERROR(IF(テーブル1[[#This Row],[描画状況]]="",RAND()+(テーブル1[[#This Row],[列2]]*100),""),RAND())</f>
        <v/>
      </c>
      <c r="R106" s="1" t="s">
        <v>12</v>
      </c>
      <c r="S106" s="24" t="str">
        <f ca="1">IF(AND(テーブル1[[#This Row],[描画状況]]="済",テーブル1[[#This Row],[投稿状況]]=""),RAND(),"")</f>
        <v/>
      </c>
      <c r="T106" s="23" t="str">
        <f>"|&amp;image("&amp;テーブル1[[#This Row],[画像]]&amp;".png,width=100,height=100)"</f>
        <v>|&amp;image(yokune-ruko.png,width=100,height=100)</v>
      </c>
      <c r="U106" s="23" t="str">
        <f>"|MIDDLE:​"&amp;テーブル1[[#This Row],[名前]]</f>
        <v>|MIDDLE:​欲音ルコ</v>
      </c>
      <c r="V106" s="23" t="str">
        <f>"|MIDDLE:​"&amp;テーブル1[[#This Row],[なまえ]]</f>
        <v>|MIDDLE:​よくね るこ</v>
      </c>
      <c r="W106" s="23" t="str">
        <f>"|MIDDLE:​"&amp;テーブル1[[#This Row],[Name]]</f>
        <v>|MIDDLE:​Yokune Ruko</v>
      </c>
      <c r="X106" s="23" t="str">
        <f>"|MIDDLE:​&amp;link(配布所はこちら){​"&amp;テーブル1[[#This Row],[リンク]]&amp;"}|"</f>
        <v>|MIDDLE:​&amp;link(配布所はこちら){​https://long-sleeper.net}|</v>
      </c>
    </row>
    <row r="107" spans="1:24" ht="20.149999999999999" customHeight="1" x14ac:dyDescent="0.35">
      <c r="A107" s="20">
        <v>106</v>
      </c>
      <c r="B107" s="23" t="str">
        <f>SUBSTITUTE(SUBSTITUTE(SUBSTITUTE(SUBSTITUTE(SUBSTITUTE(SUBSTITUTE(SUBSTITUTE(SUBSTITUTE(LOWER(テーブル1[[#This Row],[Name]])," ","-"),".","-"),"&amp;","-"),"_","-"),"・","-"),"=","-"),"--","-"),"--","-")</f>
        <v>yomotsu-nichi</v>
      </c>
      <c r="C107" s="24" t="s">
        <v>250</v>
      </c>
      <c r="D107" s="23" t="s">
        <v>251</v>
      </c>
      <c r="E107" s="23" t="s">
        <v>252</v>
      </c>
      <c r="F107" s="2" t="s">
        <v>241</v>
      </c>
      <c r="G107" s="23" t="s">
        <v>242</v>
      </c>
      <c r="N107" s="1" t="s">
        <v>1443</v>
      </c>
      <c r="O107" s="24" t="str">
        <f>テーブル1[[#This Row],[リンク]]&amp;テーブル1[[#This Row],[描画状況]]</f>
        <v>https://nichikuniku1129063.wixsite.com/website-3済</v>
      </c>
      <c r="P107" s="17">
        <f>1-(COUNTIF(O:O,_xlfn.TEXTJOIN(",",TRUE,テーブル1[[#This Row],[リンク]],テーブル1[[#This Row],[描画状況]]))/COUNTIF(F:F,テーブル1[[#This Row],[リンク]]))</f>
        <v>1</v>
      </c>
      <c r="Q107" s="16" t="str">
        <f ca="1">IFERROR(IF(テーブル1[[#This Row],[描画状況]]="",RAND()+(テーブル1[[#This Row],[列2]]*100),""),RAND())</f>
        <v/>
      </c>
      <c r="R107" s="1" t="s">
        <v>12</v>
      </c>
      <c r="S107" s="24" t="str">
        <f ca="1">IF(AND(テーブル1[[#This Row],[描画状況]]="済",テーブル1[[#This Row],[投稿状況]]=""),RAND(),"")</f>
        <v/>
      </c>
      <c r="T107" s="23" t="str">
        <f>"|&amp;image("&amp;テーブル1[[#This Row],[画像]]&amp;".png,width=100,height=100)"</f>
        <v>|&amp;image(yomotsu-nichi.png,width=100,height=100)</v>
      </c>
      <c r="U107" s="23" t="str">
        <f>"|MIDDLE:​"&amp;テーブル1[[#This Row],[名前]]</f>
        <v>|MIDDLE:​​四方通ニチ</v>
      </c>
      <c r="V107" s="23" t="str">
        <f>"|MIDDLE:​"&amp;テーブル1[[#This Row],[なまえ]]</f>
        <v>|MIDDLE:​よもつ にち</v>
      </c>
      <c r="W107" s="23" t="str">
        <f>"|MIDDLE:​"&amp;テーブル1[[#This Row],[Name]]</f>
        <v>|MIDDLE:​Yomotsu Nichi</v>
      </c>
      <c r="X107" s="23" t="str">
        <f>"|MIDDLE:​&amp;link(配布所はこちら){​"&amp;テーブル1[[#This Row],[リンク]]&amp;"}|"</f>
        <v>|MIDDLE:​&amp;link(配布所はこちら){​https://nichikuniku1129063.wixsite.com/website-3}|</v>
      </c>
    </row>
    <row r="108" spans="1:24" ht="20.149999999999999" customHeight="1" x14ac:dyDescent="0.35">
      <c r="A108" s="20">
        <v>107</v>
      </c>
      <c r="B108" s="23" t="str">
        <f>SUBSTITUTE(SUBSTITUTE(SUBSTITUTE(SUBSTITUTE(SUBSTITUTE(SUBSTITUTE(SUBSTITUTE(SUBSTITUTE(LOWER(テーブル1[[#This Row],[Name]])," ","-"),".","-"),"&amp;","-"),"_","-"),"・","-"),"=","-"),"--","-"),"--","-")</f>
        <v>laro</v>
      </c>
      <c r="C108" s="24" t="s">
        <v>199</v>
      </c>
      <c r="D108" s="23" t="s">
        <v>200</v>
      </c>
      <c r="E108" s="23" t="s">
        <v>201</v>
      </c>
      <c r="F108" s="2" t="s">
        <v>202</v>
      </c>
      <c r="G108" s="23" t="s">
        <v>203</v>
      </c>
      <c r="N108" s="1" t="s">
        <v>1443</v>
      </c>
      <c r="O108" s="24" t="str">
        <f>テーブル1[[#This Row],[リンク]]&amp;テーブル1[[#This Row],[描画状況]]</f>
        <v>https://mareffys.wixsite.com/lalo済</v>
      </c>
      <c r="P108" s="17">
        <f>1-(COUNTIF(O:O,_xlfn.TEXTJOIN(",",TRUE,テーブル1[[#This Row],[リンク]],テーブル1[[#This Row],[描画状況]]))/COUNTIF(F:F,テーブル1[[#This Row],[リンク]]))</f>
        <v>1</v>
      </c>
      <c r="Q108" s="16" t="str">
        <f ca="1">IFERROR(IF(テーブル1[[#This Row],[描画状況]]="",RAND()+(テーブル1[[#This Row],[列2]]*100),""),RAND())</f>
        <v/>
      </c>
      <c r="R108" s="1" t="s">
        <v>12</v>
      </c>
      <c r="S108" s="24" t="str">
        <f ca="1">IF(AND(テーブル1[[#This Row],[描画状況]]="済",テーブル1[[#This Row],[投稿状況]]=""),RAND(),"")</f>
        <v/>
      </c>
      <c r="T108" s="23" t="str">
        <f>"|&amp;image("&amp;テーブル1[[#This Row],[画像]]&amp;".png,width=100,height=100)"</f>
        <v>|&amp;image(laro.png,width=100,height=100)</v>
      </c>
      <c r="U108" s="23" t="str">
        <f>"|MIDDLE:​"&amp;テーブル1[[#This Row],[名前]]</f>
        <v>|MIDDLE:​ラロ</v>
      </c>
      <c r="V108" s="23" t="str">
        <f>"|MIDDLE:​"&amp;テーブル1[[#This Row],[なまえ]]</f>
        <v>|MIDDLE:​らろ</v>
      </c>
      <c r="W108" s="23" t="str">
        <f>"|MIDDLE:​"&amp;テーブル1[[#This Row],[Name]]</f>
        <v>|MIDDLE:​Laro</v>
      </c>
      <c r="X108" s="23" t="str">
        <f>"|MIDDLE:​&amp;link(配布所はこちら){​"&amp;テーブル1[[#This Row],[リンク]]&amp;"}|"</f>
        <v>|MIDDLE:​&amp;link(配布所はこちら){​https://mareffys.wixsite.com/lalo}|</v>
      </c>
    </row>
    <row r="109" spans="1:24" ht="20.149999999999999" customHeight="1" x14ac:dyDescent="0.35">
      <c r="A109" s="20">
        <v>108</v>
      </c>
      <c r="B109" s="23" t="str">
        <f>SUBSTITUTE(SUBSTITUTE(SUBSTITUTE(SUBSTITUTE(SUBSTITUTE(SUBSTITUTE(SUBSTITUTE(SUBSTITUTE(LOWER(テーブル1[[#This Row],[Name]])," ","-"),".","-"),"&amp;","-"),"_","-"),"・","-"),"=","-"),"--","-"),"--","-")</f>
        <v>rivi-revace</v>
      </c>
      <c r="C109" s="24" t="s">
        <v>305</v>
      </c>
      <c r="D109" s="23" t="s">
        <v>306</v>
      </c>
      <c r="E109" s="23" t="s">
        <v>307</v>
      </c>
      <c r="F109" s="2" t="s">
        <v>292</v>
      </c>
      <c r="G109" s="23" t="s">
        <v>293</v>
      </c>
      <c r="H109" s="23" t="s">
        <v>1627</v>
      </c>
      <c r="I109" s="23" t="s">
        <v>1654</v>
      </c>
      <c r="J109" s="23" t="s">
        <v>1673</v>
      </c>
      <c r="L109" s="23" t="s">
        <v>1664</v>
      </c>
      <c r="M109" s="1" t="s">
        <v>1517</v>
      </c>
      <c r="N109" s="1" t="s">
        <v>1443</v>
      </c>
      <c r="O109" s="24" t="str">
        <f>テーブル1[[#This Row],[リンク]]&amp;テーブル1[[#This Row],[描画状況]]</f>
        <v>https://seirentoybox.jimdofree.com済</v>
      </c>
      <c r="P109" s="17">
        <f>1-(COUNTIF(O:O,_xlfn.TEXTJOIN(",",TRUE,テーブル1[[#This Row],[リンク]],テーブル1[[#This Row],[描画状況]]))/COUNTIF(F:F,テーブル1[[#This Row],[リンク]]))</f>
        <v>1</v>
      </c>
      <c r="Q109" s="16" t="str">
        <f ca="1">IFERROR(IF(テーブル1[[#This Row],[描画状況]]="",RAND()+(テーブル1[[#This Row],[列2]]*100),""),RAND())</f>
        <v/>
      </c>
      <c r="R109" s="1" t="s">
        <v>12</v>
      </c>
      <c r="S109" s="24" t="str">
        <f ca="1">IF(AND(テーブル1[[#This Row],[描画状況]]="済",テーブル1[[#This Row],[投稿状況]]=""),RAND(),"")</f>
        <v/>
      </c>
      <c r="T109" s="23" t="str">
        <f>"|&amp;image("&amp;テーブル1[[#This Row],[画像]]&amp;".png,width=100,height=100)"</f>
        <v>|&amp;image(rivi-revace.png,width=100,height=100)</v>
      </c>
      <c r="U109" s="23" t="str">
        <f>"|MIDDLE:​"&amp;テーブル1[[#This Row],[名前]]</f>
        <v>|MIDDLE:​リヴィ・リヴァーチェ</v>
      </c>
      <c r="V109" s="23" t="str">
        <f>"|MIDDLE:​"&amp;テーブル1[[#This Row],[なまえ]]</f>
        <v>|MIDDLE:​りゔぃ りゔぁーちぇ</v>
      </c>
      <c r="W109" s="23" t="str">
        <f>"|MIDDLE:​"&amp;テーブル1[[#This Row],[Name]]</f>
        <v>|MIDDLE:​Rivi Revace</v>
      </c>
      <c r="X109" s="23" t="str">
        <f>"|MIDDLE:​&amp;link(配布所はこちら){​"&amp;テーブル1[[#This Row],[リンク]]&amp;"}|"</f>
        <v>|MIDDLE:​&amp;link(配布所はこちら){​https://seirentoybox.jimdofree.com}|</v>
      </c>
    </row>
    <row r="110" spans="1:24" ht="20.149999999999999" customHeight="1" x14ac:dyDescent="0.35">
      <c r="A110" s="20">
        <v>109</v>
      </c>
      <c r="B110" s="23" t="str">
        <f>SUBSTITUTE(SUBSTITUTE(SUBSTITUTE(SUBSTITUTE(SUBSTITUTE(SUBSTITUTE(SUBSTITUTE(SUBSTITUTE(LOWER(テーブル1[[#This Row],[Name]])," ","-"),".","-"),"&amp;","-"),"_","-"),"・","-"),"=","-"),"--","-"),"--","-")</f>
        <v>rie</v>
      </c>
      <c r="C110" s="24" t="s">
        <v>146</v>
      </c>
      <c r="D110" s="23" t="s">
        <v>147</v>
      </c>
      <c r="E110" s="23" t="s">
        <v>148</v>
      </c>
      <c r="F110" s="2" t="s">
        <v>142</v>
      </c>
      <c r="G110" s="23" t="s">
        <v>143</v>
      </c>
      <c r="N110" s="1" t="s">
        <v>1443</v>
      </c>
      <c r="O110" s="24" t="str">
        <f>テーブル1[[#This Row],[リンク]]&amp;テーブル1[[#This Row],[描画状況]]</f>
        <v>https://kakokyu102krbs.wixsite.com/greenmilky済</v>
      </c>
      <c r="P110" s="17">
        <f>1-(COUNTIF(O:O,_xlfn.TEXTJOIN(",",TRUE,テーブル1[[#This Row],[リンク]],テーブル1[[#This Row],[描画状況]]))/COUNTIF(F:F,テーブル1[[#This Row],[リンク]]))</f>
        <v>1</v>
      </c>
      <c r="Q110" s="16" t="str">
        <f ca="1">IFERROR(IF(テーブル1[[#This Row],[描画状況]]="",RAND()+(テーブル1[[#This Row],[列2]]*100),""),RAND())</f>
        <v/>
      </c>
      <c r="R110" s="1" t="s">
        <v>12</v>
      </c>
      <c r="S110" s="24" t="str">
        <f ca="1">IF(AND(テーブル1[[#This Row],[描画状況]]="済",テーブル1[[#This Row],[投稿状況]]=""),RAND(),"")</f>
        <v/>
      </c>
      <c r="T110" s="23" t="str">
        <f>"|&amp;image("&amp;テーブル1[[#This Row],[画像]]&amp;".png,width=100,height=100)"</f>
        <v>|&amp;image(rie.png,width=100,height=100)</v>
      </c>
      <c r="U110" s="23" t="str">
        <f>"|MIDDLE:​"&amp;テーブル1[[#This Row],[名前]]</f>
        <v>|MIDDLE:​緑恵</v>
      </c>
      <c r="V110" s="23" t="str">
        <f>"|MIDDLE:​"&amp;テーブル1[[#This Row],[なまえ]]</f>
        <v>|MIDDLE:​りえ</v>
      </c>
      <c r="W110" s="23" t="str">
        <f>"|MIDDLE:​"&amp;テーブル1[[#This Row],[Name]]</f>
        <v>|MIDDLE:​Rie</v>
      </c>
      <c r="X110" s="23" t="str">
        <f>"|MIDDLE:​&amp;link(配布所はこちら){​"&amp;テーブル1[[#This Row],[リンク]]&amp;"}|"</f>
        <v>|MIDDLE:​&amp;link(配布所はこちら){​https://kakokyu102krbs.wixsite.com/greenmilky}|</v>
      </c>
    </row>
    <row r="111" spans="1:24" ht="20.149999999999999" customHeight="1" x14ac:dyDescent="0.35">
      <c r="A111" s="20">
        <v>110</v>
      </c>
      <c r="B111" s="23" t="str">
        <f>SUBSTITUTE(SUBSTITUTE(SUBSTITUTE(SUBSTITUTE(SUBSTITUTE(SUBSTITUTE(SUBSTITUTE(SUBSTITUTE(LOWER(テーブル1[[#This Row],[Name]])," ","-"),".","-"),"&amp;","-"),"_","-"),"・","-"),"=","-"),"--","-"),"--","-")</f>
        <v>rinyou-fuomi</v>
      </c>
      <c r="C111" s="24" t="s">
        <v>356</v>
      </c>
      <c r="D111" s="23" t="s">
        <v>357</v>
      </c>
      <c r="E111" s="23" t="s">
        <v>358</v>
      </c>
      <c r="F111" s="2" t="s">
        <v>354</v>
      </c>
      <c r="G111" s="23" t="s">
        <v>355</v>
      </c>
      <c r="N111" s="1" t="s">
        <v>1443</v>
      </c>
      <c r="O111" s="24" t="str">
        <f>テーブル1[[#This Row],[リンク]]&amp;テーブル1[[#This Row],[描画状況]]</f>
        <v>https://tsukimiya0728.wixsite.com/silverbullet済</v>
      </c>
      <c r="P111" s="17">
        <f>1-(COUNTIF(O:O,_xlfn.TEXTJOIN(",",TRUE,テーブル1[[#This Row],[リンク]],テーブル1[[#This Row],[描画状況]]))/COUNTIF(F:F,テーブル1[[#This Row],[リンク]]))</f>
        <v>1</v>
      </c>
      <c r="Q111" s="16" t="str">
        <f ca="1">IFERROR(IF(テーブル1[[#This Row],[描画状況]]="",RAND()+(テーブル1[[#This Row],[列2]]*100),""),RAND())</f>
        <v/>
      </c>
      <c r="R111" s="1" t="s">
        <v>12</v>
      </c>
      <c r="S111" s="24" t="str">
        <f ca="1">IF(AND(テーブル1[[#This Row],[描画状況]]="済",テーブル1[[#This Row],[投稿状況]]=""),RAND(),"")</f>
        <v/>
      </c>
      <c r="T111" s="23" t="str">
        <f>"|&amp;image("&amp;テーブル1[[#This Row],[画像]]&amp;".png,width=100,height=100)"</f>
        <v>|&amp;image(rinyou-fuomi.png,width=100,height=100)</v>
      </c>
      <c r="U111" s="23" t="str">
        <f>"|MIDDLE:​"&amp;テーブル1[[#This Row],[名前]]</f>
        <v>|MIDDLE:​燐葉フォミ</v>
      </c>
      <c r="V111" s="23" t="str">
        <f>"|MIDDLE:​"&amp;テーブル1[[#This Row],[なまえ]]</f>
        <v>|MIDDLE:​りんよう ふぉみ</v>
      </c>
      <c r="W111" s="23" t="str">
        <f>"|MIDDLE:​"&amp;テーブル1[[#This Row],[Name]]</f>
        <v>|MIDDLE:​Rinyou Fuomi</v>
      </c>
      <c r="X111" s="23" t="str">
        <f>"|MIDDLE:​&amp;link(配布所はこちら){​"&amp;テーブル1[[#This Row],[リンク]]&amp;"}|"</f>
        <v>|MIDDLE:​&amp;link(配布所はこちら){​https://tsukimiya0728.wixsite.com/silverbullet}|</v>
      </c>
    </row>
    <row r="112" spans="1:24" ht="20.149999999999999" customHeight="1" x14ac:dyDescent="0.35">
      <c r="A112" s="20">
        <v>111</v>
      </c>
      <c r="B112" s="23" t="str">
        <f>SUBSTITUTE(SUBSTITUTE(SUBSTITUTE(SUBSTITUTE(SUBSTITUTE(SUBSTITUTE(SUBSTITUTE(SUBSTITUTE(LOWER(テーブル1[[#This Row],[Name]])," ","-"),".","-"),"&amp;","-"),"_","-"),"・","-"),"=","-"),"--","-"),"--","-")</f>
        <v>reinrekodo</v>
      </c>
      <c r="C112" s="24" t="s">
        <v>72</v>
      </c>
      <c r="D112" s="23" t="s">
        <v>73</v>
      </c>
      <c r="E112" s="23" t="s">
        <v>74</v>
      </c>
      <c r="F112" s="2" t="s">
        <v>540</v>
      </c>
      <c r="G112" s="23" t="s">
        <v>71</v>
      </c>
      <c r="H112" s="23" t="s">
        <v>1627</v>
      </c>
      <c r="I112" s="23" t="s">
        <v>1654</v>
      </c>
      <c r="J112" s="23" t="s">
        <v>1711</v>
      </c>
      <c r="K112" s="23" t="s">
        <v>1713</v>
      </c>
      <c r="L112" s="23" t="s">
        <v>1660</v>
      </c>
      <c r="M112" s="1" t="s">
        <v>1517</v>
      </c>
      <c r="N112" s="1" t="s">
        <v>1443</v>
      </c>
      <c r="O112" s="24" t="str">
        <f>テーブル1[[#This Row],[リンク]]&amp;テーブル1[[#This Row],[描画状況]]</f>
        <v>https://bowlroll.net/user/980255済</v>
      </c>
      <c r="P112" s="17">
        <f>1-(COUNTIF(O:O,_xlfn.TEXTJOIN(",",TRUE,テーブル1[[#This Row],[リンク]],テーブル1[[#This Row],[描画状況]]))/COUNTIF(F:F,テーブル1[[#This Row],[リンク]]))</f>
        <v>1</v>
      </c>
      <c r="Q112" s="16" t="str">
        <f ca="1">IFERROR(IF(テーブル1[[#This Row],[描画状況]]="",RAND()+(テーブル1[[#This Row],[列2]]*100),""),RAND())</f>
        <v/>
      </c>
      <c r="R112" s="1" t="s">
        <v>12</v>
      </c>
      <c r="S112" s="24" t="str">
        <f ca="1">IF(AND(テーブル1[[#This Row],[描画状況]]="済",テーブル1[[#This Row],[投稿状況]]=""),RAND(),"")</f>
        <v/>
      </c>
      <c r="T112" s="23" t="str">
        <f>"|&amp;image("&amp;テーブル1[[#This Row],[画像]]&amp;".png,width=100,height=100)"</f>
        <v>|&amp;image(reinrekodo.png,width=100,height=100)</v>
      </c>
      <c r="U112" s="23" t="str">
        <f>"|MIDDLE:​"&amp;テーブル1[[#This Row],[名前]]</f>
        <v>|MIDDLE:​レインレコード</v>
      </c>
      <c r="V112" s="23" t="str">
        <f>"|MIDDLE:​"&amp;テーブル1[[#This Row],[なまえ]]</f>
        <v>|MIDDLE:​れいんれこーど</v>
      </c>
      <c r="W112" s="23" t="str">
        <f>"|MIDDLE:​"&amp;テーブル1[[#This Row],[Name]]</f>
        <v>|MIDDLE:​Reinrekodo</v>
      </c>
      <c r="X112" s="23" t="str">
        <f>"|MIDDLE:​&amp;link(配布所はこちら){​"&amp;テーブル1[[#This Row],[リンク]]&amp;"}|"</f>
        <v>|MIDDLE:​&amp;link(配布所はこちら){​https://bowlroll.net/user/980255}|</v>
      </c>
    </row>
    <row r="113" spans="1:24" ht="20.149999999999999" customHeight="1" x14ac:dyDescent="0.35">
      <c r="A113" s="20">
        <v>112</v>
      </c>
      <c r="B113" s="23" t="str">
        <f>SUBSTITUTE(SUBSTITUTE(SUBSTITUTE(SUBSTITUTE(SUBSTITUTE(SUBSTITUTE(SUBSTITUTE(SUBSTITUTE(LOWER(テーブル1[[#This Row],[Name]])," ","-"),".","-"),"&amp;","-"),"_","-"),"・","-"),"=","-"),"--","-"),"--","-")</f>
        <v>rayon</v>
      </c>
      <c r="C113" s="24" t="s">
        <v>95</v>
      </c>
      <c r="D113" s="23" t="s">
        <v>96</v>
      </c>
      <c r="E113" s="23" t="s">
        <v>97</v>
      </c>
      <c r="F113" s="2" t="s">
        <v>93</v>
      </c>
      <c r="G113" s="23" t="s">
        <v>94</v>
      </c>
      <c r="H113" s="23" t="s">
        <v>1626</v>
      </c>
      <c r="I113" s="23" t="s">
        <v>1636</v>
      </c>
      <c r="J113" s="23" t="s">
        <v>1642</v>
      </c>
      <c r="K113" s="23" t="s">
        <v>1643</v>
      </c>
      <c r="L113" s="23" t="s">
        <v>1644</v>
      </c>
      <c r="M113" s="1" t="s">
        <v>1518</v>
      </c>
      <c r="N113" s="1" t="s">
        <v>1443</v>
      </c>
      <c r="O113" s="24" t="str">
        <f>テーブル1[[#This Row],[リンク]]&amp;テーブル1[[#This Row],[描画状況]]</f>
        <v>https://cloudcatch1224.wixsite.com/godsfoot済</v>
      </c>
      <c r="P113" s="17">
        <f>1-(COUNTIF(O:O,_xlfn.TEXTJOIN(",",TRUE,テーブル1[[#This Row],[リンク]],テーブル1[[#This Row],[描画状況]]))/COUNTIF(F:F,テーブル1[[#This Row],[リンク]]))</f>
        <v>1</v>
      </c>
      <c r="Q113" s="16" t="str">
        <f ca="1">IFERROR(IF(テーブル1[[#This Row],[描画状況]]="",RAND()+(テーブル1[[#This Row],[列2]]*100),""),RAND())</f>
        <v/>
      </c>
      <c r="R113" s="1" t="s">
        <v>12</v>
      </c>
      <c r="S113" s="24" t="str">
        <f ca="1">IF(AND(テーブル1[[#This Row],[描画状況]]="済",テーブル1[[#This Row],[投稿状況]]=""),RAND(),"")</f>
        <v/>
      </c>
      <c r="T113" s="23" t="str">
        <f>"|&amp;image("&amp;テーブル1[[#This Row],[画像]]&amp;".png,width=100,height=100)"</f>
        <v>|&amp;image(rayon.png,width=100,height=100)</v>
      </c>
      <c r="U113" s="23" t="str">
        <f>"|MIDDLE:​"&amp;テーブル1[[#This Row],[名前]]</f>
        <v>|MIDDLE:​レーヨン</v>
      </c>
      <c r="V113" s="23" t="str">
        <f>"|MIDDLE:​"&amp;テーブル1[[#This Row],[なまえ]]</f>
        <v>|MIDDLE:​れーよん</v>
      </c>
      <c r="W113" s="23" t="str">
        <f>"|MIDDLE:​"&amp;テーブル1[[#This Row],[Name]]</f>
        <v>|MIDDLE:​Rayon</v>
      </c>
      <c r="X113" s="23" t="str">
        <f>"|MIDDLE:​&amp;link(配布所はこちら){​"&amp;テーブル1[[#This Row],[リンク]]&amp;"}|"</f>
        <v>|MIDDLE:​&amp;link(配布所はこちら){​https://cloudcatch1224.wixsite.com/godsfoot}|</v>
      </c>
    </row>
    <row r="114" spans="1:24" ht="20.149999999999999" customHeight="1" x14ac:dyDescent="0.35">
      <c r="A114" s="20">
        <v>113</v>
      </c>
      <c r="B114" s="23" t="str">
        <f>SUBSTITUTE(SUBSTITUTE(SUBSTITUTE(SUBSTITUTE(SUBSTITUTE(SUBSTITUTE(SUBSTITUTE(SUBSTITUTE(LOWER(テーブル1[[#This Row],[Name]])," ","-"),".","-"),"&amp;","-"),"_","-"),"・","-"),"=","-"),"--","-"),"--","-")</f>
        <v>kotone-setsuri</v>
      </c>
      <c r="C114" s="24" t="s">
        <v>1503</v>
      </c>
      <c r="D114" s="23" t="s">
        <v>449</v>
      </c>
      <c r="E114" s="23" t="s">
        <v>450</v>
      </c>
      <c r="F114" s="2" t="s">
        <v>54</v>
      </c>
      <c r="G114" s="23" t="s">
        <v>55</v>
      </c>
      <c r="M114" s="1" t="s">
        <v>1518</v>
      </c>
      <c r="N114" s="1" t="s">
        <v>1443</v>
      </c>
      <c r="O114" s="24" t="str">
        <f>テーブル1[[#This Row],[リンク]]&amp;テーブル1[[#This Row],[描画状況]]</f>
        <v>https://bellsworks.wixsite.com/bellsworks済</v>
      </c>
      <c r="P114" s="17">
        <f>1-(COUNTIF(O:O,_xlfn.TEXTJOIN(",",TRUE,テーブル1[[#This Row],[リンク]],テーブル1[[#This Row],[描画状況]]))/COUNTIF(F:F,テーブル1[[#This Row],[リンク]]))</f>
        <v>1</v>
      </c>
      <c r="Q114" s="16" t="str">
        <f ca="1">IFERROR(IF(テーブル1[[#This Row],[描画状況]]="",RAND()+(テーブル1[[#This Row],[列2]]*100),""),RAND())</f>
        <v/>
      </c>
      <c r="R114" s="1" t="s">
        <v>777</v>
      </c>
      <c r="S114" s="24" t="str">
        <f ca="1">IF(AND(テーブル1[[#This Row],[描画状況]]="済",テーブル1[[#This Row],[投稿状況]]=""),RAND(),"")</f>
        <v/>
      </c>
      <c r="T114" s="23" t="str">
        <f>"|&amp;image("&amp;テーブル1[[#This Row],[画像]]&amp;".png,width=100,height=100)"</f>
        <v>|&amp;image(kotone-setsuri.png,width=100,height=100)</v>
      </c>
      <c r="U114" s="23" t="str">
        <f>"|MIDDLE:​"&amp;テーブル1[[#This Row],[名前]]</f>
        <v>|MIDDLE:​琴音セツリ</v>
      </c>
      <c r="V114" s="23" t="str">
        <f>"|MIDDLE:​"&amp;テーブル1[[#This Row],[なまえ]]</f>
        <v>|MIDDLE:​ことね せつり</v>
      </c>
      <c r="W114" s="23" t="str">
        <f>"|MIDDLE:​"&amp;テーブル1[[#This Row],[Name]]</f>
        <v>|MIDDLE:​Kotone Setsuri</v>
      </c>
      <c r="X114" s="23" t="str">
        <f>"|MIDDLE:​&amp;link(配布所はこちら){​"&amp;テーブル1[[#This Row],[リンク]]&amp;"}|"</f>
        <v>|MIDDLE:​&amp;link(配布所はこちら){​https://bellsworks.wixsite.com/bellsworks}|</v>
      </c>
    </row>
    <row r="115" spans="1:24" ht="20.149999999999999" customHeight="1" x14ac:dyDescent="0.35">
      <c r="A115" s="20">
        <v>114</v>
      </c>
      <c r="B115" s="23" t="str">
        <f>SUBSTITUTE(SUBSTITUTE(SUBSTITUTE(SUBSTITUTE(SUBSTITUTE(SUBSTITUTE(SUBSTITUTE(SUBSTITUTE(LOWER(テーブル1[[#This Row],[Name]])," ","-"),".","-"),"&amp;","-"),"_","-"),"・","-"),"=","-"),"--","-"),"--","-")</f>
        <v>ine-mogu</v>
      </c>
      <c r="C115" s="24" t="s">
        <v>741</v>
      </c>
      <c r="D115" s="23" t="s">
        <v>742</v>
      </c>
      <c r="E115" s="23" t="s">
        <v>743</v>
      </c>
      <c r="F115" s="15" t="s">
        <v>744</v>
      </c>
      <c r="G115" s="23" t="str">
        <f>テーブル1[[#This Row],[名前]]&amp;"(UTAU)"</f>
        <v>飯音モグ(UTAU)</v>
      </c>
      <c r="M115" s="1" t="s">
        <v>1517</v>
      </c>
      <c r="N115" s="1" t="s">
        <v>1443</v>
      </c>
      <c r="O115" s="24" t="str">
        <f>テーブル1[[#This Row],[リンク]]&amp;テーブル1[[#This Row],[描画状況]]</f>
        <v>https://bowlroll.net/file/333777済</v>
      </c>
      <c r="P115" s="17">
        <f>1-(COUNTIF(O:O,_xlfn.TEXTJOIN(",",TRUE,テーブル1[[#This Row],[リンク]],テーブル1[[#This Row],[描画状況]]))/COUNTIF(F:F,テーブル1[[#This Row],[リンク]]))</f>
        <v>1</v>
      </c>
      <c r="Q115" s="16" t="str">
        <f ca="1">IFERROR(IF(テーブル1[[#This Row],[描画状況]]="",RAND()+(テーブル1[[#This Row],[列2]]*100),""),RAND())</f>
        <v/>
      </c>
      <c r="R115" s="1" t="s">
        <v>777</v>
      </c>
      <c r="S115" s="24" t="str">
        <f ca="1">IF(AND(テーブル1[[#This Row],[描画状況]]="済",テーブル1[[#This Row],[投稿状況]]=""),RAND(),"")</f>
        <v/>
      </c>
      <c r="T115" s="23" t="str">
        <f>"|&amp;image("&amp;テーブル1[[#This Row],[画像]]&amp;".png,width=100,height=100)"</f>
        <v>|&amp;image(ine-mogu.png,width=100,height=100)</v>
      </c>
      <c r="U115" s="23" t="str">
        <f>"|MIDDLE:​"&amp;テーブル1[[#This Row],[名前]]</f>
        <v>|MIDDLE:​飯音モグ</v>
      </c>
      <c r="V115" s="23" t="str">
        <f>"|MIDDLE:​"&amp;テーブル1[[#This Row],[なまえ]]</f>
        <v>|MIDDLE:​いいね もぐ</v>
      </c>
      <c r="W115" s="23" t="str">
        <f>"|MIDDLE:​"&amp;テーブル1[[#This Row],[Name]]</f>
        <v>|MIDDLE:​Ine Mogu</v>
      </c>
      <c r="X115" s="23" t="str">
        <f>"|MIDDLE:​&amp;link(配布所はこちら){​"&amp;テーブル1[[#This Row],[リンク]]&amp;"}|"</f>
        <v>|MIDDLE:​&amp;link(配布所はこちら){​https://bowlroll.net/file/333777}|</v>
      </c>
    </row>
    <row r="116" spans="1:24" ht="20.149999999999999" customHeight="1" x14ac:dyDescent="0.35">
      <c r="A116" s="20">
        <v>115</v>
      </c>
      <c r="B116" s="23" t="str">
        <f>SUBSTITUTE(SUBSTITUTE(SUBSTITUTE(SUBSTITUTE(SUBSTITUTE(SUBSTITUTE(SUBSTITUTE(SUBSTITUTE(LOWER(テーブル1[[#This Row],[Name]])," ","-"),".","-"),"&amp;","-"),"_","-"),"・","-"),"=","-"),"--","-"),"--","-")</f>
        <v>toranokoku-ame</v>
      </c>
      <c r="C116" s="24" t="s">
        <v>547</v>
      </c>
      <c r="D116" s="23" t="s">
        <v>548</v>
      </c>
      <c r="E116" s="23" t="s">
        <v>549</v>
      </c>
      <c r="F116" s="2" t="s">
        <v>237</v>
      </c>
      <c r="G116" s="23" t="s">
        <v>550</v>
      </c>
      <c r="N116" s="1" t="s">
        <v>1443</v>
      </c>
      <c r="O116" s="24" t="str">
        <f>テーブル1[[#This Row],[リンク]]&amp;テーブル1[[#This Row],[描画状況]]</f>
        <v>https://ne510channel.wixsite.com/website済</v>
      </c>
      <c r="P116" s="17">
        <f>1-(COUNTIF(O:O,_xlfn.TEXTJOIN(",",TRUE,テーブル1[[#This Row],[リンク]],テーブル1[[#This Row],[描画状況]]))/COUNTIF(F:F,テーブル1[[#This Row],[リンク]]))</f>
        <v>1</v>
      </c>
      <c r="Q116" s="16" t="str">
        <f ca="1">IFERROR(IF(テーブル1[[#This Row],[描画状況]]="",RAND()+(テーブル1[[#This Row],[列2]]*100),""),RAND())</f>
        <v/>
      </c>
      <c r="R116" s="1" t="s">
        <v>777</v>
      </c>
      <c r="S116" s="24" t="str">
        <f ca="1">IF(AND(テーブル1[[#This Row],[描画状況]]="済",テーブル1[[#This Row],[投稿状況]]=""),RAND(),"")</f>
        <v/>
      </c>
      <c r="T116" s="23" t="str">
        <f>"|&amp;image("&amp;テーブル1[[#This Row],[画像]]&amp;".png,width=100,height=100)"</f>
        <v>|&amp;image(toranokoku-ame.png,width=100,height=100)</v>
      </c>
      <c r="U116" s="23" t="str">
        <f>"|MIDDLE:​"&amp;テーブル1[[#This Row],[名前]]</f>
        <v>|MIDDLE:​寅ノ刻遭愛</v>
      </c>
      <c r="V116" s="23" t="str">
        <f>"|MIDDLE:​"&amp;テーブル1[[#This Row],[なまえ]]</f>
        <v>|MIDDLE:​とらのこく あめ</v>
      </c>
      <c r="W116" s="23" t="str">
        <f>"|MIDDLE:​"&amp;テーブル1[[#This Row],[Name]]</f>
        <v>|MIDDLE:​Toranokoku Ame</v>
      </c>
      <c r="X116" s="23" t="str">
        <f>"|MIDDLE:​&amp;link(配布所はこちら){​"&amp;テーブル1[[#This Row],[リンク]]&amp;"}|"</f>
        <v>|MIDDLE:​&amp;link(配布所はこちら){​https://ne510channel.wixsite.com/website}|</v>
      </c>
    </row>
    <row r="117" spans="1:24" ht="20.149999999999999" customHeight="1" x14ac:dyDescent="0.35">
      <c r="A117" s="20">
        <v>116</v>
      </c>
      <c r="B117" s="23" t="str">
        <f>SUBSTITUTE(SUBSTITUTE(SUBSTITUTE(SUBSTITUTE(SUBSTITUTE(SUBSTITUTE(SUBSTITUTE(SUBSTITUTE(LOWER(テーブル1[[#This Row],[Name]])," ","-"),".","-"),"&amp;","-"),"_","-"),"・","-"),"=","-"),"--","-"),"--","-")</f>
        <v>cotaro</v>
      </c>
      <c r="C117" s="24" t="s">
        <v>563</v>
      </c>
      <c r="D117" s="23" t="s">
        <v>564</v>
      </c>
      <c r="E117" s="23" t="s">
        <v>565</v>
      </c>
      <c r="F117" s="2" t="s">
        <v>93</v>
      </c>
      <c r="G117" s="23" t="s">
        <v>94</v>
      </c>
      <c r="H117" s="23" t="s">
        <v>1627</v>
      </c>
      <c r="I117" s="23" t="s">
        <v>1639</v>
      </c>
      <c r="J117" s="23" t="s">
        <v>1645</v>
      </c>
      <c r="K117" s="23" t="s">
        <v>1647</v>
      </c>
      <c r="L117" s="23" t="s">
        <v>1648</v>
      </c>
      <c r="M117" s="1" t="s">
        <v>1518</v>
      </c>
      <c r="N117" s="1" t="s">
        <v>1443</v>
      </c>
      <c r="O117" s="24" t="str">
        <f>テーブル1[[#This Row],[リンク]]&amp;テーブル1[[#This Row],[描画状況]]</f>
        <v>https://cloudcatch1224.wixsite.com/godsfoot済</v>
      </c>
      <c r="P117" s="17">
        <f>1-(COUNTIF(O:O,_xlfn.TEXTJOIN(",",TRUE,テーブル1[[#This Row],[リンク]],テーブル1[[#This Row],[描画状況]]))/COUNTIF(F:F,テーブル1[[#This Row],[リンク]]))</f>
        <v>1</v>
      </c>
      <c r="Q117" s="16" t="str">
        <f ca="1">IFERROR(IF(テーブル1[[#This Row],[描画状況]]="",RAND()+(テーブル1[[#This Row],[列2]]*100),""),RAND())</f>
        <v/>
      </c>
      <c r="R117" s="1" t="s">
        <v>777</v>
      </c>
      <c r="S117" s="24" t="str">
        <f ca="1">IF(AND(テーブル1[[#This Row],[描画状況]]="済",テーブル1[[#This Row],[投稿状況]]=""),RAND(),"")</f>
        <v/>
      </c>
      <c r="T117" s="23" t="str">
        <f>"|&amp;image("&amp;テーブル1[[#This Row],[画像]]&amp;".png,width=100,height=100)"</f>
        <v>|&amp;image(cotaro.png,width=100,height=100)</v>
      </c>
      <c r="U117" s="23" t="str">
        <f>"|MIDDLE:​"&amp;テーブル1[[#This Row],[名前]]</f>
        <v>|MIDDLE:​コタロー</v>
      </c>
      <c r="V117" s="23" t="str">
        <f>"|MIDDLE:​"&amp;テーブル1[[#This Row],[なまえ]]</f>
        <v>|MIDDLE:​こたろー</v>
      </c>
      <c r="W117" s="23" t="str">
        <f>"|MIDDLE:​"&amp;テーブル1[[#This Row],[Name]]</f>
        <v>|MIDDLE:​Cotaro</v>
      </c>
      <c r="X117" s="23" t="str">
        <f>"|MIDDLE:​&amp;link(配布所はこちら){​"&amp;テーブル1[[#This Row],[リンク]]&amp;"}|"</f>
        <v>|MIDDLE:​&amp;link(配布所はこちら){​https://cloudcatch1224.wixsite.com/godsfoot}|</v>
      </c>
    </row>
    <row r="118" spans="1:24" ht="20.149999999999999" customHeight="1" x14ac:dyDescent="0.35">
      <c r="A118" s="20">
        <v>117</v>
      </c>
      <c r="B118" s="23" t="str">
        <f>SUBSTITUTE(SUBSTITUTE(SUBSTITUTE(SUBSTITUTE(SUBSTITUTE(SUBSTITUTE(SUBSTITUTE(SUBSTITUTE(LOWER(テーブル1[[#This Row],[Name]])," ","-"),".","-"),"&amp;","-"),"_","-"),"・","-"),"=","-"),"--","-"),"--","-")</f>
        <v>ruteni</v>
      </c>
      <c r="C118" s="24" t="s">
        <v>461</v>
      </c>
      <c r="D118" s="23" t="s">
        <v>462</v>
      </c>
      <c r="E118" s="23" t="s">
        <v>463</v>
      </c>
      <c r="F118" s="2" t="s">
        <v>54</v>
      </c>
      <c r="G118" s="23" t="s">
        <v>55</v>
      </c>
      <c r="M118" s="1" t="s">
        <v>1518</v>
      </c>
      <c r="N118" s="1" t="s">
        <v>1443</v>
      </c>
      <c r="O118" s="24" t="str">
        <f>テーブル1[[#This Row],[リンク]]&amp;テーブル1[[#This Row],[描画状況]]</f>
        <v>https://bellsworks.wixsite.com/bellsworks済</v>
      </c>
      <c r="P118" s="17">
        <f>1-(COUNTIF(O:O,_xlfn.TEXTJOIN(",",TRUE,テーブル1[[#This Row],[リンク]],テーブル1[[#This Row],[描画状況]]))/COUNTIF(F:F,テーブル1[[#This Row],[リンク]]))</f>
        <v>1</v>
      </c>
      <c r="Q118" s="16" t="str">
        <f ca="1">IFERROR(IF(テーブル1[[#This Row],[描画状況]]="",RAND()+(テーブル1[[#This Row],[列2]]*100),""),RAND())</f>
        <v/>
      </c>
      <c r="R118" s="1" t="s">
        <v>777</v>
      </c>
      <c r="S118" s="24" t="str">
        <f ca="1">IF(AND(テーブル1[[#This Row],[描画状況]]="済",テーブル1[[#This Row],[投稿状況]]=""),RAND(),"")</f>
        <v/>
      </c>
      <c r="T118" s="23" t="str">
        <f>"|&amp;image("&amp;テーブル1[[#This Row],[画像]]&amp;".png,width=100,height=100)"</f>
        <v>|&amp;image(ruteni.png,width=100,height=100)</v>
      </c>
      <c r="U118" s="23" t="str">
        <f>"|MIDDLE:​"&amp;テーブル1[[#This Row],[名前]]</f>
        <v>|MIDDLE:​ルテニ</v>
      </c>
      <c r="V118" s="23" t="str">
        <f>"|MIDDLE:​"&amp;テーブル1[[#This Row],[なまえ]]</f>
        <v>|MIDDLE:​るてに</v>
      </c>
      <c r="W118" s="23" t="str">
        <f>"|MIDDLE:​"&amp;テーブル1[[#This Row],[Name]]</f>
        <v>|MIDDLE:​Ruteni</v>
      </c>
      <c r="X118" s="23" t="str">
        <f>"|MIDDLE:​&amp;link(配布所はこちら){​"&amp;テーブル1[[#This Row],[リンク]]&amp;"}|"</f>
        <v>|MIDDLE:​&amp;link(配布所はこちら){​https://bellsworks.wixsite.com/bellsworks}|</v>
      </c>
    </row>
    <row r="119" spans="1:24" ht="20.149999999999999" customHeight="1" x14ac:dyDescent="0.35">
      <c r="A119" s="20">
        <v>118</v>
      </c>
      <c r="B119" s="23" t="str">
        <f>SUBSTITUTE(SUBSTITUTE(SUBSTITUTE(SUBSTITUTE(SUBSTITUTE(SUBSTITUTE(SUBSTITUTE(SUBSTITUTE(LOWER(テーブル1[[#This Row],[Name]])," ","-"),".","-"),"&amp;","-"),"_","-"),"・","-"),"=","-"),"--","-"),"--","-")</f>
        <v>jigokudani-thoma</v>
      </c>
      <c r="C119" s="24" t="s">
        <v>668</v>
      </c>
      <c r="D119" s="23" t="s">
        <v>669</v>
      </c>
      <c r="E119" s="23" t="s">
        <v>670</v>
      </c>
      <c r="F119" s="15" t="s">
        <v>671</v>
      </c>
      <c r="G119" s="23" t="s">
        <v>672</v>
      </c>
      <c r="M119" s="1" t="s">
        <v>1517</v>
      </c>
      <c r="N119" s="1" t="s">
        <v>1443</v>
      </c>
      <c r="O119" s="24" t="str">
        <f>テーブル1[[#This Row],[リンク]]&amp;テーブル1[[#This Row],[描画状況]]</f>
        <v>https://flowerrocklove.wixsite.com/twilight-crisis済</v>
      </c>
      <c r="P119" s="17">
        <f>1-(COUNTIF(O:O,_xlfn.TEXTJOIN(",",TRUE,テーブル1[[#This Row],[リンク]],テーブル1[[#This Row],[描画状況]]))/COUNTIF(F:F,テーブル1[[#This Row],[リンク]]))</f>
        <v>1</v>
      </c>
      <c r="Q119" s="16" t="str">
        <f ca="1">IFERROR(IF(テーブル1[[#This Row],[描画状況]]="",RAND()+(テーブル1[[#This Row],[列2]]*100),""),RAND())</f>
        <v/>
      </c>
      <c r="R119" s="1" t="s">
        <v>777</v>
      </c>
      <c r="S119" s="24" t="str">
        <f ca="1">IF(AND(テーブル1[[#This Row],[描画状況]]="済",テーブル1[[#This Row],[投稿状況]]=""),RAND(),"")</f>
        <v/>
      </c>
      <c r="T119" s="23" t="str">
        <f>"|&amp;image("&amp;テーブル1[[#This Row],[画像]]&amp;".png,width=100,height=100)"</f>
        <v>|&amp;image(jigokudani-thoma.png,width=100,height=100)</v>
      </c>
      <c r="U119" s="23" t="str">
        <f>"|MIDDLE:​"&amp;テーブル1[[#This Row],[名前]]</f>
        <v>|MIDDLE:​地獄谷透馬</v>
      </c>
      <c r="V119" s="23" t="str">
        <f>"|MIDDLE:​"&amp;テーブル1[[#This Row],[なまえ]]</f>
        <v>|MIDDLE:​じごくだに とうま</v>
      </c>
      <c r="W119" s="23" t="str">
        <f>"|MIDDLE:​"&amp;テーブル1[[#This Row],[Name]]</f>
        <v>|MIDDLE:​Jigokudani Thoma</v>
      </c>
      <c r="X119" s="23" t="str">
        <f>"|MIDDLE:​&amp;link(配布所はこちら){​"&amp;テーブル1[[#This Row],[リンク]]&amp;"}|"</f>
        <v>|MIDDLE:​&amp;link(配布所はこちら){​https://flowerrocklove.wixsite.com/twilight-crisis}|</v>
      </c>
    </row>
    <row r="120" spans="1:24" ht="20.149999999999999" customHeight="1" x14ac:dyDescent="0.35">
      <c r="A120" s="20">
        <v>119</v>
      </c>
      <c r="B120" s="23" t="str">
        <f>SUBSTITUTE(SUBSTITUTE(SUBSTITUTE(SUBSTITUTE(SUBSTITUTE(SUBSTITUTE(SUBSTITUTE(SUBSTITUTE(LOWER(テーブル1[[#This Row],[Name]])," ","-"),".","-"),"&amp;","-"),"_","-"),"・","-"),"=","-"),"--","-"),"--","-")</f>
        <v>fuene-fue</v>
      </c>
      <c r="C120" s="24" t="s">
        <v>1504</v>
      </c>
      <c r="D120" s="23" t="s">
        <v>453</v>
      </c>
      <c r="E120" s="23" t="s">
        <v>454</v>
      </c>
      <c r="F120" s="2" t="s">
        <v>54</v>
      </c>
      <c r="G120" s="23" t="s">
        <v>55</v>
      </c>
      <c r="M120" s="1" t="s">
        <v>1518</v>
      </c>
      <c r="N120" s="1" t="s">
        <v>1443</v>
      </c>
      <c r="O120" s="24" t="str">
        <f>テーブル1[[#This Row],[リンク]]&amp;テーブル1[[#This Row],[描画状況]]</f>
        <v>https://bellsworks.wixsite.com/bellsworks済</v>
      </c>
      <c r="P120" s="17">
        <f>1-(COUNTIF(O:O,_xlfn.TEXTJOIN(",",TRUE,テーブル1[[#This Row],[リンク]],テーブル1[[#This Row],[描画状況]]))/COUNTIF(F:F,テーブル1[[#This Row],[リンク]]))</f>
        <v>1</v>
      </c>
      <c r="Q120" s="16" t="str">
        <f ca="1">IFERROR(IF(テーブル1[[#This Row],[描画状況]]="",RAND()+(テーブル1[[#This Row],[列2]]*100),""),RAND())</f>
        <v/>
      </c>
      <c r="R120" s="1" t="s">
        <v>777</v>
      </c>
      <c r="S120" s="24" t="str">
        <f ca="1">IF(AND(テーブル1[[#This Row],[描画状況]]="済",テーブル1[[#This Row],[投稿状況]]=""),RAND(),"")</f>
        <v/>
      </c>
      <c r="T120" s="23" t="str">
        <f>"|&amp;image("&amp;テーブル1[[#This Row],[画像]]&amp;".png,width=100,height=100)"</f>
        <v>|&amp;image(fuene-fue.png,width=100,height=100)</v>
      </c>
      <c r="U120" s="23" t="str">
        <f>"|MIDDLE:​"&amp;テーブル1[[#This Row],[名前]]</f>
        <v>|MIDDLE:​笛音フエ</v>
      </c>
      <c r="V120" s="23" t="str">
        <f>"|MIDDLE:​"&amp;テーブル1[[#This Row],[なまえ]]</f>
        <v>|MIDDLE:​ふえね ふえ</v>
      </c>
      <c r="W120" s="23" t="str">
        <f>"|MIDDLE:​"&amp;テーブル1[[#This Row],[Name]]</f>
        <v>|MIDDLE:​Fuene Fue</v>
      </c>
      <c r="X120" s="23" t="str">
        <f>"|MIDDLE:​&amp;link(配布所はこちら){​"&amp;テーブル1[[#This Row],[リンク]]&amp;"}|"</f>
        <v>|MIDDLE:​&amp;link(配布所はこちら){​https://bellsworks.wixsite.com/bellsworks}|</v>
      </c>
    </row>
    <row r="121" spans="1:24" ht="20.149999999999999" customHeight="1" x14ac:dyDescent="0.35">
      <c r="A121" s="20">
        <v>120</v>
      </c>
      <c r="B121" s="23" t="str">
        <f>SUBSTITUTE(SUBSTITUTE(SUBSTITUTE(SUBSTITUTE(SUBSTITUTE(SUBSTITUTE(SUBSTITUTE(SUBSTITUTE(LOWER(テーブル1[[#This Row],[Name]])," ","-"),".","-"),"&amp;","-"),"_","-"),"・","-"),"=","-"),"--","-"),"--","-")</f>
        <v>pechka</v>
      </c>
      <c r="C121" s="24" t="s">
        <v>652</v>
      </c>
      <c r="D121" s="23" t="s">
        <v>653</v>
      </c>
      <c r="E121" s="23" t="s">
        <v>654</v>
      </c>
      <c r="F121" s="2" t="s">
        <v>649</v>
      </c>
      <c r="G121" s="23" t="s">
        <v>651</v>
      </c>
      <c r="N121" s="1" t="s">
        <v>1443</v>
      </c>
      <c r="O121" s="24" t="str">
        <f>テーブル1[[#This Row],[リンク]]&amp;テーブル1[[#This Row],[描画状況]]</f>
        <v>https://mebisnori.wixsite.com/nori-mebis済</v>
      </c>
      <c r="P121" s="17">
        <f>1-(COUNTIF(O:O,_xlfn.TEXTJOIN(",",TRUE,テーブル1[[#This Row],[リンク]],テーブル1[[#This Row],[描画状況]]))/COUNTIF(F:F,テーブル1[[#This Row],[リンク]]))</f>
        <v>1</v>
      </c>
      <c r="Q121" s="16" t="str">
        <f ca="1">IFERROR(IF(テーブル1[[#This Row],[描画状況]]="",RAND()+(テーブル1[[#This Row],[列2]]*100),""),RAND())</f>
        <v/>
      </c>
      <c r="R121" s="1" t="s">
        <v>777</v>
      </c>
      <c r="S121" s="24" t="str">
        <f ca="1">IF(AND(テーブル1[[#This Row],[描画状況]]="済",テーブル1[[#This Row],[投稿状況]]=""),RAND(),"")</f>
        <v/>
      </c>
      <c r="T121" s="23" t="str">
        <f>"|&amp;image("&amp;テーブル1[[#This Row],[画像]]&amp;".png,width=100,height=100)"</f>
        <v>|&amp;image(pechka.png,width=100,height=100)</v>
      </c>
      <c r="U121" s="23" t="str">
        <f>"|MIDDLE:​"&amp;テーブル1[[#This Row],[名前]]</f>
        <v>|MIDDLE:​ペチカ</v>
      </c>
      <c r="V121" s="23" t="str">
        <f>"|MIDDLE:​"&amp;テーブル1[[#This Row],[なまえ]]</f>
        <v>|MIDDLE:​ぺちか</v>
      </c>
      <c r="W121" s="23" t="str">
        <f>"|MIDDLE:​"&amp;テーブル1[[#This Row],[Name]]</f>
        <v>|MIDDLE:​Pechka</v>
      </c>
      <c r="X121" s="23" t="str">
        <f>"|MIDDLE:​&amp;link(配布所はこちら){​"&amp;テーブル1[[#This Row],[リンク]]&amp;"}|"</f>
        <v>|MIDDLE:​&amp;link(配布所はこちら){​https://mebisnori.wixsite.com/nori-mebis}|</v>
      </c>
    </row>
    <row r="122" spans="1:24" ht="20.149999999999999" customHeight="1" x14ac:dyDescent="0.35">
      <c r="A122" s="20">
        <v>121</v>
      </c>
      <c r="B122" s="23" t="str">
        <f>SUBSTITUTE(SUBSTITUTE(SUBSTITUTE(SUBSTITUTE(SUBSTITUTE(SUBSTITUTE(SUBSTITUTE(SUBSTITUTE(LOWER(テーブル1[[#This Row],[Name]])," ","-"),".","-"),"&amp;","-"),"_","-"),"・","-"),"=","-"),"--","-"),"--","-")</f>
        <v>kurui-noise</v>
      </c>
      <c r="C122" s="24" t="s">
        <v>692</v>
      </c>
      <c r="D122" s="23" t="s">
        <v>693</v>
      </c>
      <c r="E122" s="23" t="s">
        <v>694</v>
      </c>
      <c r="F122" s="2" t="s">
        <v>690</v>
      </c>
      <c r="G122" s="23" t="s">
        <v>691</v>
      </c>
      <c r="N122" s="1" t="s">
        <v>1443</v>
      </c>
      <c r="O122" s="24" t="str">
        <f>テーブル1[[#This Row],[リンク]]&amp;テーブル1[[#This Row],[描画状況]]</f>
        <v>https://zakrotsukumo.wixsite.com/utau-zerozero済</v>
      </c>
      <c r="P122" s="17">
        <f>1-(COUNTIF(O:O,_xlfn.TEXTJOIN(",",TRUE,テーブル1[[#This Row],[リンク]],テーブル1[[#This Row],[描画状況]]))/COUNTIF(F:F,テーブル1[[#This Row],[リンク]]))</f>
        <v>1</v>
      </c>
      <c r="Q122" s="16" t="str">
        <f ca="1">IFERROR(IF(テーブル1[[#This Row],[描画状況]]="",RAND()+(テーブル1[[#This Row],[列2]]*100),""),RAND())</f>
        <v/>
      </c>
      <c r="R122" s="1" t="s">
        <v>777</v>
      </c>
      <c r="S122" s="24" t="str">
        <f ca="1">IF(AND(テーブル1[[#This Row],[描画状況]]="済",テーブル1[[#This Row],[投稿状況]]=""),RAND(),"")</f>
        <v/>
      </c>
      <c r="T122" s="23" t="str">
        <f>"|&amp;image("&amp;テーブル1[[#This Row],[画像]]&amp;".png,width=100,height=100)"</f>
        <v>|&amp;image(kurui-noise.png,width=100,height=100)</v>
      </c>
      <c r="U122" s="23" t="str">
        <f>"|MIDDLE:​"&amp;テーブル1[[#This Row],[名前]]</f>
        <v>|MIDDLE:​狂威ノイズ</v>
      </c>
      <c r="V122" s="23" t="str">
        <f>"|MIDDLE:​"&amp;テーブル1[[#This Row],[なまえ]]</f>
        <v>|MIDDLE:​くるい のいず</v>
      </c>
      <c r="W122" s="23" t="str">
        <f>"|MIDDLE:​"&amp;テーブル1[[#This Row],[Name]]</f>
        <v>|MIDDLE:​Kurui Noise</v>
      </c>
      <c r="X122" s="23" t="str">
        <f>"|MIDDLE:​&amp;link(配布所はこちら){​"&amp;テーブル1[[#This Row],[リンク]]&amp;"}|"</f>
        <v>|MIDDLE:​&amp;link(配布所はこちら){​https://zakrotsukumo.wixsite.com/utau-zerozero}|</v>
      </c>
    </row>
    <row r="123" spans="1:24" ht="20.149999999999999" customHeight="1" x14ac:dyDescent="0.35">
      <c r="A123" s="20">
        <v>122</v>
      </c>
      <c r="B123" s="23" t="str">
        <f>SUBSTITUTE(SUBSTITUTE(SUBSTITUTE(SUBSTITUTE(SUBSTITUTE(SUBSTITUTE(SUBSTITUTE(SUBSTITUTE(LOWER(テーブル1[[#This Row],[Name]])," ","-"),".","-"),"&amp;","-"),"_","-"),"・","-"),"=","-"),"--","-"),"--","-")</f>
        <v>tsuzune-tsuzu</v>
      </c>
      <c r="C123" s="24" t="s">
        <v>1505</v>
      </c>
      <c r="D123" s="23" t="s">
        <v>457</v>
      </c>
      <c r="E123" s="23" t="s">
        <v>458</v>
      </c>
      <c r="F123" s="2" t="s">
        <v>54</v>
      </c>
      <c r="G123" s="23" t="s">
        <v>55</v>
      </c>
      <c r="M123" s="1" t="s">
        <v>1518</v>
      </c>
      <c r="N123" s="1" t="s">
        <v>1443</v>
      </c>
      <c r="O123" s="24" t="str">
        <f>テーブル1[[#This Row],[リンク]]&amp;テーブル1[[#This Row],[描画状況]]</f>
        <v>https://bellsworks.wixsite.com/bellsworks済</v>
      </c>
      <c r="P123" s="17">
        <f>1-(COUNTIF(O:O,_xlfn.TEXTJOIN(",",TRUE,テーブル1[[#This Row],[リンク]],テーブル1[[#This Row],[描画状況]]))/COUNTIF(F:F,テーブル1[[#This Row],[リンク]]))</f>
        <v>1</v>
      </c>
      <c r="Q123" s="16" t="str">
        <f ca="1">IFERROR(IF(テーブル1[[#This Row],[描画状況]]="",RAND()+(テーブル1[[#This Row],[列2]]*100),""),RAND())</f>
        <v/>
      </c>
      <c r="R123" s="1" t="s">
        <v>777</v>
      </c>
      <c r="S123" s="24" t="str">
        <f ca="1">IF(AND(テーブル1[[#This Row],[描画状況]]="済",テーブル1[[#This Row],[投稿状況]]=""),RAND(),"")</f>
        <v/>
      </c>
      <c r="T123" s="23" t="str">
        <f>"|&amp;image("&amp;テーブル1[[#This Row],[画像]]&amp;".png,width=100,height=100)"</f>
        <v>|&amp;image(tsuzune-tsuzu.png,width=100,height=100)</v>
      </c>
      <c r="U123" s="23" t="str">
        <f>"|MIDDLE:​"&amp;テーブル1[[#This Row],[名前]]</f>
        <v>|MIDDLE:​鼓音ツヅ</v>
      </c>
      <c r="V123" s="23" t="str">
        <f>"|MIDDLE:​"&amp;テーブル1[[#This Row],[なまえ]]</f>
        <v>|MIDDLE:​つづね つづ</v>
      </c>
      <c r="W123" s="23" t="str">
        <f>"|MIDDLE:​"&amp;テーブル1[[#This Row],[Name]]</f>
        <v>|MIDDLE:​Tsuzune Tsuzu</v>
      </c>
      <c r="X123" s="23" t="str">
        <f>"|MIDDLE:​&amp;link(配布所はこちら){​"&amp;テーブル1[[#This Row],[リンク]]&amp;"}|"</f>
        <v>|MIDDLE:​&amp;link(配布所はこちら){​https://bellsworks.wixsite.com/bellsworks}|</v>
      </c>
    </row>
    <row r="124" spans="1:24" ht="20.149999999999999" customHeight="1" x14ac:dyDescent="0.35">
      <c r="A124" s="20">
        <v>123</v>
      </c>
      <c r="B124" s="23" t="str">
        <f>SUBSTITUTE(SUBSTITUTE(SUBSTITUTE(SUBSTITUTE(SUBSTITUTE(SUBSTITUTE(SUBSTITUTE(SUBSTITUTE(LOWER(テーブル1[[#This Row],[Name]])," ","-"),".","-"),"&amp;","-"),"_","-"),"・","-"),"=","-"),"--","-"),"--","-")</f>
        <v>naruse-mio</v>
      </c>
      <c r="C124" s="24" t="s">
        <v>478</v>
      </c>
      <c r="D124" s="23" t="s">
        <v>479</v>
      </c>
      <c r="E124" s="23" t="s">
        <v>480</v>
      </c>
      <c r="F124" s="15" t="s">
        <v>233</v>
      </c>
      <c r="G124" s="23" t="s">
        <v>234</v>
      </c>
      <c r="N124" s="1" t="s">
        <v>1443</v>
      </c>
      <c r="O124" s="24" t="str">
        <f>テーブル1[[#This Row],[リンク]]&amp;テーブル1[[#This Row],[描画状況]]</f>
        <v>https://nanyuanxiaojieji.wixsite.com/yuragine-kannsokujo済</v>
      </c>
      <c r="P124" s="17">
        <f>1-(COUNTIF(O:O,_xlfn.TEXTJOIN(",",TRUE,テーブル1[[#This Row],[リンク]],テーブル1[[#This Row],[描画状況]]))/COUNTIF(F:F,テーブル1[[#This Row],[リンク]]))</f>
        <v>1</v>
      </c>
      <c r="Q124" s="16" t="str">
        <f ca="1">IFERROR(IF(テーブル1[[#This Row],[描画状況]]="",RAND()+(テーブル1[[#This Row],[列2]]*100),""),RAND())</f>
        <v/>
      </c>
      <c r="R124" s="1" t="s">
        <v>777</v>
      </c>
      <c r="S124" s="24" t="str">
        <f ca="1">IF(AND(テーブル1[[#This Row],[描画状況]]="済",テーブル1[[#This Row],[投稿状況]]=""),RAND(),"")</f>
        <v/>
      </c>
      <c r="T124" s="23" t="str">
        <f>"|&amp;image("&amp;テーブル1[[#This Row],[画像]]&amp;".png,width=100,height=100)"</f>
        <v>|&amp;image(naruse-mio.png,width=100,height=100)</v>
      </c>
      <c r="U124" s="23" t="str">
        <f>"|MIDDLE:​"&amp;テーブル1[[#This Row],[名前]]</f>
        <v>|MIDDLE:​​成瀬ミオ</v>
      </c>
      <c r="V124" s="23" t="str">
        <f>"|MIDDLE:​"&amp;テーブル1[[#This Row],[なまえ]]</f>
        <v>|MIDDLE:​なるせ みお</v>
      </c>
      <c r="W124" s="23" t="str">
        <f>"|MIDDLE:​"&amp;テーブル1[[#This Row],[Name]]</f>
        <v>|MIDDLE:​Naruse Mio</v>
      </c>
      <c r="X124" s="23" t="str">
        <f>"|MIDDLE:​&amp;link(配布所はこちら){​"&amp;テーブル1[[#This Row],[リンク]]&amp;"}|"</f>
        <v>|MIDDLE:​&amp;link(配布所はこちら){​https://nanyuanxiaojieji.wixsite.com/yuragine-kannsokujo}|</v>
      </c>
    </row>
    <row r="125" spans="1:24" ht="20.149999999999999" customHeight="1" x14ac:dyDescent="0.35">
      <c r="A125" s="20">
        <v>124</v>
      </c>
      <c r="B125" s="23" t="str">
        <f>SUBSTITUTE(SUBSTITUTE(SUBSTITUTE(SUBSTITUTE(SUBSTITUTE(SUBSTITUTE(SUBSTITUTE(SUBSTITUTE(LOWER(テーブル1[[#This Row],[Name]])," ","-"),".","-"),"&amp;","-"),"_","-"),"・","-"),"=","-"),"--","-"),"--","-")</f>
        <v>reiichiro</v>
      </c>
      <c r="C125" s="24" t="s">
        <v>613</v>
      </c>
      <c r="D125" s="23" t="s">
        <v>614</v>
      </c>
      <c r="E125" s="23" t="s">
        <v>615</v>
      </c>
      <c r="F125" s="2" t="s">
        <v>202</v>
      </c>
      <c r="G125" s="23" t="s">
        <v>203</v>
      </c>
      <c r="N125" s="1" t="s">
        <v>1443</v>
      </c>
      <c r="O125" s="24" t="str">
        <f>テーブル1[[#This Row],[リンク]]&amp;テーブル1[[#This Row],[描画状況]]</f>
        <v>https://mareffys.wixsite.com/lalo済</v>
      </c>
      <c r="P125" s="17">
        <f>1-(COUNTIF(O:O,_xlfn.TEXTJOIN(",",TRUE,テーブル1[[#This Row],[リンク]],テーブル1[[#This Row],[描画状況]]))/COUNTIF(F:F,テーブル1[[#This Row],[リンク]]))</f>
        <v>1</v>
      </c>
      <c r="Q125" s="16" t="str">
        <f ca="1">IFERROR(IF(テーブル1[[#This Row],[描画状況]]="",RAND()+(テーブル1[[#This Row],[列2]]*100),""),RAND())</f>
        <v/>
      </c>
      <c r="R125" s="1" t="s">
        <v>777</v>
      </c>
      <c r="S125" s="24" t="str">
        <f ca="1">IF(AND(テーブル1[[#This Row],[描画状況]]="済",テーブル1[[#This Row],[投稿状況]]=""),RAND(),"")</f>
        <v/>
      </c>
      <c r="T125" s="23" t="str">
        <f>"|&amp;image("&amp;テーブル1[[#This Row],[画像]]&amp;".png,width=100,height=100)"</f>
        <v>|&amp;image(reiichiro.png,width=100,height=100)</v>
      </c>
      <c r="U125" s="23" t="str">
        <f>"|MIDDLE:​"&amp;テーブル1[[#This Row],[名前]]</f>
        <v>|MIDDLE:​レイイチロウ</v>
      </c>
      <c r="V125" s="23" t="str">
        <f>"|MIDDLE:​"&amp;テーブル1[[#This Row],[なまえ]]</f>
        <v>|MIDDLE:​れいいちろう</v>
      </c>
      <c r="W125" s="23" t="str">
        <f>"|MIDDLE:​"&amp;テーブル1[[#This Row],[Name]]</f>
        <v>|MIDDLE:​Reiichiro</v>
      </c>
      <c r="X125" s="23" t="str">
        <f>"|MIDDLE:​&amp;link(配布所はこちら){​"&amp;テーブル1[[#This Row],[リンク]]&amp;"}|"</f>
        <v>|MIDDLE:​&amp;link(配布所はこちら){​https://mareffys.wixsite.com/lalo}|</v>
      </c>
    </row>
    <row r="126" spans="1:24" ht="20.149999999999999" customHeight="1" x14ac:dyDescent="0.35">
      <c r="A126" s="20">
        <v>125</v>
      </c>
      <c r="B126" s="23" t="str">
        <f>SUBSTITUTE(SUBSTITUTE(SUBSTITUTE(SUBSTITUTE(SUBSTITUTE(SUBSTITUTE(SUBSTITUTE(SUBSTITUTE(LOWER(テーブル1[[#This Row],[Name]])," ","-"),".","-"),"&amp;","-"),"_","-"),"・","-"),"=","-"),"--","-"),"--","-")</f>
        <v>gaku</v>
      </c>
      <c r="C126" s="24" t="s">
        <v>1506</v>
      </c>
      <c r="D126" s="23" t="s">
        <v>726</v>
      </c>
      <c r="E126" s="23" t="s">
        <v>727</v>
      </c>
      <c r="F126" s="2" t="s">
        <v>729</v>
      </c>
      <c r="G126" s="23" t="s">
        <v>728</v>
      </c>
      <c r="N126" s="1" t="s">
        <v>1443</v>
      </c>
      <c r="O126" s="24" t="str">
        <f>テーブル1[[#This Row],[リンク]]&amp;テーブル1[[#This Row],[描画状況]]</f>
        <v>https://shiromeneko162.wixsite.com/shiromean-official済</v>
      </c>
      <c r="P126" s="17">
        <f>1-(COUNTIF(O:O,_xlfn.TEXTJOIN(",",TRUE,テーブル1[[#This Row],[リンク]],テーブル1[[#This Row],[描画状況]]))/COUNTIF(F:F,テーブル1[[#This Row],[リンク]]))</f>
        <v>1</v>
      </c>
      <c r="Q126" s="16" t="str">
        <f ca="1">IFERROR(IF(テーブル1[[#This Row],[描画状況]]="",RAND()+(テーブル1[[#This Row],[列2]]*100),""),RAND())</f>
        <v/>
      </c>
      <c r="R126" s="1" t="s">
        <v>777</v>
      </c>
      <c r="S126" s="24" t="str">
        <f ca="1">IF(AND(テーブル1[[#This Row],[描画状況]]="済",テーブル1[[#This Row],[投稿状況]]=""),RAND(),"")</f>
        <v/>
      </c>
      <c r="T126" s="23" t="str">
        <f>"|&amp;image("&amp;テーブル1[[#This Row],[画像]]&amp;".png,width=100,height=100)"</f>
        <v>|&amp;image(gaku.png,width=100,height=100)</v>
      </c>
      <c r="U126" s="23" t="str">
        <f>"|MIDDLE:​"&amp;テーブル1[[#This Row],[名前]]</f>
        <v>|MIDDLE:​​諤</v>
      </c>
      <c r="V126" s="23" t="str">
        <f>"|MIDDLE:​"&amp;テーブル1[[#This Row],[なまえ]]</f>
        <v>|MIDDLE:​がく</v>
      </c>
      <c r="W126" s="23" t="str">
        <f>"|MIDDLE:​"&amp;テーブル1[[#This Row],[Name]]</f>
        <v>|MIDDLE:​Gaku</v>
      </c>
      <c r="X126" s="23" t="str">
        <f>"|MIDDLE:​&amp;link(配布所はこちら){​"&amp;テーブル1[[#This Row],[リンク]]&amp;"}|"</f>
        <v>|MIDDLE:​&amp;link(配布所はこちら){​https://shiromeneko162.wixsite.com/shiromean-official}|</v>
      </c>
    </row>
    <row r="127" spans="1:24" ht="20.149999999999999" customHeight="1" x14ac:dyDescent="0.35">
      <c r="A127" s="20">
        <v>126</v>
      </c>
      <c r="B127" s="23" t="str">
        <f>SUBSTITUTE(SUBSTITUTE(SUBSTITUTE(SUBSTITUTE(SUBSTITUTE(SUBSTITUTE(SUBSTITUTE(SUBSTITUTE(LOWER(テーブル1[[#This Row],[Name]])," ","-"),".","-"),"&amp;","-"),"_","-"),"・","-"),"=","-"),"--","-"),"--","-")</f>
        <v>mikawaya</v>
      </c>
      <c r="C127" s="24" t="s">
        <v>663</v>
      </c>
      <c r="D127" s="23" t="s">
        <v>664</v>
      </c>
      <c r="E127" s="23" t="s">
        <v>665</v>
      </c>
      <c r="F127" s="2" t="s">
        <v>666</v>
      </c>
      <c r="G127" s="23" t="s">
        <v>667</v>
      </c>
      <c r="N127" s="1" t="s">
        <v>1443</v>
      </c>
      <c r="O127" s="24" t="str">
        <f>テーブル1[[#This Row],[リンク]]&amp;テーブル1[[#This Row],[描画状況]]</f>
        <v>https://mikawayanerutoko.jimdofree.com済</v>
      </c>
      <c r="P127" s="17">
        <f>1-(COUNTIF(O:O,_xlfn.TEXTJOIN(",",TRUE,テーブル1[[#This Row],[リンク]],テーブル1[[#This Row],[描画状況]]))/COUNTIF(F:F,テーブル1[[#This Row],[リンク]]))</f>
        <v>1</v>
      </c>
      <c r="Q127" s="16" t="str">
        <f ca="1">IFERROR(IF(テーブル1[[#This Row],[描画状況]]="",RAND()+(テーブル1[[#This Row],[列2]]*100),""),RAND())</f>
        <v/>
      </c>
      <c r="R127" s="1" t="s">
        <v>777</v>
      </c>
      <c r="S127" s="24" t="str">
        <f ca="1">IF(AND(テーブル1[[#This Row],[描画状況]]="済",テーブル1[[#This Row],[投稿状況]]=""),RAND(),"")</f>
        <v/>
      </c>
      <c r="T127" s="23" t="str">
        <f>"|&amp;image("&amp;テーブル1[[#This Row],[画像]]&amp;".png,width=100,height=100)"</f>
        <v>|&amp;image(mikawaya.png,width=100,height=100)</v>
      </c>
      <c r="U127" s="23" t="str">
        <f>"|MIDDLE:​"&amp;テーブル1[[#This Row],[名前]]</f>
        <v>|MIDDLE:​ミカワヤ</v>
      </c>
      <c r="V127" s="23" t="str">
        <f>"|MIDDLE:​"&amp;テーブル1[[#This Row],[なまえ]]</f>
        <v>|MIDDLE:​みかわや</v>
      </c>
      <c r="W127" s="23" t="str">
        <f>"|MIDDLE:​"&amp;テーブル1[[#This Row],[Name]]</f>
        <v>|MIDDLE:​Mikawaya</v>
      </c>
      <c r="X127" s="23" t="str">
        <f>"|MIDDLE:​&amp;link(配布所はこちら){​"&amp;テーブル1[[#This Row],[リンク]]&amp;"}|"</f>
        <v>|MIDDLE:​&amp;link(配布所はこちら){​https://mikawayanerutoko.jimdofree.com}|</v>
      </c>
    </row>
    <row r="128" spans="1:24" ht="20.149999999999999" customHeight="1" x14ac:dyDescent="0.35">
      <c r="A128" s="20">
        <v>127</v>
      </c>
      <c r="B128" s="23" t="str">
        <f>SUBSTITUTE(SUBSTITUTE(SUBSTITUTE(SUBSTITUTE(SUBSTITUTE(SUBSTITUTE(SUBSTITUTE(SUBSTITUTE(LOWER(テーブル1[[#This Row],[Name]])," ","-"),".","-"),"&amp;","-"),"_","-"),"・","-"),"=","-"),"--","-"),"--","-")</f>
        <v>koharu</v>
      </c>
      <c r="C128" s="24" t="s">
        <v>464</v>
      </c>
      <c r="D128" s="23" t="s">
        <v>465</v>
      </c>
      <c r="E128" s="23" t="s">
        <v>466</v>
      </c>
      <c r="F128" s="2" t="s">
        <v>54</v>
      </c>
      <c r="G128" s="23" t="s">
        <v>55</v>
      </c>
      <c r="M128" s="1" t="s">
        <v>1518</v>
      </c>
      <c r="N128" s="1" t="s">
        <v>1443</v>
      </c>
      <c r="O128" s="24" t="str">
        <f>テーブル1[[#This Row],[リンク]]&amp;テーブル1[[#This Row],[描画状況]]</f>
        <v>https://bellsworks.wixsite.com/bellsworks済</v>
      </c>
      <c r="P128" s="17">
        <f>1-(COUNTIF(O:O,_xlfn.TEXTJOIN(",",TRUE,テーブル1[[#This Row],[リンク]],テーブル1[[#This Row],[描画状況]]))/COUNTIF(F:F,テーブル1[[#This Row],[リンク]]))</f>
        <v>1</v>
      </c>
      <c r="Q128" s="16" t="str">
        <f ca="1">IFERROR(IF(テーブル1[[#This Row],[描画状況]]="",RAND()+(テーブル1[[#This Row],[列2]]*100),""),RAND())</f>
        <v/>
      </c>
      <c r="R128" s="1" t="s">
        <v>777</v>
      </c>
      <c r="S128" s="24" t="str">
        <f ca="1">IF(AND(テーブル1[[#This Row],[描画状況]]="済",テーブル1[[#This Row],[投稿状況]]=""),RAND(),"")</f>
        <v/>
      </c>
      <c r="T128" s="23" t="str">
        <f>"|&amp;image("&amp;テーブル1[[#This Row],[画像]]&amp;".png,width=100,height=100)"</f>
        <v>|&amp;image(koharu.png,width=100,height=100)</v>
      </c>
      <c r="U128" s="23" t="str">
        <f>"|MIDDLE:​"&amp;テーブル1[[#This Row],[名前]]</f>
        <v>|MIDDLE:​コハル</v>
      </c>
      <c r="V128" s="23" t="str">
        <f>"|MIDDLE:​"&amp;テーブル1[[#This Row],[なまえ]]</f>
        <v>|MIDDLE:​こはる</v>
      </c>
      <c r="W128" s="23" t="str">
        <f>"|MIDDLE:​"&amp;テーブル1[[#This Row],[Name]]</f>
        <v>|MIDDLE:​Koharu</v>
      </c>
      <c r="X128" s="23" t="str">
        <f>"|MIDDLE:​&amp;link(配布所はこちら){​"&amp;テーブル1[[#This Row],[リンク]]&amp;"}|"</f>
        <v>|MIDDLE:​&amp;link(配布所はこちら){​https://bellsworks.wixsite.com/bellsworks}|</v>
      </c>
    </row>
    <row r="129" spans="1:24" ht="20.149999999999999" customHeight="1" x14ac:dyDescent="0.35">
      <c r="A129" s="20">
        <v>128</v>
      </c>
      <c r="B129" s="23" t="str">
        <f>SUBSTITUTE(SUBSTITUTE(SUBSTITUTE(SUBSTITUTE(SUBSTITUTE(SUBSTITUTE(SUBSTITUTE(SUBSTITUTE(LOWER(テーブル1[[#This Row],[Name]])," ","-"),".","-"),"&amp;","-"),"_","-"),"・","-"),"=","-"),"--","-"),"--","-")</f>
        <v>kurohane-misora</v>
      </c>
      <c r="C129" s="24" t="s">
        <v>1507</v>
      </c>
      <c r="D129" s="23" t="s">
        <v>451</v>
      </c>
      <c r="E129" s="23" t="s">
        <v>452</v>
      </c>
      <c r="F129" s="2" t="s">
        <v>54</v>
      </c>
      <c r="G129" s="23" t="s">
        <v>55</v>
      </c>
      <c r="M129" s="1" t="s">
        <v>1518</v>
      </c>
      <c r="N129" s="1" t="s">
        <v>1443</v>
      </c>
      <c r="O129" s="24" t="str">
        <f>テーブル1[[#This Row],[リンク]]&amp;テーブル1[[#This Row],[描画状況]]</f>
        <v>https://bellsworks.wixsite.com/bellsworks済</v>
      </c>
      <c r="P129" s="17">
        <f>1-(COUNTIF(O:O,_xlfn.TEXTJOIN(",",TRUE,テーブル1[[#This Row],[リンク]],テーブル1[[#This Row],[描画状況]]))/COUNTIF(F:F,テーブル1[[#This Row],[リンク]]))</f>
        <v>1</v>
      </c>
      <c r="Q129" s="16" t="str">
        <f ca="1">IFERROR(IF(テーブル1[[#This Row],[描画状況]]="",RAND()+(テーブル1[[#This Row],[列2]]*100),""),RAND())</f>
        <v/>
      </c>
      <c r="R129" s="1" t="s">
        <v>777</v>
      </c>
      <c r="S129" s="24" t="str">
        <f ca="1">IF(AND(テーブル1[[#This Row],[描画状況]]="済",テーブル1[[#This Row],[投稿状況]]=""),RAND(),"")</f>
        <v/>
      </c>
      <c r="T129" s="23" t="str">
        <f>"|&amp;image("&amp;テーブル1[[#This Row],[画像]]&amp;".png,width=100,height=100)"</f>
        <v>|&amp;image(kurohane-misora.png,width=100,height=100)</v>
      </c>
      <c r="U129" s="23" t="str">
        <f>"|MIDDLE:​"&amp;テーブル1[[#This Row],[名前]]</f>
        <v>|MIDDLE:​黒羽みそら</v>
      </c>
      <c r="V129" s="23" t="str">
        <f>"|MIDDLE:​"&amp;テーブル1[[#This Row],[なまえ]]</f>
        <v>|MIDDLE:​くろはね みそら</v>
      </c>
      <c r="W129" s="23" t="str">
        <f>"|MIDDLE:​"&amp;テーブル1[[#This Row],[Name]]</f>
        <v>|MIDDLE:​Kurohane Misora</v>
      </c>
      <c r="X129" s="23" t="str">
        <f>"|MIDDLE:​&amp;link(配布所はこちら){​"&amp;テーブル1[[#This Row],[リンク]]&amp;"}|"</f>
        <v>|MIDDLE:​&amp;link(配布所はこちら){​https://bellsworks.wixsite.com/bellsworks}|</v>
      </c>
    </row>
    <row r="130" spans="1:24" ht="20.149999999999999" customHeight="1" x14ac:dyDescent="0.35">
      <c r="A130" s="20">
        <v>129</v>
      </c>
      <c r="B130" s="23" t="str">
        <f>SUBSTITUTE(SUBSTITUTE(SUBSTITUTE(SUBSTITUTE(SUBSTITUTE(SUBSTITUTE(SUBSTITUTE(SUBSTITUTE(LOWER(テーブル1[[#This Row],[Name]])," ","-"),".","-"),"&amp;","-"),"_","-"),"・","-"),"=","-"),"--","-"),"--","-")</f>
        <v>karane-hibiku</v>
      </c>
      <c r="C130" s="24" t="s">
        <v>508</v>
      </c>
      <c r="D130" s="23" t="s">
        <v>509</v>
      </c>
      <c r="E130" s="23" t="s">
        <v>510</v>
      </c>
      <c r="F130" s="2" t="s">
        <v>135</v>
      </c>
      <c r="G130" s="23" t="s">
        <v>136</v>
      </c>
      <c r="N130" s="1" t="s">
        <v>1443</v>
      </c>
      <c r="O130" s="24" t="str">
        <f>テーブル1[[#This Row],[リンク]]&amp;テーブル1[[#This Row],[描画状況]]</f>
        <v>https://kaitoramma.chu.jp済</v>
      </c>
      <c r="P130" s="17">
        <f>1-(COUNTIF(O:O,_xlfn.TEXTJOIN(",",TRUE,テーブル1[[#This Row],[リンク]],テーブル1[[#This Row],[描画状況]]))/COUNTIF(F:F,テーブル1[[#This Row],[リンク]]))</f>
        <v>1</v>
      </c>
      <c r="Q130" s="16" t="str">
        <f ca="1">IFERROR(IF(テーブル1[[#This Row],[描画状況]]="",RAND()+(テーブル1[[#This Row],[列2]]*100),""),RAND())</f>
        <v/>
      </c>
      <c r="R130" s="1" t="s">
        <v>777</v>
      </c>
      <c r="S130" s="24" t="str">
        <f ca="1">IF(AND(テーブル1[[#This Row],[描画状況]]="済",テーブル1[[#This Row],[投稿状況]]=""),RAND(),"")</f>
        <v/>
      </c>
      <c r="T130" s="23" t="str">
        <f>"|&amp;image("&amp;テーブル1[[#This Row],[画像]]&amp;".png,width=100,height=100)"</f>
        <v>|&amp;image(karane-hibiku.png,width=100,height=100)</v>
      </c>
      <c r="U130" s="23" t="str">
        <f>"|MIDDLE:​"&amp;テーブル1[[#This Row],[名前]]</f>
        <v>|MIDDLE:​空音響</v>
      </c>
      <c r="V130" s="23" t="str">
        <f>"|MIDDLE:​"&amp;テーブル1[[#This Row],[なまえ]]</f>
        <v>|MIDDLE:​からね ひびく</v>
      </c>
      <c r="W130" s="23" t="str">
        <f>"|MIDDLE:​"&amp;テーブル1[[#This Row],[Name]]</f>
        <v>|MIDDLE:​Karane Hibiku</v>
      </c>
      <c r="X130" s="23" t="str">
        <f>"|MIDDLE:​&amp;link(配布所はこちら){​"&amp;テーブル1[[#This Row],[リンク]]&amp;"}|"</f>
        <v>|MIDDLE:​&amp;link(配布所はこちら){​https://kaitoramma.chu.jp}|</v>
      </c>
    </row>
    <row r="131" spans="1:24" ht="20.149999999999999" customHeight="1" x14ac:dyDescent="0.35">
      <c r="A131" s="20">
        <v>130</v>
      </c>
      <c r="B131" s="23" t="str">
        <f>SUBSTITUTE(SUBSTITUTE(SUBSTITUTE(SUBSTITUTE(SUBSTITUTE(SUBSTITUTE(SUBSTITUTE(SUBSTITUTE(LOWER(テーブル1[[#This Row],[Name]])," ","-"),".","-"),"&amp;","-"),"_","-"),"・","-"),"=","-"),"--","-"),"--","-")</f>
        <v>wilbur</v>
      </c>
      <c r="C131" s="24" t="s">
        <v>629</v>
      </c>
      <c r="D131" s="23" t="s">
        <v>630</v>
      </c>
      <c r="E131" s="24" t="s">
        <v>629</v>
      </c>
      <c r="F131" s="2" t="s">
        <v>165</v>
      </c>
      <c r="G131" s="23" t="s">
        <v>166</v>
      </c>
      <c r="H131" s="23" t="s">
        <v>1627</v>
      </c>
      <c r="I131" s="23" t="s">
        <v>1636</v>
      </c>
      <c r="N131" s="1" t="s">
        <v>1443</v>
      </c>
      <c r="O131" s="24" t="str">
        <f>テーブル1[[#This Row],[リンク]]&amp;テーブル1[[#This Row],[描画状況]]</f>
        <v>https://kuroi9603.wixsite.com/delu-lab-south済</v>
      </c>
      <c r="P131" s="17">
        <f>1-(COUNTIF(O:O,_xlfn.TEXTJOIN(",",TRUE,テーブル1[[#This Row],[リンク]],テーブル1[[#This Row],[描画状況]]))/COUNTIF(F:F,テーブル1[[#This Row],[リンク]]))</f>
        <v>1</v>
      </c>
      <c r="Q131" s="16" t="str">
        <f ca="1">IFERROR(IF(テーブル1[[#This Row],[描画状況]]="",RAND()+(テーブル1[[#This Row],[列2]]*100),""),RAND())</f>
        <v/>
      </c>
      <c r="R131" s="1" t="s">
        <v>777</v>
      </c>
      <c r="S131" s="24" t="str">
        <f ca="1">IF(AND(テーブル1[[#This Row],[描画状況]]="済",テーブル1[[#This Row],[投稿状況]]=""),RAND(),"")</f>
        <v/>
      </c>
      <c r="T131" s="23" t="str">
        <f>"|&amp;image("&amp;テーブル1[[#This Row],[画像]]&amp;".png,width=100,height=100)"</f>
        <v>|&amp;image(wilbur.png,width=100,height=100)</v>
      </c>
      <c r="U131" s="23" t="str">
        <f>"|MIDDLE:​"&amp;テーブル1[[#This Row],[名前]]</f>
        <v>|MIDDLE:​Wilbur</v>
      </c>
      <c r="V131" s="23" t="str">
        <f>"|MIDDLE:​"&amp;テーブル1[[#This Row],[なまえ]]</f>
        <v>|MIDDLE:​うぃるばー</v>
      </c>
      <c r="W131" s="23" t="str">
        <f>"|MIDDLE:​"&amp;テーブル1[[#This Row],[Name]]</f>
        <v>|MIDDLE:​Wilbur</v>
      </c>
      <c r="X131" s="23" t="str">
        <f>"|MIDDLE:​&amp;link(配布所はこちら){​"&amp;テーブル1[[#This Row],[リンク]]&amp;"}|"</f>
        <v>|MIDDLE:​&amp;link(配布所はこちら){​https://kuroi9603.wixsite.com/delu-lab-south}|</v>
      </c>
    </row>
    <row r="132" spans="1:24" ht="20.149999999999999" customHeight="1" x14ac:dyDescent="0.35">
      <c r="A132" s="20">
        <v>131</v>
      </c>
      <c r="B132" s="23" t="str">
        <f>SUBSTITUTE(SUBSTITUTE(SUBSTITUTE(SUBSTITUTE(SUBSTITUTE(SUBSTITUTE(SUBSTITUTE(SUBSTITUTE(LOWER(テーブル1[[#This Row],[Name]])," ","-"),".","-"),"&amp;","-"),"_","-"),"・","-"),"=","-"),"--","-"),"--","-")</f>
        <v>minaawa-uyu</v>
      </c>
      <c r="C132" s="24" t="s">
        <v>685</v>
      </c>
      <c r="D132" s="23" t="s">
        <v>682</v>
      </c>
      <c r="E132" s="23" t="s">
        <v>683</v>
      </c>
      <c r="F132" s="2" t="s">
        <v>684</v>
      </c>
      <c r="G132" s="23" t="s">
        <v>686</v>
      </c>
      <c r="N132" s="1" t="s">
        <v>1443</v>
      </c>
      <c r="O132" s="24" t="str">
        <f>テーブル1[[#This Row],[リンク]]&amp;テーブル1[[#This Row],[描画状況]]</f>
        <v>https://okome32500.wixsite.com/onekomochi済</v>
      </c>
      <c r="P132" s="17">
        <f>1-(COUNTIF(O:O,_xlfn.TEXTJOIN(",",TRUE,テーブル1[[#This Row],[リンク]],テーブル1[[#This Row],[描画状況]]))/COUNTIF(F:F,テーブル1[[#This Row],[リンク]]))</f>
        <v>1</v>
      </c>
      <c r="Q132" s="16" t="str">
        <f ca="1">IFERROR(IF(テーブル1[[#This Row],[描画状況]]="",RAND()+(テーブル1[[#This Row],[列2]]*100),""),RAND())</f>
        <v/>
      </c>
      <c r="R132" s="1" t="s">
        <v>777</v>
      </c>
      <c r="S132" s="24" t="str">
        <f ca="1">IF(AND(テーブル1[[#This Row],[描画状況]]="済",テーブル1[[#This Row],[投稿状況]]=""),RAND(),"")</f>
        <v/>
      </c>
      <c r="T132" s="23" t="str">
        <f>"|&amp;image("&amp;テーブル1[[#This Row],[画像]]&amp;".png,width=100,height=100)"</f>
        <v>|&amp;image(minaawa-uyu.png,width=100,height=100)</v>
      </c>
      <c r="U132" s="23" t="str">
        <f>"|MIDDLE:​"&amp;テーブル1[[#This Row],[名前]]</f>
        <v>|MIDDLE:​水沫烏有</v>
      </c>
      <c r="V132" s="23" t="str">
        <f>"|MIDDLE:​"&amp;テーブル1[[#This Row],[なまえ]]</f>
        <v>|MIDDLE:​みなあわ うゆう</v>
      </c>
      <c r="W132" s="23" t="str">
        <f>"|MIDDLE:​"&amp;テーブル1[[#This Row],[Name]]</f>
        <v>|MIDDLE:​Minaawa Uyu</v>
      </c>
      <c r="X132" s="23" t="str">
        <f>"|MIDDLE:​&amp;link(配布所はこちら){​"&amp;テーブル1[[#This Row],[リンク]]&amp;"}|"</f>
        <v>|MIDDLE:​&amp;link(配布所はこちら){​https://okome32500.wixsite.com/onekomochi}|</v>
      </c>
    </row>
    <row r="133" spans="1:24" ht="20.149999999999999" customHeight="1" x14ac:dyDescent="0.35">
      <c r="A133" s="20">
        <v>132</v>
      </c>
      <c r="B133" s="23" t="str">
        <f>SUBSTITUTE(SUBSTITUTE(SUBSTITUTE(SUBSTITUTE(SUBSTITUTE(SUBSTITUTE(SUBSTITUTE(SUBSTITUTE(LOWER(テーブル1[[#This Row],[Name]])," ","-"),".","-"),"&amp;","-"),"_","-"),"・","-"),"=","-"),"--","-"),"--","-")</f>
        <v>komoriji-kyo</v>
      </c>
      <c r="C133" s="24" t="s">
        <v>531</v>
      </c>
      <c r="D133" s="23" t="s">
        <v>532</v>
      </c>
      <c r="E133" s="23" t="s">
        <v>533</v>
      </c>
      <c r="F133" s="2" t="s">
        <v>324</v>
      </c>
      <c r="G133" s="23" t="s">
        <v>325</v>
      </c>
      <c r="N133" s="1" t="s">
        <v>1443</v>
      </c>
      <c r="O133" s="24" t="str">
        <f>テーブル1[[#This Row],[リンク]]&amp;テーブル1[[#This Row],[描画状況]]</f>
        <v>https://suihankinonaka.wixsite.com/my-site-1済</v>
      </c>
      <c r="P133" s="17">
        <f>1-(COUNTIF(O:O,_xlfn.TEXTJOIN(",",TRUE,テーブル1[[#This Row],[リンク]],テーブル1[[#This Row],[描画状況]]))/COUNTIF(F:F,テーブル1[[#This Row],[リンク]]))</f>
        <v>1</v>
      </c>
      <c r="Q133" s="16" t="str">
        <f ca="1">IFERROR(IF(テーブル1[[#This Row],[描画状況]]="",RAND()+(テーブル1[[#This Row],[列2]]*100),""),RAND())</f>
        <v/>
      </c>
      <c r="R133" s="1" t="s">
        <v>777</v>
      </c>
      <c r="S133" s="24" t="str">
        <f ca="1">IF(AND(テーブル1[[#This Row],[描画状況]]="済",テーブル1[[#This Row],[投稿状況]]=""),RAND(),"")</f>
        <v/>
      </c>
      <c r="T133" s="23" t="str">
        <f>"|&amp;image("&amp;テーブル1[[#This Row],[画像]]&amp;".png,width=100,height=100)"</f>
        <v>|&amp;image(komoriji-kyo.png,width=100,height=100)</v>
      </c>
      <c r="U133" s="23" t="str">
        <f>"|MIDDLE:​"&amp;テーブル1[[#This Row],[名前]]</f>
        <v>|MIDDLE:​籠詞鮫</v>
      </c>
      <c r="V133" s="23" t="str">
        <f>"|MIDDLE:​"&amp;テーブル1[[#This Row],[なまえ]]</f>
        <v>|MIDDLE:​こもりじ きょう</v>
      </c>
      <c r="W133" s="23" t="str">
        <f>"|MIDDLE:​"&amp;テーブル1[[#This Row],[Name]]</f>
        <v>|MIDDLE:​Komoriji Kyo</v>
      </c>
      <c r="X133" s="23" t="str">
        <f>"|MIDDLE:​&amp;link(配布所はこちら){​"&amp;テーブル1[[#This Row],[リンク]]&amp;"}|"</f>
        <v>|MIDDLE:​&amp;link(配布所はこちら){​https://suihankinonaka.wixsite.com/my-site-1}|</v>
      </c>
    </row>
    <row r="134" spans="1:24" ht="20.149999999999999" customHeight="1" x14ac:dyDescent="0.35">
      <c r="A134" s="20">
        <v>133</v>
      </c>
      <c r="B134" s="23" t="str">
        <f>SUBSTITUTE(SUBSTITUTE(SUBSTITUTE(SUBSTITUTE(SUBSTITUTE(SUBSTITUTE(SUBSTITUTE(SUBSTITUTE(LOWER(テーブル1[[#This Row],[Name]])," ","-"),".","-"),"&amp;","-"),"_","-"),"・","-"),"=","-"),"--","-"),"--","-")</f>
        <v>yuragine-yui</v>
      </c>
      <c r="C134" s="24" t="s">
        <v>475</v>
      </c>
      <c r="D134" s="23" t="s">
        <v>476</v>
      </c>
      <c r="E134" s="23" t="s">
        <v>477</v>
      </c>
      <c r="F134" s="2" t="s">
        <v>233</v>
      </c>
      <c r="G134" s="23" t="s">
        <v>234</v>
      </c>
      <c r="N134" s="1" t="s">
        <v>1443</v>
      </c>
      <c r="O134" s="24" t="str">
        <f>テーブル1[[#This Row],[リンク]]&amp;テーブル1[[#This Row],[描画状況]]</f>
        <v>https://nanyuanxiaojieji.wixsite.com/yuragine-kannsokujo済</v>
      </c>
      <c r="P134" s="17">
        <f>1-(COUNTIF(O:O,_xlfn.TEXTJOIN(",",TRUE,テーブル1[[#This Row],[リンク]],テーブル1[[#This Row],[描画状況]]))/COUNTIF(F:F,テーブル1[[#This Row],[リンク]]))</f>
        <v>1</v>
      </c>
      <c r="Q134" s="16" t="str">
        <f ca="1">IFERROR(IF(テーブル1[[#This Row],[描画状況]]="",RAND()+(テーブル1[[#This Row],[列2]]*100),""),RAND())</f>
        <v/>
      </c>
      <c r="R134" s="1" t="s">
        <v>777</v>
      </c>
      <c r="S134" s="24" t="str">
        <f ca="1">IF(AND(テーブル1[[#This Row],[描画状況]]="済",テーブル1[[#This Row],[投稿状況]]=""),RAND(),"")</f>
        <v/>
      </c>
      <c r="T134" s="23" t="str">
        <f>"|&amp;image("&amp;テーブル1[[#This Row],[画像]]&amp;".png,width=100,height=100)"</f>
        <v>|&amp;image(yuragine-yui.png,width=100,height=100)</v>
      </c>
      <c r="U134" s="23" t="str">
        <f>"|MIDDLE:​"&amp;テーブル1[[#This Row],[名前]]</f>
        <v>|MIDDLE:​揺音ユイ</v>
      </c>
      <c r="V134" s="23" t="str">
        <f>"|MIDDLE:​"&amp;テーブル1[[#This Row],[なまえ]]</f>
        <v>|MIDDLE:​ゆらぎね ゆい</v>
      </c>
      <c r="W134" s="23" t="str">
        <f>"|MIDDLE:​"&amp;テーブル1[[#This Row],[Name]]</f>
        <v>|MIDDLE:​Yuragine Yui</v>
      </c>
      <c r="X134" s="23" t="str">
        <f>"|MIDDLE:​&amp;link(配布所はこちら){​"&amp;テーブル1[[#This Row],[リンク]]&amp;"}|"</f>
        <v>|MIDDLE:​&amp;link(配布所はこちら){​https://nanyuanxiaojieji.wixsite.com/yuragine-kannsokujo}|</v>
      </c>
    </row>
    <row r="135" spans="1:24" ht="20.149999999999999" customHeight="1" x14ac:dyDescent="0.35">
      <c r="A135" s="20">
        <v>134</v>
      </c>
      <c r="B135" s="23" t="str">
        <f>SUBSTITUTE(SUBSTITUTE(SUBSTITUTE(SUBSTITUTE(SUBSTITUTE(SUBSTITUTE(SUBSTITUTE(SUBSTITUTE(LOWER(テーブル1[[#This Row],[Name]])," ","-"),".","-"),"&amp;","-"),"_","-"),"・","-"),"=","-"),"--","-"),"--","-")</f>
        <v>konari-koharu</v>
      </c>
      <c r="C135" s="24" t="s">
        <v>1165</v>
      </c>
      <c r="D135" s="23" t="s">
        <v>1166</v>
      </c>
      <c r="E135" s="23" t="s">
        <v>1167</v>
      </c>
      <c r="F135" s="2" t="s">
        <v>1158</v>
      </c>
      <c r="G135" s="23" t="s">
        <v>1168</v>
      </c>
      <c r="N135" s="1" t="s">
        <v>1443</v>
      </c>
      <c r="O135" s="24" t="str">
        <f>テーブル1[[#This Row],[リンク]]&amp;テーブル1[[#This Row],[描画状況]]</f>
        <v>https://osomatsu-poid.wixsite.com/konari-san-chi済</v>
      </c>
      <c r="P135" s="17">
        <f>1-(COUNTIF(O:O,_xlfn.TEXTJOIN(",",TRUE,テーブル1[[#This Row],[リンク]],テーブル1[[#This Row],[描画状況]]))/COUNTIF(F:F,テーブル1[[#This Row],[リンク]]))</f>
        <v>1</v>
      </c>
      <c r="Q135" s="16" t="str">
        <f ca="1">IFERROR(IF(テーブル1[[#This Row],[描画状況]]="",RAND()+(テーブル1[[#This Row],[列2]]*100),""),RAND())</f>
        <v/>
      </c>
      <c r="R135" s="1" t="s">
        <v>1193</v>
      </c>
      <c r="S135" s="24" t="str">
        <f ca="1">IF(AND(テーブル1[[#This Row],[描画状況]]="済",テーブル1[[#This Row],[投稿状況]]=""),RAND(),"")</f>
        <v/>
      </c>
      <c r="T135" s="23" t="str">
        <f>"|&amp;image("&amp;テーブル1[[#This Row],[画像]]&amp;".png,width=100,height=100)"</f>
        <v>|&amp;image(konari-koharu.png,width=100,height=100)</v>
      </c>
      <c r="U135" s="23" t="str">
        <f>"|MIDDLE:​"&amp;テーブル1[[#This Row],[名前]]</f>
        <v>|MIDDLE:​狐鳴琴陽</v>
      </c>
      <c r="V135" s="23" t="str">
        <f>"|MIDDLE:​"&amp;テーブル1[[#This Row],[なまえ]]</f>
        <v>|MIDDLE:​こなり こはる</v>
      </c>
      <c r="W135" s="23" t="str">
        <f>"|MIDDLE:​"&amp;テーブル1[[#This Row],[Name]]</f>
        <v>|MIDDLE:​Konari Koharu</v>
      </c>
      <c r="X135" s="23" t="str">
        <f>"|MIDDLE:​&amp;link(配布所はこちら){​"&amp;テーブル1[[#This Row],[リンク]]&amp;"}|"</f>
        <v>|MIDDLE:​&amp;link(配布所はこちら){​https://osomatsu-poid.wixsite.com/konari-san-chi}|</v>
      </c>
    </row>
    <row r="136" spans="1:24" ht="20.149999999999999" customHeight="1" x14ac:dyDescent="0.35">
      <c r="A136" s="20">
        <v>135</v>
      </c>
      <c r="B136" s="23" t="str">
        <f>SUBSTITUTE(SUBSTITUTE(SUBSTITUTE(SUBSTITUTE(SUBSTITUTE(SUBSTITUTE(SUBSTITUTE(SUBSTITUTE(LOWER(テーブル1[[#This Row],[Name]])," ","-"),".","-"),"&amp;","-"),"_","-"),"・","-"),"=","-"),"--","-"),"--","-")</f>
        <v>kazukamachi-mera</v>
      </c>
      <c r="C136" s="24" t="s">
        <v>491</v>
      </c>
      <c r="D136" s="23" t="s">
        <v>492</v>
      </c>
      <c r="E136" s="23" t="s">
        <v>493</v>
      </c>
      <c r="F136" s="2" t="s">
        <v>494</v>
      </c>
      <c r="G136" s="23" t="s">
        <v>495</v>
      </c>
      <c r="N136" s="1" t="s">
        <v>1443</v>
      </c>
      <c r="O136" s="24" t="str">
        <f>テーブル1[[#This Row],[リンク]]&amp;テーブル1[[#This Row],[描画状況]]</f>
        <v>https://sites.google.com/view/fukuma-utau/top済</v>
      </c>
      <c r="P136" s="17">
        <f>1-(COUNTIF(O:O,_xlfn.TEXTJOIN(",",TRUE,テーブル1[[#This Row],[リンク]],テーブル1[[#This Row],[描画状況]]))/COUNTIF(F:F,テーブル1[[#This Row],[リンク]]))</f>
        <v>1</v>
      </c>
      <c r="Q136" s="16" t="str">
        <f ca="1">IFERROR(IF(テーブル1[[#This Row],[描画状況]]="",RAND()+(テーブル1[[#This Row],[列2]]*100),""),RAND())</f>
        <v/>
      </c>
      <c r="R136" s="1" t="s">
        <v>1193</v>
      </c>
      <c r="S136" s="24" t="str">
        <f ca="1">IF(AND(テーブル1[[#This Row],[描画状況]]="済",テーブル1[[#This Row],[投稿状況]]=""),RAND(),"")</f>
        <v/>
      </c>
      <c r="T136" s="23" t="str">
        <f>"|&amp;image("&amp;テーブル1[[#This Row],[画像]]&amp;".png,width=100,height=100)"</f>
        <v>|&amp;image(kazukamachi-mera.png,width=100,height=100)</v>
      </c>
      <c r="U136" s="23" t="str">
        <f>"|MIDDLE:​"&amp;テーブル1[[#This Row],[名前]]</f>
        <v>|MIDDLE:​花束町めら</v>
      </c>
      <c r="V136" s="23" t="str">
        <f>"|MIDDLE:​"&amp;テーブル1[[#This Row],[なまえ]]</f>
        <v>|MIDDLE:​かづかまち めら</v>
      </c>
      <c r="W136" s="23" t="str">
        <f>"|MIDDLE:​"&amp;テーブル1[[#This Row],[Name]]</f>
        <v>|MIDDLE:​kazukamachi Mera</v>
      </c>
      <c r="X136" s="23" t="str">
        <f>"|MIDDLE:​&amp;link(配布所はこちら){​"&amp;テーブル1[[#This Row],[リンク]]&amp;"}|"</f>
        <v>|MIDDLE:​&amp;link(配布所はこちら){​https://sites.google.com/view/fukuma-utau/top}|</v>
      </c>
    </row>
    <row r="137" spans="1:24" ht="20.149999999999999" customHeight="1" x14ac:dyDescent="0.35">
      <c r="A137" s="20">
        <v>136</v>
      </c>
      <c r="B137" s="23" t="str">
        <f>SUBSTITUTE(SUBSTITUTE(SUBSTITUTE(SUBSTITUTE(SUBSTITUTE(SUBSTITUTE(SUBSTITUTE(SUBSTITUTE(LOWER(テーブル1[[#This Row],[Name]])," ","-"),".","-"),"&amp;","-"),"_","-"),"・","-"),"=","-"),"--","-"),"--","-")</f>
        <v>aimai-merori</v>
      </c>
      <c r="C137" s="24" t="s">
        <v>534</v>
      </c>
      <c r="D137" s="23" t="s">
        <v>535</v>
      </c>
      <c r="E137" s="23" t="s">
        <v>536</v>
      </c>
      <c r="F137" s="2" t="s">
        <v>324</v>
      </c>
      <c r="G137" s="23" t="s">
        <v>325</v>
      </c>
      <c r="N137" s="1" t="s">
        <v>1443</v>
      </c>
      <c r="O137" s="24" t="str">
        <f>テーブル1[[#This Row],[リンク]]&amp;テーブル1[[#This Row],[描画状況]]</f>
        <v>https://suihankinonaka.wixsite.com/my-site-1済</v>
      </c>
      <c r="P137" s="17">
        <f>1-(COUNTIF(O:O,_xlfn.TEXTJOIN(",",TRUE,テーブル1[[#This Row],[リンク]],テーブル1[[#This Row],[描画状況]]))/COUNTIF(F:F,テーブル1[[#This Row],[リンク]]))</f>
        <v>1</v>
      </c>
      <c r="Q137" s="16" t="str">
        <f ca="1">IFERROR(IF(テーブル1[[#This Row],[描画状況]]="",RAND()+(テーブル1[[#This Row],[列2]]*100),""),RAND())</f>
        <v/>
      </c>
      <c r="R137" s="1" t="s">
        <v>1193</v>
      </c>
      <c r="S137" s="24" t="str">
        <f ca="1">IF(AND(テーブル1[[#This Row],[描画状況]]="済",テーブル1[[#This Row],[投稿状況]]=""),RAND(),"")</f>
        <v/>
      </c>
      <c r="T137" s="23" t="str">
        <f>"|&amp;image("&amp;テーブル1[[#This Row],[画像]]&amp;".png,width=100,height=100)"</f>
        <v>|&amp;image(aimai-merori.png,width=100,height=100)</v>
      </c>
      <c r="U137" s="23" t="str">
        <f>"|MIDDLE:​"&amp;テーブル1[[#This Row],[名前]]</f>
        <v>|MIDDLE:​曖米めろり</v>
      </c>
      <c r="V137" s="23" t="str">
        <f>"|MIDDLE:​"&amp;テーブル1[[#This Row],[なまえ]]</f>
        <v>|MIDDLE:​あいまい めろり</v>
      </c>
      <c r="W137" s="23" t="str">
        <f>"|MIDDLE:​"&amp;テーブル1[[#This Row],[Name]]</f>
        <v>|MIDDLE:​Aimai Merori</v>
      </c>
      <c r="X137" s="23" t="str">
        <f>"|MIDDLE:​&amp;link(配布所はこちら){​"&amp;テーブル1[[#This Row],[リンク]]&amp;"}|"</f>
        <v>|MIDDLE:​&amp;link(配布所はこちら){​https://suihankinonaka.wixsite.com/my-site-1}|</v>
      </c>
    </row>
    <row r="138" spans="1:24" ht="20.149999999999999" customHeight="1" x14ac:dyDescent="0.35">
      <c r="A138" s="20">
        <v>137</v>
      </c>
      <c r="B138" s="23" t="str">
        <f>SUBSTITUTE(SUBSTITUTE(SUBSTITUTE(SUBSTITUTE(SUBSTITUTE(SUBSTITUTE(SUBSTITUTE(SUBSTITUTE(LOWER(テーブル1[[#This Row],[Name]])," ","-"),".","-"),"&amp;","-"),"_","-"),"・","-"),"=","-"),"--","-"),"--","-")</f>
        <v>katanashi-zu</v>
      </c>
      <c r="C138" s="24" t="s">
        <v>585</v>
      </c>
      <c r="D138" s="23" t="s">
        <v>586</v>
      </c>
      <c r="E138" s="23" t="s">
        <v>587</v>
      </c>
      <c r="F138" s="2" t="s">
        <v>122</v>
      </c>
      <c r="G138" s="23" t="s">
        <v>123</v>
      </c>
      <c r="H138" s="23" t="s">
        <v>1626</v>
      </c>
      <c r="I138" s="23" t="s">
        <v>1688</v>
      </c>
      <c r="K138" s="23" t="s">
        <v>1692</v>
      </c>
      <c r="L138" s="23" t="s">
        <v>1690</v>
      </c>
      <c r="N138" s="1" t="s">
        <v>1443</v>
      </c>
      <c r="O138" s="24" t="str">
        <f>テーブル1[[#This Row],[リンク]]&amp;テーブル1[[#This Row],[描画状況]]</f>
        <v>https://inudanuki.wixsite.com/gottaniomotyabako済</v>
      </c>
      <c r="P138" s="17">
        <f>1-(COUNTIF(O:O,_xlfn.TEXTJOIN(",",TRUE,テーブル1[[#This Row],[リンク]],テーブル1[[#This Row],[描画状況]]))/COUNTIF(F:F,テーブル1[[#This Row],[リンク]]))</f>
        <v>1</v>
      </c>
      <c r="Q138" s="16" t="str">
        <f ca="1">IFERROR(IF(テーブル1[[#This Row],[描画状況]]="",RAND()+(テーブル1[[#This Row],[列2]]*100),""),RAND())</f>
        <v/>
      </c>
      <c r="R138" s="1" t="s">
        <v>1193</v>
      </c>
      <c r="S138" s="24" t="str">
        <f ca="1">IF(AND(テーブル1[[#This Row],[描画状況]]="済",テーブル1[[#This Row],[投稿状況]]=""),RAND(),"")</f>
        <v/>
      </c>
      <c r="T138" s="23" t="str">
        <f>"|&amp;image("&amp;テーブル1[[#This Row],[画像]]&amp;".png,width=100,height=100)"</f>
        <v>|&amp;image(katanashi-zu.png,width=100,height=100)</v>
      </c>
      <c r="U138" s="23" t="str">
        <f>"|MIDDLE:​"&amp;テーブル1[[#This Row],[名前]]</f>
        <v>|MIDDLE:​形亡ズゥ</v>
      </c>
      <c r="V138" s="23" t="str">
        <f>"|MIDDLE:​"&amp;テーブル1[[#This Row],[なまえ]]</f>
        <v>|MIDDLE:​かたなし ずぅ</v>
      </c>
      <c r="W138" s="23" t="str">
        <f>"|MIDDLE:​"&amp;テーブル1[[#This Row],[Name]]</f>
        <v>|MIDDLE:​Katanashi zu</v>
      </c>
      <c r="X138" s="23" t="str">
        <f>"|MIDDLE:​&amp;link(配布所はこちら){​"&amp;テーブル1[[#This Row],[リンク]]&amp;"}|"</f>
        <v>|MIDDLE:​&amp;link(配布所はこちら){​https://inudanuki.wixsite.com/gottaniomotyabako}|</v>
      </c>
    </row>
    <row r="139" spans="1:24" ht="20.149999999999999" customHeight="1" x14ac:dyDescent="0.35">
      <c r="A139" s="20">
        <v>138</v>
      </c>
      <c r="B139" s="23" t="str">
        <f>SUBSTITUTE(SUBSTITUTE(SUBSTITUTE(SUBSTITUTE(SUBSTITUTE(SUBSTITUTE(SUBSTITUTE(SUBSTITUTE(LOWER(テーブル1[[#This Row],[Name]])," ","-"),".","-"),"&amp;","-"),"_","-"),"・","-"),"=","-"),"--","-"),"--","-")</f>
        <v>ameuta-nimu</v>
      </c>
      <c r="C139" s="24" t="s">
        <v>925</v>
      </c>
      <c r="D139" s="23" t="s">
        <v>926</v>
      </c>
      <c r="E139" s="23" t="s">
        <v>927</v>
      </c>
      <c r="F139" s="2" t="s">
        <v>676</v>
      </c>
      <c r="G139" s="23" t="s">
        <v>677</v>
      </c>
      <c r="M139" s="1" t="s">
        <v>1517</v>
      </c>
      <c r="N139" s="1" t="s">
        <v>1443</v>
      </c>
      <c r="O139" s="24" t="str">
        <f>テーブル1[[#This Row],[リンク]]&amp;テーブル1[[#This Row],[描画状況]]</f>
        <v>https://ametro.jimdofree.com済</v>
      </c>
      <c r="P139" s="17">
        <f>1-(COUNTIF(O:O,_xlfn.TEXTJOIN(",",TRUE,テーブル1[[#This Row],[リンク]],テーブル1[[#This Row],[描画状況]]))/COUNTIF(F:F,テーブル1[[#This Row],[リンク]]))</f>
        <v>1</v>
      </c>
      <c r="Q139" s="16" t="str">
        <f ca="1">IFERROR(IF(テーブル1[[#This Row],[描画状況]]="",RAND()+(テーブル1[[#This Row],[列2]]*100),""),RAND())</f>
        <v/>
      </c>
      <c r="R139" s="1" t="s">
        <v>1193</v>
      </c>
      <c r="S139" s="24" t="str">
        <f ca="1">IF(AND(テーブル1[[#This Row],[描画状況]]="済",テーブル1[[#This Row],[投稿状況]]=""),RAND(),"")</f>
        <v/>
      </c>
      <c r="T139" s="23" t="str">
        <f>"|&amp;image("&amp;テーブル1[[#This Row],[画像]]&amp;".png,width=100,height=100)"</f>
        <v>|&amp;image(ameuta-nimu.png,width=100,height=100)</v>
      </c>
      <c r="U139" s="23" t="str">
        <f>"|MIDDLE:​"&amp;テーブル1[[#This Row],[名前]]</f>
        <v>|MIDDLE:​飴唄ニム</v>
      </c>
      <c r="V139" s="23" t="str">
        <f>"|MIDDLE:​"&amp;テーブル1[[#This Row],[なまえ]]</f>
        <v>|MIDDLE:​あめうた にむ</v>
      </c>
      <c r="W139" s="25" t="str">
        <f>"|MIDDLE:​"&amp;テーブル1[[#This Row],[Name]]</f>
        <v>|MIDDLE:​Ameuta Nimu</v>
      </c>
      <c r="X139" s="23" t="str">
        <f>"|MIDDLE:​&amp;link(配布所はこちら){​"&amp;テーブル1[[#This Row],[リンク]]&amp;"}|"</f>
        <v>|MIDDLE:​&amp;link(配布所はこちら){​https://ametro.jimdofree.com}|</v>
      </c>
    </row>
    <row r="140" spans="1:24" ht="20.149999999999999" customHeight="1" x14ac:dyDescent="0.35">
      <c r="A140" s="20">
        <v>139</v>
      </c>
      <c r="B140" s="23" t="str">
        <f>SUBSTITUTE(SUBSTITUTE(SUBSTITUTE(SUBSTITUTE(SUBSTITUTE(SUBSTITUTE(SUBSTITUTE(SUBSTITUTE(LOWER(テーブル1[[#This Row],[Name]])," ","-"),".","-"),"&amp;","-"),"_","-"),"・","-"),"=","-"),"--","-"),"--","-")</f>
        <v>suzuno-shion</v>
      </c>
      <c r="C140" s="24" t="s">
        <v>429</v>
      </c>
      <c r="D140" s="23" t="s">
        <v>430</v>
      </c>
      <c r="E140" s="23" t="s">
        <v>431</v>
      </c>
      <c r="F140" s="2" t="s">
        <v>54</v>
      </c>
      <c r="G140" s="23" t="s">
        <v>55</v>
      </c>
      <c r="M140" s="1" t="s">
        <v>1518</v>
      </c>
      <c r="N140" s="1" t="s">
        <v>1443</v>
      </c>
      <c r="O140" s="24" t="str">
        <f>テーブル1[[#This Row],[リンク]]&amp;テーブル1[[#This Row],[描画状況]]</f>
        <v>https://bellsworks.wixsite.com/bellsworks済</v>
      </c>
      <c r="P140" s="17">
        <f>1-(COUNTIF(O:O,_xlfn.TEXTJOIN(",",TRUE,テーブル1[[#This Row],[リンク]],テーブル1[[#This Row],[描画状況]]))/COUNTIF(F:F,テーブル1[[#This Row],[リンク]]))</f>
        <v>1</v>
      </c>
      <c r="Q140" s="16" t="str">
        <f ca="1">IFERROR(IF(テーブル1[[#This Row],[描画状況]]="",RAND()+(テーブル1[[#This Row],[列2]]*100),""),RAND())</f>
        <v/>
      </c>
      <c r="R140" s="1" t="s">
        <v>1193</v>
      </c>
      <c r="S140" s="24" t="str">
        <f ca="1">IF(AND(テーブル1[[#This Row],[描画状況]]="済",テーブル1[[#This Row],[投稿状況]]=""),RAND(),"")</f>
        <v/>
      </c>
      <c r="T140" s="23" t="str">
        <f>"|&amp;image("&amp;テーブル1[[#This Row],[画像]]&amp;".png,width=100,height=100)"</f>
        <v>|&amp;image(suzuno-shion.png,width=100,height=100)</v>
      </c>
      <c r="U140" s="23" t="str">
        <f>"|MIDDLE:​"&amp;テーブル1[[#This Row],[名前]]</f>
        <v>|MIDDLE:​鈴音シオン</v>
      </c>
      <c r="V140" s="23" t="str">
        <f>"|MIDDLE:​"&amp;テーブル1[[#This Row],[なまえ]]</f>
        <v>|MIDDLE:​すずの しおん</v>
      </c>
      <c r="W140" s="23" t="str">
        <f>"|MIDDLE:​"&amp;テーブル1[[#This Row],[Name]]</f>
        <v>|MIDDLE:​Suzuno Shion</v>
      </c>
      <c r="X140" s="23" t="str">
        <f>"|MIDDLE:​&amp;link(配布所はこちら){​"&amp;テーブル1[[#This Row],[リンク]]&amp;"}|"</f>
        <v>|MIDDLE:​&amp;link(配布所はこちら){​https://bellsworks.wixsite.com/bellsworks}|</v>
      </c>
    </row>
    <row r="141" spans="1:24" ht="20.149999999999999" customHeight="1" x14ac:dyDescent="0.35">
      <c r="A141" s="20">
        <v>140</v>
      </c>
      <c r="B141" s="23" t="str">
        <f>SUBSTITUTE(SUBSTITUTE(SUBSTITUTE(SUBSTITUTE(SUBSTITUTE(SUBSTITUTE(SUBSTITUTE(SUBSTITUTE(LOWER(テーブル1[[#This Row],[Name]])," ","-"),".","-"),"&amp;","-"),"_","-"),"・","-"),"=","-"),"--","-"),"--","-")</f>
        <v>gakusei-sho</v>
      </c>
      <c r="C141" s="24" t="s">
        <v>551</v>
      </c>
      <c r="D141" s="23" t="s">
        <v>552</v>
      </c>
      <c r="E141" s="23" t="s">
        <v>553</v>
      </c>
      <c r="F141" s="2" t="s">
        <v>554</v>
      </c>
      <c r="G141" s="23" t="s">
        <v>555</v>
      </c>
      <c r="M141" s="1" t="s">
        <v>1517</v>
      </c>
      <c r="N141" s="1" t="s">
        <v>1443</v>
      </c>
      <c r="O141" s="24" t="str">
        <f>テーブル1[[#This Row],[リンク]]&amp;テーブル1[[#This Row],[描画状況]]</f>
        <v>https://bowlroll.net/file/336695済</v>
      </c>
      <c r="P141" s="17">
        <f>1-(COUNTIF(O:O,_xlfn.TEXTJOIN(",",TRUE,テーブル1[[#This Row],[リンク]],テーブル1[[#This Row],[描画状況]]))/COUNTIF(F:F,テーブル1[[#This Row],[リンク]]))</f>
        <v>1</v>
      </c>
      <c r="Q141" s="16" t="str">
        <f ca="1">IFERROR(IF(テーブル1[[#This Row],[描画状況]]="",RAND()+(テーブル1[[#This Row],[列2]]*100),""),RAND())</f>
        <v/>
      </c>
      <c r="R141" s="1" t="s">
        <v>1193</v>
      </c>
      <c r="S141" s="24" t="str">
        <f ca="1">IF(AND(テーブル1[[#This Row],[描画状況]]="済",テーブル1[[#This Row],[投稿状況]]=""),RAND(),"")</f>
        <v/>
      </c>
      <c r="T141" s="23" t="str">
        <f>"|&amp;image("&amp;テーブル1[[#This Row],[画像]]&amp;".png,width=100,height=100)"</f>
        <v>|&amp;image(gakusei-sho.png,width=100,height=100)</v>
      </c>
      <c r="U141" s="23" t="str">
        <f>"|MIDDLE:​"&amp;テーブル1[[#This Row],[名前]]</f>
        <v>|MIDDLE:​学静ショウ</v>
      </c>
      <c r="V141" s="23" t="str">
        <f>"|MIDDLE:​"&amp;テーブル1[[#This Row],[なまえ]]</f>
        <v>|MIDDLE:​がくせい しょう</v>
      </c>
      <c r="W141" s="23" t="str">
        <f>"|MIDDLE:​"&amp;テーブル1[[#This Row],[Name]]</f>
        <v>|MIDDLE:​Gakusei Sho</v>
      </c>
      <c r="X141" s="23" t="str">
        <f>"|MIDDLE:​&amp;link(配布所はこちら){​"&amp;テーブル1[[#This Row],[リンク]]&amp;"}|"</f>
        <v>|MIDDLE:​&amp;link(配布所はこちら){​https://bowlroll.net/file/336695}|</v>
      </c>
    </row>
    <row r="142" spans="1:24" ht="20.149999999999999" customHeight="1" x14ac:dyDescent="0.35">
      <c r="A142" s="20">
        <v>141</v>
      </c>
      <c r="B142" s="23" t="str">
        <f>SUBSTITUTE(SUBSTITUTE(SUBSTITUTE(SUBSTITUTE(SUBSTITUTE(SUBSTITUTE(SUBSTITUTE(SUBSTITUTE(LOWER(テーブル1[[#This Row],[Name]])," ","-"),".","-"),"&amp;","-"),"_","-"),"・","-"),"=","-"),"--","-"),"--","-")</f>
        <v>mutsumi-q</v>
      </c>
      <c r="C142" s="24" t="s">
        <v>643</v>
      </c>
      <c r="D142" s="23" t="s">
        <v>644</v>
      </c>
      <c r="E142" s="23" t="s">
        <v>645</v>
      </c>
      <c r="F142" s="2" t="s">
        <v>641</v>
      </c>
      <c r="G142" s="23" t="s">
        <v>650</v>
      </c>
      <c r="N142" s="1" t="s">
        <v>1443</v>
      </c>
      <c r="O142" s="24" t="str">
        <f>テーブル1[[#This Row],[リンク]]&amp;テーブル1[[#This Row],[描画状況]]</f>
        <v>https://sites.google.com/view/qsuke-garden/home済</v>
      </c>
      <c r="P142" s="17">
        <f>1-(COUNTIF(O:O,_xlfn.TEXTJOIN(",",TRUE,テーブル1[[#This Row],[リンク]],テーブル1[[#This Row],[描画状況]]))/COUNTIF(F:F,テーブル1[[#This Row],[リンク]]))</f>
        <v>1</v>
      </c>
      <c r="Q142" s="16" t="str">
        <f ca="1">IFERROR(IF(テーブル1[[#This Row],[描画状況]]="",RAND()+(テーブル1[[#This Row],[列2]]*100),""),RAND())</f>
        <v/>
      </c>
      <c r="R142" s="1" t="s">
        <v>1193</v>
      </c>
      <c r="S142" s="24" t="str">
        <f ca="1">IF(AND(テーブル1[[#This Row],[描画状況]]="済",テーブル1[[#This Row],[投稿状況]]=""),RAND(),"")</f>
        <v/>
      </c>
      <c r="T142" s="23" t="str">
        <f>"|&amp;image("&amp;テーブル1[[#This Row],[画像]]&amp;".png,width=100,height=100)"</f>
        <v>|&amp;image(mutsumi-q.png,width=100,height=100)</v>
      </c>
      <c r="U142" s="23" t="str">
        <f>"|MIDDLE:​"&amp;テーブル1[[#This Row],[名前]]</f>
        <v>|MIDDLE:​六見：Ｑ</v>
      </c>
      <c r="V142" s="23" t="str">
        <f>"|MIDDLE:​"&amp;テーブル1[[#This Row],[なまえ]]</f>
        <v>|MIDDLE:​むつみ きゅう</v>
      </c>
      <c r="W142" s="23" t="str">
        <f>"|MIDDLE:​"&amp;テーブル1[[#This Row],[Name]]</f>
        <v>|MIDDLE:​Mutsumi Q</v>
      </c>
      <c r="X142" s="23" t="str">
        <f>"|MIDDLE:​&amp;link(配布所はこちら){​"&amp;テーブル1[[#This Row],[リンク]]&amp;"}|"</f>
        <v>|MIDDLE:​&amp;link(配布所はこちら){​https://sites.google.com/view/qsuke-garden/home}|</v>
      </c>
    </row>
    <row r="143" spans="1:24" ht="20.149999999999999" customHeight="1" x14ac:dyDescent="0.35">
      <c r="A143" s="20">
        <v>142</v>
      </c>
      <c r="B143" s="23" t="str">
        <f>SUBSTITUTE(SUBSTITUTE(SUBSTITUTE(SUBSTITUTE(SUBSTITUTE(SUBSTITUTE(SUBSTITUTE(SUBSTITUTE(LOWER(テーブル1[[#This Row],[Name]])," ","-"),".","-"),"&amp;","-"),"_","-"),"・","-"),"=","-"),"--","-"),"--","-")</f>
        <v>itazura-seiko</v>
      </c>
      <c r="C143" s="24" t="s">
        <v>560</v>
      </c>
      <c r="D143" s="23" t="s">
        <v>561</v>
      </c>
      <c r="E143" s="23" t="s">
        <v>562</v>
      </c>
      <c r="F143" s="2" t="s">
        <v>559</v>
      </c>
      <c r="G143" s="23" t="str">
        <f>テーブル1[[#This Row],[名前]]&amp;"(UTAU)"</f>
        <v>悪戯清子(UTAU)</v>
      </c>
      <c r="M143" s="1" t="s">
        <v>1517</v>
      </c>
      <c r="N143" s="1" t="s">
        <v>1443</v>
      </c>
      <c r="O143" s="24" t="str">
        <f>テーブル1[[#This Row],[リンク]]&amp;テーブル1[[#This Row],[描画状況]]</f>
        <v>https://bowlroll.net/user/700434済</v>
      </c>
      <c r="P143" s="17">
        <f>1-(COUNTIF(O:O,_xlfn.TEXTJOIN(",",TRUE,テーブル1[[#This Row],[リンク]],テーブル1[[#This Row],[描画状況]]))/COUNTIF(F:F,テーブル1[[#This Row],[リンク]]))</f>
        <v>1</v>
      </c>
      <c r="Q143" s="16" t="str">
        <f ca="1">IFERROR(IF(テーブル1[[#This Row],[描画状況]]="",RAND()+(テーブル1[[#This Row],[列2]]*100),""),RAND())</f>
        <v/>
      </c>
      <c r="R143" s="1" t="s">
        <v>1193</v>
      </c>
      <c r="S143" s="24" t="str">
        <f ca="1">IF(AND(テーブル1[[#This Row],[描画状況]]="済",テーブル1[[#This Row],[投稿状況]]=""),RAND(),"")</f>
        <v/>
      </c>
      <c r="T143" s="23" t="str">
        <f>"|&amp;image("&amp;テーブル1[[#This Row],[画像]]&amp;".png,width=100,height=100)"</f>
        <v>|&amp;image(itazura-seiko.png,width=100,height=100)</v>
      </c>
      <c r="U143" s="23" t="str">
        <f>"|MIDDLE:​"&amp;テーブル1[[#This Row],[名前]]</f>
        <v>|MIDDLE:​悪戯清子</v>
      </c>
      <c r="V143" s="23" t="str">
        <f>"|MIDDLE:​"&amp;テーブル1[[#This Row],[なまえ]]</f>
        <v>|MIDDLE:​いたずら せいこ</v>
      </c>
      <c r="W143" s="23" t="str">
        <f>"|MIDDLE:​"&amp;テーブル1[[#This Row],[Name]]</f>
        <v>|MIDDLE:​Itazura Seiko</v>
      </c>
      <c r="X143" s="23" t="str">
        <f>"|MIDDLE:​&amp;link(配布所はこちら){​"&amp;テーブル1[[#This Row],[リンク]]&amp;"}|"</f>
        <v>|MIDDLE:​&amp;link(配布所はこちら){​https://bowlroll.net/user/700434}|</v>
      </c>
    </row>
    <row r="144" spans="1:24" ht="20.149999999999999" customHeight="1" x14ac:dyDescent="0.35">
      <c r="A144" s="20">
        <v>143</v>
      </c>
      <c r="B144" s="23" t="str">
        <f>SUBSTITUTE(SUBSTITUTE(SUBSTITUTE(SUBSTITUTE(SUBSTITUTE(SUBSTITUTE(SUBSTITUTE(SUBSTITUTE(LOWER(テーブル1[[#This Row],[Name]])," ","-"),".","-"),"&amp;","-"),"_","-"),"・","-"),"=","-"),"--","-"),"--","-")</f>
        <v>ufuro-johomau-shifusho</v>
      </c>
      <c r="C144" s="24" t="s">
        <v>1004</v>
      </c>
      <c r="D144" s="23" t="s">
        <v>1009</v>
      </c>
      <c r="E144" s="23" t="s">
        <v>1008</v>
      </c>
      <c r="F144" s="2" t="s">
        <v>64</v>
      </c>
      <c r="G144" s="23" t="s">
        <v>65</v>
      </c>
      <c r="M144" s="1" t="s">
        <v>1517</v>
      </c>
      <c r="N144" s="1" t="s">
        <v>1443</v>
      </c>
      <c r="O144" s="24" t="str">
        <f>テーブル1[[#This Row],[リンク]]&amp;テーブル1[[#This Row],[描画状況]]</f>
        <v>https://bowlroll.net/user/852117/files済</v>
      </c>
      <c r="P144" s="17">
        <f>1-(COUNTIF(O:O,_xlfn.TEXTJOIN(",",TRUE,テーブル1[[#This Row],[リンク]],テーブル1[[#This Row],[描画状況]]))/COUNTIF(F:F,テーブル1[[#This Row],[リンク]]))</f>
        <v>1</v>
      </c>
      <c r="Q144" s="16" t="str">
        <f ca="1">IFERROR(IF(テーブル1[[#This Row],[描画状況]]="",RAND()+(テーブル1[[#This Row],[列2]]*100),""),RAND())</f>
        <v/>
      </c>
      <c r="R144" s="1" t="s">
        <v>1193</v>
      </c>
      <c r="S144" s="24" t="str">
        <f ca="1">IF(AND(テーブル1[[#This Row],[描画状況]]="済",テーブル1[[#This Row],[投稿状況]]=""),RAND(),"")</f>
        <v/>
      </c>
      <c r="T144" s="23" t="str">
        <f>"|&amp;image("&amp;テーブル1[[#This Row],[画像]]&amp;".png,width=100,height=100)"</f>
        <v>|&amp;image(ufuro-johomau-shifusho.png,width=100,height=100)</v>
      </c>
      <c r="U144" s="23" t="str">
        <f>"|MIDDLE:​"&amp;テーブル1[[#This Row],[名前]]</f>
        <v>|MIDDLE:​ウフーロ・ジョホマウ・シフショ</v>
      </c>
      <c r="V144" s="23" t="str">
        <f>"|MIDDLE:​"&amp;テーブル1[[#This Row],[なまえ]]</f>
        <v>|MIDDLE:​うふーろ じょほまう しふしょ</v>
      </c>
      <c r="W144" s="23" t="str">
        <f>"|MIDDLE:​"&amp;テーブル1[[#This Row],[Name]]</f>
        <v>|MIDDLE:​Ufuro Johomau Shifusho</v>
      </c>
      <c r="X144" s="23" t="str">
        <f>"|MIDDLE:​&amp;link(配布所はこちら){​"&amp;テーブル1[[#This Row],[リンク]]&amp;"}|"</f>
        <v>|MIDDLE:​&amp;link(配布所はこちら){​https://bowlroll.net/user/852117/files}|</v>
      </c>
    </row>
    <row r="145" spans="1:24" ht="20.149999999999999" customHeight="1" x14ac:dyDescent="0.35">
      <c r="A145" s="20">
        <v>144</v>
      </c>
      <c r="B145" s="23" t="str">
        <f>SUBSTITUTE(SUBSTITUTE(SUBSTITUTE(SUBSTITUTE(SUBSTITUTE(SUBSTITUTE(SUBSTITUTE(SUBSTITUTE(LOWER(テーブル1[[#This Row],[Name]])," ","-"),".","-"),"&amp;","-"),"_","-"),"・","-"),"=","-"),"--","-"),"--","-")</f>
        <v>suzuno-ruon</v>
      </c>
      <c r="C145" s="24" t="s">
        <v>1508</v>
      </c>
      <c r="D145" s="23" t="s">
        <v>438</v>
      </c>
      <c r="E145" s="23" t="s">
        <v>439</v>
      </c>
      <c r="F145" s="2" t="s">
        <v>54</v>
      </c>
      <c r="G145" s="23" t="s">
        <v>55</v>
      </c>
      <c r="M145" s="1" t="s">
        <v>1518</v>
      </c>
      <c r="N145" s="1" t="s">
        <v>1443</v>
      </c>
      <c r="O145" s="24" t="str">
        <f>テーブル1[[#This Row],[リンク]]&amp;テーブル1[[#This Row],[描画状況]]</f>
        <v>https://bellsworks.wixsite.com/bellsworks済</v>
      </c>
      <c r="P145" s="17">
        <f>1-(COUNTIF(O:O,_xlfn.TEXTJOIN(",",TRUE,テーブル1[[#This Row],[リンク]],テーブル1[[#This Row],[描画状況]]))/COUNTIF(F:F,テーブル1[[#This Row],[リンク]]))</f>
        <v>1</v>
      </c>
      <c r="Q145" s="16" t="str">
        <f ca="1">IFERROR(IF(テーブル1[[#This Row],[描画状況]]="",RAND()+(テーブル1[[#This Row],[列2]]*100),""),RAND())</f>
        <v/>
      </c>
      <c r="R145" s="1" t="s">
        <v>1193</v>
      </c>
      <c r="S145" s="24" t="str">
        <f ca="1">IF(AND(テーブル1[[#This Row],[描画状況]]="済",テーブル1[[#This Row],[投稿状況]]=""),RAND(),"")</f>
        <v/>
      </c>
      <c r="T145" s="23" t="str">
        <f>"|&amp;image("&amp;テーブル1[[#This Row],[画像]]&amp;".png,width=100,height=100)"</f>
        <v>|&amp;image(suzuno-ruon.png,width=100,height=100)</v>
      </c>
      <c r="U145" s="23" t="str">
        <f>"|MIDDLE:​"&amp;テーブル1[[#This Row],[名前]]</f>
        <v>|MIDDLE:​鈴音ルオン</v>
      </c>
      <c r="V145" s="23" t="str">
        <f>"|MIDDLE:​"&amp;テーブル1[[#This Row],[なまえ]]</f>
        <v>|MIDDLE:​すずの るおん</v>
      </c>
      <c r="W145" s="23" t="str">
        <f>"|MIDDLE:​"&amp;テーブル1[[#This Row],[Name]]</f>
        <v>|MIDDLE:​Suzuno Ruon</v>
      </c>
      <c r="X145" s="23" t="str">
        <f>"|MIDDLE:​&amp;link(配布所はこちら){​"&amp;テーブル1[[#This Row],[リンク]]&amp;"}|"</f>
        <v>|MIDDLE:​&amp;link(配布所はこちら){​https://bellsworks.wixsite.com/bellsworks}|</v>
      </c>
    </row>
    <row r="146" spans="1:24" ht="20.149999999999999" customHeight="1" x14ac:dyDescent="0.35">
      <c r="A146" s="20">
        <v>145</v>
      </c>
      <c r="B146" s="23" t="str">
        <f>SUBSTITUTE(SUBSTITUTE(SUBSTITUTE(SUBSTITUTE(SUBSTITUTE(SUBSTITUTE(SUBSTITUTE(SUBSTITUTE(LOWER(テーブル1[[#This Row],[Name]])," ","-"),".","-"),"&amp;","-"),"_","-"),"・","-"),"=","-"),"--","-"),"--","-")</f>
        <v>utsumi-akuru</v>
      </c>
      <c r="C146" s="23" t="s">
        <v>607</v>
      </c>
      <c r="D146" s="23" t="s">
        <v>608</v>
      </c>
      <c r="E146" s="23" t="s">
        <v>609</v>
      </c>
      <c r="F146" s="2" t="s">
        <v>605</v>
      </c>
      <c r="G146" s="23" t="s">
        <v>606</v>
      </c>
      <c r="N146" s="1" t="s">
        <v>1443</v>
      </c>
      <c r="O146" s="24" t="str">
        <f>テーブル1[[#This Row],[リンク]]&amp;テーブル1[[#This Row],[描画状況]]</f>
        <v>https://kairi0utau.wixsite.com/arugamamanouta済</v>
      </c>
      <c r="P146" s="17">
        <f>1-(COUNTIF(O:O,_xlfn.TEXTJOIN(",",TRUE,テーブル1[[#This Row],[リンク]],テーブル1[[#This Row],[描画状況]]))/COUNTIF(F:F,テーブル1[[#This Row],[リンク]]))</f>
        <v>1</v>
      </c>
      <c r="Q146" s="16" t="str">
        <f ca="1">IFERROR(IF(テーブル1[[#This Row],[描画状況]]="",RAND()+(テーブル1[[#This Row],[列2]]*100),""),RAND())</f>
        <v/>
      </c>
      <c r="R146" s="1" t="s">
        <v>1193</v>
      </c>
      <c r="S146" s="24" t="str">
        <f ca="1">IF(AND(テーブル1[[#This Row],[描画状況]]="済",テーブル1[[#This Row],[投稿状況]]=""),RAND(),"")</f>
        <v/>
      </c>
      <c r="T146" s="23" t="str">
        <f>"|&amp;image("&amp;テーブル1[[#This Row],[画像]]&amp;".png,width=100,height=100)"</f>
        <v>|&amp;image(utsumi-akuru.png,width=100,height=100)</v>
      </c>
      <c r="U146" s="23" t="str">
        <f>"|MIDDLE:​"&amp;テーブル1[[#This Row],[名前]]</f>
        <v>|MIDDLE:​空深あくる</v>
      </c>
      <c r="V146" s="23" t="str">
        <f>"|MIDDLE:​"&amp;テーブル1[[#This Row],[なまえ]]</f>
        <v>|MIDDLE:​うつみ あくる</v>
      </c>
      <c r="W146" s="23" t="str">
        <f>"|MIDDLE:​"&amp;テーブル1[[#This Row],[Name]]</f>
        <v>|MIDDLE:​Utsumi Akuru</v>
      </c>
      <c r="X146" s="23" t="str">
        <f>"|MIDDLE:​&amp;link(配布所はこちら){​"&amp;テーブル1[[#This Row],[リンク]]&amp;"}|"</f>
        <v>|MIDDLE:​&amp;link(配布所はこちら){​https://kairi0utau.wixsite.com/arugamamanouta}|</v>
      </c>
    </row>
    <row r="147" spans="1:24" ht="20.149999999999999" customHeight="1" x14ac:dyDescent="0.35">
      <c r="A147" s="20">
        <v>146</v>
      </c>
      <c r="B147" s="23" t="str">
        <f>SUBSTITUTE(SUBSTITUTE(SUBSTITUTE(SUBSTITUTE(SUBSTITUTE(SUBSTITUTE(SUBSTITUTE(SUBSTITUTE(LOWER(テーブル1[[#This Row],[Name]])," ","-"),".","-"),"&amp;","-"),"_","-"),"・","-"),"=","-"),"--","-"),"--","-")</f>
        <v>ameuta-nito</v>
      </c>
      <c r="C147" s="24" t="s">
        <v>673</v>
      </c>
      <c r="D147" s="23" t="s">
        <v>674</v>
      </c>
      <c r="E147" s="23" t="s">
        <v>675</v>
      </c>
      <c r="F147" s="2" t="s">
        <v>676</v>
      </c>
      <c r="G147" s="23" t="s">
        <v>677</v>
      </c>
      <c r="M147" s="1" t="s">
        <v>1517</v>
      </c>
      <c r="N147" s="1" t="s">
        <v>1443</v>
      </c>
      <c r="O147" s="24" t="str">
        <f>テーブル1[[#This Row],[リンク]]&amp;テーブル1[[#This Row],[描画状況]]</f>
        <v>https://ametro.jimdofree.com済</v>
      </c>
      <c r="P147" s="17">
        <f>1-(COUNTIF(O:O,_xlfn.TEXTJOIN(",",TRUE,テーブル1[[#This Row],[リンク]],テーブル1[[#This Row],[描画状況]]))/COUNTIF(F:F,テーブル1[[#This Row],[リンク]]))</f>
        <v>1</v>
      </c>
      <c r="Q147" s="16" t="str">
        <f ca="1">IFERROR(IF(テーブル1[[#This Row],[描画状況]]="",RAND()+(テーブル1[[#This Row],[列2]]*100),""),RAND())</f>
        <v/>
      </c>
      <c r="R147" s="1" t="s">
        <v>1193</v>
      </c>
      <c r="S147" s="24" t="str">
        <f ca="1">IF(AND(テーブル1[[#This Row],[描画状況]]="済",テーブル1[[#This Row],[投稿状況]]=""),RAND(),"")</f>
        <v/>
      </c>
      <c r="T147" s="23" t="str">
        <f>"|&amp;image("&amp;テーブル1[[#This Row],[画像]]&amp;".png,width=100,height=100)"</f>
        <v>|&amp;image(ameuta-nito.png,width=100,height=100)</v>
      </c>
      <c r="U147" s="23" t="str">
        <f>"|MIDDLE:​"&amp;テーブル1[[#This Row],[名前]]</f>
        <v>|MIDDLE:​飴唄ニト</v>
      </c>
      <c r="V147" s="23" t="str">
        <f>"|MIDDLE:​"&amp;テーブル1[[#This Row],[なまえ]]</f>
        <v>|MIDDLE:​あめうた にと</v>
      </c>
      <c r="W147" s="23" t="str">
        <f>"|MIDDLE:​"&amp;テーブル1[[#This Row],[Name]]</f>
        <v>|MIDDLE:​Ameuta Nito</v>
      </c>
      <c r="X147" s="23" t="str">
        <f>"|MIDDLE:​&amp;link(配布所はこちら){​"&amp;テーブル1[[#This Row],[リンク]]&amp;"}|"</f>
        <v>|MIDDLE:​&amp;link(配布所はこちら){​https://ametro.jimdofree.com}|</v>
      </c>
    </row>
    <row r="148" spans="1:24" ht="20.149999999999999" customHeight="1" x14ac:dyDescent="0.35">
      <c r="A148" s="20">
        <v>147</v>
      </c>
      <c r="B148" s="23" t="str">
        <f>SUBSTITUTE(SUBSTITUTE(SUBSTITUTE(SUBSTITUTE(SUBSTITUTE(SUBSTITUTE(SUBSTITUTE(SUBSTITUTE(LOWER(テーブル1[[#This Row],[Name]])," ","-"),".","-"),"&amp;","-"),"_","-"),"・","-"),"=","-"),"--","-"),"--","-")</f>
        <v>ameiro-nerune</v>
      </c>
      <c r="C148" s="24" t="s">
        <v>582</v>
      </c>
      <c r="D148" s="23" t="s">
        <v>583</v>
      </c>
      <c r="E148" s="23" t="s">
        <v>584</v>
      </c>
      <c r="F148" s="2" t="s">
        <v>122</v>
      </c>
      <c r="G148" s="23" t="s">
        <v>123</v>
      </c>
      <c r="H148" s="23" t="s">
        <v>1626</v>
      </c>
      <c r="I148" s="23" t="s">
        <v>1636</v>
      </c>
      <c r="L148" s="23" t="s">
        <v>1691</v>
      </c>
      <c r="N148" s="1" t="s">
        <v>1443</v>
      </c>
      <c r="O148" s="24" t="str">
        <f>テーブル1[[#This Row],[リンク]]&amp;テーブル1[[#This Row],[描画状況]]</f>
        <v>https://inudanuki.wixsite.com/gottaniomotyabako済</v>
      </c>
      <c r="P148" s="17">
        <f>1-(COUNTIF(O:O,_xlfn.TEXTJOIN(",",TRUE,テーブル1[[#This Row],[リンク]],テーブル1[[#This Row],[描画状況]]))/COUNTIF(F:F,テーブル1[[#This Row],[リンク]]))</f>
        <v>1</v>
      </c>
      <c r="Q148" s="16" t="str">
        <f ca="1">IFERROR(IF(テーブル1[[#This Row],[描画状況]]="",RAND()+(テーブル1[[#This Row],[列2]]*100),""),RAND())</f>
        <v/>
      </c>
      <c r="R148" s="1" t="s">
        <v>1193</v>
      </c>
      <c r="S148" s="24" t="str">
        <f ca="1">IF(AND(テーブル1[[#This Row],[描画状況]]="済",テーブル1[[#This Row],[投稿状況]]=""),RAND(),"")</f>
        <v/>
      </c>
      <c r="T148" s="23" t="str">
        <f>"|&amp;image("&amp;テーブル1[[#This Row],[画像]]&amp;".png,width=100,height=100)"</f>
        <v>|&amp;image(ameiro-nerune.png,width=100,height=100)</v>
      </c>
      <c r="U148" s="23" t="str">
        <f>"|MIDDLE:​"&amp;テーブル1[[#This Row],[名前]]</f>
        <v>|MIDDLE:​飴彩ねるね</v>
      </c>
      <c r="V148" s="23" t="str">
        <f>"|MIDDLE:​"&amp;テーブル1[[#This Row],[なまえ]]</f>
        <v>|MIDDLE:​あめいろ ねるね</v>
      </c>
      <c r="W148" s="23" t="str">
        <f>"|MIDDLE:​"&amp;テーブル1[[#This Row],[Name]]</f>
        <v>|MIDDLE:​Ameiro Nerune</v>
      </c>
      <c r="X148" s="23" t="str">
        <f>"|MIDDLE:​&amp;link(配布所はこちら){​"&amp;テーブル1[[#This Row],[リンク]]&amp;"}|"</f>
        <v>|MIDDLE:​&amp;link(配布所はこちら){​https://inudanuki.wixsite.com/gottaniomotyabako}|</v>
      </c>
    </row>
    <row r="149" spans="1:24" ht="20.149999999999999" customHeight="1" x14ac:dyDescent="0.35">
      <c r="A149" s="20">
        <v>148</v>
      </c>
      <c r="B149" s="23" t="str">
        <f>SUBSTITUTE(SUBSTITUTE(SUBSTITUTE(SUBSTITUTE(SUBSTITUTE(SUBSTITUTE(SUBSTITUTE(SUBSTITUTE(LOWER(テーブル1[[#This Row],[Name]])," ","-"),".","-"),"&amp;","-"),"_","-"),"・","-"),"=","-"),"--","-"),"--","-")</f>
        <v>clinochlore</v>
      </c>
      <c r="C149" s="24" t="s">
        <v>794</v>
      </c>
      <c r="D149" s="23" t="s">
        <v>795</v>
      </c>
      <c r="E149" s="23" t="s">
        <v>802</v>
      </c>
      <c r="F149" s="15" t="s">
        <v>778</v>
      </c>
      <c r="G149" s="23" t="str">
        <f>テーブル1[[#This Row],[名前]]&amp;"(UTAU)"</f>
        <v>クリノクロア(UTAU)</v>
      </c>
      <c r="M149" s="1" t="s">
        <v>1517</v>
      </c>
      <c r="N149" s="1" t="s">
        <v>1443</v>
      </c>
      <c r="O149" s="24" t="str">
        <f>テーブル1[[#This Row],[リンク]]&amp;テーブル1[[#This Row],[描画状況]]</f>
        <v>https://cmamizki.wixsite.com/edelstein済</v>
      </c>
      <c r="P149" s="17">
        <f>1-(COUNTIF(O:O,_xlfn.TEXTJOIN(",",TRUE,テーブル1[[#This Row],[リンク]],テーブル1[[#This Row],[描画状況]]))/COUNTIF(F:F,テーブル1[[#This Row],[リンク]]))</f>
        <v>1</v>
      </c>
      <c r="Q149" s="16" t="str">
        <f ca="1">IFERROR(IF(テーブル1[[#This Row],[描画状況]]="",RAND()+(テーブル1[[#This Row],[列2]]*100),""),RAND())</f>
        <v/>
      </c>
      <c r="R149" s="1" t="s">
        <v>1193</v>
      </c>
      <c r="S149" s="24" t="str">
        <f ca="1">IF(AND(テーブル1[[#This Row],[描画状況]]="済",テーブル1[[#This Row],[投稿状況]]=""),RAND(),"")</f>
        <v/>
      </c>
      <c r="T149" s="23" t="str">
        <f>"|&amp;image("&amp;テーブル1[[#This Row],[画像]]&amp;".png,width=100,height=100)"</f>
        <v>|&amp;image(clinochlore.png,width=100,height=100)</v>
      </c>
      <c r="U149" s="23" t="str">
        <f>"|MIDDLE:​"&amp;テーブル1[[#This Row],[名前]]</f>
        <v>|MIDDLE:​クリノクロア</v>
      </c>
      <c r="V149" s="23" t="str">
        <f>"|MIDDLE:​"&amp;テーブル1[[#This Row],[なまえ]]</f>
        <v>|MIDDLE:​くりのくろあ</v>
      </c>
      <c r="W149" s="23" t="str">
        <f>"|MIDDLE:​"&amp;テーブル1[[#This Row],[Name]]</f>
        <v>|MIDDLE:​Clinochlore</v>
      </c>
      <c r="X149" s="23" t="str">
        <f>"|MIDDLE:​&amp;link(配布所はこちら){​"&amp;テーブル1[[#This Row],[リンク]]&amp;"}|"</f>
        <v>|MIDDLE:​&amp;link(配布所はこちら){​https://cmamizki.wixsite.com/edelstein}|</v>
      </c>
    </row>
    <row r="150" spans="1:24" ht="20.149999999999999" customHeight="1" x14ac:dyDescent="0.35">
      <c r="A150" s="20">
        <v>149</v>
      </c>
      <c r="B150" s="23" t="str">
        <f>SUBSTITUTE(SUBSTITUTE(SUBSTITUTE(SUBSTITUTE(SUBSTITUTE(SUBSTITUTE(SUBSTITUTE(SUBSTITUTE(LOWER(テーブル1[[#This Row],[Name]])," ","-"),".","-"),"&amp;","-"),"_","-"),"・","-"),"=","-"),"--","-"),"--","-")</f>
        <v>neneo-mu</v>
      </c>
      <c r="C150" s="24" t="s">
        <v>1392</v>
      </c>
      <c r="D150" s="23" t="s">
        <v>1393</v>
      </c>
      <c r="E150" s="23" t="s">
        <v>1394</v>
      </c>
      <c r="F150" s="15" t="s">
        <v>1395</v>
      </c>
      <c r="G150" s="23" t="s">
        <v>1396</v>
      </c>
      <c r="M150" s="1" t="s">
        <v>1517</v>
      </c>
      <c r="N150" s="1" t="s">
        <v>1443</v>
      </c>
      <c r="O150" s="24" t="str">
        <f>テーブル1[[#This Row],[リンク]]&amp;テーブル1[[#This Row],[描画状況]]</f>
        <v>https://hinoyuzirenraku.wixsite.com/mu-neneo済</v>
      </c>
      <c r="P150" s="17">
        <f>1-(COUNTIF(O:O,_xlfn.TEXTJOIN(",",TRUE,テーブル1[[#This Row],[リンク]],テーブル1[[#This Row],[描画状況]]))/COUNTIF(F:F,テーブル1[[#This Row],[リンク]]))</f>
        <v>1</v>
      </c>
      <c r="Q150" s="16" t="str">
        <f ca="1">IFERROR(IF(テーブル1[[#This Row],[描画状況]]="",RAND()+(テーブル1[[#This Row],[列2]]*100),""),RAND())</f>
        <v/>
      </c>
      <c r="R150" s="1" t="s">
        <v>1193</v>
      </c>
      <c r="S150" s="24" t="str">
        <f ca="1">IF(AND(テーブル1[[#This Row],[描画状況]]="済",テーブル1[[#This Row],[投稿状況]]=""),RAND(),"")</f>
        <v/>
      </c>
      <c r="T150" s="23" t="str">
        <f>"|&amp;image("&amp;テーブル1[[#This Row],[画像]]&amp;".png,width=100,height=100)"</f>
        <v>|&amp;image(neneo-mu.png,width=100,height=100)</v>
      </c>
      <c r="U150" s="23" t="str">
        <f>"|MIDDLE:​"&amp;テーブル1[[#This Row],[名前]]</f>
        <v>|MIDDLE:​音々尾ミュー</v>
      </c>
      <c r="V150" s="23" t="str">
        <f>"|MIDDLE:​"&amp;テーブル1[[#This Row],[なまえ]]</f>
        <v>|MIDDLE:​ねねお みゅー</v>
      </c>
      <c r="W150" s="23" t="str">
        <f>"|MIDDLE:​"&amp;テーブル1[[#This Row],[Name]]</f>
        <v>|MIDDLE:​Neneo mu</v>
      </c>
      <c r="X150" s="23" t="str">
        <f>"|MIDDLE:​&amp;link(配布所はこちら){​"&amp;テーブル1[[#This Row],[リンク]]&amp;"}|"</f>
        <v>|MIDDLE:​&amp;link(配布所はこちら){​https://hinoyuzirenraku.wixsite.com/mu-neneo}|</v>
      </c>
    </row>
    <row r="151" spans="1:24" ht="20.149999999999999" customHeight="1" x14ac:dyDescent="0.35">
      <c r="A151" s="20">
        <v>150</v>
      </c>
      <c r="B151" s="23" t="str">
        <f>SUBSTITUTE(SUBSTITUTE(SUBSTITUTE(SUBSTITUTE(SUBSTITUTE(SUBSTITUTE(SUBSTITUTE(SUBSTITUTE(LOWER(テーブル1[[#This Row],[Name]])," ","-"),".","-"),"&amp;","-"),"_","-"),"・","-"),"=","-"),"--","-"),"--","-")</f>
        <v>kurui-neiro</v>
      </c>
      <c r="C151" s="24" t="s">
        <v>687</v>
      </c>
      <c r="D151" s="23" t="s">
        <v>688</v>
      </c>
      <c r="E151" s="23" t="s">
        <v>689</v>
      </c>
      <c r="F151" s="2" t="s">
        <v>690</v>
      </c>
      <c r="G151" s="23" t="s">
        <v>691</v>
      </c>
      <c r="N151" s="1" t="s">
        <v>1443</v>
      </c>
      <c r="O151" s="24" t="str">
        <f>テーブル1[[#This Row],[リンク]]&amp;テーブル1[[#This Row],[描画状況]]</f>
        <v>https://zakrotsukumo.wixsite.com/utau-zerozero済</v>
      </c>
      <c r="P151" s="17">
        <f>1-(COUNTIF(O:O,_xlfn.TEXTJOIN(",",TRUE,テーブル1[[#This Row],[リンク]],テーブル1[[#This Row],[描画状況]]))/COUNTIF(F:F,テーブル1[[#This Row],[リンク]]))</f>
        <v>1</v>
      </c>
      <c r="Q151" s="16" t="str">
        <f ca="1">IFERROR(IF(テーブル1[[#This Row],[描画状況]]="",RAND()+(テーブル1[[#This Row],[列2]]*100),""),RAND())</f>
        <v/>
      </c>
      <c r="R151" s="1" t="s">
        <v>1193</v>
      </c>
      <c r="S151" s="24" t="str">
        <f ca="1">IF(AND(テーブル1[[#This Row],[描画状況]]="済",テーブル1[[#This Row],[投稿状況]]=""),RAND(),"")</f>
        <v/>
      </c>
      <c r="T151" s="23" t="str">
        <f>"|&amp;image("&amp;テーブル1[[#This Row],[画像]]&amp;".png,width=100,height=100)"</f>
        <v>|&amp;image(kurui-neiro.png,width=100,height=100)</v>
      </c>
      <c r="U151" s="23" t="str">
        <f>"|MIDDLE:​"&amp;テーブル1[[#This Row],[名前]]</f>
        <v>|MIDDLE:​狂威ネイロ</v>
      </c>
      <c r="V151" s="23" t="str">
        <f>"|MIDDLE:​"&amp;テーブル1[[#This Row],[なまえ]]</f>
        <v>|MIDDLE:​くるい ねいろ</v>
      </c>
      <c r="W151" s="23" t="str">
        <f>"|MIDDLE:​"&amp;テーブル1[[#This Row],[Name]]</f>
        <v>|MIDDLE:​Kurui Neiro</v>
      </c>
      <c r="X151" s="23" t="str">
        <f>"|MIDDLE:​&amp;link(配布所はこちら){​"&amp;テーブル1[[#This Row],[リンク]]&amp;"}|"</f>
        <v>|MIDDLE:​&amp;link(配布所はこちら){​https://zakrotsukumo.wixsite.com/utau-zerozero}|</v>
      </c>
    </row>
    <row r="152" spans="1:24" ht="20.149999999999999" customHeight="1" x14ac:dyDescent="0.35">
      <c r="A152" s="20">
        <v>151</v>
      </c>
      <c r="B152" s="23" t="str">
        <f>SUBSTITUTE(SUBSTITUTE(SUBSTITUTE(SUBSTITUTE(SUBSTITUTE(SUBSTITUTE(SUBSTITUTE(SUBSTITUTE(LOWER(テーブル1[[#This Row],[Name]])," ","-"),".","-"),"&amp;","-"),"_","-"),"・","-"),"=","-"),"--","-"),"--","-")</f>
        <v>tsurune-reya</v>
      </c>
      <c r="C152" s="24" t="s">
        <v>1509</v>
      </c>
      <c r="D152" s="23" t="s">
        <v>459</v>
      </c>
      <c r="E152" s="23" t="s">
        <v>460</v>
      </c>
      <c r="F152" s="2" t="s">
        <v>54</v>
      </c>
      <c r="G152" s="23" t="s">
        <v>55</v>
      </c>
      <c r="M152" s="1" t="s">
        <v>1518</v>
      </c>
      <c r="N152" s="1" t="s">
        <v>1443</v>
      </c>
      <c r="O152" s="24" t="str">
        <f>テーブル1[[#This Row],[リンク]]&amp;テーブル1[[#This Row],[描画状況]]</f>
        <v>https://bellsworks.wixsite.com/bellsworks済</v>
      </c>
      <c r="P152" s="17">
        <f>1-(COUNTIF(O:O,_xlfn.TEXTJOIN(",",TRUE,テーブル1[[#This Row],[リンク]],テーブル1[[#This Row],[描画状況]]))/COUNTIF(F:F,テーブル1[[#This Row],[リンク]]))</f>
        <v>1</v>
      </c>
      <c r="Q152" s="16" t="str">
        <f ca="1">IFERROR(IF(テーブル1[[#This Row],[描画状況]]="",RAND()+(テーブル1[[#This Row],[列2]]*100),""),RAND())</f>
        <v/>
      </c>
      <c r="R152" s="1" t="s">
        <v>1193</v>
      </c>
      <c r="S152" s="24" t="str">
        <f ca="1">IF(AND(テーブル1[[#This Row],[描画状況]]="済",テーブル1[[#This Row],[投稿状況]]=""),RAND(),"")</f>
        <v/>
      </c>
      <c r="T152" s="23" t="str">
        <f>"|&amp;image("&amp;テーブル1[[#This Row],[画像]]&amp;".png,width=100,height=100)"</f>
        <v>|&amp;image(tsurune-reya.png,width=100,height=100)</v>
      </c>
      <c r="U152" s="23" t="str">
        <f>"|MIDDLE:​"&amp;テーブル1[[#This Row],[名前]]</f>
        <v>|MIDDLE:​弦音レーヤ</v>
      </c>
      <c r="V152" s="23" t="str">
        <f>"|MIDDLE:​"&amp;テーブル1[[#This Row],[なまえ]]</f>
        <v>|MIDDLE:​つるね れーや</v>
      </c>
      <c r="W152" s="23" t="str">
        <f>"|MIDDLE:​"&amp;テーブル1[[#This Row],[Name]]</f>
        <v>|MIDDLE:​Tsurune Reya</v>
      </c>
      <c r="X152" s="23" t="str">
        <f>"|MIDDLE:​&amp;link(配布所はこちら){​"&amp;テーブル1[[#This Row],[リンク]]&amp;"}|"</f>
        <v>|MIDDLE:​&amp;link(配布所はこちら){​https://bellsworks.wixsite.com/bellsworks}|</v>
      </c>
    </row>
    <row r="153" spans="1:24" ht="20.149999999999999" customHeight="1" x14ac:dyDescent="0.35">
      <c r="A153" s="20">
        <v>152</v>
      </c>
      <c r="B153" s="23" t="str">
        <f>SUBSTITUTE(SUBSTITUTE(SUBSTITUTE(SUBSTITUTE(SUBSTITUTE(SUBSTITUTE(SUBSTITUTE(SUBSTITUTE(LOWER(テーブル1[[#This Row],[Name]])," ","-"),".","-"),"&amp;","-"),"_","-"),"・","-"),"=","-"),"--","-"),"--","-")</f>
        <v>alma</v>
      </c>
      <c r="C153" s="24" t="s">
        <v>603</v>
      </c>
      <c r="D153" s="23" t="s">
        <v>604</v>
      </c>
      <c r="E153" s="23" t="s">
        <v>603</v>
      </c>
      <c r="F153" s="2" t="s">
        <v>605</v>
      </c>
      <c r="G153" s="23" t="s">
        <v>606</v>
      </c>
      <c r="N153" s="1" t="s">
        <v>1443</v>
      </c>
      <c r="O153" s="24" t="str">
        <f>テーブル1[[#This Row],[リンク]]&amp;テーブル1[[#This Row],[描画状況]]</f>
        <v>https://kairi0utau.wixsite.com/arugamamanouta済</v>
      </c>
      <c r="P153" s="17">
        <f>1-(COUNTIF(O:O,_xlfn.TEXTJOIN(",",TRUE,テーブル1[[#This Row],[リンク]],テーブル1[[#This Row],[描画状況]]))/COUNTIF(F:F,テーブル1[[#This Row],[リンク]]))</f>
        <v>1</v>
      </c>
      <c r="Q153" s="16" t="str">
        <f ca="1">IFERROR(IF(テーブル1[[#This Row],[描画状況]]="",RAND()+(テーブル1[[#This Row],[列2]]*100),""),RAND())</f>
        <v/>
      </c>
      <c r="R153" s="1" t="s">
        <v>1193</v>
      </c>
      <c r="S153" s="24" t="str">
        <f ca="1">IF(AND(テーブル1[[#This Row],[描画状況]]="済",テーブル1[[#This Row],[投稿状況]]=""),RAND(),"")</f>
        <v/>
      </c>
      <c r="T153" s="23" t="str">
        <f>"|&amp;image("&amp;テーブル1[[#This Row],[画像]]&amp;".png,width=100,height=100)"</f>
        <v>|&amp;image(alma.png,width=100,height=100)</v>
      </c>
      <c r="U153" s="23" t="str">
        <f>"|MIDDLE:​"&amp;テーブル1[[#This Row],[名前]]</f>
        <v>|MIDDLE:​Alma</v>
      </c>
      <c r="V153" s="23" t="str">
        <f>"|MIDDLE:​"&amp;テーブル1[[#This Row],[なまえ]]</f>
        <v>|MIDDLE:​あるま</v>
      </c>
      <c r="W153" s="23" t="str">
        <f>"|MIDDLE:​"&amp;テーブル1[[#This Row],[Name]]</f>
        <v>|MIDDLE:​Alma</v>
      </c>
      <c r="X153" s="23" t="str">
        <f>"|MIDDLE:​&amp;link(配布所はこちら){​"&amp;テーブル1[[#This Row],[リンク]]&amp;"}|"</f>
        <v>|MIDDLE:​&amp;link(配布所はこちら){​https://kairi0utau.wixsite.com/arugamamanouta}|</v>
      </c>
    </row>
    <row r="154" spans="1:24" ht="20.149999999999999" customHeight="1" x14ac:dyDescent="0.35">
      <c r="A154" s="20">
        <v>153</v>
      </c>
      <c r="B154" s="23" t="str">
        <f>SUBSTITUTE(SUBSTITUTE(SUBSTITUTE(SUBSTITUTE(SUBSTITUTE(SUBSTITUTE(SUBSTITUTE(SUBSTITUTE(LOWER(テーブル1[[#This Row],[Name]])," ","-"),".","-"),"&amp;","-"),"_","-"),"・","-"),"=","-"),"--","-"),"--","-")</f>
        <v>shirazu-hana</v>
      </c>
      <c r="C154" s="24" t="s">
        <v>825</v>
      </c>
      <c r="D154" s="23" t="s">
        <v>827</v>
      </c>
      <c r="E154" s="23" t="s">
        <v>826</v>
      </c>
      <c r="F154" s="2" t="s">
        <v>814</v>
      </c>
      <c r="G154" s="23" t="s">
        <v>815</v>
      </c>
      <c r="N154" s="1" t="s">
        <v>1443</v>
      </c>
      <c r="O154" s="24" t="str">
        <f>テーブル1[[#This Row],[リンク]]&amp;テーブル1[[#This Row],[描画状況]]</f>
        <v>https://makurakue.wixsite.com/kemononokemono済</v>
      </c>
      <c r="P154" s="17">
        <f>1-(COUNTIF(O:O,_xlfn.TEXTJOIN(",",TRUE,テーブル1[[#This Row],[リンク]],テーブル1[[#This Row],[描画状況]]))/COUNTIF(F:F,テーブル1[[#This Row],[リンク]]))</f>
        <v>1</v>
      </c>
      <c r="Q154" s="16" t="str">
        <f ca="1">IFERROR(IF(テーブル1[[#This Row],[描画状況]]="",RAND()+(テーブル1[[#This Row],[列2]]*100),""),RAND())</f>
        <v/>
      </c>
      <c r="R154" s="1" t="s">
        <v>1193</v>
      </c>
      <c r="S154" s="24" t="str">
        <f ca="1">IF(AND(テーブル1[[#This Row],[描画状況]]="済",テーブル1[[#This Row],[投稿状況]]=""),RAND(),"")</f>
        <v/>
      </c>
      <c r="T154" s="23" t="str">
        <f>"|&amp;image("&amp;テーブル1[[#This Row],[画像]]&amp;".png,width=100,height=100)"</f>
        <v>|&amp;image(shirazu-hana.png,width=100,height=100)</v>
      </c>
      <c r="U154" s="23" t="str">
        <f>"|MIDDLE:​"&amp;テーブル1[[#This Row],[名前]]</f>
        <v>|MIDDLE:​不知英</v>
      </c>
      <c r="V154" s="23" t="str">
        <f>"|MIDDLE:​"&amp;テーブル1[[#This Row],[なまえ]]</f>
        <v>|MIDDLE:​しらず はな</v>
      </c>
      <c r="W154" s="23" t="str">
        <f>"|MIDDLE:​"&amp;テーブル1[[#This Row],[Name]]</f>
        <v>|MIDDLE:​Shirazu Hana</v>
      </c>
      <c r="X154" s="23" t="str">
        <f>"|MIDDLE:​&amp;link(配布所はこちら){​"&amp;テーブル1[[#This Row],[リンク]]&amp;"}|"</f>
        <v>|MIDDLE:​&amp;link(配布所はこちら){​https://makurakue.wixsite.com/kemononokemono}|</v>
      </c>
    </row>
    <row r="155" spans="1:24" ht="20.149999999999999" customHeight="1" x14ac:dyDescent="0.35">
      <c r="A155" s="20">
        <v>154</v>
      </c>
      <c r="B155" s="23" t="str">
        <f>SUBSTITUTE(SUBSTITUTE(SUBSTITUTE(SUBSTITUTE(SUBSTITUTE(SUBSTITUTE(SUBSTITUTE(SUBSTITUTE(LOWER(テーブル1[[#This Row],[Name]])," ","-"),".","-"),"&amp;","-"),"_","-"),"・","-"),"=","-"),"--","-"),"--","-")</f>
        <v>adagoto-kai</v>
      </c>
      <c r="C155" s="24" t="s">
        <v>574</v>
      </c>
      <c r="D155" s="23" t="s">
        <v>575</v>
      </c>
      <c r="E155" s="23" t="s">
        <v>576</v>
      </c>
      <c r="F155" s="2" t="s">
        <v>572</v>
      </c>
      <c r="G155" s="23" t="s">
        <v>573</v>
      </c>
      <c r="M155" s="1" t="s">
        <v>1517</v>
      </c>
      <c r="N155" s="1" t="s">
        <v>1443</v>
      </c>
      <c r="O155" s="24" t="str">
        <f>テーブル1[[#This Row],[リンク]]&amp;テーブル1[[#This Row],[描画状況]]</f>
        <v>https://askdance.wixsite.com/monitor-room/monitor-room済</v>
      </c>
      <c r="P155" s="17">
        <f>1-(COUNTIF(O:O,_xlfn.TEXTJOIN(",",TRUE,テーブル1[[#This Row],[リンク]],テーブル1[[#This Row],[描画状況]]))/COUNTIF(F:F,テーブル1[[#This Row],[リンク]]))</f>
        <v>1</v>
      </c>
      <c r="Q155" s="16" t="str">
        <f ca="1">IFERROR(IF(テーブル1[[#This Row],[描画状況]]="",RAND()+(テーブル1[[#This Row],[列2]]*100),""),RAND())</f>
        <v/>
      </c>
      <c r="R155" s="1" t="s">
        <v>1193</v>
      </c>
      <c r="S155" s="24" t="str">
        <f ca="1">IF(AND(テーブル1[[#This Row],[描画状況]]="済",テーブル1[[#This Row],[投稿状況]]=""),RAND(),"")</f>
        <v/>
      </c>
      <c r="T155" s="23" t="str">
        <f>"|&amp;image("&amp;テーブル1[[#This Row],[画像]]&amp;".png,width=100,height=100)"</f>
        <v>|&amp;image(adagoto-kai.png,width=100,height=100)</v>
      </c>
      <c r="U155" s="23" t="str">
        <f>"|MIDDLE:​"&amp;テーブル1[[#This Row],[名前]]</f>
        <v>|MIDDLE:​徒事解</v>
      </c>
      <c r="V155" s="23" t="str">
        <f>"|MIDDLE:​"&amp;テーブル1[[#This Row],[なまえ]]</f>
        <v>|MIDDLE:​あだごと かい</v>
      </c>
      <c r="W155" s="23" t="str">
        <f>"|MIDDLE:​"&amp;テーブル1[[#This Row],[Name]]</f>
        <v>|MIDDLE:​Adagoto Kai</v>
      </c>
      <c r="X155" s="23" t="str">
        <f>"|MIDDLE:​&amp;link(配布所はこちら){​"&amp;テーブル1[[#This Row],[リンク]]&amp;"}|"</f>
        <v>|MIDDLE:​&amp;link(配布所はこちら){​https://askdance.wixsite.com/monitor-room/monitor-room}|</v>
      </c>
    </row>
    <row r="156" spans="1:24" ht="20.149999999999999" customHeight="1" x14ac:dyDescent="0.35">
      <c r="A156" s="20">
        <v>155</v>
      </c>
      <c r="B156" s="23" t="str">
        <f>SUBSTITUTE(SUBSTITUTE(SUBSTITUTE(SUBSTITUTE(SUBSTITUTE(SUBSTITUTE(SUBSTITUTE(SUBSTITUTE(LOWER(テーブル1[[#This Row],[Name]])," ","-"),".","-"),"&amp;","-"),"_","-"),"・","-"),"=","-"),"--","-"),"--","-")</f>
        <v>karane-kodama</v>
      </c>
      <c r="C156" s="24" t="s">
        <v>505</v>
      </c>
      <c r="D156" s="23" t="s">
        <v>506</v>
      </c>
      <c r="E156" s="23" t="s">
        <v>507</v>
      </c>
      <c r="F156" s="2" t="s">
        <v>135</v>
      </c>
      <c r="G156" s="23" t="s">
        <v>136</v>
      </c>
      <c r="N156" s="1" t="s">
        <v>1443</v>
      </c>
      <c r="O156" s="24" t="str">
        <f>テーブル1[[#This Row],[リンク]]&amp;テーブル1[[#This Row],[描画状況]]</f>
        <v>https://kaitoramma.chu.jp済</v>
      </c>
      <c r="P156" s="17">
        <f>1-(COUNTIF(O:O,_xlfn.TEXTJOIN(",",TRUE,テーブル1[[#This Row],[リンク]],テーブル1[[#This Row],[描画状況]]))/COUNTIF(F:F,テーブル1[[#This Row],[リンク]]))</f>
        <v>1</v>
      </c>
      <c r="Q156" s="16" t="str">
        <f ca="1">IFERROR(IF(テーブル1[[#This Row],[描画状況]]="",RAND()+(テーブル1[[#This Row],[列2]]*100),""),RAND())</f>
        <v/>
      </c>
      <c r="R156" s="1" t="s">
        <v>1193</v>
      </c>
      <c r="S156" s="24" t="str">
        <f ca="1">IF(AND(テーブル1[[#This Row],[描画状況]]="済",テーブル1[[#This Row],[投稿状況]]=""),RAND(),"")</f>
        <v/>
      </c>
      <c r="T156" s="23" t="str">
        <f>"|&amp;image("&amp;テーブル1[[#This Row],[画像]]&amp;".png,width=100,height=100)"</f>
        <v>|&amp;image(karane-kodama.png,width=100,height=100)</v>
      </c>
      <c r="U156" s="23" t="str">
        <f>"|MIDDLE:​"&amp;テーブル1[[#This Row],[名前]]</f>
        <v>|MIDDLE:​空音こだま</v>
      </c>
      <c r="V156" s="23" t="str">
        <f>"|MIDDLE:​"&amp;テーブル1[[#This Row],[なまえ]]</f>
        <v>|MIDDLE:​からね こだま</v>
      </c>
      <c r="W156" s="23" t="str">
        <f>"|MIDDLE:​"&amp;テーブル1[[#This Row],[Name]]</f>
        <v>|MIDDLE:​Karane Kodama</v>
      </c>
      <c r="X156" s="23" t="str">
        <f>"|MIDDLE:​&amp;link(配布所はこちら){​"&amp;テーブル1[[#This Row],[リンク]]&amp;"}|"</f>
        <v>|MIDDLE:​&amp;link(配布所はこちら){​https://kaitoramma.chu.jp}|</v>
      </c>
    </row>
    <row r="157" spans="1:24" ht="20.149999999999999" customHeight="1" x14ac:dyDescent="0.35">
      <c r="A157" s="20">
        <v>156</v>
      </c>
      <c r="B157" s="23" t="str">
        <f>SUBSTITUTE(SUBSTITUTE(SUBSTITUTE(SUBSTITUTE(SUBSTITUTE(SUBSTITUTE(SUBSTITUTE(SUBSTITUTE(LOWER(テーブル1[[#This Row],[Name]])," ","-"),".","-"),"&amp;","-"),"_","-"),"・","-"),"=","-"),"--","-"),"--","-")</f>
        <v>shinresu-kishiru</v>
      </c>
      <c r="C157" s="24" t="s">
        <v>501</v>
      </c>
      <c r="D157" s="23" t="s">
        <v>502</v>
      </c>
      <c r="E157" s="23" t="s">
        <v>503</v>
      </c>
      <c r="F157" s="2" t="s">
        <v>499</v>
      </c>
      <c r="G157" s="23" t="s">
        <v>504</v>
      </c>
      <c r="M157" s="1" t="s">
        <v>1517</v>
      </c>
      <c r="N157" s="1" t="s">
        <v>1443</v>
      </c>
      <c r="O157" s="24" t="str">
        <f>テーブル1[[#This Row],[リンク]]&amp;テーブル1[[#This Row],[描画状況]]</f>
        <v>https://bowlroll.net/user/973681済</v>
      </c>
      <c r="P157" s="17">
        <f>1-(COUNTIF(O:O,_xlfn.TEXTJOIN(",",TRUE,テーブル1[[#This Row],[リンク]],テーブル1[[#This Row],[描画状況]]))/COUNTIF(F:F,テーブル1[[#This Row],[リンク]]))</f>
        <v>1</v>
      </c>
      <c r="Q157" s="16" t="str">
        <f ca="1">IFERROR(IF(テーブル1[[#This Row],[描画状況]]="",RAND()+(テーブル1[[#This Row],[列2]]*100),""),RAND())</f>
        <v/>
      </c>
      <c r="R157" s="1" t="s">
        <v>1193</v>
      </c>
      <c r="S157" s="24" t="str">
        <f ca="1">IF(AND(テーブル1[[#This Row],[描画状況]]="済",テーブル1[[#This Row],[投稿状況]]=""),RAND(),"")</f>
        <v/>
      </c>
      <c r="T157" s="23" t="str">
        <f>"|&amp;image("&amp;テーブル1[[#This Row],[画像]]&amp;".png,width=100,height=100)"</f>
        <v>|&amp;image(shinresu-kishiru.png,width=100,height=100)</v>
      </c>
      <c r="U157" s="23" t="str">
        <f>"|MIDDLE:​"&amp;テーブル1[[#This Row],[名前]]</f>
        <v>|MIDDLE:​芯零須キシル</v>
      </c>
      <c r="V157" s="23" t="str">
        <f>"|MIDDLE:​"&amp;テーブル1[[#This Row],[なまえ]]</f>
        <v>|MIDDLE:​しんれす きしる</v>
      </c>
      <c r="W157" s="23" t="str">
        <f>"|MIDDLE:​"&amp;テーブル1[[#This Row],[Name]]</f>
        <v>|MIDDLE:​Shinresu Kishiru</v>
      </c>
      <c r="X157" s="23" t="str">
        <f>"|MIDDLE:​&amp;link(配布所はこちら){​"&amp;テーブル1[[#This Row],[リンク]]&amp;"}|"</f>
        <v>|MIDDLE:​&amp;link(配布所はこちら){​https://bowlroll.net/user/973681}|</v>
      </c>
    </row>
    <row r="158" spans="1:24" ht="20.149999999999999" customHeight="1" x14ac:dyDescent="0.35">
      <c r="A158" s="20">
        <v>157</v>
      </c>
      <c r="B158" s="23" t="str">
        <f>SUBSTITUTE(SUBSTITUTE(SUBSTITUTE(SUBSTITUTE(SUBSTITUTE(SUBSTITUTE(SUBSTITUTE(SUBSTITUTE(LOWER(テーブル1[[#This Row],[Name]])," ","-"),".","-"),"&amp;","-"),"_","-"),"・","-"),"=","-"),"--","-"),"--","-")</f>
        <v>key-flow</v>
      </c>
      <c r="C158" s="24" t="s">
        <v>711</v>
      </c>
      <c r="D158" s="23" t="s">
        <v>710</v>
      </c>
      <c r="E158" s="23" t="s">
        <v>711</v>
      </c>
      <c r="F158" s="2" t="s">
        <v>256</v>
      </c>
      <c r="G158" s="23" t="s">
        <v>712</v>
      </c>
      <c r="N158" s="1" t="s">
        <v>1443</v>
      </c>
      <c r="O158" s="24" t="str">
        <f>テーブル1[[#This Row],[リンク]]&amp;テーブル1[[#This Row],[描画状況]]</f>
        <v>https://nyaruru.wixsite.com/s-p-w済</v>
      </c>
      <c r="P158" s="17">
        <f>1-(COUNTIF(O:O,_xlfn.TEXTJOIN(",",TRUE,テーブル1[[#This Row],[リンク]],テーブル1[[#This Row],[描画状況]]))/COUNTIF(F:F,テーブル1[[#This Row],[リンク]]))</f>
        <v>1</v>
      </c>
      <c r="Q158" s="16" t="str">
        <f ca="1">IFERROR(IF(テーブル1[[#This Row],[描画状況]]="",RAND()+(テーブル1[[#This Row],[列2]]*100),""),RAND())</f>
        <v/>
      </c>
      <c r="R158" s="1" t="s">
        <v>1193</v>
      </c>
      <c r="S158" s="24" t="str">
        <f ca="1">IF(AND(テーブル1[[#This Row],[描画状況]]="済",テーブル1[[#This Row],[投稿状況]]=""),RAND(),"")</f>
        <v/>
      </c>
      <c r="T158" s="23" t="str">
        <f>"|&amp;image("&amp;テーブル1[[#This Row],[画像]]&amp;".png,width=100,height=100)"</f>
        <v>|&amp;image(key-flow.png,width=100,height=100)</v>
      </c>
      <c r="U158" s="23" t="str">
        <f>"|MIDDLE:​"&amp;テーブル1[[#This Row],[名前]]</f>
        <v>|MIDDLE:​Key.Flow</v>
      </c>
      <c r="V158" s="23" t="str">
        <f>"|MIDDLE:​"&amp;テーブル1[[#This Row],[なまえ]]</f>
        <v>|MIDDLE:​きーふろー</v>
      </c>
      <c r="W158" s="23" t="str">
        <f>"|MIDDLE:​"&amp;テーブル1[[#This Row],[Name]]</f>
        <v>|MIDDLE:​Key.Flow</v>
      </c>
      <c r="X158" s="23" t="str">
        <f>"|MIDDLE:​&amp;link(配布所はこちら){​"&amp;テーブル1[[#This Row],[リンク]]&amp;"}|"</f>
        <v>|MIDDLE:​&amp;link(配布所はこちら){​https://nyaruru.wixsite.com/s-p-w}|</v>
      </c>
    </row>
    <row r="159" spans="1:24" ht="20.149999999999999" customHeight="1" x14ac:dyDescent="0.35">
      <c r="A159" s="20">
        <v>158</v>
      </c>
      <c r="B159" s="23" t="str">
        <f>SUBSTITUTE(SUBSTITUTE(SUBSTITUTE(SUBSTITUTE(SUBSTITUTE(SUBSTITUTE(SUBSTITUTE(SUBSTITUTE(LOWER(テーブル1[[#This Row],[Name]])," ","-"),".","-"),"&amp;","-"),"_","-"),"・","-"),"=","-"),"--","-"),"--","-")</f>
        <v>silver-destrudo</v>
      </c>
      <c r="C159" s="24" t="s">
        <v>1049</v>
      </c>
      <c r="D159" s="23" t="s">
        <v>1050</v>
      </c>
      <c r="E159" s="24" t="s">
        <v>1049</v>
      </c>
      <c r="F159" s="15" t="s">
        <v>671</v>
      </c>
      <c r="G159" s="23" t="s">
        <v>672</v>
      </c>
      <c r="M159" s="1" t="s">
        <v>1517</v>
      </c>
      <c r="N159" s="1" t="s">
        <v>1443</v>
      </c>
      <c r="O159" s="24" t="str">
        <f>テーブル1[[#This Row],[リンク]]&amp;テーブル1[[#This Row],[描画状況]]</f>
        <v>https://flowerrocklove.wixsite.com/twilight-crisis済</v>
      </c>
      <c r="P159" s="17">
        <f>1-(COUNTIF(O:O,_xlfn.TEXTJOIN(",",TRUE,テーブル1[[#This Row],[リンク]],テーブル1[[#This Row],[描画状況]]))/COUNTIF(F:F,テーブル1[[#This Row],[リンク]]))</f>
        <v>1</v>
      </c>
      <c r="Q159" s="16" t="str">
        <f ca="1">IFERROR(IF(テーブル1[[#This Row],[描画状況]]="",RAND()+(テーブル1[[#This Row],[列2]]*100),""),RAND())</f>
        <v/>
      </c>
      <c r="R159" s="1" t="s">
        <v>1193</v>
      </c>
      <c r="S159" s="24" t="str">
        <f ca="1">IF(AND(テーブル1[[#This Row],[描画状況]]="済",テーブル1[[#This Row],[投稿状況]]=""),RAND(),"")</f>
        <v/>
      </c>
      <c r="T159" s="23" t="str">
        <f>"|&amp;image("&amp;テーブル1[[#This Row],[画像]]&amp;".png,width=100,height=100)"</f>
        <v>|&amp;image(silver-destrudo.png,width=100,height=100)</v>
      </c>
      <c r="U159" s="23" t="str">
        <f>"|MIDDLE:​"&amp;テーブル1[[#This Row],[名前]]</f>
        <v>|MIDDLE:​Silver Destrudo</v>
      </c>
      <c r="V159" s="23" t="str">
        <f>"|MIDDLE:​"&amp;テーブル1[[#This Row],[なまえ]]</f>
        <v>|MIDDLE:​しるばー ですとりゅーどー</v>
      </c>
      <c r="W159" s="23" t="str">
        <f>"|MIDDLE:​"&amp;テーブル1[[#This Row],[Name]]</f>
        <v>|MIDDLE:​Silver Destrudo</v>
      </c>
      <c r="X159" s="23" t="str">
        <f>"|MIDDLE:​&amp;link(配布所はこちら){​"&amp;テーブル1[[#This Row],[リンク]]&amp;"}|"</f>
        <v>|MIDDLE:​&amp;link(配布所はこちら){​https://flowerrocklove.wixsite.com/twilight-crisis}|</v>
      </c>
    </row>
    <row r="160" spans="1:24" ht="20.149999999999999" customHeight="1" x14ac:dyDescent="0.35">
      <c r="A160" s="20">
        <v>159</v>
      </c>
      <c r="B160" s="23" t="str">
        <f>SUBSTITUTE(SUBSTITUTE(SUBSTITUTE(SUBSTITUTE(SUBSTITUTE(SUBSTITUTE(SUBSTITUTE(SUBSTITUTE(LOWER(テーブル1[[#This Row],[Name]])," ","-"),".","-"),"&amp;","-"),"_","-"),"・","-"),"=","-"),"--","-"),"--","-")</f>
        <v>mackne-sai</v>
      </c>
      <c r="C160" s="24" t="s">
        <v>703</v>
      </c>
      <c r="D160" s="23" t="s">
        <v>704</v>
      </c>
      <c r="E160" s="23" t="s">
        <v>705</v>
      </c>
      <c r="F160" s="2" t="s">
        <v>706</v>
      </c>
      <c r="G160" s="23" t="str">
        <f>テーブル1[[#This Row],[名前]]&amp;"(UTAU)"</f>
        <v>マック音サイ(UTAU)</v>
      </c>
      <c r="N160" s="1" t="s">
        <v>1443</v>
      </c>
      <c r="O160" s="24" t="str">
        <f>テーブル1[[#This Row],[リンク]]&amp;テーブル1[[#This Row],[描画状況]]</f>
        <v>https://www.mackhouse-soft.com済</v>
      </c>
      <c r="P160" s="17">
        <f>1-(COUNTIF(O:O,_xlfn.TEXTJOIN(",",TRUE,テーブル1[[#This Row],[リンク]],テーブル1[[#This Row],[描画状況]]))/COUNTIF(F:F,テーブル1[[#This Row],[リンク]]))</f>
        <v>1</v>
      </c>
      <c r="Q160" s="16" t="str">
        <f ca="1">IFERROR(IF(テーブル1[[#This Row],[描画状況]]="",RAND()+(テーブル1[[#This Row],[列2]]*100),""),RAND())</f>
        <v/>
      </c>
      <c r="R160" s="1" t="s">
        <v>1193</v>
      </c>
      <c r="S160" s="24" t="str">
        <f ca="1">IF(AND(テーブル1[[#This Row],[描画状況]]="済",テーブル1[[#This Row],[投稿状況]]=""),RAND(),"")</f>
        <v/>
      </c>
      <c r="T160" s="23" t="str">
        <f>"|&amp;image("&amp;テーブル1[[#This Row],[画像]]&amp;".png,width=100,height=100)"</f>
        <v>|&amp;image(mackne-sai.png,width=100,height=100)</v>
      </c>
      <c r="U160" s="23" t="str">
        <f>"|MIDDLE:​"&amp;テーブル1[[#This Row],[名前]]</f>
        <v>|MIDDLE:​マック音サイ</v>
      </c>
      <c r="V160" s="23" t="str">
        <f>"|MIDDLE:​"&amp;テーブル1[[#This Row],[なまえ]]</f>
        <v>|MIDDLE:​まっくね さい</v>
      </c>
      <c r="W160" s="23" t="str">
        <f>"|MIDDLE:​"&amp;テーブル1[[#This Row],[Name]]</f>
        <v>|MIDDLE:​Mackne Sai</v>
      </c>
      <c r="X160" s="23" t="str">
        <f>"|MIDDLE:​&amp;link(配布所はこちら){​"&amp;テーブル1[[#This Row],[リンク]]&amp;"}|"</f>
        <v>|MIDDLE:​&amp;link(配布所はこちら){​https://www.mackhouse-soft.com}|</v>
      </c>
    </row>
    <row r="161" spans="1:24" ht="20.149999999999999" customHeight="1" x14ac:dyDescent="0.35">
      <c r="A161" s="20">
        <v>160</v>
      </c>
      <c r="B161" s="23" t="str">
        <f>SUBSTITUTE(SUBSTITUTE(SUBSTITUTE(SUBSTITUTE(SUBSTITUTE(SUBSTITUTE(SUBSTITUTE(SUBSTITUTE(LOWER(テーブル1[[#This Row],[Name]])," ","-"),".","-"),"&amp;","-"),"_","-"),"・","-"),"=","-"),"--","-"),"--","-")</f>
        <v>suzuno-yuon</v>
      </c>
      <c r="C161" s="24" t="s">
        <v>432</v>
      </c>
      <c r="D161" s="23" t="s">
        <v>433</v>
      </c>
      <c r="E161" s="23" t="s">
        <v>434</v>
      </c>
      <c r="F161" s="2" t="s">
        <v>54</v>
      </c>
      <c r="G161" s="23" t="s">
        <v>55</v>
      </c>
      <c r="M161" s="1" t="s">
        <v>1518</v>
      </c>
      <c r="N161" s="1" t="s">
        <v>1443</v>
      </c>
      <c r="O161" s="24" t="str">
        <f>テーブル1[[#This Row],[リンク]]&amp;テーブル1[[#This Row],[描画状況]]</f>
        <v>https://bellsworks.wixsite.com/bellsworks済</v>
      </c>
      <c r="P161" s="17">
        <f>1-(COUNTIF(O:O,_xlfn.TEXTJOIN(",",TRUE,テーブル1[[#This Row],[リンク]],テーブル1[[#This Row],[描画状況]]))/COUNTIF(F:F,テーブル1[[#This Row],[リンク]]))</f>
        <v>1</v>
      </c>
      <c r="Q161" s="16" t="str">
        <f ca="1">IFERROR(IF(テーブル1[[#This Row],[描画状況]]="",RAND()+(テーブル1[[#This Row],[列2]]*100),""),RAND())</f>
        <v/>
      </c>
      <c r="R161" s="1" t="s">
        <v>1193</v>
      </c>
      <c r="S161" s="24" t="str">
        <f ca="1">IF(AND(テーブル1[[#This Row],[描画状況]]="済",テーブル1[[#This Row],[投稿状況]]=""),RAND(),"")</f>
        <v/>
      </c>
      <c r="T161" s="23" t="str">
        <f>"|&amp;image("&amp;テーブル1[[#This Row],[画像]]&amp;".png,width=100,height=100)"</f>
        <v>|&amp;image(suzuno-yuon.png,width=100,height=100)</v>
      </c>
      <c r="U161" s="23" t="str">
        <f>"|MIDDLE:​"&amp;テーブル1[[#This Row],[名前]]</f>
        <v>|MIDDLE:​鈴音ユオン</v>
      </c>
      <c r="V161" s="23" t="str">
        <f>"|MIDDLE:​"&amp;テーブル1[[#This Row],[なまえ]]</f>
        <v>|MIDDLE:​すずの ゆおん</v>
      </c>
      <c r="W161" s="23" t="str">
        <f>"|MIDDLE:​"&amp;テーブル1[[#This Row],[Name]]</f>
        <v>|MIDDLE:​Suzuno Yuon</v>
      </c>
      <c r="X161" s="23" t="str">
        <f>"|MIDDLE:​&amp;link(配布所はこちら){​"&amp;テーブル1[[#This Row],[リンク]]&amp;"}|"</f>
        <v>|MIDDLE:​&amp;link(配布所はこちら){​https://bellsworks.wixsite.com/bellsworks}|</v>
      </c>
    </row>
    <row r="162" spans="1:24" ht="20.149999999999999" customHeight="1" x14ac:dyDescent="0.35">
      <c r="A162" s="20">
        <v>161</v>
      </c>
      <c r="B162" s="23" t="str">
        <f>SUBSTITUTE(SUBSTITUTE(SUBSTITUTE(SUBSTITUTE(SUBSTITUTE(SUBSTITUTE(SUBSTITUTE(SUBSTITUTE(LOWER(テーブル1[[#This Row],[Name]])," ","-"),".","-"),"&amp;","-"),"_","-"),"・","-"),"=","-"),"--","-"),"--","-")</f>
        <v>okuto-pasu</v>
      </c>
      <c r="C162" s="24" t="s">
        <v>678</v>
      </c>
      <c r="D162" s="23" t="s">
        <v>679</v>
      </c>
      <c r="E162" s="23" t="s">
        <v>680</v>
      </c>
      <c r="F162" s="2" t="s">
        <v>681</v>
      </c>
      <c r="G162" s="23" t="str">
        <f>テーブル1[[#This Row],[名前]]&amp;"(UTAU)"</f>
        <v>澳音ぱす(UTAU)</v>
      </c>
      <c r="N162" s="1" t="s">
        <v>1443</v>
      </c>
      <c r="O162" s="24" t="str">
        <f>テーブル1[[#This Row],[リンク]]&amp;テーブル1[[#This Row],[描画状況]]</f>
        <v>https://teapartyandmugshelf.wixsite.com/my-site-1済</v>
      </c>
      <c r="P162" s="17">
        <f>1-(COUNTIF(O:O,_xlfn.TEXTJOIN(",",TRUE,テーブル1[[#This Row],[リンク]],テーブル1[[#This Row],[描画状況]]))/COUNTIF(F:F,テーブル1[[#This Row],[リンク]]))</f>
        <v>1</v>
      </c>
      <c r="Q162" s="16" t="str">
        <f ca="1">IFERROR(IF(テーブル1[[#This Row],[描画状況]]="",RAND()+(テーブル1[[#This Row],[列2]]*100),""),RAND())</f>
        <v/>
      </c>
      <c r="R162" s="1" t="s">
        <v>1193</v>
      </c>
      <c r="S162" s="24" t="str">
        <f ca="1">IF(AND(テーブル1[[#This Row],[描画状況]]="済",テーブル1[[#This Row],[投稿状況]]=""),RAND(),"")</f>
        <v/>
      </c>
      <c r="T162" s="23" t="str">
        <f>"|&amp;image("&amp;テーブル1[[#This Row],[画像]]&amp;".png,width=100,height=100)"</f>
        <v>|&amp;image(okuto-pasu.png,width=100,height=100)</v>
      </c>
      <c r="U162" s="23" t="str">
        <f>"|MIDDLE:​"&amp;テーブル1[[#This Row],[名前]]</f>
        <v>|MIDDLE:​澳音ぱす</v>
      </c>
      <c r="V162" s="23" t="str">
        <f>"|MIDDLE:​"&amp;テーブル1[[#This Row],[なまえ]]</f>
        <v>|MIDDLE:​おくと ぱす</v>
      </c>
      <c r="W162" s="23" t="str">
        <f>"|MIDDLE:​"&amp;テーブル1[[#This Row],[Name]]</f>
        <v>|MIDDLE:​Okuto Pasu</v>
      </c>
      <c r="X162" s="23" t="str">
        <f>"|MIDDLE:​&amp;link(配布所はこちら){​"&amp;テーブル1[[#This Row],[リンク]]&amp;"}|"</f>
        <v>|MIDDLE:​&amp;link(配布所はこちら){​https://teapartyandmugshelf.wixsite.com/my-site-1}|</v>
      </c>
    </row>
    <row r="163" spans="1:24" ht="20.149999999999999" customHeight="1" x14ac:dyDescent="0.35">
      <c r="A163" s="20">
        <v>162</v>
      </c>
      <c r="B163" s="23" t="str">
        <f>SUBSTITUTE(SUBSTITUTE(SUBSTITUTE(SUBSTITUTE(SUBSTITUTE(SUBSTITUTE(SUBSTITUTE(SUBSTITUTE(LOWER(テーブル1[[#This Row],[Name]])," ","-"),".","-"),"&amp;","-"),"_","-"),"・","-"),"=","-"),"--","-"),"--","-")</f>
        <v>pelum</v>
      </c>
      <c r="C163" s="24" t="s">
        <v>544</v>
      </c>
      <c r="D163" s="23" t="s">
        <v>545</v>
      </c>
      <c r="E163" s="23" t="s">
        <v>546</v>
      </c>
      <c r="F163" s="2" t="s">
        <v>237</v>
      </c>
      <c r="G163" s="23" t="s">
        <v>238</v>
      </c>
      <c r="N163" s="1" t="s">
        <v>1443</v>
      </c>
      <c r="O163" s="24" t="str">
        <f>テーブル1[[#This Row],[リンク]]&amp;テーブル1[[#This Row],[描画状況]]</f>
        <v>https://ne510channel.wixsite.com/website済</v>
      </c>
      <c r="P163" s="17">
        <f>1-(COUNTIF(O:O,_xlfn.TEXTJOIN(",",TRUE,テーブル1[[#This Row],[リンク]],テーブル1[[#This Row],[描画状況]]))/COUNTIF(F:F,テーブル1[[#This Row],[リンク]]))</f>
        <v>1</v>
      </c>
      <c r="Q163" s="16" t="str">
        <f ca="1">IFERROR(IF(テーブル1[[#This Row],[描画状況]]="",RAND()+(テーブル1[[#This Row],[列2]]*100),""),RAND())</f>
        <v/>
      </c>
      <c r="R163" s="1" t="s">
        <v>1193</v>
      </c>
      <c r="S163" s="24" t="str">
        <f ca="1">IF(AND(テーブル1[[#This Row],[描画状況]]="済",テーブル1[[#This Row],[投稿状況]]=""),RAND(),"")</f>
        <v/>
      </c>
      <c r="T163" s="23" t="str">
        <f>"|&amp;image("&amp;テーブル1[[#This Row],[画像]]&amp;".png,width=100,height=100)"</f>
        <v>|&amp;image(pelum.png,width=100,height=100)</v>
      </c>
      <c r="U163" s="23" t="str">
        <f>"|MIDDLE:​"&amp;テーブル1[[#This Row],[名前]]</f>
        <v>|MIDDLE:​ペルム</v>
      </c>
      <c r="V163" s="23" t="str">
        <f>"|MIDDLE:​"&amp;テーブル1[[#This Row],[なまえ]]</f>
        <v>|MIDDLE:​ぺるむ</v>
      </c>
      <c r="W163" s="23" t="str">
        <f>"|MIDDLE:​"&amp;テーブル1[[#This Row],[Name]]</f>
        <v>|MIDDLE:​Pelum</v>
      </c>
      <c r="X163" s="23" t="str">
        <f>"|MIDDLE:​&amp;link(配布所はこちら){​"&amp;テーブル1[[#This Row],[リンク]]&amp;"}|"</f>
        <v>|MIDDLE:​&amp;link(配布所はこちら){​https://ne510channel.wixsite.com/website}|</v>
      </c>
    </row>
    <row r="164" spans="1:24" ht="20.149999999999999" customHeight="1" x14ac:dyDescent="0.35">
      <c r="A164" s="20">
        <v>163</v>
      </c>
      <c r="B164" s="23" t="str">
        <f>SUBSTITUTE(SUBSTITUTE(SUBSTITUTE(SUBSTITUTE(SUBSTITUTE(SUBSTITUTE(SUBSTITUTE(SUBSTITUTE(LOWER(テーブル1[[#This Row],[Name]])," ","-"),".","-"),"&amp;","-"),"_","-"),"・","-"),"=","-"),"--","-"),"--","-")</f>
        <v>kani-haku</v>
      </c>
      <c r="C164" s="24" t="s">
        <v>1403</v>
      </c>
      <c r="D164" s="23" t="s">
        <v>1301</v>
      </c>
      <c r="E164" s="23" t="s">
        <v>1404</v>
      </c>
      <c r="F164" s="15" t="s">
        <v>1302</v>
      </c>
      <c r="G164" s="23" t="s">
        <v>1303</v>
      </c>
      <c r="N164" s="1" t="s">
        <v>1443</v>
      </c>
      <c r="O164" s="24" t="str">
        <f>テーブル1[[#This Row],[リンク]]&amp;テーブル1[[#This Row],[描画状況]]</f>
        <v>https://inumokoco.wixsite.com/sleep-church済</v>
      </c>
      <c r="P164" s="17">
        <f>1-(COUNTIF(O:O,_xlfn.TEXTJOIN(",",TRUE,テーブル1[[#This Row],[リンク]],テーブル1[[#This Row],[描画状況]]))/COUNTIF(F:F,テーブル1[[#This Row],[リンク]]))</f>
        <v>1</v>
      </c>
      <c r="Q164" s="16" t="str">
        <f ca="1">IFERROR(IF(テーブル1[[#This Row],[描画状況]]="",RAND()+(テーブル1[[#This Row],[列2]]*100),""),RAND())</f>
        <v/>
      </c>
      <c r="R164" s="1" t="s">
        <v>1193</v>
      </c>
      <c r="S164" s="24" t="str">
        <f ca="1">IF(AND(テーブル1[[#This Row],[描画状況]]="済",テーブル1[[#This Row],[投稿状況]]=""),RAND(),"")</f>
        <v/>
      </c>
      <c r="T164" s="23" t="str">
        <f>"|&amp;image("&amp;テーブル1[[#This Row],[画像]]&amp;".png,width=100,height=100)"</f>
        <v>|&amp;image(kani-haku.png,width=100,height=100)</v>
      </c>
      <c r="U164" s="23" t="str">
        <f>"|MIDDLE:​"&amp;テーブル1[[#This Row],[名前]]</f>
        <v>|MIDDLE:​​棺依ハク</v>
      </c>
      <c r="V164" s="23" t="str">
        <f>"|MIDDLE:​"&amp;テーブル1[[#This Row],[なまえ]]</f>
        <v>|MIDDLE:​かんい はく</v>
      </c>
      <c r="W164" s="23" t="str">
        <f>"|MIDDLE:​"&amp;テーブル1[[#This Row],[Name]]</f>
        <v>|MIDDLE:​Kani Haku</v>
      </c>
      <c r="X164" s="23" t="str">
        <f>"|MIDDLE:​&amp;link(配布所はこちら){​"&amp;テーブル1[[#This Row],[リンク]]&amp;"}|"</f>
        <v>|MIDDLE:​&amp;link(配布所はこちら){​https://inumokoco.wixsite.com/sleep-church}|</v>
      </c>
    </row>
    <row r="165" spans="1:24" ht="20.149999999999999" customHeight="1" x14ac:dyDescent="0.35">
      <c r="A165" s="20">
        <v>164</v>
      </c>
      <c r="B165" s="23" t="str">
        <f>SUBSTITUTE(SUBSTITUTE(SUBSTITUTE(SUBSTITUTE(SUBSTITUTE(SUBSTITUTE(SUBSTITUTE(SUBSTITUTE(LOWER(テーブル1[[#This Row],[Name]])," ","-"),".","-"),"&amp;","-"),"_","-"),"・","-"),"=","-"),"--","-"),"--","-")</f>
        <v xml:space="preserve">	​ritsudoki-shidoku</v>
      </c>
      <c r="C165" s="24" t="s">
        <v>1397</v>
      </c>
      <c r="D165" s="23" t="s">
        <v>1398</v>
      </c>
      <c r="E165" s="23" t="s">
        <v>1399</v>
      </c>
      <c r="F165" s="2" t="s">
        <v>1400</v>
      </c>
      <c r="G165" s="23" t="s">
        <v>1401</v>
      </c>
      <c r="N165" s="1" t="s">
        <v>1443</v>
      </c>
      <c r="O165" s="24" t="str">
        <f>テーブル1[[#This Row],[リンク]]&amp;テーブル1[[#This Row],[描画状況]]</f>
        <v>https://zaregotohitori.wixsite.com/ritsudokishidoku済</v>
      </c>
      <c r="P165" s="17">
        <f>1-(COUNTIF(O:O,_xlfn.TEXTJOIN(",",TRUE,テーブル1[[#This Row],[リンク]],テーブル1[[#This Row],[描画状況]]))/COUNTIF(F:F,テーブル1[[#This Row],[リンク]]))</f>
        <v>1</v>
      </c>
      <c r="Q165" s="16" t="str">
        <f ca="1">IFERROR(IF(テーブル1[[#This Row],[描画状況]]="",RAND()+(テーブル1[[#This Row],[列2]]*100),""),RAND())</f>
        <v/>
      </c>
      <c r="R165" s="1" t="s">
        <v>1193</v>
      </c>
      <c r="S165" s="24" t="str">
        <f ca="1">IF(AND(テーブル1[[#This Row],[描画状況]]="済",テーブル1[[#This Row],[投稿状況]]=""),RAND(),"")</f>
        <v/>
      </c>
      <c r="T165" s="23" t="str">
        <f>"|&amp;image("&amp;テーブル1[[#This Row],[画像]]&amp;".png,width=100,height=100)"</f>
        <v>|&amp;image(	​ritsudoki-shidoku.png,width=100,height=100)</v>
      </c>
      <c r="U165" s="23" t="str">
        <f>"|MIDDLE:​"&amp;テーブル1[[#This Row],[名前]]</f>
        <v>|MIDDLE:​律時シドク</v>
      </c>
      <c r="V165" s="23" t="str">
        <f>"|MIDDLE:​"&amp;テーブル1[[#This Row],[なまえ]]</f>
        <v>|MIDDLE:​りつどき しどく</v>
      </c>
      <c r="W165" s="23" t="str">
        <f>"|MIDDLE:​"&amp;テーブル1[[#This Row],[Name]]</f>
        <v>|MIDDLE:​	​Ritsudoki Shidoku</v>
      </c>
      <c r="X165" s="23" t="str">
        <f>"|MIDDLE:​&amp;link(配布所はこちら){​"&amp;テーブル1[[#This Row],[リンク]]&amp;"}|"</f>
        <v>|MIDDLE:​&amp;link(配布所はこちら){​https://zaregotohitori.wixsite.com/ritsudokishidoku}|</v>
      </c>
    </row>
    <row r="166" spans="1:24" ht="20.149999999999999" customHeight="1" x14ac:dyDescent="0.35">
      <c r="A166" s="20">
        <v>165</v>
      </c>
      <c r="B166" s="23" t="str">
        <f>SUBSTITUTE(SUBSTITUTE(SUBSTITUTE(SUBSTITUTE(SUBSTITUTE(SUBSTITUTE(SUBSTITUTE(SUBSTITUTE(LOWER(テーブル1[[#This Row],[Name]])," ","-"),".","-"),"&amp;","-"),"_","-"),"・","-"),"=","-"),"--","-"),"--","-")</f>
        <v>ginji</v>
      </c>
      <c r="C166" s="24" t="s">
        <v>1128</v>
      </c>
      <c r="D166" s="23" t="s">
        <v>1130</v>
      </c>
      <c r="E166" s="23" t="s">
        <v>1129</v>
      </c>
      <c r="F166" s="15" t="s">
        <v>1143</v>
      </c>
      <c r="G166" s="23" t="str">
        <f>テーブル1[[#This Row],[名前]]&amp;"(UTAU)"</f>
        <v>吟児(UTAU)</v>
      </c>
      <c r="N166" s="1" t="s">
        <v>1443</v>
      </c>
      <c r="O166" s="24" t="str">
        <f>テーブル1[[#This Row],[リンク]]&amp;テーブル1[[#This Row],[描画状況]]</f>
        <v>https://yautau.wixsite.com/0909済</v>
      </c>
      <c r="P166" s="17">
        <f>1-(COUNTIF(O:O,_xlfn.TEXTJOIN(",",TRUE,テーブル1[[#This Row],[リンク]],テーブル1[[#This Row],[描画状況]]))/COUNTIF(F:F,テーブル1[[#This Row],[リンク]]))</f>
        <v>1</v>
      </c>
      <c r="Q166" s="16" t="str">
        <f ca="1">IFERROR(IF(テーブル1[[#This Row],[描画状況]]="",RAND()+(テーブル1[[#This Row],[列2]]*100),""),RAND())</f>
        <v/>
      </c>
      <c r="R166" s="1" t="s">
        <v>1193</v>
      </c>
      <c r="S166" s="24" t="str">
        <f ca="1">IF(AND(テーブル1[[#This Row],[描画状況]]="済",テーブル1[[#This Row],[投稿状況]]=""),RAND(),"")</f>
        <v/>
      </c>
      <c r="T166" s="23" t="str">
        <f>"|&amp;image("&amp;テーブル1[[#This Row],[画像]]&amp;".png,width=100,height=100)"</f>
        <v>|&amp;image(ginji.png,width=100,height=100)</v>
      </c>
      <c r="U166" s="23" t="str">
        <f>"|MIDDLE:​"&amp;テーブル1[[#This Row],[名前]]</f>
        <v>|MIDDLE:​吟児</v>
      </c>
      <c r="V166" s="23" t="str">
        <f>"|MIDDLE:​"&amp;テーブル1[[#This Row],[なまえ]]</f>
        <v>|MIDDLE:​ぎんじ</v>
      </c>
      <c r="W166" s="23" t="str">
        <f>"|MIDDLE:​"&amp;テーブル1[[#This Row],[Name]]</f>
        <v>|MIDDLE:​Ginji</v>
      </c>
      <c r="X166" s="23" t="str">
        <f>"|MIDDLE:​&amp;link(配布所はこちら){​"&amp;テーブル1[[#This Row],[リンク]]&amp;"}|"</f>
        <v>|MIDDLE:​&amp;link(配布所はこちら){​https://yautau.wixsite.com/0909}|</v>
      </c>
    </row>
    <row r="167" spans="1:24" ht="20.149999999999999" customHeight="1" x14ac:dyDescent="0.35">
      <c r="A167" s="20">
        <v>166</v>
      </c>
      <c r="B167" s="23" t="str">
        <f>SUBSTITUTE(SUBSTITUTE(SUBSTITUTE(SUBSTITUTE(SUBSTITUTE(SUBSTITUTE(SUBSTITUTE(SUBSTITUTE(LOWER(テーブル1[[#This Row],[Name]])," ","-"),".","-"),"&amp;","-"),"_","-"),"・","-"),"=","-"),"--","-"),"--","-")</f>
        <v>tamura-shun</v>
      </c>
      <c r="C167" s="24" t="s">
        <v>1510</v>
      </c>
      <c r="D167" s="23" t="s">
        <v>588</v>
      </c>
      <c r="E167" s="23" t="s">
        <v>589</v>
      </c>
      <c r="F167" s="2" t="s">
        <v>717</v>
      </c>
      <c r="G167" s="23" t="s">
        <v>590</v>
      </c>
      <c r="N167" s="1" t="s">
        <v>1443</v>
      </c>
      <c r="O167" s="24" t="str">
        <f>テーブル1[[#This Row],[リンク]]&amp;テーブル1[[#This Row],[描画状況]]</f>
        <v>https://piku.page/@toitoitoi23済</v>
      </c>
      <c r="P167" s="17">
        <f>1-(COUNTIF(O:O,_xlfn.TEXTJOIN(",",TRUE,テーブル1[[#This Row],[リンク]],テーブル1[[#This Row],[描画状況]]))/COUNTIF(F:F,テーブル1[[#This Row],[リンク]]))</f>
        <v>1</v>
      </c>
      <c r="Q167" s="16" t="str">
        <f ca="1">IFERROR(IF(テーブル1[[#This Row],[描画状況]]="",RAND()+(テーブル1[[#This Row],[列2]]*100),""),RAND())</f>
        <v/>
      </c>
      <c r="R167" s="1" t="s">
        <v>1193</v>
      </c>
      <c r="S167" s="24" t="str">
        <f ca="1">IF(AND(テーブル1[[#This Row],[描画状況]]="済",テーブル1[[#This Row],[投稿状況]]=""),RAND(),"")</f>
        <v/>
      </c>
      <c r="T167" s="23" t="str">
        <f>"|&amp;image("&amp;テーブル1[[#This Row],[画像]]&amp;".png,width=100,height=100)"</f>
        <v>|&amp;image(tamura-shun.png,width=100,height=100)</v>
      </c>
      <c r="U167" s="23" t="str">
        <f>"|MIDDLE:​"&amp;テーブル1[[#This Row],[名前]]</f>
        <v>|MIDDLE:​田村春</v>
      </c>
      <c r="V167" s="23" t="str">
        <f>"|MIDDLE:​"&amp;テーブル1[[#This Row],[なまえ]]</f>
        <v>|MIDDLE:​たむら しゅん</v>
      </c>
      <c r="W167" s="23" t="str">
        <f>"|MIDDLE:​"&amp;テーブル1[[#This Row],[Name]]</f>
        <v>|MIDDLE:​Tamura Shun</v>
      </c>
      <c r="X167" s="23" t="str">
        <f>"|MIDDLE:​&amp;link(配布所はこちら){​"&amp;テーブル1[[#This Row],[リンク]]&amp;"}|"</f>
        <v>|MIDDLE:​&amp;link(配布所はこちら){​https://piku.page/@toitoitoi23}|</v>
      </c>
    </row>
    <row r="168" spans="1:24" ht="20.149999999999999" customHeight="1" x14ac:dyDescent="0.35">
      <c r="A168" s="20">
        <v>167</v>
      </c>
      <c r="B168" s="23" t="str">
        <f>SUBSTITUTE(SUBSTITUTE(SUBSTITUTE(SUBSTITUTE(SUBSTITUTE(SUBSTITUTE(SUBSTITUTE(SUBSTITUTE(LOWER(テーブル1[[#This Row],[Name]])," ","-"),".","-"),"&amp;","-"),"_","-"),"・","-"),"=","-"),"--","-"),"--","-")</f>
        <v>yakumo-shio</v>
      </c>
      <c r="C168" s="24" t="s">
        <v>811</v>
      </c>
      <c r="D168" s="23" t="s">
        <v>813</v>
      </c>
      <c r="E168" s="23" t="s">
        <v>812</v>
      </c>
      <c r="F168" s="2" t="s">
        <v>814</v>
      </c>
      <c r="G168" s="23" t="s">
        <v>815</v>
      </c>
      <c r="N168" s="1" t="s">
        <v>1443</v>
      </c>
      <c r="O168" s="24" t="str">
        <f>テーブル1[[#This Row],[リンク]]&amp;テーブル1[[#This Row],[描画状況]]</f>
        <v>https://makurakue.wixsite.com/kemononokemono済</v>
      </c>
      <c r="P168" s="17">
        <f>1-(COUNTIF(O:O,_xlfn.TEXTJOIN(",",TRUE,テーブル1[[#This Row],[リンク]],テーブル1[[#This Row],[描画状況]]))/COUNTIF(F:F,テーブル1[[#This Row],[リンク]]))</f>
        <v>1</v>
      </c>
      <c r="Q168" s="16" t="str">
        <f ca="1">IFERROR(IF(テーブル1[[#This Row],[描画状況]]="",RAND()+(テーブル1[[#This Row],[列2]]*100),""),RAND())</f>
        <v/>
      </c>
      <c r="R168" s="1" t="s">
        <v>1193</v>
      </c>
      <c r="S168" s="24" t="str">
        <f ca="1">IF(AND(テーブル1[[#This Row],[描画状況]]="済",テーブル1[[#This Row],[投稿状況]]=""),RAND(),"")</f>
        <v/>
      </c>
      <c r="T168" s="23" t="str">
        <f>"|&amp;image("&amp;テーブル1[[#This Row],[画像]]&amp;".png,width=100,height=100)"</f>
        <v>|&amp;image(yakumo-shio.png,width=100,height=100)</v>
      </c>
      <c r="U168" s="23" t="str">
        <f>"|MIDDLE:​"&amp;テーブル1[[#This Row],[名前]]</f>
        <v>|MIDDLE:​八雲しお</v>
      </c>
      <c r="V168" s="23" t="str">
        <f>"|MIDDLE:​"&amp;テーブル1[[#This Row],[なまえ]]</f>
        <v>|MIDDLE:​やくも しお</v>
      </c>
      <c r="W168" s="23" t="str">
        <f>"|MIDDLE:​"&amp;テーブル1[[#This Row],[Name]]</f>
        <v>|MIDDLE:​Yakumo Shio</v>
      </c>
      <c r="X168" s="23" t="str">
        <f>"|MIDDLE:​&amp;link(配布所はこちら){​"&amp;テーブル1[[#This Row],[リンク]]&amp;"}|"</f>
        <v>|MIDDLE:​&amp;link(配布所はこちら){​https://makurakue.wixsite.com/kemononokemono}|</v>
      </c>
    </row>
    <row r="169" spans="1:24" ht="20.149999999999999" customHeight="1" x14ac:dyDescent="0.35">
      <c r="A169" s="20">
        <v>168</v>
      </c>
      <c r="B169" s="23" t="str">
        <f>SUBSTITUTE(SUBSTITUTE(SUBSTITUTE(SUBSTITUTE(SUBSTITUTE(SUBSTITUTE(SUBSTITUTE(SUBSTITUTE(LOWER(テーブル1[[#This Row],[Name]])," ","-"),".","-"),"&amp;","-"),"_","-"),"・","-"),"=","-"),"--","-"),"--","-")</f>
        <v>mutsuro</v>
      </c>
      <c r="C169" s="24">
        <v>626</v>
      </c>
      <c r="D169" s="23" t="s">
        <v>484</v>
      </c>
      <c r="E169" s="23" t="s">
        <v>485</v>
      </c>
      <c r="F169" s="2" t="s">
        <v>486</v>
      </c>
      <c r="G169" s="23" t="s">
        <v>487</v>
      </c>
      <c r="N169" s="1" t="s">
        <v>1443</v>
      </c>
      <c r="O169" s="24" t="str">
        <f>テーブル1[[#This Row],[リンク]]&amp;テーブル1[[#This Row],[描画状況]]</f>
        <v>https://nanarabo626.studio.site済</v>
      </c>
      <c r="P169" s="17">
        <f>1-(COUNTIF(O:O,_xlfn.TEXTJOIN(",",TRUE,テーブル1[[#This Row],[リンク]],テーブル1[[#This Row],[描画状況]]))/COUNTIF(F:F,テーブル1[[#This Row],[リンク]]))</f>
        <v>1</v>
      </c>
      <c r="Q169" s="16" t="str">
        <f ca="1">IFERROR(IF(テーブル1[[#This Row],[描画状況]]="",RAND()+(テーブル1[[#This Row],[列2]]*100),""),RAND())</f>
        <v/>
      </c>
      <c r="R169" s="1" t="s">
        <v>1193</v>
      </c>
      <c r="S169" s="24" t="str">
        <f ca="1">IF(AND(テーブル1[[#This Row],[描画状況]]="済",テーブル1[[#This Row],[投稿状況]]=""),RAND(),"")</f>
        <v/>
      </c>
      <c r="T169" s="23" t="str">
        <f>"|&amp;image("&amp;テーブル1[[#This Row],[画像]]&amp;".png,width=100,height=100)"</f>
        <v>|&amp;image(mutsuro.png,width=100,height=100)</v>
      </c>
      <c r="U169" s="23" t="str">
        <f>"|MIDDLE:​"&amp;テーブル1[[#This Row],[名前]]</f>
        <v>|MIDDLE:​626</v>
      </c>
      <c r="V169" s="23" t="str">
        <f>"|MIDDLE:​"&amp;テーブル1[[#This Row],[なまえ]]</f>
        <v>|MIDDLE:​むつろ</v>
      </c>
      <c r="W169" s="23" t="str">
        <f>"|MIDDLE:​"&amp;テーブル1[[#This Row],[Name]]</f>
        <v>|MIDDLE:​Mutsuro</v>
      </c>
      <c r="X169" s="23" t="str">
        <f>"|MIDDLE:​&amp;link(配布所はこちら){​"&amp;テーブル1[[#This Row],[リンク]]&amp;"}|"</f>
        <v>|MIDDLE:​&amp;link(配布所はこちら){​https://nanarabo626.studio.site}|</v>
      </c>
    </row>
    <row r="170" spans="1:24" ht="20.149999999999999" customHeight="1" x14ac:dyDescent="0.35">
      <c r="A170" s="20">
        <v>169</v>
      </c>
      <c r="B170" s="23" t="str">
        <f>SUBSTITUTE(SUBSTITUTE(SUBSTITUTE(SUBSTITUTE(SUBSTITUTE(SUBSTITUTE(SUBSTITUTE(SUBSTITUTE(LOWER(テーブル1[[#This Row],[Name]])," ","-"),".","-"),"&amp;","-"),"_","-"),"・","-"),"=","-"),"--","-"),"--","-")</f>
        <v>yogen-kore</v>
      </c>
      <c r="C170" s="24" t="s">
        <v>835</v>
      </c>
      <c r="D170" s="23" t="s">
        <v>836</v>
      </c>
      <c r="E170" s="23" t="s">
        <v>837</v>
      </c>
      <c r="F170" s="2" t="s">
        <v>833</v>
      </c>
      <c r="G170" s="23" t="s">
        <v>834</v>
      </c>
      <c r="N170" s="1" t="s">
        <v>1443</v>
      </c>
      <c r="O170" s="24" t="str">
        <f>テーブル1[[#This Row],[リンク]]&amp;テーブル1[[#This Row],[描画状況]]</f>
        <v>https://kaedekatusaki.wixsite.com/yanagiroutyou済</v>
      </c>
      <c r="P170" s="17">
        <f>1-(COUNTIF(O:O,_xlfn.TEXTJOIN(",",TRUE,テーブル1[[#This Row],[リンク]],テーブル1[[#This Row],[描画状況]]))/COUNTIF(F:F,テーブル1[[#This Row],[リンク]]))</f>
        <v>1</v>
      </c>
      <c r="Q170" s="16" t="str">
        <f ca="1">IFERROR(IF(テーブル1[[#This Row],[描画状況]]="",RAND()+(テーブル1[[#This Row],[列2]]*100),""),RAND())</f>
        <v/>
      </c>
      <c r="R170" s="1" t="s">
        <v>1193</v>
      </c>
      <c r="S170" s="24" t="str">
        <f ca="1">IF(AND(テーブル1[[#This Row],[描画状況]]="済",テーブル1[[#This Row],[投稿状況]]=""),RAND(),"")</f>
        <v/>
      </c>
      <c r="T170" s="23" t="str">
        <f>"|&amp;image("&amp;テーブル1[[#This Row],[画像]]&amp;".png,width=100,height=100)"</f>
        <v>|&amp;image(yogen-kore.png,width=100,height=100)</v>
      </c>
      <c r="U170" s="23" t="str">
        <f>"|MIDDLE:​"&amp;テーブル1[[#This Row],[名前]]</f>
        <v>|MIDDLE:​踊弦コレ</v>
      </c>
      <c r="V170" s="23" t="str">
        <f>"|MIDDLE:​"&amp;テーブル1[[#This Row],[なまえ]]</f>
        <v>|MIDDLE:​ようげん これ</v>
      </c>
      <c r="W170" s="23" t="str">
        <f>"|MIDDLE:​"&amp;テーブル1[[#This Row],[Name]]</f>
        <v>|MIDDLE:​Yogen Kore</v>
      </c>
      <c r="X170" s="23" t="str">
        <f>"|MIDDLE:​&amp;link(配布所はこちら){​"&amp;テーブル1[[#This Row],[リンク]]&amp;"}|"</f>
        <v>|MIDDLE:​&amp;link(配布所はこちら){​https://kaedekatusaki.wixsite.com/yanagiroutyou}|</v>
      </c>
    </row>
    <row r="171" spans="1:24" ht="20.149999999999999" customHeight="1" x14ac:dyDescent="0.35">
      <c r="A171" s="20">
        <v>170</v>
      </c>
      <c r="B171" s="23" t="str">
        <f>SUBSTITUTE(SUBSTITUTE(SUBSTITUTE(SUBSTITUTE(SUBSTITUTE(SUBSTITUTE(SUBSTITUTE(SUBSTITUTE(LOWER(テーブル1[[#This Row],[Name]])," ","-"),".","-"),"&amp;","-"),"_","-"),"・","-"),"=","-"),"--","-"),"--","-")</f>
        <v>heiro</v>
      </c>
      <c r="C171" s="24" t="s">
        <v>566</v>
      </c>
      <c r="D171" s="23" t="s">
        <v>567</v>
      </c>
      <c r="E171" s="23" t="s">
        <v>568</v>
      </c>
      <c r="F171" s="2" t="s">
        <v>93</v>
      </c>
      <c r="G171" s="23" t="s">
        <v>94</v>
      </c>
      <c r="H171" s="23" t="s">
        <v>1627</v>
      </c>
      <c r="I171" s="23" t="s">
        <v>1650</v>
      </c>
      <c r="K171" s="23" t="s">
        <v>1651</v>
      </c>
      <c r="L171" s="23" t="s">
        <v>1652</v>
      </c>
      <c r="M171" s="1" t="s">
        <v>1518</v>
      </c>
      <c r="N171" s="1" t="s">
        <v>1443</v>
      </c>
      <c r="O171" s="24" t="str">
        <f>テーブル1[[#This Row],[リンク]]&amp;テーブル1[[#This Row],[描画状況]]</f>
        <v>https://cloudcatch1224.wixsite.com/godsfoot済</v>
      </c>
      <c r="P171" s="17">
        <f>1-(COUNTIF(O:O,_xlfn.TEXTJOIN(",",TRUE,テーブル1[[#This Row],[リンク]],テーブル1[[#This Row],[描画状況]]))/COUNTIF(F:F,テーブル1[[#This Row],[リンク]]))</f>
        <v>1</v>
      </c>
      <c r="Q171" s="16" t="str">
        <f ca="1">IFERROR(IF(テーブル1[[#This Row],[描画状況]]="",RAND()+(テーブル1[[#This Row],[列2]]*100),""),RAND())</f>
        <v/>
      </c>
      <c r="R171" s="1" t="s">
        <v>1193</v>
      </c>
      <c r="S171" s="24" t="str">
        <f ca="1">IF(AND(テーブル1[[#This Row],[描画状況]]="済",テーブル1[[#This Row],[投稿状況]]=""),RAND(),"")</f>
        <v/>
      </c>
      <c r="T171" s="23" t="str">
        <f>"|&amp;image("&amp;テーブル1[[#This Row],[画像]]&amp;".png,width=100,height=100)"</f>
        <v>|&amp;image(heiro.png,width=100,height=100)</v>
      </c>
      <c r="U171" s="23" t="str">
        <f>"|MIDDLE:​"&amp;テーブル1[[#This Row],[名前]]</f>
        <v>|MIDDLE:​閉路</v>
      </c>
      <c r="V171" s="23" t="str">
        <f>"|MIDDLE:​"&amp;テーブル1[[#This Row],[なまえ]]</f>
        <v>|MIDDLE:​へいろ</v>
      </c>
      <c r="W171" s="23" t="str">
        <f>"|MIDDLE:​"&amp;テーブル1[[#This Row],[Name]]</f>
        <v>|MIDDLE:​Heiro</v>
      </c>
      <c r="X171" s="23" t="str">
        <f>"|MIDDLE:​&amp;link(配布所はこちら){​"&amp;テーブル1[[#This Row],[リンク]]&amp;"}|"</f>
        <v>|MIDDLE:​&amp;link(配布所はこちら){​https://cloudcatch1224.wixsite.com/godsfoot}|</v>
      </c>
    </row>
    <row r="172" spans="1:24" ht="20.149999999999999" customHeight="1" x14ac:dyDescent="0.35">
      <c r="A172" s="20">
        <v>171</v>
      </c>
      <c r="B172" s="23" t="str">
        <f>SUBSTITUTE(SUBSTITUTE(SUBSTITUTE(SUBSTITUTE(SUBSTITUTE(SUBSTITUTE(SUBSTITUTE(SUBSTITUTE(LOWER(テーブル1[[#This Row],[Name]])," ","-"),".","-"),"&amp;","-"),"_","-"),"・","-"),"=","-"),"--","-"),"--","-")</f>
        <v>kyusaku-q</v>
      </c>
      <c r="C172" s="24" t="s">
        <v>638</v>
      </c>
      <c r="D172" s="23" t="s">
        <v>639</v>
      </c>
      <c r="E172" s="23" t="s">
        <v>640</v>
      </c>
      <c r="F172" s="2" t="s">
        <v>641</v>
      </c>
      <c r="G172" s="23" t="s">
        <v>642</v>
      </c>
      <c r="N172" s="1" t="s">
        <v>1443</v>
      </c>
      <c r="O172" s="24" t="str">
        <f>テーブル1[[#This Row],[リンク]]&amp;テーブル1[[#This Row],[描画状況]]</f>
        <v>https://sites.google.com/view/qsuke-garden/home済</v>
      </c>
      <c r="P172" s="17">
        <f>1-(COUNTIF(O:O,_xlfn.TEXTJOIN(",",TRUE,テーブル1[[#This Row],[リンク]],テーブル1[[#This Row],[描画状況]]))/COUNTIF(F:F,テーブル1[[#This Row],[リンク]]))</f>
        <v>1</v>
      </c>
      <c r="Q172" s="16" t="str">
        <f ca="1">IFERROR(IF(テーブル1[[#This Row],[描画状況]]="",RAND()+(テーブル1[[#This Row],[列2]]*100),""),RAND())</f>
        <v/>
      </c>
      <c r="R172" s="1" t="s">
        <v>1193</v>
      </c>
      <c r="S172" s="24" t="str">
        <f ca="1">IF(AND(テーブル1[[#This Row],[描画状況]]="済",テーブル1[[#This Row],[投稿状況]]=""),RAND(),"")</f>
        <v/>
      </c>
      <c r="T172" s="23" t="str">
        <f>"|&amp;image("&amp;テーブル1[[#This Row],[画像]]&amp;".png,width=100,height=100)"</f>
        <v>|&amp;image(kyusaku-q.png,width=100,height=100)</v>
      </c>
      <c r="U172" s="23" t="str">
        <f>"|MIDDLE:​"&amp;テーブル1[[#This Row],[名前]]</f>
        <v>|MIDDLE:​九作：Ｑ</v>
      </c>
      <c r="V172" s="23" t="str">
        <f>"|MIDDLE:​"&amp;テーブル1[[#This Row],[なまえ]]</f>
        <v>|MIDDLE:​きゅうさく きゅう</v>
      </c>
      <c r="W172" s="23" t="str">
        <f>"|MIDDLE:​"&amp;テーブル1[[#This Row],[Name]]</f>
        <v>|MIDDLE:​Kyusaku Q</v>
      </c>
      <c r="X172" s="23" t="str">
        <f>"|MIDDLE:​&amp;link(配布所はこちら){​"&amp;テーブル1[[#This Row],[リンク]]&amp;"}|"</f>
        <v>|MIDDLE:​&amp;link(配布所はこちら){​https://sites.google.com/view/qsuke-garden/home}|</v>
      </c>
    </row>
    <row r="173" spans="1:24" ht="20.149999999999999" customHeight="1" x14ac:dyDescent="0.35">
      <c r="A173" s="20">
        <v>172</v>
      </c>
      <c r="B173" s="23" t="str">
        <f>SUBSTITUTE(SUBSTITUTE(SUBSTITUTE(SUBSTITUTE(SUBSTITUTE(SUBSTITUTE(SUBSTITUTE(SUBSTITUTE(LOWER(テーブル1[[#This Row],[Name]])," ","-"),".","-"),"&amp;","-"),"_","-"),"・","-"),"=","-"),"--","-"),"--","-")</f>
        <v>hiiro</v>
      </c>
      <c r="C173" s="24">
        <v>116</v>
      </c>
      <c r="D173" s="23" t="s">
        <v>488</v>
      </c>
      <c r="E173" s="23" t="s">
        <v>489</v>
      </c>
      <c r="F173" s="2" t="s">
        <v>486</v>
      </c>
      <c r="G173" s="23" t="s">
        <v>490</v>
      </c>
      <c r="N173" s="1" t="s">
        <v>1443</v>
      </c>
      <c r="O173" s="24" t="str">
        <f>テーブル1[[#This Row],[リンク]]&amp;テーブル1[[#This Row],[描画状況]]</f>
        <v>https://nanarabo626.studio.site済</v>
      </c>
      <c r="P173" s="17">
        <f>1-(COUNTIF(O:O,_xlfn.TEXTJOIN(",",TRUE,テーブル1[[#This Row],[リンク]],テーブル1[[#This Row],[描画状況]]))/COUNTIF(F:F,テーブル1[[#This Row],[リンク]]))</f>
        <v>1</v>
      </c>
      <c r="Q173" s="16" t="str">
        <f ca="1">IFERROR(IF(テーブル1[[#This Row],[描画状況]]="",RAND()+(テーブル1[[#This Row],[列2]]*100),""),RAND())</f>
        <v/>
      </c>
      <c r="R173" s="1" t="s">
        <v>1193</v>
      </c>
      <c r="S173" s="24" t="str">
        <f ca="1">IF(AND(テーブル1[[#This Row],[描画状況]]="済",テーブル1[[#This Row],[投稿状況]]=""),RAND(),"")</f>
        <v/>
      </c>
      <c r="T173" s="23" t="str">
        <f>"|&amp;image("&amp;テーブル1[[#This Row],[画像]]&amp;".png,width=100,height=100)"</f>
        <v>|&amp;image(hiiro.png,width=100,height=100)</v>
      </c>
      <c r="U173" s="23" t="str">
        <f>"|MIDDLE:​"&amp;テーブル1[[#This Row],[名前]]</f>
        <v>|MIDDLE:​116</v>
      </c>
      <c r="V173" s="23" t="str">
        <f>"|MIDDLE:​"&amp;テーブル1[[#This Row],[なまえ]]</f>
        <v>|MIDDLE:​ひいろ</v>
      </c>
      <c r="W173" s="23" t="str">
        <f>"|MIDDLE:​"&amp;テーブル1[[#This Row],[Name]]</f>
        <v>|MIDDLE:​Hiiro</v>
      </c>
      <c r="X173" s="23" t="str">
        <f>"|MIDDLE:​&amp;link(配布所はこちら){​"&amp;テーブル1[[#This Row],[リンク]]&amp;"}|"</f>
        <v>|MIDDLE:​&amp;link(配布所はこちら){​https://nanarabo626.studio.site}|</v>
      </c>
    </row>
    <row r="174" spans="1:24" ht="20.149999999999999" customHeight="1" x14ac:dyDescent="0.35">
      <c r="A174" s="20">
        <v>173</v>
      </c>
      <c r="B174" s="23" t="str">
        <f>SUBSTITUTE(SUBSTITUTE(SUBSTITUTE(SUBSTITUTE(SUBSTITUTE(SUBSTITUTE(SUBSTITUTE(SUBSTITUTE(LOWER(テーブル1[[#This Row],[Name]])," ","-"),".","-"),"&amp;","-"),"_","-"),"・","-"),"=","-"),"--","-"),"--","-")</f>
        <v>jido</v>
      </c>
      <c r="C174" s="24" t="s">
        <v>1356</v>
      </c>
      <c r="D174" s="23" t="s">
        <v>1357</v>
      </c>
      <c r="E174" s="23" t="s">
        <v>1358</v>
      </c>
      <c r="F174" s="15" t="s">
        <v>1402</v>
      </c>
      <c r="G174" s="23" t="s">
        <v>1359</v>
      </c>
      <c r="N174" s="1" t="s">
        <v>1443</v>
      </c>
      <c r="O174" s="24" t="str">
        <f>テーブル1[[#This Row],[リンク]]&amp;テーブル1[[#This Row],[描画状況]]</f>
        <v>https://makaron3264.wixsite.com/utauotoohana済</v>
      </c>
      <c r="P174" s="17">
        <f>1-(COUNTIF(O:O,_xlfn.TEXTJOIN(",",TRUE,テーブル1[[#This Row],[リンク]],テーブル1[[#This Row],[描画状況]]))/COUNTIF(F:F,テーブル1[[#This Row],[リンク]]))</f>
        <v>1</v>
      </c>
      <c r="Q174" s="16" t="str">
        <f ca="1">IFERROR(IF(テーブル1[[#This Row],[描画状況]]="",RAND()+(テーブル1[[#This Row],[列2]]*100),""),RAND())</f>
        <v/>
      </c>
      <c r="R174" s="1" t="s">
        <v>1193</v>
      </c>
      <c r="S174" s="24" t="str">
        <f ca="1">IF(AND(テーブル1[[#This Row],[描画状況]]="済",テーブル1[[#This Row],[投稿状況]]=""),RAND(),"")</f>
        <v/>
      </c>
      <c r="T174" s="23" t="str">
        <f>"|&amp;image("&amp;テーブル1[[#This Row],[画像]]&amp;".png,width=100,height=100)"</f>
        <v>|&amp;image(jido.png,width=100,height=100)</v>
      </c>
      <c r="U174" s="23" t="str">
        <f>"|MIDDLE:​"&amp;テーブル1[[#This Row],[名前]]</f>
        <v>|MIDDLE:​ジド</v>
      </c>
      <c r="V174" s="23" t="str">
        <f>"|MIDDLE:​"&amp;テーブル1[[#This Row],[なまえ]]</f>
        <v>|MIDDLE:​じど</v>
      </c>
      <c r="W174" s="23" t="str">
        <f>"|MIDDLE:​"&amp;テーブル1[[#This Row],[Name]]</f>
        <v>|MIDDLE:​Jido</v>
      </c>
      <c r="X174" s="23" t="str">
        <f>"|MIDDLE:​&amp;link(配布所はこちら){​"&amp;テーブル1[[#This Row],[リンク]]&amp;"}|"</f>
        <v>|MIDDLE:​&amp;link(配布所はこちら){​https://makaron3264.wixsite.com/utauotoohana}|</v>
      </c>
    </row>
    <row r="175" spans="1:24" ht="20.149999999999999" customHeight="1" x14ac:dyDescent="0.35">
      <c r="A175" s="20">
        <v>174</v>
      </c>
      <c r="B175" s="23" t="str">
        <f>SUBSTITUTE(SUBSTITUTE(SUBSTITUTE(SUBSTITUTE(SUBSTITUTE(SUBSTITUTE(SUBSTITUTE(SUBSTITUTE(LOWER(テーブル1[[#This Row],[Name]])," ","-"),".","-"),"&amp;","-"),"_","-"),"・","-"),"=","-"),"--","-"),"--","-")</f>
        <v>shuchika-pino</v>
      </c>
      <c r="C175" s="24" t="s">
        <v>496</v>
      </c>
      <c r="D175" s="23" t="s">
        <v>497</v>
      </c>
      <c r="E175" s="23" t="s">
        <v>498</v>
      </c>
      <c r="F175" s="2" t="s">
        <v>499</v>
      </c>
      <c r="G175" s="23" t="s">
        <v>500</v>
      </c>
      <c r="M175" s="1" t="s">
        <v>1517</v>
      </c>
      <c r="N175" s="1" t="s">
        <v>1443</v>
      </c>
      <c r="O175" s="24" t="str">
        <f>テーブル1[[#This Row],[リンク]]&amp;テーブル1[[#This Row],[描画状況]]</f>
        <v>https://bowlroll.net/user/973681済</v>
      </c>
      <c r="P175" s="17">
        <f>1-(COUNTIF(O:O,_xlfn.TEXTJOIN(",",TRUE,テーブル1[[#This Row],[リンク]],テーブル1[[#This Row],[描画状況]]))/COUNTIF(F:F,テーブル1[[#This Row],[リンク]]))</f>
        <v>1</v>
      </c>
      <c r="Q175" s="16" t="str">
        <f ca="1">IFERROR(IF(テーブル1[[#This Row],[描画状況]]="",RAND()+(テーブル1[[#This Row],[列2]]*100),""),RAND())</f>
        <v/>
      </c>
      <c r="R175" s="1" t="s">
        <v>1193</v>
      </c>
      <c r="S175" s="24" t="str">
        <f ca="1">IF(AND(テーブル1[[#This Row],[描画状況]]="済",テーブル1[[#This Row],[投稿状況]]=""),RAND(),"")</f>
        <v/>
      </c>
      <c r="T175" s="23" t="str">
        <f>"|&amp;image("&amp;テーブル1[[#This Row],[画像]]&amp;".png,width=100,height=100)"</f>
        <v>|&amp;image(shuchika-pino.png,width=100,height=100)</v>
      </c>
      <c r="U175" s="23" t="str">
        <f>"|MIDDLE:​"&amp;テーブル1[[#This Row],[名前]]</f>
        <v>|MIDDLE:​守智歌ピノ</v>
      </c>
      <c r="V175" s="23" t="str">
        <f>"|MIDDLE:​"&amp;テーブル1[[#This Row],[なまえ]]</f>
        <v>|MIDDLE:​しゅちか ぴの</v>
      </c>
      <c r="W175" s="23" t="str">
        <f>"|MIDDLE:​"&amp;テーブル1[[#This Row],[Name]]</f>
        <v>|MIDDLE:​Shuchika Pino</v>
      </c>
      <c r="X175" s="23" t="str">
        <f>"|MIDDLE:​&amp;link(配布所はこちら){​"&amp;テーブル1[[#This Row],[リンク]]&amp;"}|"</f>
        <v>|MIDDLE:​&amp;link(配布所はこちら){​https://bowlroll.net/user/973681}|</v>
      </c>
    </row>
    <row r="176" spans="1:24" ht="20.149999999999999" customHeight="1" x14ac:dyDescent="0.35">
      <c r="A176" s="20">
        <v>175</v>
      </c>
      <c r="B176" s="23" t="str">
        <f>SUBSTITUTE(SUBSTITUTE(SUBSTITUTE(SUBSTITUTE(SUBSTITUTE(SUBSTITUTE(SUBSTITUTE(SUBSTITUTE(LOWER(テーブル1[[#This Row],[Name]])," ","-"),".","-"),"&amp;","-"),"_","-"),"・","-"),"=","-"),"--","-"),"--","-")</f>
        <v>gosetsu-machimaru</v>
      </c>
      <c r="C176" s="24" t="s">
        <v>893</v>
      </c>
      <c r="D176" s="23" t="s">
        <v>894</v>
      </c>
      <c r="E176" s="23" t="s">
        <v>895</v>
      </c>
      <c r="F176" s="15" t="s">
        <v>1386</v>
      </c>
      <c r="G176" s="23" t="s">
        <v>896</v>
      </c>
      <c r="N176" s="1" t="s">
        <v>1443</v>
      </c>
      <c r="O176" s="24" t="str">
        <f>テーブル1[[#This Row],[リンク]]&amp;テーブル1[[#This Row],[描画状況]]</f>
        <v>https://zsxcvhjnhh.wixsite.com/yukirakira済</v>
      </c>
      <c r="P176" s="17">
        <f>1-(COUNTIF(O:O,_xlfn.TEXTJOIN(",",TRUE,テーブル1[[#This Row],[リンク]],テーブル1[[#This Row],[描画状況]]))/COUNTIF(F:F,テーブル1[[#This Row],[リンク]]))</f>
        <v>1</v>
      </c>
      <c r="Q176" s="16" t="str">
        <f ca="1">IFERROR(IF(テーブル1[[#This Row],[描画状況]]="",RAND()+(テーブル1[[#This Row],[列2]]*100),""),RAND())</f>
        <v/>
      </c>
      <c r="R176" s="1" t="s">
        <v>1193</v>
      </c>
      <c r="S176" s="24" t="str">
        <f ca="1">IF(AND(テーブル1[[#This Row],[描画状況]]="済",テーブル1[[#This Row],[投稿状況]]=""),RAND(),"")</f>
        <v/>
      </c>
      <c r="T176" s="23" t="str">
        <f>"|&amp;image("&amp;テーブル1[[#This Row],[画像]]&amp;".png,width=100,height=100)"</f>
        <v>|&amp;image(gosetsu-machimaru.png,width=100,height=100)</v>
      </c>
      <c r="U176" s="23" t="str">
        <f>"|MIDDLE:​"&amp;テーブル1[[#This Row],[名前]]</f>
        <v>|MIDDLE:​轟雪マチ丸</v>
      </c>
      <c r="V176" s="23" t="str">
        <f>"|MIDDLE:​"&amp;テーブル1[[#This Row],[なまえ]]</f>
        <v>|MIDDLE:​ごうせつ まちまる</v>
      </c>
      <c r="W176" s="23" t="str">
        <f>"|MIDDLE:​"&amp;テーブル1[[#This Row],[Name]]</f>
        <v>|MIDDLE:​Gosetsu Machimaru</v>
      </c>
      <c r="X176" s="23" t="str">
        <f>"|MIDDLE:​&amp;link(配布所はこちら){​"&amp;テーブル1[[#This Row],[リンク]]&amp;"}|"</f>
        <v>|MIDDLE:​&amp;link(配布所はこちら){​https://zsxcvhjnhh.wixsite.com/yukirakira}|</v>
      </c>
    </row>
    <row r="177" spans="1:24" ht="20.149999999999999" customHeight="1" x14ac:dyDescent="0.35">
      <c r="A177" s="20">
        <v>176</v>
      </c>
      <c r="B177" s="23" t="str">
        <f>SUBSTITUTE(SUBSTITUTE(SUBSTITUTE(SUBSTITUTE(SUBSTITUTE(SUBSTITUTE(SUBSTITUTE(SUBSTITUTE(LOWER(テーブル1[[#This Row],[Name]])," ","-"),".","-"),"&amp;","-"),"_","-"),"・","-"),"=","-"),"--","-"),"--","-")</f>
        <v>momonuma</v>
      </c>
      <c r="C177" s="24" t="s">
        <v>1387</v>
      </c>
      <c r="D177" s="23" t="s">
        <v>1388</v>
      </c>
      <c r="E177" s="23" t="s">
        <v>1389</v>
      </c>
      <c r="F177" s="15" t="s">
        <v>1390</v>
      </c>
      <c r="G177" s="23" t="s">
        <v>1391</v>
      </c>
      <c r="N177" s="1" t="s">
        <v>1443</v>
      </c>
      <c r="O177" s="24" t="str">
        <f>テーブル1[[#This Row],[リンク]]&amp;テーブル1[[#This Row],[描画状況]]</f>
        <v>https://tropicalsamejima.wixsite.com/oyutau済</v>
      </c>
      <c r="P177" s="17">
        <f>1-(COUNTIF(O:O,_xlfn.TEXTJOIN(",",TRUE,テーブル1[[#This Row],[リンク]],テーブル1[[#This Row],[描画状況]]))/COUNTIF(F:F,テーブル1[[#This Row],[リンク]]))</f>
        <v>1</v>
      </c>
      <c r="Q177" s="16" t="str">
        <f ca="1">IFERROR(IF(テーブル1[[#This Row],[描画状況]]="",RAND()+(テーブル1[[#This Row],[列2]]*100),""),RAND())</f>
        <v/>
      </c>
      <c r="R177" s="1" t="s">
        <v>1193</v>
      </c>
      <c r="S177" s="24" t="str">
        <f ca="1">IF(AND(テーブル1[[#This Row],[描画状況]]="済",テーブル1[[#This Row],[投稿状況]]=""),RAND(),"")</f>
        <v/>
      </c>
      <c r="T177" s="23" t="str">
        <f>"|&amp;image("&amp;テーブル1[[#This Row],[画像]]&amp;".png,width=100,height=100)"</f>
        <v>|&amp;image(momonuma.png,width=100,height=100)</v>
      </c>
      <c r="U177" s="23" t="str">
        <f>"|MIDDLE:​"&amp;テーブル1[[#This Row],[名前]]</f>
        <v>|MIDDLE:​桃沼</v>
      </c>
      <c r="V177" s="23" t="str">
        <f>"|MIDDLE:​"&amp;テーブル1[[#This Row],[なまえ]]</f>
        <v>|MIDDLE:​ももぬま</v>
      </c>
      <c r="W177" s="23" t="str">
        <f>"|MIDDLE:​"&amp;テーブル1[[#This Row],[Name]]</f>
        <v>|MIDDLE:​Momonuma</v>
      </c>
      <c r="X177" s="23" t="str">
        <f>"|MIDDLE:​&amp;link(配布所はこちら){​"&amp;テーブル1[[#This Row],[リンク]]&amp;"}|"</f>
        <v>|MIDDLE:​&amp;link(配布所はこちら){​https://tropicalsamejima.wixsite.com/oyutau}|</v>
      </c>
    </row>
    <row r="178" spans="1:24" ht="20.149999999999999" customHeight="1" x14ac:dyDescent="0.35">
      <c r="A178" s="20">
        <v>177</v>
      </c>
      <c r="B178" s="23" t="str">
        <f>SUBSTITUTE(SUBSTITUTE(SUBSTITUTE(SUBSTITUTE(SUBSTITUTE(SUBSTITUTE(SUBSTITUTE(SUBSTITUTE(LOWER(テーブル1[[#This Row],[Name]])," ","-"),".","-"),"&amp;","-"),"_","-"),"・","-"),"=","-"),"--","-"),"--","-")</f>
        <v>tsuzune-kohaku</v>
      </c>
      <c r="C178" s="24" t="s">
        <v>1511</v>
      </c>
      <c r="D178" s="23" t="s">
        <v>455</v>
      </c>
      <c r="E178" s="23" t="s">
        <v>456</v>
      </c>
      <c r="F178" s="2" t="s">
        <v>54</v>
      </c>
      <c r="G178" s="23" t="s">
        <v>55</v>
      </c>
      <c r="M178" s="1" t="s">
        <v>1518</v>
      </c>
      <c r="N178" s="1" t="s">
        <v>1443</v>
      </c>
      <c r="O178" s="24" t="str">
        <f>テーブル1[[#This Row],[リンク]]&amp;テーブル1[[#This Row],[描画状況]]</f>
        <v>https://bellsworks.wixsite.com/bellsworks済</v>
      </c>
      <c r="P178" s="17">
        <f>1-(COUNTIF(O:O,_xlfn.TEXTJOIN(",",TRUE,テーブル1[[#This Row],[リンク]],テーブル1[[#This Row],[描画状況]]))/COUNTIF(F:F,テーブル1[[#This Row],[リンク]]))</f>
        <v>1</v>
      </c>
      <c r="Q178" s="16" t="str">
        <f ca="1">IFERROR(IF(テーブル1[[#This Row],[描画状況]]="",RAND()+(テーブル1[[#This Row],[列2]]*100),""),RAND())</f>
        <v/>
      </c>
      <c r="R178" s="1" t="s">
        <v>1193</v>
      </c>
      <c r="S178" s="24" t="str">
        <f ca="1">IF(AND(テーブル1[[#This Row],[描画状況]]="済",テーブル1[[#This Row],[投稿状況]]=""),RAND(),"")</f>
        <v/>
      </c>
      <c r="T178" s="23" t="str">
        <f>"|&amp;image("&amp;テーブル1[[#This Row],[画像]]&amp;".png,width=100,height=100)"</f>
        <v>|&amp;image(tsuzune-kohaku.png,width=100,height=100)</v>
      </c>
      <c r="U178" s="23" t="str">
        <f>"|MIDDLE:​"&amp;テーブル1[[#This Row],[名前]]</f>
        <v>|MIDDLE:​鼓音コハク</v>
      </c>
      <c r="V178" s="23" t="str">
        <f>"|MIDDLE:​"&amp;テーブル1[[#This Row],[なまえ]]</f>
        <v>|MIDDLE:​つづね こはく</v>
      </c>
      <c r="W178" s="23" t="str">
        <f>"|MIDDLE:​"&amp;テーブル1[[#This Row],[Name]]</f>
        <v>|MIDDLE:​Tsuzune Kohaku</v>
      </c>
      <c r="X178" s="23" t="str">
        <f>"|MIDDLE:​&amp;link(配布所はこちら){​"&amp;テーブル1[[#This Row],[リンク]]&amp;"}|"</f>
        <v>|MIDDLE:​&amp;link(配布所はこちら){​https://bellsworks.wixsite.com/bellsworks}|</v>
      </c>
    </row>
    <row r="179" spans="1:24" ht="20.149999999999999" customHeight="1" x14ac:dyDescent="0.35">
      <c r="A179" s="20">
        <v>178</v>
      </c>
      <c r="B179" s="23" t="str">
        <f>SUBSTITUTE(SUBSTITUTE(SUBSTITUTE(SUBSTITUTE(SUBSTITUTE(SUBSTITUTE(SUBSTITUTE(SUBSTITUTE(LOWER(テーブル1[[#This Row],[Name]])," ","-"),".","-"),"&amp;","-"),"_","-"),"・","-"),"=","-"),"--","-"),"--","-")</f>
        <v>mackne-hitoki</v>
      </c>
      <c r="C179" s="24" t="s">
        <v>707</v>
      </c>
      <c r="D179" s="23" t="s">
        <v>708</v>
      </c>
      <c r="E179" s="23" t="s">
        <v>709</v>
      </c>
      <c r="F179" s="2" t="s">
        <v>706</v>
      </c>
      <c r="G179" s="23" t="str">
        <f>テーブル1[[#This Row],[名前]]&amp;"(UTAU)"</f>
        <v>マック音ヒトキ(UTAU)</v>
      </c>
      <c r="N179" s="1" t="s">
        <v>1443</v>
      </c>
      <c r="O179" s="24" t="str">
        <f>テーブル1[[#This Row],[リンク]]&amp;テーブル1[[#This Row],[描画状況]]</f>
        <v>https://www.mackhouse-soft.com済</v>
      </c>
      <c r="P179" s="17">
        <f>1-(COUNTIF(O:O,_xlfn.TEXTJOIN(",",TRUE,テーブル1[[#This Row],[リンク]],テーブル1[[#This Row],[描画状況]]))/COUNTIF(F:F,テーブル1[[#This Row],[リンク]]))</f>
        <v>1</v>
      </c>
      <c r="Q179" s="16" t="str">
        <f ca="1">IFERROR(IF(テーブル1[[#This Row],[描画状況]]="",RAND()+(テーブル1[[#This Row],[列2]]*100),""),RAND())</f>
        <v/>
      </c>
      <c r="R179" s="1" t="s">
        <v>1193</v>
      </c>
      <c r="S179" s="24" t="str">
        <f ca="1">IF(AND(テーブル1[[#This Row],[描画状況]]="済",テーブル1[[#This Row],[投稿状況]]=""),RAND(),"")</f>
        <v/>
      </c>
      <c r="T179" s="23" t="str">
        <f>"|&amp;image("&amp;テーブル1[[#This Row],[画像]]&amp;".png,width=100,height=100)"</f>
        <v>|&amp;image(mackne-hitoki.png,width=100,height=100)</v>
      </c>
      <c r="U179" s="23" t="str">
        <f>"|MIDDLE:​"&amp;テーブル1[[#This Row],[名前]]</f>
        <v>|MIDDLE:​マック音ヒトキ</v>
      </c>
      <c r="V179" s="23" t="str">
        <f>"|MIDDLE:​"&amp;テーブル1[[#This Row],[なまえ]]</f>
        <v>|MIDDLE:​まっくね ひとき</v>
      </c>
      <c r="W179" s="23" t="str">
        <f>"|MIDDLE:​"&amp;テーブル1[[#This Row],[Name]]</f>
        <v>|MIDDLE:​Mackne Hitoki</v>
      </c>
      <c r="X179" s="23" t="str">
        <f>"|MIDDLE:​&amp;link(配布所はこちら){​"&amp;テーブル1[[#This Row],[リンク]]&amp;"}|"</f>
        <v>|MIDDLE:​&amp;link(配布所はこちら){​https://www.mackhouse-soft.com}|</v>
      </c>
    </row>
    <row r="180" spans="1:24" ht="20.149999999999999" customHeight="1" x14ac:dyDescent="0.35">
      <c r="A180" s="20">
        <v>179</v>
      </c>
      <c r="B180" s="23" t="str">
        <f>SUBSTITUTE(SUBSTITUTE(SUBSTITUTE(SUBSTITUTE(SUBSTITUTE(SUBSTITUTE(SUBSTITUTE(SUBSTITUTE(LOWER(テーブル1[[#This Row],[Name]])," ","-"),".","-"),"&amp;","-"),"_","-"),"・","-"),"=","-"),"--","-"),"--","-")</f>
        <v>yamana</v>
      </c>
      <c r="C180" s="24" t="s">
        <v>471</v>
      </c>
      <c r="D180" s="23" t="s">
        <v>472</v>
      </c>
      <c r="E180" s="23" t="s">
        <v>473</v>
      </c>
      <c r="F180" s="2" t="s">
        <v>189</v>
      </c>
      <c r="G180" s="23" t="s">
        <v>474</v>
      </c>
      <c r="N180" s="1" t="s">
        <v>1443</v>
      </c>
      <c r="O180" s="24" t="str">
        <f>テーブル1[[#This Row],[リンク]]&amp;テーブル1[[#This Row],[描画状況]]</f>
        <v>https://lit.link/sereinrain済</v>
      </c>
      <c r="P180" s="17">
        <f>1-(COUNTIF(O:O,_xlfn.TEXTJOIN(",",TRUE,テーブル1[[#This Row],[リンク]],テーブル1[[#This Row],[描画状況]]))/COUNTIF(F:F,テーブル1[[#This Row],[リンク]]))</f>
        <v>1</v>
      </c>
      <c r="Q180" s="16" t="str">
        <f ca="1">IFERROR(IF(テーブル1[[#This Row],[描画状況]]="",RAND()+(テーブル1[[#This Row],[列2]]*100),""),RAND())</f>
        <v/>
      </c>
      <c r="R180" s="1" t="s">
        <v>1193</v>
      </c>
      <c r="S180" s="24" t="str">
        <f ca="1">IF(AND(テーブル1[[#This Row],[描画状況]]="済",テーブル1[[#This Row],[投稿状況]]=""),RAND(),"")</f>
        <v/>
      </c>
      <c r="T180" s="23" t="str">
        <f>"|&amp;image("&amp;テーブル1[[#This Row],[画像]]&amp;".png,width=100,height=100)"</f>
        <v>|&amp;image(yamana.png,width=100,height=100)</v>
      </c>
      <c r="U180" s="23" t="str">
        <f>"|MIDDLE:​"&amp;テーブル1[[#This Row],[名前]]</f>
        <v>|MIDDLE:​山名</v>
      </c>
      <c r="V180" s="23" t="str">
        <f>"|MIDDLE:​"&amp;テーブル1[[#This Row],[なまえ]]</f>
        <v>|MIDDLE:​やまな</v>
      </c>
      <c r="W180" s="23" t="str">
        <f>"|MIDDLE:​"&amp;テーブル1[[#This Row],[Name]]</f>
        <v>|MIDDLE:​Yamana</v>
      </c>
      <c r="X180" s="23" t="str">
        <f>"|MIDDLE:​&amp;link(配布所はこちら){​"&amp;テーブル1[[#This Row],[リンク]]&amp;"}|"</f>
        <v>|MIDDLE:​&amp;link(配布所はこちら){​https://lit.link/sereinrain}|</v>
      </c>
    </row>
    <row r="181" spans="1:24" ht="20.149999999999999" customHeight="1" x14ac:dyDescent="0.35">
      <c r="A181" s="20">
        <v>180</v>
      </c>
      <c r="B181" s="23" t="str">
        <f>SUBSTITUTE(SUBSTITUTE(SUBSTITUTE(SUBSTITUTE(SUBSTITUTE(SUBSTITUTE(SUBSTITUTE(SUBSTITUTE(LOWER(テーブル1[[#This Row],[Name]])," ","-"),".","-"),"&amp;","-"),"_","-"),"・","-"),"=","-"),"--","-"),"--","-")</f>
        <v>sessou-setsuri</v>
      </c>
      <c r="C181" s="24" t="s">
        <v>829</v>
      </c>
      <c r="D181" s="23" t="s">
        <v>830</v>
      </c>
      <c r="E181" s="23" t="s">
        <v>831</v>
      </c>
      <c r="F181" s="15" t="s">
        <v>828</v>
      </c>
      <c r="G181" s="23" t="s">
        <v>832</v>
      </c>
      <c r="N181" s="1" t="s">
        <v>1443</v>
      </c>
      <c r="O181" s="24" t="str">
        <f>テーブル1[[#This Row],[リンク]]&amp;テーブル1[[#This Row],[描画状況]]</f>
        <v>https://ma2bana7.wixsite.com/sssr済</v>
      </c>
      <c r="P181" s="17">
        <f>1-(COUNTIF(O:O,_xlfn.TEXTJOIN(",",TRUE,テーブル1[[#This Row],[リンク]],テーブル1[[#This Row],[描画状況]]))/COUNTIF(F:F,テーブル1[[#This Row],[リンク]]))</f>
        <v>1</v>
      </c>
      <c r="Q181" s="16" t="str">
        <f ca="1">IFERROR(IF(テーブル1[[#This Row],[描画状況]]="",RAND()+(テーブル1[[#This Row],[列2]]*100),""),RAND())</f>
        <v/>
      </c>
      <c r="R181" s="1" t="s">
        <v>1193</v>
      </c>
      <c r="S181" s="24" t="str">
        <f ca="1">IF(AND(テーブル1[[#This Row],[描画状況]]="済",テーブル1[[#This Row],[投稿状況]]=""),RAND(),"")</f>
        <v/>
      </c>
      <c r="T181" s="23" t="str">
        <f>"|&amp;image("&amp;テーブル1[[#This Row],[画像]]&amp;".png,width=100,height=100)"</f>
        <v>|&amp;image(sessou-setsuri.png,width=100,height=100)</v>
      </c>
      <c r="U181" s="23" t="str">
        <f>"|MIDDLE:​"&amp;テーブル1[[#This Row],[名前]]</f>
        <v>|MIDDLE:​刹葬セツリ</v>
      </c>
      <c r="V181" s="23" t="str">
        <f>"|MIDDLE:​"&amp;テーブル1[[#This Row],[なまえ]]</f>
        <v>|MIDDLE:​せっそう せつり</v>
      </c>
      <c r="W181" s="23" t="str">
        <f>"|MIDDLE:​"&amp;テーブル1[[#This Row],[Name]]</f>
        <v>|MIDDLE:​Sessou Setsuri</v>
      </c>
      <c r="X181" s="23" t="str">
        <f>"|MIDDLE:​&amp;link(配布所はこちら){​"&amp;テーブル1[[#This Row],[リンク]]&amp;"}|"</f>
        <v>|MIDDLE:​&amp;link(配布所はこちら){​https://ma2bana7.wixsite.com/sssr}|</v>
      </c>
    </row>
    <row r="182" spans="1:24" ht="20.149999999999999" customHeight="1" x14ac:dyDescent="0.35">
      <c r="A182" s="20">
        <v>181</v>
      </c>
      <c r="B182" s="23" t="str">
        <f>SUBSTITUTE(SUBSTITUTE(SUBSTITUTE(SUBSTITUTE(SUBSTITUTE(SUBSTITUTE(SUBSTITUTE(SUBSTITUTE(LOWER(テーブル1[[#This Row],[Name]])," ","-"),".","-"),"&amp;","-"),"_","-"),"・","-"),"=","-"),"--","-"),"--","-")</f>
        <v>namine-ritsu</v>
      </c>
      <c r="C182" s="24" t="s">
        <v>1342</v>
      </c>
      <c r="D182" s="23" t="s">
        <v>1345</v>
      </c>
      <c r="E182" s="23" t="s">
        <v>1344</v>
      </c>
      <c r="F182" s="15" t="s">
        <v>1343</v>
      </c>
      <c r="G182" s="23" t="s">
        <v>1346</v>
      </c>
      <c r="N182" s="1" t="s">
        <v>1443</v>
      </c>
      <c r="O182" s="24" t="str">
        <f>テーブル1[[#This Row],[リンク]]&amp;テーブル1[[#This Row],[描画状況]]</f>
        <v>https://www.canon-voice.com済</v>
      </c>
      <c r="P182" s="17">
        <f>1-(COUNTIF(O:O,_xlfn.TEXTJOIN(",",TRUE,テーブル1[[#This Row],[リンク]],テーブル1[[#This Row],[描画状況]]))/COUNTIF(F:F,テーブル1[[#This Row],[リンク]]))</f>
        <v>1</v>
      </c>
      <c r="Q182" s="16" t="str">
        <f ca="1">IFERROR(IF(テーブル1[[#This Row],[描画状況]]="",RAND()+(テーブル1[[#This Row],[列2]]*100),""),RAND())</f>
        <v/>
      </c>
      <c r="R182" s="1" t="s">
        <v>1193</v>
      </c>
      <c r="S182" s="24" t="str">
        <f ca="1">IF(AND(テーブル1[[#This Row],[描画状況]]="済",テーブル1[[#This Row],[投稿状況]]=""),RAND(),"")</f>
        <v/>
      </c>
      <c r="T182" s="23" t="str">
        <f>"|&amp;image("&amp;テーブル1[[#This Row],[画像]]&amp;".png,width=100,height=100)"</f>
        <v>|&amp;image(namine-ritsu.png,width=100,height=100)</v>
      </c>
      <c r="U182" s="23" t="str">
        <f>"|MIDDLE:​"&amp;テーブル1[[#This Row],[名前]]</f>
        <v>|MIDDLE:​波音リツ</v>
      </c>
      <c r="V182" s="23" t="str">
        <f>"|MIDDLE:​"&amp;テーブル1[[#This Row],[なまえ]]</f>
        <v>|MIDDLE:​なみね りつ</v>
      </c>
      <c r="W182" s="23" t="str">
        <f>"|MIDDLE:​"&amp;テーブル1[[#This Row],[Name]]</f>
        <v>|MIDDLE:​Namine Ritsu</v>
      </c>
      <c r="X182" s="23" t="str">
        <f>"|MIDDLE:​&amp;link(配布所はこちら){​"&amp;テーブル1[[#This Row],[リンク]]&amp;"}|"</f>
        <v>|MIDDLE:​&amp;link(配布所はこちら){​https://www.canon-voice.com}|</v>
      </c>
    </row>
    <row r="183" spans="1:24" ht="20.149999999999999" customHeight="1" x14ac:dyDescent="0.35">
      <c r="A183" s="20">
        <v>182</v>
      </c>
      <c r="B183" s="23" t="str">
        <f>SUBSTITUTE(SUBSTITUTE(SUBSTITUTE(SUBSTITUTE(SUBSTITUTE(SUBSTITUTE(SUBSTITUTE(SUBSTITUTE(LOWER(テーブル1[[#This Row],[Name]])," ","-"),".","-"),"&amp;","-"),"_","-"),"・","-"),"=","-"),"--","-"),"--","-")</f>
        <v>midorine-hisui</v>
      </c>
      <c r="C183" s="24" t="s">
        <v>1433</v>
      </c>
      <c r="D183" s="23" t="s">
        <v>1435</v>
      </c>
      <c r="E183" s="23" t="s">
        <v>1434</v>
      </c>
      <c r="F183" s="15" t="s">
        <v>1432</v>
      </c>
      <c r="G183" s="23" t="s">
        <v>1441</v>
      </c>
      <c r="N183" s="1" t="s">
        <v>1443</v>
      </c>
      <c r="O183" s="24" t="str">
        <f>テーブル1[[#This Row],[リンク]]&amp;テーブル1[[#This Row],[描画状況]]</f>
        <v>https://todosho1192.wixsite.com/my-site-3済</v>
      </c>
      <c r="P183" s="17">
        <f>1-(COUNTIF(O:O,_xlfn.TEXTJOIN(",",TRUE,テーブル1[[#This Row],[リンク]],テーブル1[[#This Row],[描画状況]]))/COUNTIF(F:F,テーブル1[[#This Row],[リンク]]))</f>
        <v>1</v>
      </c>
      <c r="Q183" s="16" t="str">
        <f ca="1">IFERROR(IF(テーブル1[[#This Row],[描画状況]]="",RAND()+(テーブル1[[#This Row],[列2]]*100),""),RAND())</f>
        <v/>
      </c>
      <c r="R183" s="1" t="s">
        <v>1193</v>
      </c>
      <c r="S183" s="24" t="str">
        <f ca="1">IF(AND(テーブル1[[#This Row],[描画状況]]="済",テーブル1[[#This Row],[投稿状況]]=""),RAND(),"")</f>
        <v/>
      </c>
      <c r="T183" s="23" t="str">
        <f>"|&amp;image("&amp;テーブル1[[#This Row],[画像]]&amp;".png,width=100,height=100)"</f>
        <v>|&amp;image(midorine-hisui.png,width=100,height=100)</v>
      </c>
      <c r="U183" s="23" t="str">
        <f>"|MIDDLE:​"&amp;テーブル1[[#This Row],[名前]]</f>
        <v>|MIDDLE:​緑音翡翠</v>
      </c>
      <c r="V183" s="23" t="str">
        <f>"|MIDDLE:​"&amp;テーブル1[[#This Row],[なまえ]]</f>
        <v>|MIDDLE:​みどりね ひすい</v>
      </c>
      <c r="W183" s="23" t="str">
        <f>"|MIDDLE:​"&amp;テーブル1[[#This Row],[Name]]</f>
        <v>|MIDDLE:​Midorine Hisui</v>
      </c>
      <c r="X183" s="23" t="str">
        <f>"|MIDDLE:​&amp;link(配布所はこちら){​"&amp;テーブル1[[#This Row],[リンク]]&amp;"}|"</f>
        <v>|MIDDLE:​&amp;link(配布所はこちら){​https://todosho1192.wixsite.com/my-site-3}|</v>
      </c>
    </row>
    <row r="184" spans="1:24" ht="20.149999999999999" customHeight="1" x14ac:dyDescent="0.35">
      <c r="A184" s="20">
        <v>183</v>
      </c>
      <c r="B184" s="23" t="str">
        <f>SUBSTITUTE(SUBSTITUTE(SUBSTITUTE(SUBSTITUTE(SUBSTITUTE(SUBSTITUTE(SUBSTITUTE(SUBSTITUTE(LOWER(テーブル1[[#This Row],[Name]])," ","-"),".","-"),"&amp;","-"),"_","-"),"・","-"),"=","-"),"--","-"),"--","-")</f>
        <v>ameuta-nirechi</v>
      </c>
      <c r="C184" s="24" t="s">
        <v>928</v>
      </c>
      <c r="D184" s="23" t="s">
        <v>929</v>
      </c>
      <c r="E184" s="23" t="s">
        <v>930</v>
      </c>
      <c r="F184" s="2" t="s">
        <v>676</v>
      </c>
      <c r="G184" s="23" t="s">
        <v>677</v>
      </c>
      <c r="M184" s="1" t="s">
        <v>1517</v>
      </c>
      <c r="N184" s="1" t="s">
        <v>1443</v>
      </c>
      <c r="O184" s="24" t="str">
        <f>テーブル1[[#This Row],[リンク]]&amp;テーブル1[[#This Row],[描画状況]]</f>
        <v>https://ametro.jimdofree.com済</v>
      </c>
      <c r="P184" s="17">
        <f>1-(COUNTIF(O:O,_xlfn.TEXTJOIN(",",TRUE,テーブル1[[#This Row],[リンク]],テーブル1[[#This Row],[描画状況]]))/COUNTIF(F:F,テーブル1[[#This Row],[リンク]]))</f>
        <v>1</v>
      </c>
      <c r="Q184" s="16" t="str">
        <f ca="1">IFERROR(IF(テーブル1[[#This Row],[描画状況]]="",RAND()+(テーブル1[[#This Row],[列2]]*100),""),RAND())</f>
        <v/>
      </c>
      <c r="R184" s="1" t="s">
        <v>1193</v>
      </c>
      <c r="S184" s="24" t="str">
        <f ca="1">IF(AND(テーブル1[[#This Row],[描画状況]]="済",テーブル1[[#This Row],[投稿状況]]=""),RAND(),"")</f>
        <v/>
      </c>
      <c r="T184" s="23" t="str">
        <f>"|&amp;image("&amp;テーブル1[[#This Row],[画像]]&amp;".png,width=100,height=100)"</f>
        <v>|&amp;image(ameuta-nirechi.png,width=100,height=100)</v>
      </c>
      <c r="U184" s="23" t="str">
        <f>"|MIDDLE:​"&amp;テーブル1[[#This Row],[名前]]</f>
        <v>|MIDDLE:​飴唄ニレチ</v>
      </c>
      <c r="V184" s="23" t="str">
        <f>"|MIDDLE:​"&amp;テーブル1[[#This Row],[なまえ]]</f>
        <v>|MIDDLE:​あめうた にれち</v>
      </c>
      <c r="W184" s="23" t="str">
        <f>"|MIDDLE:​"&amp;テーブル1[[#This Row],[Name]]</f>
        <v>|MIDDLE:​Ameuta Nirechi</v>
      </c>
      <c r="X184" s="23" t="str">
        <f>"|MIDDLE:​&amp;link(配布所はこちら){​"&amp;テーブル1[[#This Row],[リンク]]&amp;"}|"</f>
        <v>|MIDDLE:​&amp;link(配布所はこちら){​https://ametro.jimdofree.com}|</v>
      </c>
    </row>
    <row r="185" spans="1:24" ht="20.149999999999999" customHeight="1" x14ac:dyDescent="0.35">
      <c r="A185" s="20">
        <v>184</v>
      </c>
      <c r="B185" s="23" t="str">
        <f>SUBSTITUTE(SUBSTITUTE(SUBSTITUTE(SUBSTITUTE(SUBSTITUTE(SUBSTITUTE(SUBSTITUTE(SUBSTITUTE(LOWER(テーブル1[[#This Row],[Name]])," ","-"),".","-"),"&amp;","-"),"_","-"),"・","-"),"=","-"),"--","-"),"--","-")</f>
        <v>dot-pell</v>
      </c>
      <c r="C185" s="24" t="s">
        <v>541</v>
      </c>
      <c r="D185" s="23" t="s">
        <v>542</v>
      </c>
      <c r="E185" s="23" t="s">
        <v>543</v>
      </c>
      <c r="F185" s="2" t="s">
        <v>540</v>
      </c>
      <c r="G185" s="23" t="s">
        <v>71</v>
      </c>
      <c r="H185" s="23" t="s">
        <v>1627</v>
      </c>
      <c r="I185" s="23" t="s">
        <v>1636</v>
      </c>
      <c r="J185" s="23" t="s">
        <v>1634</v>
      </c>
      <c r="K185" s="23" t="s">
        <v>1712</v>
      </c>
      <c r="L185" s="23" t="s">
        <v>1660</v>
      </c>
      <c r="M185" s="1" t="s">
        <v>1517</v>
      </c>
      <c r="N185" s="1" t="s">
        <v>1443</v>
      </c>
      <c r="O185" s="24" t="str">
        <f>テーブル1[[#This Row],[リンク]]&amp;テーブル1[[#This Row],[描画状況]]</f>
        <v>https://bowlroll.net/user/980255済</v>
      </c>
      <c r="P185" s="17">
        <f>1-(COUNTIF(O:O,_xlfn.TEXTJOIN(",",TRUE,テーブル1[[#This Row],[リンク]],テーブル1[[#This Row],[描画状況]]))/COUNTIF(F:F,テーブル1[[#This Row],[リンク]]))</f>
        <v>1</v>
      </c>
      <c r="Q185" s="16" t="str">
        <f ca="1">IFERROR(IF(テーブル1[[#This Row],[描画状況]]="",RAND()+(テーブル1[[#This Row],[列2]]*100),""),RAND())</f>
        <v/>
      </c>
      <c r="R185" s="1" t="s">
        <v>1193</v>
      </c>
      <c r="S185" s="24" t="str">
        <f ca="1">IF(AND(テーブル1[[#This Row],[描画状況]]="済",テーブル1[[#This Row],[投稿状況]]=""),RAND(),"")</f>
        <v/>
      </c>
      <c r="T185" s="23" t="str">
        <f>"|&amp;image("&amp;テーブル1[[#This Row],[画像]]&amp;".png,width=100,height=100)"</f>
        <v>|&amp;image(dot-pell.png,width=100,height=100)</v>
      </c>
      <c r="U185" s="23" t="str">
        <f>"|MIDDLE:​"&amp;テーブル1[[#This Row],[名前]]</f>
        <v>|MIDDLE:​ドット・ペル</v>
      </c>
      <c r="V185" s="23" t="str">
        <f>"|MIDDLE:​"&amp;テーブル1[[#This Row],[なまえ]]</f>
        <v>|MIDDLE:​どっと ぺる</v>
      </c>
      <c r="W185" s="23" t="str">
        <f>"|MIDDLE:​"&amp;テーブル1[[#This Row],[Name]]</f>
        <v>|MIDDLE:​Dot Pell</v>
      </c>
      <c r="X185" s="23" t="str">
        <f>"|MIDDLE:​&amp;link(配布所はこちら){​"&amp;テーブル1[[#This Row],[リンク]]&amp;"}|"</f>
        <v>|MIDDLE:​&amp;link(配布所はこちら){​https://bowlroll.net/user/980255}|</v>
      </c>
    </row>
    <row r="186" spans="1:24" ht="20.149999999999999" customHeight="1" x14ac:dyDescent="0.35">
      <c r="A186" s="20">
        <v>185</v>
      </c>
      <c r="B186" s="23" t="str">
        <f>SUBSTITUTE(SUBSTITUTE(SUBSTITUTE(SUBSTITUTE(SUBSTITUTE(SUBSTITUTE(SUBSTITUTE(SUBSTITUTE(LOWER(テーブル1[[#This Row],[Name]])," ","-"),".","-"),"&amp;","-"),"_","-"),"・","-"),"=","-"),"--","-"),"--","-")</f>
        <v>suzuno-reon</v>
      </c>
      <c r="C186" s="24" t="s">
        <v>435</v>
      </c>
      <c r="D186" s="23" t="s">
        <v>436</v>
      </c>
      <c r="E186" s="23" t="s">
        <v>437</v>
      </c>
      <c r="F186" s="2" t="s">
        <v>54</v>
      </c>
      <c r="G186" s="23" t="s">
        <v>55</v>
      </c>
      <c r="M186" s="1" t="s">
        <v>1518</v>
      </c>
      <c r="N186" s="1" t="s">
        <v>1443</v>
      </c>
      <c r="O186" s="24" t="str">
        <f>テーブル1[[#This Row],[リンク]]&amp;テーブル1[[#This Row],[描画状況]]</f>
        <v>https://bellsworks.wixsite.com/bellsworks済</v>
      </c>
      <c r="P186" s="17">
        <f>1-(COUNTIF(O:O,_xlfn.TEXTJOIN(",",TRUE,テーブル1[[#This Row],[リンク]],テーブル1[[#This Row],[描画状況]]))/COUNTIF(F:F,テーブル1[[#This Row],[リンク]]))</f>
        <v>1</v>
      </c>
      <c r="Q186" s="16" t="str">
        <f ca="1">IFERROR(IF(テーブル1[[#This Row],[描画状況]]="",RAND()+(テーブル1[[#This Row],[列2]]*100),""),RAND())</f>
        <v/>
      </c>
      <c r="R186" s="1" t="s">
        <v>1193</v>
      </c>
      <c r="S186" s="24" t="str">
        <f ca="1">IF(AND(テーブル1[[#This Row],[描画状況]]="済",テーブル1[[#This Row],[投稿状況]]=""),RAND(),"")</f>
        <v/>
      </c>
      <c r="T186" s="23" t="str">
        <f>"|&amp;image("&amp;テーブル1[[#This Row],[画像]]&amp;".png,width=100,height=100)"</f>
        <v>|&amp;image(suzuno-reon.png,width=100,height=100)</v>
      </c>
      <c r="U186" s="23" t="str">
        <f>"|MIDDLE:​"&amp;テーブル1[[#This Row],[名前]]</f>
        <v>|MIDDLE:​鈴音レオン</v>
      </c>
      <c r="V186" s="23" t="str">
        <f>"|MIDDLE:​"&amp;テーブル1[[#This Row],[なまえ]]</f>
        <v>|MIDDLE:​すずの れおん</v>
      </c>
      <c r="W186" s="23" t="str">
        <f>"|MIDDLE:​"&amp;テーブル1[[#This Row],[Name]]</f>
        <v>|MIDDLE:​Suzuno Reon</v>
      </c>
      <c r="X186" s="23" t="str">
        <f>"|MIDDLE:​&amp;link(配布所はこちら){​"&amp;テーブル1[[#This Row],[リンク]]&amp;"}|"</f>
        <v>|MIDDLE:​&amp;link(配布所はこちら){​https://bellsworks.wixsite.com/bellsworks}|</v>
      </c>
    </row>
    <row r="187" spans="1:24" ht="20.149999999999999" customHeight="1" x14ac:dyDescent="0.35">
      <c r="A187" s="20">
        <v>186</v>
      </c>
      <c r="B187" s="23" t="str">
        <f>SUBSTITUTE(SUBSTITUTE(SUBSTITUTE(SUBSTITUTE(SUBSTITUTE(SUBSTITUTE(SUBSTITUTE(SUBSTITUTE(LOWER(テーブル1[[#This Row],[Name]])," ","-"),".","-"),"&amp;","-"),"_","-"),"・","-"),"=","-"),"--","-"),"--","-")</f>
        <v>shirotsume</v>
      </c>
      <c r="C187" s="24" t="s">
        <v>481</v>
      </c>
      <c r="D187" s="23" t="s">
        <v>482</v>
      </c>
      <c r="E187" s="23" t="s">
        <v>483</v>
      </c>
      <c r="F187" s="2" t="s">
        <v>292</v>
      </c>
      <c r="G187" s="23" t="s">
        <v>293</v>
      </c>
      <c r="H187" s="23" t="s">
        <v>1662</v>
      </c>
      <c r="I187" s="23" t="s">
        <v>1676</v>
      </c>
      <c r="J187" s="23" t="s">
        <v>1674</v>
      </c>
      <c r="M187" s="1" t="s">
        <v>1517</v>
      </c>
      <c r="N187" s="1" t="s">
        <v>1443</v>
      </c>
      <c r="O187" s="24" t="str">
        <f>テーブル1[[#This Row],[リンク]]&amp;テーブル1[[#This Row],[描画状況]]</f>
        <v>https://seirentoybox.jimdofree.com済</v>
      </c>
      <c r="P187" s="17">
        <f>1-(COUNTIF(O:O,_xlfn.TEXTJOIN(",",TRUE,テーブル1[[#This Row],[リンク]],テーブル1[[#This Row],[描画状況]]))/COUNTIF(F:F,テーブル1[[#This Row],[リンク]]))</f>
        <v>1</v>
      </c>
      <c r="Q187" s="16" t="str">
        <f ca="1">IFERROR(IF(テーブル1[[#This Row],[描画状況]]="",RAND()+(テーブル1[[#This Row],[列2]]*100),""),RAND())</f>
        <v/>
      </c>
      <c r="R187" s="1" t="s">
        <v>1193</v>
      </c>
      <c r="S187" s="24" t="str">
        <f ca="1">IF(AND(テーブル1[[#This Row],[描画状況]]="済",テーブル1[[#This Row],[投稿状況]]=""),RAND(),"")</f>
        <v/>
      </c>
      <c r="T187" s="23" t="str">
        <f>"|&amp;image("&amp;テーブル1[[#This Row],[画像]]&amp;".png,width=100,height=100)"</f>
        <v>|&amp;image(shirotsume.png,width=100,height=100)</v>
      </c>
      <c r="U187" s="23" t="str">
        <f>"|MIDDLE:​"&amp;テーブル1[[#This Row],[名前]]</f>
        <v>|MIDDLE:​シロツメ</v>
      </c>
      <c r="V187" s="23" t="str">
        <f>"|MIDDLE:​"&amp;テーブル1[[#This Row],[なまえ]]</f>
        <v>|MIDDLE:​しろつめ</v>
      </c>
      <c r="W187" s="23" t="str">
        <f>"|MIDDLE:​"&amp;テーブル1[[#This Row],[Name]]</f>
        <v>|MIDDLE:​Shirotsume</v>
      </c>
      <c r="X187" s="23" t="str">
        <f>"|MIDDLE:​&amp;link(配布所はこちら){​"&amp;テーブル1[[#This Row],[リンク]]&amp;"}|"</f>
        <v>|MIDDLE:​&amp;link(配布所はこちら){​https://seirentoybox.jimdofree.com}|</v>
      </c>
    </row>
    <row r="188" spans="1:24" ht="20.149999999999999" customHeight="1" x14ac:dyDescent="0.35">
      <c r="A188" s="20">
        <v>187</v>
      </c>
      <c r="B188" s="23" t="str">
        <f>SUBSTITUTE(SUBSTITUTE(SUBSTITUTE(SUBSTITUTE(SUBSTITUTE(SUBSTITUTE(SUBSTITUTE(SUBSTITUTE(LOWER(テーブル1[[#This Row],[Name]])," ","-"),".","-"),"&amp;","-"),"_","-"),"・","-"),"=","-"),"--","-"),"--","-")</f>
        <v>psyche-sally</v>
      </c>
      <c r="C188" s="24" t="s">
        <v>1360</v>
      </c>
      <c r="D188" s="23" t="s">
        <v>1361</v>
      </c>
      <c r="E188" s="23" t="s">
        <v>1362</v>
      </c>
      <c r="F188" s="2" t="s">
        <v>1363</v>
      </c>
      <c r="G188" s="23" t="s">
        <v>1364</v>
      </c>
      <c r="N188" s="1" t="s">
        <v>1443</v>
      </c>
      <c r="O188" s="24" t="str">
        <f>テーブル1[[#This Row],[リンク]]&amp;テーブル1[[#This Row],[描画状況]]</f>
        <v>https://maybeanglo0mochi.wixsite.com/mochiyanosouko済</v>
      </c>
      <c r="P188" s="17">
        <f>1-(COUNTIF(O:O,_xlfn.TEXTJOIN(",",TRUE,テーブル1[[#This Row],[リンク]],テーブル1[[#This Row],[描画状況]]))/COUNTIF(F:F,テーブル1[[#This Row],[リンク]]))</f>
        <v>1</v>
      </c>
      <c r="Q188" s="16" t="str">
        <f ca="1">IFERROR(IF(テーブル1[[#This Row],[描画状況]]="",RAND()+(テーブル1[[#This Row],[列2]]*100),""),RAND())</f>
        <v/>
      </c>
      <c r="R188" s="1" t="s">
        <v>1193</v>
      </c>
      <c r="S188" s="24" t="str">
        <f ca="1">IF(AND(テーブル1[[#This Row],[描画状況]]="済",テーブル1[[#This Row],[投稿状況]]=""),RAND(),"")</f>
        <v/>
      </c>
      <c r="T188" s="23" t="str">
        <f>"|&amp;image("&amp;テーブル1[[#This Row],[画像]]&amp;".png,width=100,height=100)"</f>
        <v>|&amp;image(psyche-sally.png,width=100,height=100)</v>
      </c>
      <c r="U188" s="23" t="str">
        <f>"|MIDDLE:​"&amp;テーブル1[[#This Row],[名前]]</f>
        <v>|MIDDLE:​プシュケ＝サリー</v>
      </c>
      <c r="V188" s="23" t="str">
        <f>"|MIDDLE:​"&amp;テーブル1[[#This Row],[なまえ]]</f>
        <v>|MIDDLE:​ぷしゅけ=さりー</v>
      </c>
      <c r="W188" s="23" t="str">
        <f>"|MIDDLE:​"&amp;テーブル1[[#This Row],[Name]]</f>
        <v>|MIDDLE:​Psyche=Sally</v>
      </c>
      <c r="X188" s="23" t="str">
        <f>"|MIDDLE:​&amp;link(配布所はこちら){​"&amp;テーブル1[[#This Row],[リンク]]&amp;"}|"</f>
        <v>|MIDDLE:​&amp;link(配布所はこちら){​https://maybeanglo0mochi.wixsite.com/mochiyanosouko}|</v>
      </c>
    </row>
    <row r="189" spans="1:24" ht="20.149999999999999" customHeight="1" x14ac:dyDescent="0.35">
      <c r="A189" s="20">
        <v>188</v>
      </c>
      <c r="B189" s="23" t="str">
        <f>SUBSTITUTE(SUBSTITUTE(SUBSTITUTE(SUBSTITUTE(SUBSTITUTE(SUBSTITUTE(SUBSTITUTE(SUBSTITUTE(LOWER(テーブル1[[#This Row],[Name]])," ","-"),".","-"),"&amp;","-"),"_","-"),"・","-"),"=","-"),"--","-"),"--","-")</f>
        <v>kotone-resuto</v>
      </c>
      <c r="C189" s="24" t="s">
        <v>1512</v>
      </c>
      <c r="D189" s="23" t="s">
        <v>444</v>
      </c>
      <c r="E189" s="23" t="s">
        <v>445</v>
      </c>
      <c r="F189" s="2" t="s">
        <v>54</v>
      </c>
      <c r="G189" s="23" t="s">
        <v>55</v>
      </c>
      <c r="M189" s="1" t="s">
        <v>1518</v>
      </c>
      <c r="N189" s="1" t="s">
        <v>1443</v>
      </c>
      <c r="O189" s="24" t="str">
        <f>テーブル1[[#This Row],[リンク]]&amp;テーブル1[[#This Row],[描画状況]]</f>
        <v>https://bellsworks.wixsite.com/bellsworks済</v>
      </c>
      <c r="P189" s="17">
        <f>1-(COUNTIF(O:O,_xlfn.TEXTJOIN(",",TRUE,テーブル1[[#This Row],[リンク]],テーブル1[[#This Row],[描画状況]]))/COUNTIF(F:F,テーブル1[[#This Row],[リンク]]))</f>
        <v>1</v>
      </c>
      <c r="Q189" s="16" t="str">
        <f ca="1">IFERROR(IF(テーブル1[[#This Row],[描画状況]]="",RAND()+(テーブル1[[#This Row],[列2]]*100),""),RAND())</f>
        <v/>
      </c>
      <c r="R189" s="1" t="s">
        <v>1193</v>
      </c>
      <c r="S189" s="24" t="str">
        <f ca="1">IF(AND(テーブル1[[#This Row],[描画状況]]="済",テーブル1[[#This Row],[投稿状況]]=""),RAND(),"")</f>
        <v/>
      </c>
      <c r="T189" s="23" t="str">
        <f>"|&amp;image("&amp;テーブル1[[#This Row],[画像]]&amp;".png,width=100,height=100)"</f>
        <v>|&amp;image(kotone-resuto.png,width=100,height=100)</v>
      </c>
      <c r="U189" s="23" t="str">
        <f>"|MIDDLE:​"&amp;テーブル1[[#This Row],[名前]]</f>
        <v>|MIDDLE:​琴音レスト</v>
      </c>
      <c r="V189" s="23" t="str">
        <f>"|MIDDLE:​"&amp;テーブル1[[#This Row],[なまえ]]</f>
        <v>|MIDDLE:​ことね れすと</v>
      </c>
      <c r="W189" s="23" t="str">
        <f>"|MIDDLE:​"&amp;テーブル1[[#This Row],[Name]]</f>
        <v>|MIDDLE:​Kotone Resuto</v>
      </c>
      <c r="X189" s="23" t="str">
        <f>"|MIDDLE:​&amp;link(配布所はこちら){​"&amp;テーブル1[[#This Row],[リンク]]&amp;"}|"</f>
        <v>|MIDDLE:​&amp;link(配布所はこちら){​https://bellsworks.wixsite.com/bellsworks}|</v>
      </c>
    </row>
    <row r="190" spans="1:24" ht="20.149999999999999" customHeight="1" x14ac:dyDescent="0.35">
      <c r="A190" s="20">
        <v>189</v>
      </c>
      <c r="B190" s="23" t="str">
        <f>SUBSTITUTE(SUBSTITUTE(SUBSTITUTE(SUBSTITUTE(SUBSTITUTE(SUBSTITUTE(SUBSTITUTE(SUBSTITUTE(LOWER(テーブル1[[#This Row],[Name]])," ","-"),".","-"),"&amp;","-"),"_","-"),"・","-"),"=","-"),"--","-"),"--","-")</f>
        <v>tetly</v>
      </c>
      <c r="C190" s="24" t="s">
        <v>1208</v>
      </c>
      <c r="D190" s="23" t="s">
        <v>1210</v>
      </c>
      <c r="E190" s="23" t="s">
        <v>1459</v>
      </c>
      <c r="F190" s="15" t="s">
        <v>1211</v>
      </c>
      <c r="G190" s="23" t="s">
        <v>1209</v>
      </c>
      <c r="M190" s="1" t="s">
        <v>1517</v>
      </c>
      <c r="N190" s="1" t="s">
        <v>1443</v>
      </c>
      <c r="O190" s="24" t="str">
        <f>テーブル1[[#This Row],[リンク]]&amp;テーブル1[[#This Row],[描画状況]]</f>
        <v>https://hakutoujelly.booth.pm/items/6496885済</v>
      </c>
      <c r="P190" s="17">
        <f>1-(COUNTIF(O:O,_xlfn.TEXTJOIN(",",TRUE,テーブル1[[#This Row],[リンク]],テーブル1[[#This Row],[描画状況]]))/COUNTIF(F:F,テーブル1[[#This Row],[リンク]]))</f>
        <v>1</v>
      </c>
      <c r="Q190" s="16" t="str">
        <f ca="1">IFERROR(IF(テーブル1[[#This Row],[描画状況]]="",RAND()+(テーブル1[[#This Row],[列2]]*100),""),RAND())</f>
        <v/>
      </c>
      <c r="R190" s="1" t="s">
        <v>1193</v>
      </c>
      <c r="S190" s="24" t="str">
        <f ca="1">IF(AND(テーブル1[[#This Row],[描画状況]]="済",テーブル1[[#This Row],[投稿状況]]=""),RAND(),"")</f>
        <v/>
      </c>
      <c r="T190" s="23" t="str">
        <f>"|&amp;image("&amp;テーブル1[[#This Row],[画像]]&amp;".png,width=100,height=100)"</f>
        <v>|&amp;image(tetly.png,width=100,height=100)</v>
      </c>
      <c r="U190" s="23" t="str">
        <f>"|MIDDLE:​"&amp;テーブル1[[#This Row],[名前]]</f>
        <v>|MIDDLE:​テトリー</v>
      </c>
      <c r="V190" s="23" t="str">
        <f>"|MIDDLE:​"&amp;テーブル1[[#This Row],[なまえ]]</f>
        <v>|MIDDLE:​てとりー</v>
      </c>
      <c r="W190" s="23" t="str">
        <f>"|MIDDLE:​"&amp;テーブル1[[#This Row],[Name]]</f>
        <v>|MIDDLE:​Tetly</v>
      </c>
      <c r="X190" s="23" t="str">
        <f>"|MIDDLE:​&amp;link(配布所はこちら){​"&amp;テーブル1[[#This Row],[リンク]]&amp;"}|"</f>
        <v>|MIDDLE:​&amp;link(配布所はこちら){​https://hakutoujelly.booth.pm/items/6496885}|</v>
      </c>
    </row>
    <row r="191" spans="1:24" ht="20.149999999999999" customHeight="1" x14ac:dyDescent="0.35">
      <c r="A191" s="20">
        <v>190</v>
      </c>
      <c r="B191" s="23" t="str">
        <f>SUBSTITUTE(SUBSTITUTE(SUBSTITUTE(SUBSTITUTE(SUBSTITUTE(SUBSTITUTE(SUBSTITUTE(SUBSTITUTE(LOWER(テーブル1[[#This Row],[Name]])," ","-"),".","-"),"&amp;","-"),"_","-"),"・","-"),"=","-"),"--","-"),"--","-")</f>
        <v>sawagu-ryosuke</v>
      </c>
      <c r="C191" s="24" t="s">
        <v>719</v>
      </c>
      <c r="D191" s="23" t="s">
        <v>720</v>
      </c>
      <c r="E191" s="23" t="s">
        <v>721</v>
      </c>
      <c r="F191" s="15" t="s">
        <v>725</v>
      </c>
      <c r="G191" s="23" t="s">
        <v>1200</v>
      </c>
      <c r="M191" s="1" t="s">
        <v>1518</v>
      </c>
      <c r="N191" s="1" t="s">
        <v>1443</v>
      </c>
      <c r="O191" s="24" t="str">
        <f>テーブル1[[#This Row],[リンク]]&amp;テーブル1[[#This Row],[描画状況]]</f>
        <v>https://grskmot8.wixsite.com/kdarock済</v>
      </c>
      <c r="P191" s="17">
        <f>1-(COUNTIF(O:O,_xlfn.TEXTJOIN(",",TRUE,テーブル1[[#This Row],[リンク]],テーブル1[[#This Row],[描画状況]]))/COUNTIF(F:F,テーブル1[[#This Row],[リンク]]))</f>
        <v>1</v>
      </c>
      <c r="Q191" s="16" t="str">
        <f ca="1">IFERROR(IF(テーブル1[[#This Row],[描画状況]]="",RAND()+(テーブル1[[#This Row],[列2]]*100),""),RAND())</f>
        <v/>
      </c>
      <c r="R191" s="1" t="s">
        <v>1193</v>
      </c>
      <c r="S191" s="24" t="str">
        <f ca="1">IF(AND(テーブル1[[#This Row],[描画状況]]="済",テーブル1[[#This Row],[投稿状況]]=""),RAND(),"")</f>
        <v/>
      </c>
      <c r="T191" s="23" t="str">
        <f>"|&amp;image("&amp;テーブル1[[#This Row],[画像]]&amp;".png,width=100,height=100)"</f>
        <v>|&amp;image(sawagu-ryosuke.png,width=100,height=100)</v>
      </c>
      <c r="U191" s="23" t="str">
        <f>"|MIDDLE:​"&amp;テーブル1[[#This Row],[名前]]</f>
        <v>|MIDDLE:​騒呂助</v>
      </c>
      <c r="V191" s="23" t="str">
        <f>"|MIDDLE:​"&amp;テーブル1[[#This Row],[なまえ]]</f>
        <v>|MIDDLE:​さわぐ りょすけ</v>
      </c>
      <c r="W191" s="23" t="str">
        <f>"|MIDDLE:​"&amp;テーブル1[[#This Row],[Name]]</f>
        <v>|MIDDLE:​Sawagu Ryosuke</v>
      </c>
      <c r="X191" s="23" t="str">
        <f>"|MIDDLE:​&amp;link(配布所はこちら){​"&amp;テーブル1[[#This Row],[リンク]]&amp;"}|"</f>
        <v>|MIDDLE:​&amp;link(配布所はこちら){​https://grskmot8.wixsite.com/kdarock}|</v>
      </c>
    </row>
    <row r="192" spans="1:24" ht="20.149999999999999" customHeight="1" x14ac:dyDescent="0.35">
      <c r="A192" s="20">
        <v>191</v>
      </c>
      <c r="B192" s="23" t="str">
        <f>SUBSTITUTE(SUBSTITUTE(SUBSTITUTE(SUBSTITUTE(SUBSTITUTE(SUBSTITUTE(SUBSTITUTE(SUBSTITUTE(LOWER(テーブル1[[#This Row],[Name]])," ","-"),".","-"),"&amp;","-"),"_","-"),"・","-"),"=","-"),"--","-"),"--","-")</f>
        <v>hinode</v>
      </c>
      <c r="C192" s="24" t="s">
        <v>467</v>
      </c>
      <c r="D192" s="23" t="s">
        <v>468</v>
      </c>
      <c r="E192" s="23" t="s">
        <v>469</v>
      </c>
      <c r="F192" s="2" t="s">
        <v>189</v>
      </c>
      <c r="G192" s="23" t="s">
        <v>470</v>
      </c>
      <c r="N192" s="1" t="s">
        <v>1443</v>
      </c>
      <c r="O192" s="24" t="str">
        <f>テーブル1[[#This Row],[リンク]]&amp;テーブル1[[#This Row],[描画状況]]</f>
        <v>https://lit.link/sereinrain済</v>
      </c>
      <c r="P192" s="17">
        <f>1-(COUNTIF(O:O,_xlfn.TEXTJOIN(",",TRUE,テーブル1[[#This Row],[リンク]],テーブル1[[#This Row],[描画状況]]))/COUNTIF(F:F,テーブル1[[#This Row],[リンク]]))</f>
        <v>1</v>
      </c>
      <c r="Q192" s="16" t="str">
        <f ca="1">IFERROR(IF(テーブル1[[#This Row],[描画状況]]="",RAND()+(テーブル1[[#This Row],[列2]]*100),""),RAND())</f>
        <v/>
      </c>
      <c r="R192" s="1" t="s">
        <v>1193</v>
      </c>
      <c r="S192" s="24" t="str">
        <f ca="1">IF(AND(テーブル1[[#This Row],[描画状況]]="済",テーブル1[[#This Row],[投稿状況]]=""),RAND(),"")</f>
        <v/>
      </c>
      <c r="T192" s="23" t="str">
        <f>"|&amp;image("&amp;テーブル1[[#This Row],[画像]]&amp;".png,width=100,height=100)"</f>
        <v>|&amp;image(hinode.png,width=100,height=100)</v>
      </c>
      <c r="U192" s="23" t="str">
        <f>"|MIDDLE:​"&amp;テーブル1[[#This Row],[名前]]</f>
        <v>|MIDDLE:​日出</v>
      </c>
      <c r="V192" s="23" t="str">
        <f>"|MIDDLE:​"&amp;テーブル1[[#This Row],[なまえ]]</f>
        <v>|MIDDLE:​ひので</v>
      </c>
      <c r="W192" s="23" t="str">
        <f>"|MIDDLE:​"&amp;テーブル1[[#This Row],[Name]]</f>
        <v>|MIDDLE:​Hinode</v>
      </c>
      <c r="X192" s="23" t="str">
        <f>"|MIDDLE:​&amp;link(配布所はこちら){​"&amp;テーブル1[[#This Row],[リンク]]&amp;"}|"</f>
        <v>|MIDDLE:​&amp;link(配布所はこちら){​https://lit.link/sereinrain}|</v>
      </c>
    </row>
    <row r="193" spans="1:24" ht="20.149999999999999" customHeight="1" x14ac:dyDescent="0.35">
      <c r="A193" s="20">
        <v>192</v>
      </c>
      <c r="B193" s="23" t="str">
        <f>SUBSTITUTE(SUBSTITUTE(SUBSTITUTE(SUBSTITUTE(SUBSTITUTE(SUBSTITUTE(SUBSTITUTE(SUBSTITUTE(LOWER(テーブル1[[#This Row],[Name]])," ","-"),".","-"),"&amp;","-"),"_","-"),"・","-"),"=","-"),"--","-"),"--","-")</f>
        <v>suzu-cell</v>
      </c>
      <c r="C193" s="24" t="s">
        <v>1513</v>
      </c>
      <c r="D193" s="23" t="s">
        <v>442</v>
      </c>
      <c r="E193" s="23" t="s">
        <v>443</v>
      </c>
      <c r="F193" s="2" t="s">
        <v>54</v>
      </c>
      <c r="G193" s="23" t="s">
        <v>55</v>
      </c>
      <c r="M193" s="1" t="s">
        <v>1518</v>
      </c>
      <c r="N193" s="1" t="s">
        <v>1443</v>
      </c>
      <c r="O193" s="24" t="str">
        <f>テーブル1[[#This Row],[リンク]]&amp;テーブル1[[#This Row],[描画状況]]</f>
        <v>https://bellsworks.wixsite.com/bellsworks済</v>
      </c>
      <c r="P193" s="17">
        <f>1-(COUNTIF(O:O,_xlfn.TEXTJOIN(",",TRUE,テーブル1[[#This Row],[リンク]],テーブル1[[#This Row],[描画状況]]))/COUNTIF(F:F,テーブル1[[#This Row],[リンク]]))</f>
        <v>1</v>
      </c>
      <c r="Q193" s="16" t="str">
        <f ca="1">IFERROR(IF(テーブル1[[#This Row],[描画状況]]="",RAND()+(テーブル1[[#This Row],[列2]]*100),""),RAND())</f>
        <v/>
      </c>
      <c r="R193" s="1" t="s">
        <v>1193</v>
      </c>
      <c r="S193" s="24" t="str">
        <f ca="1">IF(AND(テーブル1[[#This Row],[描画状況]]="済",テーブル1[[#This Row],[投稿状況]]=""),RAND(),"")</f>
        <v/>
      </c>
      <c r="T193" s="23" t="str">
        <f>"|&amp;image("&amp;テーブル1[[#This Row],[画像]]&amp;".png,width=100,height=100)"</f>
        <v>|&amp;image(suzu-cell.png,width=100,height=100)</v>
      </c>
      <c r="U193" s="23" t="str">
        <f>"|MIDDLE:​"&amp;テーブル1[[#This Row],[名前]]</f>
        <v>|MIDDLE:​Sn&amp;Cl</v>
      </c>
      <c r="V193" s="23" t="str">
        <f>"|MIDDLE:​"&amp;テーブル1[[#This Row],[なまえ]]</f>
        <v>|MIDDLE:​すず &amp; せる</v>
      </c>
      <c r="W193" s="23" t="str">
        <f>"|MIDDLE:​"&amp;テーブル1[[#This Row],[Name]]</f>
        <v>|MIDDLE:​Suzu &amp; Cell</v>
      </c>
      <c r="X193" s="23" t="str">
        <f>"|MIDDLE:​&amp;link(配布所はこちら){​"&amp;テーブル1[[#This Row],[リンク]]&amp;"}|"</f>
        <v>|MIDDLE:​&amp;link(配布所はこちら){​https://bellsworks.wixsite.com/bellsworks}|</v>
      </c>
    </row>
    <row r="194" spans="1:24" ht="20.149999999999999" customHeight="1" x14ac:dyDescent="0.35">
      <c r="A194" s="20">
        <v>193</v>
      </c>
      <c r="B194" s="23" t="str">
        <f>SUBSTITUTE(SUBSTITUTE(SUBSTITUTE(SUBSTITUTE(SUBSTITUTE(SUBSTITUTE(SUBSTITUTE(SUBSTITUTE(LOWER(テーブル1[[#This Row],[Name]])," ","-"),".","-"),"&amp;","-"),"_","-"),"・","-"),"=","-"),"--","-"),"--","-")</f>
        <v>kurage</v>
      </c>
      <c r="C194" s="24" t="s">
        <v>525</v>
      </c>
      <c r="D194" s="23" t="s">
        <v>526</v>
      </c>
      <c r="E194" s="23" t="s">
        <v>527</v>
      </c>
      <c r="F194" s="2" t="s">
        <v>219</v>
      </c>
      <c r="G194" s="23" t="s">
        <v>220</v>
      </c>
      <c r="N194" s="1" t="s">
        <v>1443</v>
      </c>
      <c r="O194" s="24" t="str">
        <f>テーブル1[[#This Row],[リンク]]&amp;テーブル1[[#This Row],[描画状況]]</f>
        <v>https://moqujc.wixsite.com/mqtop済</v>
      </c>
      <c r="P194" s="17">
        <f>1-(COUNTIF(O:O,_xlfn.TEXTJOIN(",",TRUE,テーブル1[[#This Row],[リンク]],テーブル1[[#This Row],[描画状況]]))/COUNTIF(F:F,テーブル1[[#This Row],[リンク]]))</f>
        <v>1</v>
      </c>
      <c r="Q194" s="16" t="str">
        <f ca="1">IFERROR(IF(テーブル1[[#This Row],[描画状況]]="",RAND()+(テーブル1[[#This Row],[列2]]*100),""),RAND())</f>
        <v/>
      </c>
      <c r="R194" s="1" t="s">
        <v>1193</v>
      </c>
      <c r="S194" s="24" t="str">
        <f ca="1">IF(AND(テーブル1[[#This Row],[描画状況]]="済",テーブル1[[#This Row],[投稿状況]]=""),RAND(),"")</f>
        <v/>
      </c>
      <c r="T194" s="23" t="str">
        <f>"|&amp;image("&amp;テーブル1[[#This Row],[画像]]&amp;".png,width=100,height=100)"</f>
        <v>|&amp;image(kurage.png,width=100,height=100)</v>
      </c>
      <c r="U194" s="23" t="str">
        <f>"|MIDDLE:​"&amp;テーブル1[[#This Row],[名前]]</f>
        <v>|MIDDLE:​KuragE</v>
      </c>
      <c r="V194" s="23" t="str">
        <f>"|MIDDLE:​"&amp;テーブル1[[#This Row],[なまえ]]</f>
        <v>|MIDDLE:​くらげ</v>
      </c>
      <c r="W194" s="23" t="str">
        <f>"|MIDDLE:​"&amp;テーブル1[[#This Row],[Name]]</f>
        <v>|MIDDLE:​Kurage</v>
      </c>
      <c r="X194" s="23" t="str">
        <f>"|MIDDLE:​&amp;link(配布所はこちら){​"&amp;テーブル1[[#This Row],[リンク]]&amp;"}|"</f>
        <v>|MIDDLE:​&amp;link(配布所はこちら){​https://moqujc.wixsite.com/mqtop}|</v>
      </c>
    </row>
    <row r="195" spans="1:24" ht="20.149999999999999" customHeight="1" x14ac:dyDescent="0.35">
      <c r="A195" s="20">
        <v>194</v>
      </c>
      <c r="B195" s="23" t="str">
        <f>SUBSTITUTE(SUBSTITUTE(SUBSTITUTE(SUBSTITUTE(SUBSTITUTE(SUBSTITUTE(SUBSTITUTE(SUBSTITUTE(LOWER(テーブル1[[#This Row],[Name]])," ","-"),".","-"),"&amp;","-"),"_","-"),"・","-"),"=","-"),"--","-"),"--","-")</f>
        <v>suzuno-neon</v>
      </c>
      <c r="C195" s="24" t="s">
        <v>1514</v>
      </c>
      <c r="D195" s="23" t="s">
        <v>440</v>
      </c>
      <c r="E195" s="23" t="s">
        <v>441</v>
      </c>
      <c r="F195" s="2" t="s">
        <v>54</v>
      </c>
      <c r="G195" s="23" t="s">
        <v>55</v>
      </c>
      <c r="M195" s="1" t="s">
        <v>1518</v>
      </c>
      <c r="N195" s="1" t="s">
        <v>1443</v>
      </c>
      <c r="O195" s="24" t="str">
        <f>テーブル1[[#This Row],[リンク]]&amp;テーブル1[[#This Row],[描画状況]]</f>
        <v>https://bellsworks.wixsite.com/bellsworks済</v>
      </c>
      <c r="P195" s="17">
        <f>1-(COUNTIF(O:O,_xlfn.TEXTJOIN(",",TRUE,テーブル1[[#This Row],[リンク]],テーブル1[[#This Row],[描画状況]]))/COUNTIF(F:F,テーブル1[[#This Row],[リンク]]))</f>
        <v>1</v>
      </c>
      <c r="Q195" s="16" t="str">
        <f ca="1">IFERROR(IF(テーブル1[[#This Row],[描画状況]]="",RAND()+(テーブル1[[#This Row],[列2]]*100),""),RAND())</f>
        <v/>
      </c>
      <c r="R195" s="1" t="s">
        <v>1193</v>
      </c>
      <c r="S195" s="24" t="str">
        <f ca="1">IF(AND(テーブル1[[#This Row],[描画状況]]="済",テーブル1[[#This Row],[投稿状況]]=""),RAND(),"")</f>
        <v/>
      </c>
      <c r="T195" s="23" t="str">
        <f>"|&amp;image("&amp;テーブル1[[#This Row],[画像]]&amp;".png,width=100,height=100)"</f>
        <v>|&amp;image(suzuno-neon.png,width=100,height=100)</v>
      </c>
      <c r="U195" s="23" t="str">
        <f>"|MIDDLE:​"&amp;テーブル1[[#This Row],[名前]]</f>
        <v>|MIDDLE:​鈴音ネオン</v>
      </c>
      <c r="V195" s="23" t="str">
        <f>"|MIDDLE:​"&amp;テーブル1[[#This Row],[なまえ]]</f>
        <v>|MIDDLE:​すずの ねおん</v>
      </c>
      <c r="W195" s="23" t="str">
        <f>"|MIDDLE:​"&amp;テーブル1[[#This Row],[Name]]</f>
        <v>|MIDDLE:​Suzuno Neon</v>
      </c>
      <c r="X195" s="23" t="str">
        <f>"|MIDDLE:​&amp;link(配布所はこちら){​"&amp;テーブル1[[#This Row],[リンク]]&amp;"}|"</f>
        <v>|MIDDLE:​&amp;link(配布所はこちら){​https://bellsworks.wixsite.com/bellsworks}|</v>
      </c>
    </row>
    <row r="196" spans="1:24" ht="20.149999999999999" customHeight="1" x14ac:dyDescent="0.35">
      <c r="A196" s="20">
        <v>195</v>
      </c>
      <c r="B196" s="23" t="str">
        <f>SUBSTITUTE(SUBSTITUTE(SUBSTITUTE(SUBSTITUTE(SUBSTITUTE(SUBSTITUTE(SUBSTITUTE(SUBSTITUTE(LOWER(テーブル1[[#This Row],[Name]])," ","-"),".","-"),"&amp;","-"),"_","-"),"・","-"),"=","-"),"--","-"),"--","-")</f>
        <v>solisia</v>
      </c>
      <c r="C196" s="24" t="s">
        <v>647</v>
      </c>
      <c r="D196" s="23" t="s">
        <v>648</v>
      </c>
      <c r="E196" s="23" t="s">
        <v>646</v>
      </c>
      <c r="F196" s="2" t="s">
        <v>649</v>
      </c>
      <c r="G196" s="23" t="s">
        <v>651</v>
      </c>
      <c r="N196" s="1" t="s">
        <v>1443</v>
      </c>
      <c r="O196" s="24" t="str">
        <f>テーブル1[[#This Row],[リンク]]&amp;テーブル1[[#This Row],[描画状況]]</f>
        <v>https://mebisnori.wixsite.com/nori-mebis済</v>
      </c>
      <c r="P196" s="17">
        <f>1-(COUNTIF(O:O,_xlfn.TEXTJOIN(",",TRUE,テーブル1[[#This Row],[リンク]],テーブル1[[#This Row],[描画状況]]))/COUNTIF(F:F,テーブル1[[#This Row],[リンク]]))</f>
        <v>1</v>
      </c>
      <c r="Q196" s="16" t="str">
        <f ca="1">IFERROR(IF(テーブル1[[#This Row],[描画状況]]="",RAND()+(テーブル1[[#This Row],[列2]]*100),""),RAND())</f>
        <v/>
      </c>
      <c r="R196" s="1" t="s">
        <v>1193</v>
      </c>
      <c r="S196" s="24" t="str">
        <f ca="1">IF(AND(テーブル1[[#This Row],[描画状況]]="済",テーブル1[[#This Row],[投稿状況]]=""),RAND(),"")</f>
        <v/>
      </c>
      <c r="T196" s="23" t="str">
        <f>"|&amp;image("&amp;テーブル1[[#This Row],[画像]]&amp;".png,width=100,height=100)"</f>
        <v>|&amp;image(solisia.png,width=100,height=100)</v>
      </c>
      <c r="U196" s="23" t="str">
        <f>"|MIDDLE:​"&amp;テーブル1[[#This Row],[名前]]</f>
        <v>|MIDDLE:​ソリシア</v>
      </c>
      <c r="V196" s="23" t="str">
        <f>"|MIDDLE:​"&amp;テーブル1[[#This Row],[なまえ]]</f>
        <v>|MIDDLE:​そりしあ</v>
      </c>
      <c r="W196" s="23" t="str">
        <f>"|MIDDLE:​"&amp;テーブル1[[#This Row],[Name]]</f>
        <v>|MIDDLE:​Solisia</v>
      </c>
      <c r="X196" s="23" t="str">
        <f>"|MIDDLE:​&amp;link(配布所はこちら){​"&amp;テーブル1[[#This Row],[リンク]]&amp;"}|"</f>
        <v>|MIDDLE:​&amp;link(配布所はこちら){​https://mebisnori.wixsite.com/nori-mebis}|</v>
      </c>
    </row>
    <row r="197" spans="1:24" ht="20.149999999999999" customHeight="1" x14ac:dyDescent="0.35">
      <c r="A197" s="20">
        <v>196</v>
      </c>
      <c r="B197" s="23" t="str">
        <f>SUBSTITUTE(SUBSTITUTE(SUBSTITUTE(SUBSTITUTE(SUBSTITUTE(SUBSTITUTE(SUBSTITUTE(SUBSTITUTE(LOWER(テーブル1[[#This Row],[Name]])," ","-"),".","-"),"&amp;","-"),"_","-"),"・","-"),"=","-"),"--","-"),"--","-")</f>
        <v>awaka-makana</v>
      </c>
      <c r="C197" s="24" t="s">
        <v>655</v>
      </c>
      <c r="D197" s="23" t="s">
        <v>656</v>
      </c>
      <c r="E197" s="23" t="s">
        <v>657</v>
      </c>
      <c r="F197" s="2" t="s">
        <v>658</v>
      </c>
      <c r="G197" s="23" t="s">
        <v>662</v>
      </c>
      <c r="N197" s="1" t="s">
        <v>1443</v>
      </c>
      <c r="O197" s="24" t="str">
        <f>テーブル1[[#This Row],[リンク]]&amp;テーブル1[[#This Row],[描画状況]]</f>
        <v>https://mashimo0330.wixsite.com/awaka-utau済</v>
      </c>
      <c r="P197" s="17">
        <f>1-(COUNTIF(O:O,_xlfn.TEXTJOIN(",",TRUE,テーブル1[[#This Row],[リンク]],テーブル1[[#This Row],[描画状況]]))/COUNTIF(F:F,テーブル1[[#This Row],[リンク]]))</f>
        <v>1</v>
      </c>
      <c r="Q197" s="16" t="str">
        <f ca="1">IFERROR(IF(テーブル1[[#This Row],[描画状況]]="",RAND()+(テーブル1[[#This Row],[列2]]*100),""),RAND())</f>
        <v/>
      </c>
      <c r="R197" s="1" t="s">
        <v>1193</v>
      </c>
      <c r="S197" s="24" t="str">
        <f ca="1">IF(AND(テーブル1[[#This Row],[描画状況]]="済",テーブル1[[#This Row],[投稿状況]]=""),RAND(),"")</f>
        <v/>
      </c>
      <c r="T197" s="23" t="str">
        <f>"|&amp;image("&amp;テーブル1[[#This Row],[画像]]&amp;".png,width=100,height=100)"</f>
        <v>|&amp;image(awaka-makana.png,width=100,height=100)</v>
      </c>
      <c r="U197" s="23" t="str">
        <f>"|MIDDLE:​"&amp;テーブル1[[#This Row],[名前]]</f>
        <v>|MIDDLE:​泡歌マカナ</v>
      </c>
      <c r="V197" s="23" t="str">
        <f>"|MIDDLE:​"&amp;テーブル1[[#This Row],[なまえ]]</f>
        <v>|MIDDLE:​あわか まかな</v>
      </c>
      <c r="W197" s="23" t="str">
        <f>"|MIDDLE:​"&amp;テーブル1[[#This Row],[Name]]</f>
        <v>|MIDDLE:​Awaka Makana</v>
      </c>
      <c r="X197" s="23" t="str">
        <f>"|MIDDLE:​&amp;link(配布所はこちら){​"&amp;テーブル1[[#This Row],[リンク]]&amp;"}|"</f>
        <v>|MIDDLE:​&amp;link(配布所はこちら){​https://mashimo0330.wixsite.com/awaka-utau}|</v>
      </c>
    </row>
    <row r="198" spans="1:24" ht="20.149999999999999" customHeight="1" x14ac:dyDescent="0.35">
      <c r="A198" s="20">
        <v>197</v>
      </c>
      <c r="B198" s="23" t="str">
        <f>SUBSTITUTE(SUBSTITUTE(SUBSTITUTE(SUBSTITUTE(SUBSTITUTE(SUBSTITUTE(SUBSTITUTE(SUBSTITUTE(LOWER(テーブル1[[#This Row],[Name]])," ","-"),".","-"),"&amp;","-"),"_","-"),"・","-"),"=","-"),"--","-"),"--","-")</f>
        <v>suzuno-rion</v>
      </c>
      <c r="C198" s="24" t="s">
        <v>426</v>
      </c>
      <c r="D198" s="23" t="s">
        <v>427</v>
      </c>
      <c r="E198" s="23" t="s">
        <v>428</v>
      </c>
      <c r="F198" s="2" t="s">
        <v>54</v>
      </c>
      <c r="G198" s="23" t="s">
        <v>55</v>
      </c>
      <c r="M198" s="1" t="s">
        <v>1518</v>
      </c>
      <c r="N198" s="1" t="s">
        <v>1443</v>
      </c>
      <c r="O198" s="24" t="str">
        <f>テーブル1[[#This Row],[リンク]]&amp;テーブル1[[#This Row],[描画状況]]</f>
        <v>https://bellsworks.wixsite.com/bellsworks済</v>
      </c>
      <c r="P198" s="17">
        <f>1-(COUNTIF(O:O,_xlfn.TEXTJOIN(",",TRUE,テーブル1[[#This Row],[リンク]],テーブル1[[#This Row],[描画状況]]))/COUNTIF(F:F,テーブル1[[#This Row],[リンク]]))</f>
        <v>1</v>
      </c>
      <c r="Q198" s="16" t="str">
        <f ca="1">IFERROR(IF(テーブル1[[#This Row],[描画状況]]="",RAND()+(テーブル1[[#This Row],[列2]]*100),""),RAND())</f>
        <v/>
      </c>
      <c r="R198" s="1" t="s">
        <v>1193</v>
      </c>
      <c r="S198" s="24" t="str">
        <f ca="1">IF(AND(テーブル1[[#This Row],[描画状況]]="済",テーブル1[[#This Row],[投稿状況]]=""),RAND(),"")</f>
        <v/>
      </c>
      <c r="T198" s="23" t="str">
        <f>"|&amp;image("&amp;テーブル1[[#This Row],[画像]]&amp;".png,width=100,height=100)"</f>
        <v>|&amp;image(suzuno-rion.png,width=100,height=100)</v>
      </c>
      <c r="U198" s="23" t="str">
        <f>"|MIDDLE:​"&amp;テーブル1[[#This Row],[名前]]</f>
        <v>|MIDDLE:​鈴音リオン</v>
      </c>
      <c r="V198" s="23" t="str">
        <f>"|MIDDLE:​"&amp;テーブル1[[#This Row],[なまえ]]</f>
        <v>|MIDDLE:​すずの りおん</v>
      </c>
      <c r="W198" s="23" t="str">
        <f>"|MIDDLE:​"&amp;テーブル1[[#This Row],[Name]]</f>
        <v>|MIDDLE:​Suzuno Rion</v>
      </c>
      <c r="X198" s="23" t="str">
        <f>"|MIDDLE:​&amp;link(配布所はこちら){​"&amp;テーブル1[[#This Row],[リンク]]&amp;"}|"</f>
        <v>|MIDDLE:​&amp;link(配布所はこちら){​https://bellsworks.wixsite.com/bellsworks}|</v>
      </c>
    </row>
    <row r="199" spans="1:24" ht="20.149999999999999" customHeight="1" x14ac:dyDescent="0.35">
      <c r="A199" s="20">
        <v>198</v>
      </c>
      <c r="B199" s="23" t="str">
        <f>SUBSTITUTE(SUBSTITUTE(SUBSTITUTE(SUBSTITUTE(SUBSTITUTE(SUBSTITUTE(SUBSTITUTE(SUBSTITUTE(LOWER(テーブル1[[#This Row],[Name]])," ","-"),".","-"),"&amp;","-"),"_","-"),"・","-"),"=","-"),"--","-"),"--","-")</f>
        <v>aoba-ao</v>
      </c>
      <c r="C199" s="24" t="s">
        <v>753</v>
      </c>
      <c r="D199" s="23" t="s">
        <v>754</v>
      </c>
      <c r="E199" s="23" t="s">
        <v>755</v>
      </c>
      <c r="F199" s="15" t="s">
        <v>756</v>
      </c>
      <c r="G199" s="23" t="s">
        <v>760</v>
      </c>
      <c r="M199" s="1" t="s">
        <v>1517</v>
      </c>
      <c r="N199" s="1" t="s">
        <v>1443</v>
      </c>
      <c r="O199" s="24" t="str">
        <f>テーブル1[[#This Row],[リンク]]&amp;テーブル1[[#This Row],[描画状況]]</f>
        <v>http://shadeofgreen.web.fc2.com済</v>
      </c>
      <c r="P199" s="17">
        <f>1-(COUNTIF(O:O,_xlfn.TEXTJOIN(",",TRUE,テーブル1[[#This Row],[リンク]],テーブル1[[#This Row],[描画状況]]))/COUNTIF(F:F,テーブル1[[#This Row],[リンク]]))</f>
        <v>1</v>
      </c>
      <c r="Q199" s="16" t="str">
        <f ca="1">IFERROR(IF(テーブル1[[#This Row],[描画状況]]="",RAND()+(テーブル1[[#This Row],[列2]]*100),""),RAND())</f>
        <v/>
      </c>
      <c r="R199" s="1" t="s">
        <v>1193</v>
      </c>
      <c r="S199" s="24" t="str">
        <f ca="1">IF(AND(テーブル1[[#This Row],[描画状況]]="済",テーブル1[[#This Row],[投稿状況]]=""),RAND(),"")</f>
        <v/>
      </c>
      <c r="T199" s="23" t="str">
        <f>"|&amp;image("&amp;テーブル1[[#This Row],[画像]]&amp;".png,width=100,height=100)"</f>
        <v>|&amp;image(aoba-ao.png,width=100,height=100)</v>
      </c>
      <c r="U199" s="23" t="str">
        <f>"|MIDDLE:​"&amp;テーブル1[[#This Row],[名前]]</f>
        <v>|MIDDLE:​青葉アオ</v>
      </c>
      <c r="V199" s="23" t="str">
        <f>"|MIDDLE:​"&amp;テーブル1[[#This Row],[なまえ]]</f>
        <v>|MIDDLE:​あおば あお</v>
      </c>
      <c r="W199" s="23" t="str">
        <f>"|MIDDLE:​"&amp;テーブル1[[#This Row],[Name]]</f>
        <v>|MIDDLE:​Aoba Ao</v>
      </c>
      <c r="X199" s="23" t="str">
        <f>"|MIDDLE:​&amp;link(配布所はこちら){​"&amp;テーブル1[[#This Row],[リンク]]&amp;"}|"</f>
        <v>|MIDDLE:​&amp;link(配布所はこちら){​http://shadeofgreen.web.fc2.com}|</v>
      </c>
    </row>
    <row r="200" spans="1:24" ht="20.149999999999999" customHeight="1" x14ac:dyDescent="0.35">
      <c r="A200" s="20">
        <v>199</v>
      </c>
      <c r="B200" s="23" t="str">
        <f>SUBSTITUTE(SUBSTITUTE(SUBSTITUTE(SUBSTITUTE(SUBSTITUTE(SUBSTITUTE(SUBSTITUTE(SUBSTITUTE(LOWER(テーブル1[[#This Row],[Name]])," ","-"),".","-"),"&amp;","-"),"_","-"),"・","-"),"=","-"),"--","-"),"--","-")</f>
        <v>sousaki-reani</v>
      </c>
      <c r="C200" s="24" t="s">
        <v>1086</v>
      </c>
      <c r="D200" s="23" t="s">
        <v>1087</v>
      </c>
      <c r="E200" s="23" t="s">
        <v>1088</v>
      </c>
      <c r="F200" s="15" t="s">
        <v>1066</v>
      </c>
      <c r="G200" s="23" t="s">
        <v>1067</v>
      </c>
      <c r="N200" s="1" t="s">
        <v>1443</v>
      </c>
      <c r="O200" s="24" t="str">
        <f>テーブル1[[#This Row],[リンク]]&amp;テーブル1[[#This Row],[描画状況]]</f>
        <v>https://yukimiyashimusho.jimdofree.com済</v>
      </c>
      <c r="P200" s="17">
        <f>1-(COUNTIF(O:O,_xlfn.TEXTJOIN(",",TRUE,テーブル1[[#This Row],[リンク]],テーブル1[[#This Row],[描画状況]]))/COUNTIF(F:F,テーブル1[[#This Row],[リンク]]))</f>
        <v>1</v>
      </c>
      <c r="Q200" s="16" t="str">
        <f ca="1">IFERROR(IF(テーブル1[[#This Row],[描画状況]]="",RAND()+(テーブル1[[#This Row],[列2]]*100),""),RAND())</f>
        <v/>
      </c>
      <c r="R200" s="1" t="s">
        <v>1193</v>
      </c>
      <c r="S200" s="24" t="str">
        <f ca="1">IF(AND(テーブル1[[#This Row],[描画状況]]="済",テーブル1[[#This Row],[投稿状況]]=""),RAND(),"")</f>
        <v/>
      </c>
      <c r="T200" s="23" t="str">
        <f>"|&amp;image("&amp;テーブル1[[#This Row],[画像]]&amp;".png,width=100,height=100)"</f>
        <v>|&amp;image(sousaki-reani.png,width=100,height=100)</v>
      </c>
      <c r="U200" s="23" t="str">
        <f>"|MIDDLE:​"&amp;テーブル1[[#This Row],[名前]]</f>
        <v>|MIDDLE:​霜咲れあに</v>
      </c>
      <c r="V200" s="23" t="str">
        <f>"|MIDDLE:​"&amp;テーブル1[[#This Row],[なまえ]]</f>
        <v>|MIDDLE:​そうさき れあに</v>
      </c>
      <c r="W200" s="23" t="str">
        <f>"|MIDDLE:​"&amp;テーブル1[[#This Row],[Name]]</f>
        <v>|MIDDLE:​Sousaki Reani</v>
      </c>
      <c r="X200" s="23" t="str">
        <f>"|MIDDLE:​&amp;link(配布所はこちら){​"&amp;テーブル1[[#This Row],[リンク]]&amp;"}|"</f>
        <v>|MIDDLE:​&amp;link(配布所はこちら){​https://yukimiyashimusho.jimdofree.com}|</v>
      </c>
    </row>
    <row r="201" spans="1:24" ht="20.149999999999999" customHeight="1" x14ac:dyDescent="0.35">
      <c r="A201" s="20">
        <v>200</v>
      </c>
      <c r="B201" s="23" t="str">
        <f>SUBSTITUTE(SUBSTITUTE(SUBSTITUTE(SUBSTITUTE(SUBSTITUTE(SUBSTITUTE(SUBSTITUTE(SUBSTITUTE(LOWER(テーブル1[[#This Row],[Name]])," ","-"),".","-"),"&amp;","-"),"_","-"),"・","-"),"=","-"),"--","-"),"--","-")</f>
        <v>akita</v>
      </c>
      <c r="C201" s="24" t="s">
        <v>1318</v>
      </c>
      <c r="D201" s="23" t="s">
        <v>1320</v>
      </c>
      <c r="E201" s="23" t="s">
        <v>1319</v>
      </c>
      <c r="F201" s="15" t="s">
        <v>1321</v>
      </c>
      <c r="G201" s="23" t="s">
        <v>1322</v>
      </c>
      <c r="N201" s="1" t="s">
        <v>1443</v>
      </c>
      <c r="O201" s="24" t="str">
        <f>テーブル1[[#This Row],[リンク]]&amp;テーブル1[[#This Row],[描画状況]]</f>
        <v>https://jiwajiwakirinn.wixsite.com/sakurada済</v>
      </c>
      <c r="P201" s="17">
        <f>1-(COUNTIF(O:O,_xlfn.TEXTJOIN(",",TRUE,テーブル1[[#This Row],[リンク]],テーブル1[[#This Row],[描画状況]]))/COUNTIF(F:F,テーブル1[[#This Row],[リンク]]))</f>
        <v>1</v>
      </c>
      <c r="Q201" s="16" t="str">
        <f ca="1">IFERROR(IF(テーブル1[[#This Row],[描画状況]]="",RAND()+(テーブル1[[#This Row],[列2]]*100),""),RAND())</f>
        <v/>
      </c>
      <c r="R201" s="1" t="s">
        <v>1193</v>
      </c>
      <c r="S201" s="24" t="str">
        <f ca="1">IF(AND(テーブル1[[#This Row],[描画状況]]="済",テーブル1[[#This Row],[投稿状況]]=""),RAND(),"")</f>
        <v/>
      </c>
      <c r="T201" s="23" t="str">
        <f>"|&amp;image("&amp;テーブル1[[#This Row],[画像]]&amp;".png,width=100,height=100)"</f>
        <v>|&amp;image(akita.png,width=100,height=100)</v>
      </c>
      <c r="U201" s="23" t="str">
        <f>"|MIDDLE:​"&amp;テーブル1[[#This Row],[名前]]</f>
        <v>|MIDDLE:​秋太</v>
      </c>
      <c r="V201" s="23" t="str">
        <f>"|MIDDLE:​"&amp;テーブル1[[#This Row],[なまえ]]</f>
        <v>|MIDDLE:​あきた</v>
      </c>
      <c r="W201" s="23" t="str">
        <f>"|MIDDLE:​"&amp;テーブル1[[#This Row],[Name]]</f>
        <v>|MIDDLE:​Akita</v>
      </c>
      <c r="X201" s="23" t="str">
        <f>"|MIDDLE:​&amp;link(配布所はこちら){​"&amp;テーブル1[[#This Row],[リンク]]&amp;"}|"</f>
        <v>|MIDDLE:​&amp;link(配布所はこちら){​https://jiwajiwakirinn.wixsite.com/sakurada}|</v>
      </c>
    </row>
    <row r="202" spans="1:24" ht="20.149999999999999" customHeight="1" x14ac:dyDescent="0.35">
      <c r="A202" s="20">
        <v>201</v>
      </c>
      <c r="B202" s="23" t="str">
        <f>SUBSTITUTE(SUBSTITUTE(SUBSTITUTE(SUBSTITUTE(SUBSTITUTE(SUBSTITUTE(SUBSTITUTE(SUBSTITUTE(LOWER(テーブル1[[#This Row],[Name]])," ","-"),".","-"),"&amp;","-"),"_","-"),"・","-"),"=","-"),"--","-"),"--","-")</f>
        <v>chine-yan</v>
      </c>
      <c r="C202" s="24" t="s">
        <v>1498</v>
      </c>
      <c r="D202" s="23" t="s">
        <v>1499</v>
      </c>
      <c r="E202" s="23" t="s">
        <v>1500</v>
      </c>
      <c r="F202" s="2" t="s">
        <v>1501</v>
      </c>
      <c r="G202" s="23" t="s">
        <v>1502</v>
      </c>
      <c r="N202" s="1" t="s">
        <v>1443</v>
      </c>
      <c r="O202" s="24" t="str">
        <f>テーブル1[[#This Row],[リンク]]&amp;テーブル1[[#This Row],[描画状況]]</f>
        <v>https://m.blog.naver.com/string_legacy/224045016399済</v>
      </c>
      <c r="P202" s="17">
        <f>1-(COUNTIF(O:O,_xlfn.TEXTJOIN(",",TRUE,テーブル1[[#This Row],[リンク]],テーブル1[[#This Row],[描画状況]]))/COUNTIF(F:F,テーブル1[[#This Row],[リンク]]))</f>
        <v>1</v>
      </c>
      <c r="Q202" s="16" t="str">
        <f ca="1">IFERROR(IF(テーブル1[[#This Row],[描画状況]]="",RAND()+(テーブル1[[#This Row],[列2]]*100),""),RAND())</f>
        <v/>
      </c>
      <c r="R202" s="1" t="s">
        <v>1193</v>
      </c>
      <c r="S202" s="24" t="str">
        <f ca="1">IF(AND(テーブル1[[#This Row],[描画状況]]="済",テーブル1[[#This Row],[投稿状況]]=""),RAND(),"")</f>
        <v/>
      </c>
      <c r="T202" s="23" t="str">
        <f>"|&amp;image("&amp;テーブル1[[#This Row],[画像]]&amp;".png,width=100,height=100)"</f>
        <v>|&amp;image(chine-yan.png,width=100,height=100)</v>
      </c>
      <c r="U202" s="23" t="str">
        <f>"|MIDDLE:​"&amp;テーブル1[[#This Row],[名前]]</f>
        <v>|MIDDLE:​血音ヤン</v>
      </c>
      <c r="V202" s="23" t="str">
        <f>"|MIDDLE:​"&amp;テーブル1[[#This Row],[なまえ]]</f>
        <v>|MIDDLE:​ちぬ やん</v>
      </c>
      <c r="W202" s="23" t="str">
        <f>"|MIDDLE:​"&amp;テーブル1[[#This Row],[Name]]</f>
        <v>|MIDDLE:​Chine Yan</v>
      </c>
      <c r="X202" s="23" t="str">
        <f>"|MIDDLE:​&amp;link(配布所はこちら){​"&amp;テーブル1[[#This Row],[リンク]]&amp;"}|"</f>
        <v>|MIDDLE:​&amp;link(配布所はこちら){​https://m.blog.naver.com/string_legacy/224045016399}|</v>
      </c>
    </row>
    <row r="203" spans="1:24" ht="20.149999999999999" customHeight="1" x14ac:dyDescent="0.35">
      <c r="A203" s="20">
        <v>202</v>
      </c>
      <c r="B203" s="23" t="str">
        <f>SUBSTITUTE(SUBSTITUTE(SUBSTITUTE(SUBSTITUTE(SUBSTITUTE(SUBSTITUTE(SUBSTITUTE(SUBSTITUTE(LOWER(テーブル1[[#This Row],[Name]])," ","-"),".","-"),"&amp;","-"),"_","-"),"・","-"),"=","-"),"--","-"),"--","-")</f>
        <v>nayane-blue</v>
      </c>
      <c r="C203" s="24" t="s">
        <v>1468</v>
      </c>
      <c r="D203" s="23" t="s">
        <v>1469</v>
      </c>
      <c r="E203" s="23" t="s">
        <v>1470</v>
      </c>
      <c r="F203" s="15" t="s">
        <v>1471</v>
      </c>
      <c r="G203" s="23" t="s">
        <v>1472</v>
      </c>
      <c r="M203" s="1" t="s">
        <v>1517</v>
      </c>
      <c r="N203" s="1" t="s">
        <v>1443</v>
      </c>
      <c r="O203" s="24" t="str">
        <f>テーブル1[[#This Row],[リンク]]&amp;テーブル1[[#This Row],[描画状況]]</f>
        <v>https://abiencearray.carrd.co済</v>
      </c>
      <c r="P203" s="17">
        <f>1-(COUNTIF(O:O,_xlfn.TEXTJOIN(",",TRUE,テーブル1[[#This Row],[リンク]],テーブル1[[#This Row],[描画状況]]))/COUNTIF(F:F,テーブル1[[#This Row],[リンク]]))</f>
        <v>1</v>
      </c>
      <c r="Q203" s="16" t="str">
        <f ca="1">IFERROR(IF(テーブル1[[#This Row],[描画状況]]="",RAND()+(テーブル1[[#This Row],[列2]]*100),""),RAND())</f>
        <v/>
      </c>
      <c r="R203" s="1" t="s">
        <v>1193</v>
      </c>
      <c r="S203" s="24" t="str">
        <f ca="1">IF(AND(テーブル1[[#This Row],[描画状況]]="済",テーブル1[[#This Row],[投稿状況]]=""),RAND(),"")</f>
        <v/>
      </c>
      <c r="T203" s="23" t="str">
        <f>"|&amp;image("&amp;テーブル1[[#This Row],[画像]]&amp;".png,width=100,height=100)"</f>
        <v>|&amp;image(nayane-blue.png,width=100,height=100)</v>
      </c>
      <c r="U203" s="23" t="str">
        <f>"|MIDDLE:​"&amp;テーブル1[[#This Row],[名前]]</f>
        <v>|MIDDLE:​悩音Blue</v>
      </c>
      <c r="V203" s="23" t="str">
        <f>"|MIDDLE:​"&amp;テーブル1[[#This Row],[なまえ]]</f>
        <v>|MIDDLE:​なやね ぶるー</v>
      </c>
      <c r="W203" s="23" t="str">
        <f>"|MIDDLE:​"&amp;テーブル1[[#This Row],[Name]]</f>
        <v>|MIDDLE:​Nayane Blue</v>
      </c>
      <c r="X203" s="23" t="str">
        <f>"|MIDDLE:​&amp;link(配布所はこちら){​"&amp;テーブル1[[#This Row],[リンク]]&amp;"}|"</f>
        <v>|MIDDLE:​&amp;link(配布所はこちら){​https://abiencearray.carrd.co}|</v>
      </c>
    </row>
    <row r="204" spans="1:24" ht="20.149999999999999" customHeight="1" x14ac:dyDescent="0.35">
      <c r="A204" s="20">
        <v>203</v>
      </c>
      <c r="B204" s="23" t="str">
        <f>SUBSTITUTE(SUBSTITUTE(SUBSTITUTE(SUBSTITUTE(SUBSTITUTE(SUBSTITUTE(SUBSTITUTE(SUBSTITUTE(LOWER(テーブル1[[#This Row],[Name]])," ","-"),".","-"),"&amp;","-"),"_","-"),"・","-"),"=","-"),"--","-"),"--","-")</f>
        <v>gu</v>
      </c>
      <c r="C204" s="24" t="s">
        <v>1436</v>
      </c>
      <c r="D204" s="23" t="s">
        <v>1437</v>
      </c>
      <c r="E204" s="23" t="s">
        <v>1438</v>
      </c>
      <c r="F204" s="15" t="s">
        <v>1432</v>
      </c>
      <c r="G204" s="23" t="s">
        <v>1442</v>
      </c>
      <c r="N204" s="1" t="s">
        <v>1443</v>
      </c>
      <c r="O204" s="24" t="str">
        <f>テーブル1[[#This Row],[リンク]]&amp;テーブル1[[#This Row],[描画状況]]</f>
        <v>https://todosho1192.wixsite.com/my-site-3済</v>
      </c>
      <c r="P204" s="17">
        <f>1-(COUNTIF(O:O,_xlfn.TEXTJOIN(",",TRUE,テーブル1[[#This Row],[リンク]],テーブル1[[#This Row],[描画状況]]))/COUNTIF(F:F,テーブル1[[#This Row],[リンク]]))</f>
        <v>1</v>
      </c>
      <c r="Q204" s="16" t="str">
        <f ca="1">IFERROR(IF(テーブル1[[#This Row],[描画状況]]="",RAND()+(テーブル1[[#This Row],[列2]]*100),""),RAND())</f>
        <v/>
      </c>
      <c r="R204" s="1" t="s">
        <v>1193</v>
      </c>
      <c r="S204" s="24" t="str">
        <f ca="1">IF(AND(テーブル1[[#This Row],[描画状況]]="済",テーブル1[[#This Row],[投稿状況]]=""),RAND(),"")</f>
        <v/>
      </c>
      <c r="T204" s="23" t="str">
        <f>"|&amp;image("&amp;テーブル1[[#This Row],[画像]]&amp;".png,width=100,height=100)"</f>
        <v>|&amp;image(gu.png,width=100,height=100)</v>
      </c>
      <c r="U204" s="23" t="str">
        <f>"|MIDDLE:​"&amp;テーブル1[[#This Row],[名前]]</f>
        <v>|MIDDLE:​グウ</v>
      </c>
      <c r="V204" s="23" t="str">
        <f>"|MIDDLE:​"&amp;テーブル1[[#This Row],[なまえ]]</f>
        <v>|MIDDLE:​ぐう</v>
      </c>
      <c r="W204" s="23" t="str">
        <f>"|MIDDLE:​"&amp;テーブル1[[#This Row],[Name]]</f>
        <v>|MIDDLE:​Gu</v>
      </c>
      <c r="X204" s="23" t="str">
        <f>"|MIDDLE:​&amp;link(配布所はこちら){​"&amp;テーブル1[[#This Row],[リンク]]&amp;"}|"</f>
        <v>|MIDDLE:​&amp;link(配布所はこちら){​https://todosho1192.wixsite.com/my-site-3}|</v>
      </c>
    </row>
    <row r="205" spans="1:24" ht="20.149999999999999" customHeight="1" x14ac:dyDescent="0.35">
      <c r="A205" s="20">
        <v>204</v>
      </c>
      <c r="B205" s="23" t="str">
        <f>SUBSTITUTE(SUBSTITUTE(SUBSTITUTE(SUBSTITUTE(SUBSTITUTE(SUBSTITUTE(SUBSTITUTE(SUBSTITUTE(LOWER(テーブル1[[#This Row],[Name]])," ","-"),".","-"),"&amp;","-"),"_","-"),"・","-"),"=","-"),"--","-"),"--","-")</f>
        <v>shin-min-hye</v>
      </c>
      <c r="C205" s="24" t="s">
        <v>1493</v>
      </c>
      <c r="D205" s="23" t="s">
        <v>1495</v>
      </c>
      <c r="E205" s="23" t="s">
        <v>1494</v>
      </c>
      <c r="F205" s="2" t="s">
        <v>1496</v>
      </c>
      <c r="G205" s="23" t="s">
        <v>1497</v>
      </c>
      <c r="N205" s="1" t="s">
        <v>1443</v>
      </c>
      <c r="O205" s="24" t="str">
        <f>テーブル1[[#This Row],[リンク]]&amp;テーブル1[[#This Row],[描画状況]]</f>
        <v>https://twisibi.notion.site/1e947481a8ac80a59110fa6b43bf6319済</v>
      </c>
      <c r="P205" s="17">
        <f>1-(COUNTIF(O:O,_xlfn.TEXTJOIN(",",TRUE,テーブル1[[#This Row],[リンク]],テーブル1[[#This Row],[描画状況]]))/COUNTIF(F:F,テーブル1[[#This Row],[リンク]]))</f>
        <v>1</v>
      </c>
      <c r="Q205" s="16" t="str">
        <f ca="1">IFERROR(IF(テーブル1[[#This Row],[描画状況]]="",RAND()+(テーブル1[[#This Row],[列2]]*100),""),RAND())</f>
        <v/>
      </c>
      <c r="R205" s="1" t="s">
        <v>1193</v>
      </c>
      <c r="S205" s="24" t="str">
        <f ca="1">IF(AND(テーブル1[[#This Row],[描画状況]]="済",テーブル1[[#This Row],[投稿状況]]=""),RAND(),"")</f>
        <v/>
      </c>
      <c r="T205" s="23" t="str">
        <f>"|&amp;image("&amp;テーブル1[[#This Row],[画像]]&amp;".png,width=100,height=100)"</f>
        <v>|&amp;image(shin-min-hye.png,width=100,height=100)</v>
      </c>
      <c r="U205" s="23" t="str">
        <f>"|MIDDLE:​"&amp;テーブル1[[#This Row],[名前]]</f>
        <v>|MIDDLE:​申暋慧</v>
      </c>
      <c r="V205" s="23" t="str">
        <f>"|MIDDLE:​"&amp;テーブル1[[#This Row],[なまえ]]</f>
        <v>|MIDDLE:​しん みんへ</v>
      </c>
      <c r="W205" s="23" t="str">
        <f>"|MIDDLE:​"&amp;テーブル1[[#This Row],[Name]]</f>
        <v>|MIDDLE:​Shin Min Hye</v>
      </c>
      <c r="X205" s="23" t="str">
        <f>"|MIDDLE:​&amp;link(配布所はこちら){​"&amp;テーブル1[[#This Row],[リンク]]&amp;"}|"</f>
        <v>|MIDDLE:​&amp;link(配布所はこちら){​https://twisibi.notion.site/1e947481a8ac80a59110fa6b43bf6319}|</v>
      </c>
    </row>
    <row r="206" spans="1:24" ht="20.149999999999999" customHeight="1" x14ac:dyDescent="0.35">
      <c r="A206" s="20">
        <v>205</v>
      </c>
      <c r="B206" s="23" t="str">
        <f>SUBSTITUTE(SUBSTITUTE(SUBSTITUTE(SUBSTITUTE(SUBSTITUTE(SUBSTITUTE(SUBSTITUTE(SUBSTITUTE(LOWER(テーブル1[[#This Row],[Name]])," ","-"),".","-"),"&amp;","-"),"_","-"),"・","-"),"=","-"),"--","-"),"--","-")</f>
        <v>gouon-roki</v>
      </c>
      <c r="C206" s="24" t="s">
        <v>1439</v>
      </c>
      <c r="D206" s="23" t="s">
        <v>1430</v>
      </c>
      <c r="E206" s="23" t="s">
        <v>1431</v>
      </c>
      <c r="F206" s="15" t="s">
        <v>1432</v>
      </c>
      <c r="G206" s="23" t="s">
        <v>1440</v>
      </c>
      <c r="L206" s="23" t="s">
        <v>1687</v>
      </c>
      <c r="N206" s="1" t="s">
        <v>1443</v>
      </c>
      <c r="O206" s="24" t="str">
        <f>テーブル1[[#This Row],[リンク]]&amp;テーブル1[[#This Row],[描画状況]]</f>
        <v>https://todosho1192.wixsite.com/my-site-3済</v>
      </c>
      <c r="P206" s="17">
        <f>1-(COUNTIF(O:O,_xlfn.TEXTJOIN(",",TRUE,テーブル1[[#This Row],[リンク]],テーブル1[[#This Row],[描画状況]]))/COUNTIF(F:F,テーブル1[[#This Row],[リンク]]))</f>
        <v>1</v>
      </c>
      <c r="Q206" s="16" t="str">
        <f ca="1">IFERROR(IF(テーブル1[[#This Row],[描画状況]]="",RAND()+(テーブル1[[#This Row],[列2]]*100),""),RAND())</f>
        <v/>
      </c>
      <c r="R206" s="1" t="s">
        <v>1193</v>
      </c>
      <c r="S206" s="24" t="str">
        <f ca="1">IF(AND(テーブル1[[#This Row],[描画状況]]="済",テーブル1[[#This Row],[投稿状況]]=""),RAND(),"")</f>
        <v/>
      </c>
      <c r="T206" s="23" t="str">
        <f>"|&amp;image("&amp;テーブル1[[#This Row],[画像]]&amp;".png,width=100,height=100)"</f>
        <v>|&amp;image(gouon-roki.png,width=100,height=100)</v>
      </c>
      <c r="U206" s="23" t="str">
        <f>"|MIDDLE:​"&amp;テーブル1[[#This Row],[名前]]</f>
        <v>|MIDDLE:​轟音ロキ</v>
      </c>
      <c r="V206" s="23" t="str">
        <f>"|MIDDLE:​"&amp;テーブル1[[#This Row],[なまえ]]</f>
        <v>|MIDDLE:​ごうおん ろき</v>
      </c>
      <c r="W206" s="23" t="str">
        <f>"|MIDDLE:​"&amp;テーブル1[[#This Row],[Name]]</f>
        <v>|MIDDLE:​Gouon Roki</v>
      </c>
      <c r="X206" s="23" t="str">
        <f>"|MIDDLE:​&amp;link(配布所はこちら){​"&amp;テーブル1[[#This Row],[リンク]]&amp;"}|"</f>
        <v>|MIDDLE:​&amp;link(配布所はこちら){​https://todosho1192.wixsite.com/my-site-3}|</v>
      </c>
    </row>
    <row r="207" spans="1:24" ht="20.149999999999999" customHeight="1" x14ac:dyDescent="0.35">
      <c r="A207" s="20">
        <v>206</v>
      </c>
      <c r="B207" s="23" t="str">
        <f>SUBSTITUTE(SUBSTITUTE(SUBSTITUTE(SUBSTITUTE(SUBSTITUTE(SUBSTITUTE(SUBSTITUTE(SUBSTITUTE(LOWER(テーブル1[[#This Row],[Name]])," ","-"),".","-"),"&amp;","-"),"_","-"),"・","-"),"=","-"),"--","-"),"--","-")</f>
        <v>no-16</v>
      </c>
      <c r="C207" s="24" t="s">
        <v>1464</v>
      </c>
      <c r="D207" s="23" t="s">
        <v>1467</v>
      </c>
      <c r="E207" s="23" t="s">
        <v>1465</v>
      </c>
      <c r="F207" s="15" t="s">
        <v>1466</v>
      </c>
      <c r="G207" s="23" t="str">
        <f>テーブル1[[#This Row],[名前]]&amp;"(UTAU)"</f>
        <v>16号(UTAU)</v>
      </c>
      <c r="N207" s="1" t="s">
        <v>1443</v>
      </c>
      <c r="O207" s="24" t="str">
        <f>テーブル1[[#This Row],[リンク]]&amp;テーブル1[[#This Row],[描画状況]]</f>
        <v>https://sites.google.com/view/ronku99済</v>
      </c>
      <c r="P207" s="17">
        <f>1-(COUNTIF(O:O,_xlfn.TEXTJOIN(",",TRUE,テーブル1[[#This Row],[リンク]],テーブル1[[#This Row],[描画状況]]))/COUNTIF(F:F,テーブル1[[#This Row],[リンク]]))</f>
        <v>1</v>
      </c>
      <c r="Q207" s="16" t="str">
        <f ca="1">IFERROR(IF(テーブル1[[#This Row],[描画状況]]="",RAND()+(テーブル1[[#This Row],[列2]]*100),""),RAND())</f>
        <v/>
      </c>
      <c r="R207" s="1" t="s">
        <v>1193</v>
      </c>
      <c r="S207" s="24" t="str">
        <f ca="1">IF(AND(テーブル1[[#This Row],[描画状況]]="済",テーブル1[[#This Row],[投稿状況]]=""),RAND(),"")</f>
        <v/>
      </c>
      <c r="T207" s="23" t="str">
        <f>"|&amp;image("&amp;テーブル1[[#This Row],[画像]]&amp;".png,width=100,height=100)"</f>
        <v>|&amp;image(no-16.png,width=100,height=100)</v>
      </c>
      <c r="U207" s="23" t="str">
        <f>"|MIDDLE:​"&amp;テーブル1[[#This Row],[名前]]</f>
        <v>|MIDDLE:​16号</v>
      </c>
      <c r="V207" s="23" t="str">
        <f>"|MIDDLE:​"&amp;テーブル1[[#This Row],[なまえ]]</f>
        <v>|MIDDLE:​じゅうろくごう</v>
      </c>
      <c r="W207" s="23" t="str">
        <f>"|MIDDLE:​"&amp;テーブル1[[#This Row],[Name]]</f>
        <v>|MIDDLE:​No.16</v>
      </c>
      <c r="X207" s="23" t="str">
        <f>"|MIDDLE:​&amp;link(配布所はこちら){​"&amp;テーブル1[[#This Row],[リンク]]&amp;"}|"</f>
        <v>|MIDDLE:​&amp;link(配布所はこちら){​https://sites.google.com/view/ronku99}|</v>
      </c>
    </row>
    <row r="208" spans="1:24" ht="20.149999999999999" customHeight="1" x14ac:dyDescent="0.35">
      <c r="A208" s="20">
        <v>207</v>
      </c>
      <c r="B208" s="23" t="str">
        <f>SUBSTITUTE(SUBSTITUTE(SUBSTITUTE(SUBSTITUTE(SUBSTITUTE(SUBSTITUTE(SUBSTITUTE(SUBSTITUTE(LOWER(テーブル1[[#This Row],[Name]])," ","-"),".","-"),"&amp;","-"),"_","-"),"・","-"),"=","-"),"--","-"),"--","-")</f>
        <v>shizuruu</v>
      </c>
      <c r="C208" s="24" t="s">
        <v>1460</v>
      </c>
      <c r="D208" s="23" t="s">
        <v>1461</v>
      </c>
      <c r="E208" s="23" t="s">
        <v>1462</v>
      </c>
      <c r="F208" s="15" t="s">
        <v>1463</v>
      </c>
      <c r="G208" s="23" t="str">
        <f>テーブル1[[#This Row],[名前]]&amp;"(UTAU)"</f>
        <v>シズルう(UTAU)</v>
      </c>
      <c r="N208" s="1" t="s">
        <v>1443</v>
      </c>
      <c r="O208" s="24" t="str">
        <f>テーブル1[[#This Row],[リンク]]&amp;テーブル1[[#This Row],[描画状況]]</f>
        <v>https://utau.fandom.com/wiki/Shizuruu済</v>
      </c>
      <c r="P208" s="17">
        <f>1-(COUNTIF(O:O,_xlfn.TEXTJOIN(",",TRUE,テーブル1[[#This Row],[リンク]],テーブル1[[#This Row],[描画状況]]))/COUNTIF(F:F,テーブル1[[#This Row],[リンク]]))</f>
        <v>1</v>
      </c>
      <c r="Q208" s="16" t="str">
        <f ca="1">IFERROR(IF(テーブル1[[#This Row],[描画状況]]="",RAND()+(テーブル1[[#This Row],[列2]]*100),""),RAND())</f>
        <v/>
      </c>
      <c r="R208" s="1" t="s">
        <v>1193</v>
      </c>
      <c r="S208" s="24" t="str">
        <f ca="1">IF(AND(テーブル1[[#This Row],[描画状況]]="済",テーブル1[[#This Row],[投稿状況]]=""),RAND(),"")</f>
        <v/>
      </c>
      <c r="T208" s="23" t="str">
        <f>"|&amp;image("&amp;テーブル1[[#This Row],[画像]]&amp;".png,width=100,height=100)"</f>
        <v>|&amp;image(shizuruu.png,width=100,height=100)</v>
      </c>
      <c r="U208" s="23" t="str">
        <f>"|MIDDLE:​"&amp;テーブル1[[#This Row],[名前]]</f>
        <v>|MIDDLE:​シズルう</v>
      </c>
      <c r="V208" s="23" t="str">
        <f>"|MIDDLE:​"&amp;テーブル1[[#This Row],[なまえ]]</f>
        <v>|MIDDLE:​しずるう</v>
      </c>
      <c r="W208" s="23" t="str">
        <f>"|MIDDLE:​"&amp;テーブル1[[#This Row],[Name]]</f>
        <v>|MIDDLE:​Shizuruu</v>
      </c>
      <c r="X208" s="23" t="str">
        <f>"|MIDDLE:​&amp;link(配布所はこちら){​"&amp;テーブル1[[#This Row],[リンク]]&amp;"}|"</f>
        <v>|MIDDLE:​&amp;link(配布所はこちら){​https://utau.fandom.com/wiki/Shizuruu}|</v>
      </c>
    </row>
    <row r="209" spans="1:24" ht="20.149999999999999" customHeight="1" x14ac:dyDescent="0.35">
      <c r="A209" s="20">
        <v>208</v>
      </c>
      <c r="B209" s="23" t="str">
        <f>SUBSTITUTE(SUBSTITUTE(SUBSTITUTE(SUBSTITUTE(SUBSTITUTE(SUBSTITUTE(SUBSTITUTE(SUBSTITUTE(LOWER(テーブル1[[#This Row],[Name]])," ","-"),".","-"),"&amp;","-"),"_","-"),"・","-"),"=","-"),"--","-"),"--","-")</f>
        <v>kotone-koto</v>
      </c>
      <c r="C209" s="24" t="s">
        <v>446</v>
      </c>
      <c r="D209" s="23" t="s">
        <v>447</v>
      </c>
      <c r="E209" s="23" t="s">
        <v>448</v>
      </c>
      <c r="F209" s="2" t="s">
        <v>54</v>
      </c>
      <c r="G209" s="23" t="s">
        <v>55</v>
      </c>
      <c r="M209" s="1" t="s">
        <v>1518</v>
      </c>
      <c r="N209" s="1" t="s">
        <v>1443</v>
      </c>
      <c r="O209" s="24" t="str">
        <f>テーブル1[[#This Row],[リンク]]&amp;テーブル1[[#This Row],[描画状況]]</f>
        <v>https://bellsworks.wixsite.com/bellsworks済</v>
      </c>
      <c r="P209" s="17">
        <f>1-(COUNTIF(O:O,_xlfn.TEXTJOIN(",",TRUE,テーブル1[[#This Row],[リンク]],テーブル1[[#This Row],[描画状況]]))/COUNTIF(F:F,テーブル1[[#This Row],[リンク]]))</f>
        <v>1</v>
      </c>
      <c r="Q209" s="16" t="str">
        <f ca="1">IFERROR(IF(テーブル1[[#This Row],[描画状況]]="",RAND()+(テーブル1[[#This Row],[列2]]*100),""),RAND())</f>
        <v/>
      </c>
      <c r="R209" s="1" t="s">
        <v>1193</v>
      </c>
      <c r="S209" s="24" t="str">
        <f ca="1">IF(AND(テーブル1[[#This Row],[描画状況]]="済",テーブル1[[#This Row],[投稿状況]]=""),RAND(),"")</f>
        <v/>
      </c>
      <c r="T209" s="23" t="str">
        <f>"|&amp;image("&amp;テーブル1[[#This Row],[画像]]&amp;".png,width=100,height=100)"</f>
        <v>|&amp;image(kotone-koto.png,width=100,height=100)</v>
      </c>
      <c r="U209" s="23" t="str">
        <f>"|MIDDLE:​"&amp;テーブル1[[#This Row],[名前]]</f>
        <v>|MIDDLE:​琴音コト</v>
      </c>
      <c r="V209" s="23" t="str">
        <f>"|MIDDLE:​"&amp;テーブル1[[#This Row],[なまえ]]</f>
        <v>|MIDDLE:​ことね こと</v>
      </c>
      <c r="W209" s="23" t="str">
        <f>"|MIDDLE:​"&amp;テーブル1[[#This Row],[Name]]</f>
        <v>|MIDDLE:​Kotone Koto</v>
      </c>
      <c r="X209" s="23" t="str">
        <f>"|MIDDLE:​&amp;link(配布所はこちら){​"&amp;テーブル1[[#This Row],[リンク]]&amp;"}|"</f>
        <v>|MIDDLE:​&amp;link(配布所はこちら){​https://bellsworks.wixsite.com/bellsworks}|</v>
      </c>
    </row>
    <row r="210" spans="1:24" ht="20.149999999999999" customHeight="1" x14ac:dyDescent="0.35">
      <c r="A210" s="20">
        <v>209</v>
      </c>
      <c r="B210" s="23" t="str">
        <f>SUBSTITUTE(SUBSTITUTE(SUBSTITUTE(SUBSTITUTE(SUBSTITUTE(SUBSTITUTE(SUBSTITUTE(SUBSTITUTE(LOWER(テーブル1[[#This Row],[Name]])," ","-"),".","-"),"&amp;","-"),"_","-"),"・","-"),"=","-"),"--","-"),"--","-")</f>
        <v>ronku-no-1</v>
      </c>
      <c r="C210" s="24" t="s">
        <v>1473</v>
      </c>
      <c r="D210" s="23" t="s">
        <v>1475</v>
      </c>
      <c r="E210" s="23" t="s">
        <v>1474</v>
      </c>
      <c r="F210" s="15" t="s">
        <v>1466</v>
      </c>
      <c r="G210" s="23" t="str">
        <f>テーブル1[[#This Row],[名前]]&amp;"(UTAU)"</f>
        <v>ろんく1号(UTAU)</v>
      </c>
      <c r="N210" s="1" t="s">
        <v>1443</v>
      </c>
      <c r="O210" s="24" t="str">
        <f>テーブル1[[#This Row],[リンク]]&amp;テーブル1[[#This Row],[描画状況]]</f>
        <v>https://sites.google.com/view/ronku99済</v>
      </c>
      <c r="P210" s="17">
        <f>1-(COUNTIF(O:O,_xlfn.TEXTJOIN(",",TRUE,テーブル1[[#This Row],[リンク]],テーブル1[[#This Row],[描画状況]]))/COUNTIF(F:F,テーブル1[[#This Row],[リンク]]))</f>
        <v>1</v>
      </c>
      <c r="Q210" s="16" t="str">
        <f ca="1">IFERROR(IF(テーブル1[[#This Row],[描画状況]]="",RAND()+(テーブル1[[#This Row],[列2]]*100),""),RAND())</f>
        <v/>
      </c>
      <c r="R210" s="1" t="s">
        <v>1193</v>
      </c>
      <c r="S210" s="24" t="str">
        <f ca="1">IF(AND(テーブル1[[#This Row],[描画状況]]="済",テーブル1[[#This Row],[投稿状況]]=""),RAND(),"")</f>
        <v/>
      </c>
      <c r="T210" s="23" t="str">
        <f>"|&amp;image("&amp;テーブル1[[#This Row],[画像]]&amp;".png,width=100,height=100)"</f>
        <v>|&amp;image(ronku-no-1.png,width=100,height=100)</v>
      </c>
      <c r="U210" s="23" t="str">
        <f>"|MIDDLE:​"&amp;テーブル1[[#This Row],[名前]]</f>
        <v>|MIDDLE:​ろんく1号</v>
      </c>
      <c r="V210" s="23" t="str">
        <f>"|MIDDLE:​"&amp;テーブル1[[#This Row],[なまえ]]</f>
        <v>|MIDDLE:​ろんく いちごう</v>
      </c>
      <c r="W210" s="23" t="str">
        <f>"|MIDDLE:​"&amp;テーブル1[[#This Row],[Name]]</f>
        <v>|MIDDLE:​Ronku No.1</v>
      </c>
      <c r="X210" s="23" t="str">
        <f>"|MIDDLE:​&amp;link(配布所はこちら){​"&amp;テーブル1[[#This Row],[リンク]]&amp;"}|"</f>
        <v>|MIDDLE:​&amp;link(配布所はこちら){​https://sites.google.com/view/ronku99}|</v>
      </c>
    </row>
    <row r="211" spans="1:24" ht="20.149999999999999" customHeight="1" x14ac:dyDescent="0.35">
      <c r="A211" s="20">
        <v>210</v>
      </c>
      <c r="B211" s="23" t="str">
        <f>SUBSTITUTE(SUBSTITUTE(SUBSTITUTE(SUBSTITUTE(SUBSTITUTE(SUBSTITUTE(SUBSTITUTE(SUBSTITUTE(LOWER(テーブル1[[#This Row],[Name]])," ","-"),".","-"),"&amp;","-"),"_","-"),"・","-"),"=","-"),"--","-"),"--","-")</f>
        <v>orokameshi</v>
      </c>
      <c r="C211" s="24" t="s">
        <v>1521</v>
      </c>
      <c r="D211" s="23" t="s">
        <v>1520</v>
      </c>
      <c r="E211" s="23" t="s">
        <v>1522</v>
      </c>
      <c r="F211" s="26" t="s">
        <v>1531</v>
      </c>
      <c r="G211" s="23" t="s">
        <v>1523</v>
      </c>
      <c r="M211" s="1" t="s">
        <v>1517</v>
      </c>
      <c r="N211" s="1" t="s">
        <v>1443</v>
      </c>
      <c r="O211" s="24" t="str">
        <f>テーブル1[[#This Row],[リンク]]&amp;テーブル1[[#This Row],[描画状況]]</f>
        <v>https://cgamy40.wixsite.com/tsuraiuroyoi済</v>
      </c>
      <c r="P211" s="17">
        <f>1-(COUNTIF(O:O,_xlfn.TEXTJOIN(",",TRUE,テーブル1[[#This Row],[リンク]],テーブル1[[#This Row],[描画状況]]))/COUNTIF(F:F,テーブル1[[#This Row],[リンク]]))</f>
        <v>1</v>
      </c>
      <c r="Q211" s="16" t="str">
        <f ca="1">IFERROR(IF(テーブル1[[#This Row],[描画状況]]="",RAND()+(テーブル1[[#This Row],[列2]]*100),""),RAND())</f>
        <v/>
      </c>
      <c r="R211" s="1" t="s">
        <v>1193</v>
      </c>
      <c r="S211" s="24" t="str">
        <f ca="1">IF(AND(テーブル1[[#This Row],[描画状況]]="済",テーブル1[[#This Row],[投稿状況]]=""),RAND(),"")</f>
        <v/>
      </c>
      <c r="T211" s="23" t="str">
        <f>"|&amp;image("&amp;テーブル1[[#This Row],[画像]]&amp;".png,width=100,height=100)"</f>
        <v>|&amp;image(orokameshi.png,width=100,height=100)</v>
      </c>
      <c r="U211" s="23" t="str">
        <f>"|MIDDLE:​"&amp;テーブル1[[#This Row],[名前]]</f>
        <v>|MIDDLE:​おろかめし</v>
      </c>
      <c r="V211" s="23" t="str">
        <f>"|MIDDLE:​"&amp;テーブル1[[#This Row],[なまえ]]</f>
        <v>|MIDDLE:​おろかめし</v>
      </c>
      <c r="W211" s="23" t="str">
        <f>"|MIDDLE:​"&amp;テーブル1[[#This Row],[Name]]</f>
        <v>|MIDDLE:​Orokameshi</v>
      </c>
      <c r="X211" s="23" t="str">
        <f>"|MIDDLE:​&amp;link(配布所はこちら){​"&amp;テーブル1[[#This Row],[リンク]]&amp;"}|"</f>
        <v>|MIDDLE:​&amp;link(配布所はこちら){​https://cgamy40.wixsite.com/tsuraiuroyoi}|</v>
      </c>
    </row>
    <row r="212" spans="1:24" ht="20.149999999999999" customHeight="1" x14ac:dyDescent="0.35">
      <c r="A212" s="20">
        <v>211</v>
      </c>
      <c r="B212" s="23" t="str">
        <f>SUBSTITUTE(SUBSTITUTE(SUBSTITUTE(SUBSTITUTE(SUBSTITUTE(SUBSTITUTE(SUBSTITUTE(SUBSTITUTE(LOWER(テーブル1[[#This Row],[Name]])," ","-"),".","-"),"&amp;","-"),"_","-"),"・","-"),"=","-"),"--","-"),"--","-")</f>
        <v>t-kun</v>
      </c>
      <c r="C212" s="24" t="s">
        <v>1760</v>
      </c>
      <c r="D212" s="23" t="s">
        <v>1525</v>
      </c>
      <c r="E212" s="23" t="s">
        <v>1526</v>
      </c>
      <c r="F212" s="15" t="s">
        <v>1527</v>
      </c>
      <c r="G212" s="23" t="s">
        <v>1530</v>
      </c>
      <c r="H212" s="23" t="s">
        <v>1627</v>
      </c>
      <c r="I212" s="23" t="s">
        <v>1636</v>
      </c>
      <c r="K212" s="23" t="s">
        <v>1694</v>
      </c>
      <c r="M212" s="1" t="s">
        <v>1518</v>
      </c>
      <c r="N212" s="1" t="s">
        <v>1443</v>
      </c>
      <c r="O212" s="24" t="str">
        <f>テーブル1[[#This Row],[リンク]]&amp;テーブル1[[#This Row],[描画状況]]</f>
        <v>https://mackerel178.wixsite.com/yuusensuizokukan済</v>
      </c>
      <c r="P212" s="17">
        <f>1-(COUNTIF(O:O,_xlfn.TEXTJOIN(",",TRUE,テーブル1[[#This Row],[リンク]],テーブル1[[#This Row],[描画状況]]))/COUNTIF(F:F,テーブル1[[#This Row],[リンク]]))</f>
        <v>1</v>
      </c>
      <c r="Q212" s="16" t="str">
        <f ca="1">IFERROR(IF(テーブル1[[#This Row],[描画状況]]="",RAND()+(テーブル1[[#This Row],[列2]]*100),""),RAND())</f>
        <v/>
      </c>
      <c r="R212" s="1" t="s">
        <v>1193</v>
      </c>
      <c r="S212" s="24" t="str">
        <f ca="1">IF(AND(テーブル1[[#This Row],[描画状況]]="済",テーブル1[[#This Row],[投稿状況]]=""),RAND(),"")</f>
        <v/>
      </c>
      <c r="T212" s="23" t="str">
        <f>"|&amp;image("&amp;テーブル1[[#This Row],[画像]]&amp;".png,width=100,height=100)"</f>
        <v>|&amp;image(t-kun.png,width=100,height=100)</v>
      </c>
      <c r="U212" s="23" t="str">
        <f>"|MIDDLE:​"&amp;テーブル1[[#This Row],[名前]]</f>
        <v>|MIDDLE:​Tくん</v>
      </c>
      <c r="V212" s="23" t="str">
        <f>"|MIDDLE:​"&amp;テーブル1[[#This Row],[なまえ]]</f>
        <v>|MIDDLE:​てぃーくん</v>
      </c>
      <c r="W212" s="23" t="str">
        <f>"|MIDDLE:​"&amp;テーブル1[[#This Row],[Name]]</f>
        <v>|MIDDLE:​T kun</v>
      </c>
      <c r="X212" s="23" t="str">
        <f>"|MIDDLE:​&amp;link(配布所はこちら){​"&amp;テーブル1[[#This Row],[リンク]]&amp;"}|"</f>
        <v>|MIDDLE:​&amp;link(配布所はこちら){​https://mackerel178.wixsite.com/yuusensuizokukan}|</v>
      </c>
    </row>
    <row r="213" spans="1:24" ht="20.149999999999999" customHeight="1" x14ac:dyDescent="0.35">
      <c r="A213" s="20">
        <v>212</v>
      </c>
      <c r="B213" s="23" t="str">
        <f>SUBSTITUTE(SUBSTITUTE(SUBSTITUTE(SUBSTITUTE(SUBSTITUTE(SUBSTITUTE(SUBSTITUTE(SUBSTITUTE(LOWER(テーブル1[[#This Row],[Name]])," ","-"),".","-"),"&amp;","-"),"_","-"),"・","-"),"=","-"),"--","-"),"--","-")</f>
        <v>sairo</v>
      </c>
      <c r="C213" s="24">
        <v>316</v>
      </c>
      <c r="D213" s="23" t="s">
        <v>1528</v>
      </c>
      <c r="E213" s="23" t="s">
        <v>1529</v>
      </c>
      <c r="F213" s="15" t="s">
        <v>1527</v>
      </c>
      <c r="G213" s="23" t="s">
        <v>1530</v>
      </c>
      <c r="H213" s="23" t="s">
        <v>1663</v>
      </c>
      <c r="I213" s="23" t="s">
        <v>1761</v>
      </c>
      <c r="K213" s="23" t="s">
        <v>1729</v>
      </c>
      <c r="L213" s="23" t="s">
        <v>1759</v>
      </c>
      <c r="M213" s="1" t="s">
        <v>1518</v>
      </c>
      <c r="N213" s="1" t="s">
        <v>1443</v>
      </c>
      <c r="O213" s="24" t="str">
        <f>テーブル1[[#This Row],[リンク]]&amp;テーブル1[[#This Row],[描画状況]]</f>
        <v>https://mackerel178.wixsite.com/yuusensuizokukan済</v>
      </c>
      <c r="P213" s="17">
        <f>1-(COUNTIF(O:O,_xlfn.TEXTJOIN(",",TRUE,テーブル1[[#This Row],[リンク]],テーブル1[[#This Row],[描画状況]]))/COUNTIF(F:F,テーブル1[[#This Row],[リンク]]))</f>
        <v>1</v>
      </c>
      <c r="Q213" s="16" t="str">
        <f ca="1">IFERROR(IF(テーブル1[[#This Row],[描画状況]]="",RAND()+(テーブル1[[#This Row],[列2]]*100),""),RAND())</f>
        <v/>
      </c>
      <c r="R213" s="1" t="s">
        <v>1193</v>
      </c>
      <c r="S213" s="24" t="str">
        <f ca="1">IF(AND(テーブル1[[#This Row],[描画状況]]="済",テーブル1[[#This Row],[投稿状況]]=""),RAND(),"")</f>
        <v/>
      </c>
      <c r="T213" s="23" t="str">
        <f>"|&amp;image("&amp;テーブル1[[#This Row],[画像]]&amp;".png,width=100,height=100)"</f>
        <v>|&amp;image(sairo.png,width=100,height=100)</v>
      </c>
      <c r="U213" s="23" t="str">
        <f>"|MIDDLE:​"&amp;テーブル1[[#This Row],[名前]]</f>
        <v>|MIDDLE:​316</v>
      </c>
      <c r="V213" s="23" t="str">
        <f>"|MIDDLE:​"&amp;テーブル1[[#This Row],[なまえ]]</f>
        <v>|MIDDLE:​さいろ</v>
      </c>
      <c r="W213" s="23" t="str">
        <f>"|MIDDLE:​"&amp;テーブル1[[#This Row],[Name]]</f>
        <v>|MIDDLE:​Sairo</v>
      </c>
      <c r="X213" s="23" t="str">
        <f>"|MIDDLE:​&amp;link(配布所はこちら){​"&amp;テーブル1[[#This Row],[リンク]]&amp;"}|"</f>
        <v>|MIDDLE:​&amp;link(配布所はこちら){​https://mackerel178.wixsite.com/yuusensuizokukan}|</v>
      </c>
    </row>
    <row r="214" spans="1:24" ht="20.149999999999999" customHeight="1" x14ac:dyDescent="0.35">
      <c r="A214" s="20">
        <v>213</v>
      </c>
      <c r="B214" s="23" t="str">
        <f>SUBSTITUTE(SUBSTITUTE(SUBSTITUTE(SUBSTITUTE(SUBSTITUTE(SUBSTITUTE(SUBSTITUTE(SUBSTITUTE(LOWER(テーブル1[[#This Row],[Name]])," ","-"),".","-"),"&amp;","-"),"_","-"),"・","-"),"=","-"),"--","-"),"--","-")</f>
        <v>fukami-marine</v>
      </c>
      <c r="C214" s="24" t="s">
        <v>1532</v>
      </c>
      <c r="D214" s="23" t="s">
        <v>1533</v>
      </c>
      <c r="E214" s="23" t="s">
        <v>1534</v>
      </c>
      <c r="F214" s="15" t="s">
        <v>1536</v>
      </c>
      <c r="G214" s="23" t="s">
        <v>1535</v>
      </c>
      <c r="M214" s="1" t="s">
        <v>1517</v>
      </c>
      <c r="N214" s="1" t="s">
        <v>1443</v>
      </c>
      <c r="O214" s="24" t="str">
        <f>テーブル1[[#This Row],[リンク]]&amp;テーブル1[[#This Row],[描画状況]]</f>
        <v>https://komagatabone.fc2.page済</v>
      </c>
      <c r="P214" s="17">
        <f>1-(COUNTIF(O:O,_xlfn.TEXTJOIN(",",TRUE,テーブル1[[#This Row],[リンク]],テーブル1[[#This Row],[描画状況]]))/COUNTIF(F:F,テーブル1[[#This Row],[リンク]]))</f>
        <v>1</v>
      </c>
      <c r="Q214" s="16" t="str">
        <f ca="1">IFERROR(IF(テーブル1[[#This Row],[描画状況]]="",RAND()+(テーブル1[[#This Row],[列2]]*100),""),RAND())</f>
        <v/>
      </c>
      <c r="R214" s="1" t="s">
        <v>1193</v>
      </c>
      <c r="S214" s="24" t="str">
        <f ca="1">IF(AND(テーブル1[[#This Row],[描画状況]]="済",テーブル1[[#This Row],[投稿状況]]=""),RAND(),"")</f>
        <v/>
      </c>
      <c r="T214" s="23" t="str">
        <f>"|&amp;image("&amp;テーブル1[[#This Row],[画像]]&amp;".png,width=100,height=100)"</f>
        <v>|&amp;image(fukami-marine.png,width=100,height=100)</v>
      </c>
      <c r="U214" s="23" t="str">
        <f>"|MIDDLE:​"&amp;テーブル1[[#This Row],[名前]]</f>
        <v>|MIDDLE:​深海マリン</v>
      </c>
      <c r="V214" s="23" t="str">
        <f>"|MIDDLE:​"&amp;テーブル1[[#This Row],[なまえ]]</f>
        <v>|MIDDLE:​ふかみ まりん</v>
      </c>
      <c r="W214" s="23" t="str">
        <f>"|MIDDLE:​"&amp;テーブル1[[#This Row],[Name]]</f>
        <v>|MIDDLE:​Fukami Marine</v>
      </c>
      <c r="X214" s="23" t="str">
        <f>"|MIDDLE:​&amp;link(配布所はこちら){​"&amp;テーブル1[[#This Row],[リンク]]&amp;"}|"</f>
        <v>|MIDDLE:​&amp;link(配布所はこちら){​https://komagatabone.fc2.page}|</v>
      </c>
    </row>
    <row r="215" spans="1:24" ht="20.149999999999999" customHeight="1" x14ac:dyDescent="0.35">
      <c r="A215" s="20">
        <v>214</v>
      </c>
      <c r="B215" s="23" t="str">
        <f>SUBSTITUTE(SUBSTITUTE(SUBSTITUTE(SUBSTITUTE(SUBSTITUTE(SUBSTITUTE(SUBSTITUTE(SUBSTITUTE(LOWER(テーブル1[[#This Row],[Name]])," ","-"),".","-"),"&amp;","-"),"_","-"),"・","-"),"=","-"),"--","-"),"--","-")</f>
        <v>colorful-sugar-sprinkle</v>
      </c>
      <c r="C215" s="24" t="s">
        <v>1538</v>
      </c>
      <c r="D215" s="23" t="s">
        <v>1547</v>
      </c>
      <c r="E215" s="23" t="s">
        <v>1539</v>
      </c>
      <c r="F215" s="15" t="s">
        <v>1610</v>
      </c>
      <c r="G215" s="23" t="s">
        <v>1540</v>
      </c>
      <c r="M215" s="1" t="s">
        <v>1517</v>
      </c>
      <c r="N215" s="1" t="s">
        <v>1443</v>
      </c>
      <c r="O215" s="24" t="str">
        <f>テーブル1[[#This Row],[リンク]]&amp;テーブル1[[#This Row],[描画状況]]</f>
        <v>https://bowlroll.net/user/946776済</v>
      </c>
      <c r="P215" s="17">
        <f>1-(COUNTIF(O:O,_xlfn.TEXTJOIN(",",TRUE,テーブル1[[#This Row],[リンク]],テーブル1[[#This Row],[描画状況]]))/COUNTIF(F:F,テーブル1[[#This Row],[リンク]]))</f>
        <v>1</v>
      </c>
      <c r="Q215" s="16" t="str">
        <f ca="1">IFERROR(IF(テーブル1[[#This Row],[描画状況]]="",RAND()+(テーブル1[[#This Row],[列2]]*100),""),RAND())</f>
        <v/>
      </c>
      <c r="R215" s="1" t="s">
        <v>1193</v>
      </c>
      <c r="S215" s="24" t="str">
        <f ca="1">IF(AND(テーブル1[[#This Row],[描画状況]]="済",テーブル1[[#This Row],[投稿状況]]=""),RAND(),"")</f>
        <v/>
      </c>
      <c r="T215" s="23" t="str">
        <f>"|&amp;image("&amp;テーブル1[[#This Row],[画像]]&amp;".png,width=100,height=100)"</f>
        <v>|&amp;image(colorful-sugar-sprinkle.png,width=100,height=100)</v>
      </c>
      <c r="U215" s="23" t="str">
        <f>"|MIDDLE:​"&amp;テーブル1[[#This Row],[名前]]</f>
        <v>|MIDDLE:​カラフル・シュガースプリンクル</v>
      </c>
      <c r="V215" s="23" t="str">
        <f>"|MIDDLE:​"&amp;テーブル1[[#This Row],[なまえ]]</f>
        <v>|MIDDLE:​からふる しゅがーすぷりんくる</v>
      </c>
      <c r="W215" s="23" t="str">
        <f>"|MIDDLE:​"&amp;テーブル1[[#This Row],[Name]]</f>
        <v>|MIDDLE:​Colorful Sugar Sprinkle</v>
      </c>
      <c r="X215" s="23" t="str">
        <f>"|MIDDLE:​&amp;link(配布所はこちら){​"&amp;テーブル1[[#This Row],[リンク]]&amp;"}|"</f>
        <v>|MIDDLE:​&amp;link(配布所はこちら){​https://bowlroll.net/user/946776}|</v>
      </c>
    </row>
    <row r="216" spans="1:24" ht="20.149999999999999" customHeight="1" x14ac:dyDescent="0.35">
      <c r="A216" s="20">
        <v>215</v>
      </c>
      <c r="B216" s="23" t="str">
        <f>SUBSTITUTE(SUBSTITUTE(SUBSTITUTE(SUBSTITUTE(SUBSTITUTE(SUBSTITUTE(SUBSTITUTE(SUBSTITUTE(LOWER(テーブル1[[#This Row],[Name]])," ","-"),".","-"),"&amp;","-"),"_","-"),"・","-"),"=","-"),"--","-"),"--","-")</f>
        <v>kyakuyose-riley</v>
      </c>
      <c r="C216" s="24" t="s">
        <v>537</v>
      </c>
      <c r="D216" s="23" t="s">
        <v>538</v>
      </c>
      <c r="E216" s="23" t="s">
        <v>539</v>
      </c>
      <c r="F216" s="2" t="s">
        <v>540</v>
      </c>
      <c r="G216" s="23" t="s">
        <v>71</v>
      </c>
      <c r="H216" s="23" t="s">
        <v>1627</v>
      </c>
      <c r="I216" s="23" t="s">
        <v>1649</v>
      </c>
      <c r="K216" s="23" t="s">
        <v>1637</v>
      </c>
      <c r="L216" s="23" t="s">
        <v>1714</v>
      </c>
      <c r="M216" s="1" t="s">
        <v>1517</v>
      </c>
      <c r="N216" s="1" t="s">
        <v>1443</v>
      </c>
      <c r="O216" s="24" t="str">
        <f>テーブル1[[#This Row],[リンク]]&amp;テーブル1[[#This Row],[描画状況]]</f>
        <v>https://bowlroll.net/user/980255済</v>
      </c>
      <c r="P216" s="17">
        <f>1-(COUNTIF(O:O,_xlfn.TEXTJOIN(",",TRUE,テーブル1[[#This Row],[リンク]],テーブル1[[#This Row],[描画状況]]))/COUNTIF(F:F,テーブル1[[#This Row],[リンク]]))</f>
        <v>1</v>
      </c>
      <c r="Q216" s="16" t="str">
        <f ca="1">IFERROR(IF(テーブル1[[#This Row],[描画状況]]="",RAND()+(テーブル1[[#This Row],[列2]]*100),""),RAND())</f>
        <v/>
      </c>
      <c r="R216" s="1" t="s">
        <v>1193</v>
      </c>
      <c r="S216" s="24" t="str">
        <f ca="1">IF(AND(テーブル1[[#This Row],[描画状況]]="済",テーブル1[[#This Row],[投稿状況]]=""),RAND(),"")</f>
        <v/>
      </c>
      <c r="T216" s="23" t="str">
        <f>"|&amp;image("&amp;テーブル1[[#This Row],[画像]]&amp;".png,width=100,height=100)"</f>
        <v>|&amp;image(kyakuyose-riley.png,width=100,height=100)</v>
      </c>
      <c r="U216" s="23" t="str">
        <f>"|MIDDLE:​"&amp;テーブル1[[#This Row],[名前]]</f>
        <v>|MIDDLE:​客寄せRiley</v>
      </c>
      <c r="V216" s="23" t="str">
        <f>"|MIDDLE:​"&amp;テーブル1[[#This Row],[なまえ]]</f>
        <v>|MIDDLE:​きゃくよせ らいりー</v>
      </c>
      <c r="W216" s="23" t="str">
        <f>"|MIDDLE:​"&amp;テーブル1[[#This Row],[Name]]</f>
        <v>|MIDDLE:​Kyakuyose Riley</v>
      </c>
      <c r="X216" s="23" t="str">
        <f>"|MIDDLE:​&amp;link(配布所はこちら){​"&amp;テーブル1[[#This Row],[リンク]]&amp;"}|"</f>
        <v>|MIDDLE:​&amp;link(配布所はこちら){​https://bowlroll.net/user/980255}|</v>
      </c>
    </row>
    <row r="217" spans="1:24" ht="20.149999999999999" customHeight="1" x14ac:dyDescent="0.35">
      <c r="A217" s="20">
        <v>216</v>
      </c>
      <c r="B217" s="23" t="str">
        <f>SUBSTITUTE(SUBSTITUTE(SUBSTITUTE(SUBSTITUTE(SUBSTITUTE(SUBSTITUTE(SUBSTITUTE(SUBSTITUTE(LOWER(テーブル1[[#This Row],[Name]])," ","-"),".","-"),"&amp;","-"),"_","-"),"・","-"),"=","-"),"--","-"),"--","-")</f>
        <v>nekonari</v>
      </c>
      <c r="C217" s="24" t="s">
        <v>1541</v>
      </c>
      <c r="D217" s="23" t="s">
        <v>1542</v>
      </c>
      <c r="E217" s="23" t="s">
        <v>1543</v>
      </c>
      <c r="F217" s="15" t="s">
        <v>1544</v>
      </c>
      <c r="G217" s="23" t="s">
        <v>1545</v>
      </c>
      <c r="M217" s="1" t="s">
        <v>1517</v>
      </c>
      <c r="N217" s="1" t="s">
        <v>1443</v>
      </c>
      <c r="O217" s="24" t="str">
        <f>テーブル1[[#This Row],[リンク]]&amp;テーブル1[[#This Row],[描画状況]]</f>
        <v>https://piku.page/@toitoitoi23済</v>
      </c>
      <c r="P217" s="17">
        <f>1-(COUNTIF(O:O,_xlfn.TEXTJOIN(",",TRUE,テーブル1[[#This Row],[リンク]],テーブル1[[#This Row],[描画状況]]))/COUNTIF(F:F,テーブル1[[#This Row],[リンク]]))</f>
        <v>1</v>
      </c>
      <c r="Q217" s="16" t="str">
        <f ca="1">IFERROR(IF(テーブル1[[#This Row],[描画状況]]="",RAND()+(テーブル1[[#This Row],[列2]]*100),""),RAND())</f>
        <v/>
      </c>
      <c r="R217" s="1" t="s">
        <v>1193</v>
      </c>
      <c r="S217" s="24" t="str">
        <f ca="1">IF(AND(テーブル1[[#This Row],[描画状況]]="済",テーブル1[[#This Row],[投稿状況]]=""),RAND(),"")</f>
        <v/>
      </c>
      <c r="T217" s="23" t="str">
        <f>"|&amp;image("&amp;テーブル1[[#This Row],[画像]]&amp;".png,width=100,height=100)"</f>
        <v>|&amp;image(nekonari.png,width=100,height=100)</v>
      </c>
      <c r="U217" s="23" t="str">
        <f>"|MIDDLE:​"&amp;テーブル1[[#This Row],[名前]]</f>
        <v>|MIDDLE:​ネコナリ</v>
      </c>
      <c r="V217" s="23" t="str">
        <f>"|MIDDLE:​"&amp;テーブル1[[#This Row],[なまえ]]</f>
        <v>|MIDDLE:​ねこなり</v>
      </c>
      <c r="W217" s="23" t="str">
        <f>"|MIDDLE:​"&amp;テーブル1[[#This Row],[Name]]</f>
        <v>|MIDDLE:​Nekonari</v>
      </c>
      <c r="X217" s="23" t="str">
        <f>"|MIDDLE:​&amp;link(配布所はこちら){​"&amp;テーブル1[[#This Row],[リンク]]&amp;"}|"</f>
        <v>|MIDDLE:​&amp;link(配布所はこちら){​https://piku.page/@toitoitoi23}|</v>
      </c>
    </row>
    <row r="218" spans="1:24" ht="20.149999999999999" customHeight="1" x14ac:dyDescent="0.35">
      <c r="A218" s="20">
        <v>217</v>
      </c>
      <c r="B218" s="23" t="str">
        <f>SUBSTITUTE(SUBSTITUTE(SUBSTITUTE(SUBSTITUTE(SUBSTITUTE(SUBSTITUTE(SUBSTITUTE(SUBSTITUTE(LOWER(テーブル1[[#This Row],[Name]])," ","-"),".","-"),"&amp;","-"),"_","-"),"・","-"),"=","-"),"--","-"),"--","-")</f>
        <v>meganeko-mikketa</v>
      </c>
      <c r="C218" s="24" t="s">
        <v>1546</v>
      </c>
      <c r="D218" s="23" t="s">
        <v>1548</v>
      </c>
      <c r="E218" s="23" t="s">
        <v>1549</v>
      </c>
      <c r="F218" s="15" t="s">
        <v>292</v>
      </c>
      <c r="G218" s="23" t="s">
        <v>293</v>
      </c>
      <c r="H218" s="23" t="s">
        <v>1627</v>
      </c>
      <c r="I218" s="23" t="s">
        <v>1636</v>
      </c>
      <c r="J218" s="23" t="s">
        <v>1634</v>
      </c>
      <c r="K218" s="23" t="s">
        <v>1637</v>
      </c>
      <c r="L218" s="23" t="s">
        <v>1677</v>
      </c>
      <c r="M218" s="1" t="s">
        <v>1517</v>
      </c>
      <c r="N218" s="1" t="s">
        <v>1443</v>
      </c>
      <c r="O218" s="24" t="str">
        <f>テーブル1[[#This Row],[リンク]]&amp;テーブル1[[#This Row],[描画状況]]</f>
        <v>https://seirentoybox.jimdofree.com済</v>
      </c>
      <c r="P218" s="17">
        <f>1-(COUNTIF(O:O,_xlfn.TEXTJOIN(",",TRUE,テーブル1[[#This Row],[リンク]],テーブル1[[#This Row],[描画状況]]))/COUNTIF(F:F,テーブル1[[#This Row],[リンク]]))</f>
        <v>1</v>
      </c>
      <c r="Q218" s="16" t="str">
        <f ca="1">IFERROR(IF(テーブル1[[#This Row],[描画状況]]="",RAND()+(テーブル1[[#This Row],[列2]]*100),""),RAND())</f>
        <v/>
      </c>
      <c r="R218" s="1" t="s">
        <v>1193</v>
      </c>
      <c r="S218" s="24" t="str">
        <f ca="1">IF(AND(テーブル1[[#This Row],[描画状況]]="済",テーブル1[[#This Row],[投稿状況]]=""),RAND(),"")</f>
        <v/>
      </c>
      <c r="T218" s="23" t="str">
        <f>"|&amp;image("&amp;テーブル1[[#This Row],[画像]]&amp;".png,width=100,height=100)"</f>
        <v>|&amp;image(meganeko-mikketa.png,width=100,height=100)</v>
      </c>
      <c r="U218" s="23" t="str">
        <f>"|MIDDLE:​"&amp;テーブル1[[#This Row],[名前]]</f>
        <v>|MIDDLE:​メガネコ・ミッケタ</v>
      </c>
      <c r="V218" s="23" t="str">
        <f>"|MIDDLE:​"&amp;テーブル1[[#This Row],[なまえ]]</f>
        <v>|MIDDLE:​めがねこ みっけた</v>
      </c>
      <c r="W218" s="23" t="str">
        <f>"|MIDDLE:​"&amp;テーブル1[[#This Row],[Name]]</f>
        <v>|MIDDLE:​Meganeko Mikketa</v>
      </c>
      <c r="X218" s="23" t="str">
        <f>"|MIDDLE:​&amp;link(配布所はこちら){​"&amp;テーブル1[[#This Row],[リンク]]&amp;"}|"</f>
        <v>|MIDDLE:​&amp;link(配布所はこちら){​https://seirentoybox.jimdofree.com}|</v>
      </c>
    </row>
    <row r="219" spans="1:24" ht="20.149999999999999" customHeight="1" x14ac:dyDescent="0.35">
      <c r="A219" s="20">
        <v>218</v>
      </c>
      <c r="B219" s="23" t="str">
        <f>SUBSTITUTE(SUBSTITUTE(SUBSTITUTE(SUBSTITUTE(SUBSTITUTE(SUBSTITUTE(SUBSTITUTE(SUBSTITUTE(LOWER(テーブル1[[#This Row],[Name]])," ","-"),".","-"),"&amp;","-"),"_","-"),"・","-"),"=","-"),"--","-"),"--","-")</f>
        <v>aster-flores</v>
      </c>
      <c r="C219" s="24" t="s">
        <v>1564</v>
      </c>
      <c r="D219" s="23" t="s">
        <v>1566</v>
      </c>
      <c r="E219" s="23" t="s">
        <v>1565</v>
      </c>
      <c r="F219" s="2" t="s">
        <v>215</v>
      </c>
      <c r="G219" s="23" t="s">
        <v>216</v>
      </c>
      <c r="M219" s="1" t="s">
        <v>1517</v>
      </c>
      <c r="N219" s="1" t="s">
        <v>1443</v>
      </c>
      <c r="O219" s="24" t="str">
        <f>テーブル1[[#This Row],[リンク]]&amp;テーブル1[[#This Row],[描画状況]]</f>
        <v>https://mitoristu.wixsite.com/kousaibako済</v>
      </c>
      <c r="P219" s="17">
        <f>1-(COUNTIF(O:O,_xlfn.TEXTJOIN(",",TRUE,テーブル1[[#This Row],[リンク]],テーブル1[[#This Row],[描画状況]]))/COUNTIF(F:F,テーブル1[[#This Row],[リンク]]))</f>
        <v>1</v>
      </c>
      <c r="Q219" s="16" t="str">
        <f ca="1">IFERROR(IF(テーブル1[[#This Row],[描画状況]]="",RAND()+(テーブル1[[#This Row],[列2]]*100),""),RAND())</f>
        <v/>
      </c>
      <c r="R219" s="1" t="s">
        <v>1193</v>
      </c>
      <c r="S219" s="24" t="str">
        <f ca="1">IF(AND(テーブル1[[#This Row],[描画状況]]="済",テーブル1[[#This Row],[投稿状況]]=""),RAND(),"")</f>
        <v/>
      </c>
      <c r="T219" s="23" t="str">
        <f>"|&amp;image("&amp;テーブル1[[#This Row],[画像]]&amp;".png,width=100,height=100)"</f>
        <v>|&amp;image(aster-flores.png,width=100,height=100)</v>
      </c>
      <c r="U219" s="23" t="str">
        <f>"|MIDDLE:​"&amp;テーブル1[[#This Row],[名前]]</f>
        <v>|MIDDLE:​アスター・フローレス</v>
      </c>
      <c r="V219" s="23" t="str">
        <f>"|MIDDLE:​"&amp;テーブル1[[#This Row],[なまえ]]</f>
        <v>|MIDDLE:​あすたー ふろーれす</v>
      </c>
      <c r="W219" s="23" t="str">
        <f>"|MIDDLE:​"&amp;テーブル1[[#This Row],[Name]]</f>
        <v>|MIDDLE:​Aster・Flores</v>
      </c>
      <c r="X219" s="23" t="str">
        <f>"|MIDDLE:​&amp;link(配布所はこちら){​"&amp;テーブル1[[#This Row],[リンク]]&amp;"}|"</f>
        <v>|MIDDLE:​&amp;link(配布所はこちら){​https://mitoristu.wixsite.com/kousaibako}|</v>
      </c>
    </row>
    <row r="220" spans="1:24" ht="20.149999999999999" customHeight="1" x14ac:dyDescent="0.35">
      <c r="A220" s="20">
        <v>219</v>
      </c>
      <c r="B220" s="23" t="str">
        <f>SUBSTITUTE(SUBSTITUTE(SUBSTITUTE(SUBSTITUTE(SUBSTITUTE(SUBSTITUTE(SUBSTITUTE(SUBSTITUTE(LOWER(テーブル1[[#This Row],[Name]])," ","-"),".","-"),"&amp;","-"),"_","-"),"・","-"),"=","-"),"--","-"),"--","-")</f>
        <v>yoizuki-mikumo</v>
      </c>
      <c r="C220" s="24" t="s">
        <v>1575</v>
      </c>
      <c r="D220" s="23" t="s">
        <v>1578</v>
      </c>
      <c r="E220" s="23" t="s">
        <v>1579</v>
      </c>
      <c r="F220" s="15" t="s">
        <v>1537</v>
      </c>
      <c r="G220" s="23" t="s">
        <v>414</v>
      </c>
      <c r="H220" s="23" t="s">
        <v>1626</v>
      </c>
      <c r="I220" s="23" t="s">
        <v>1649</v>
      </c>
      <c r="K220" s="23" t="s">
        <v>1701</v>
      </c>
      <c r="M220" s="1" t="s">
        <v>1517</v>
      </c>
      <c r="N220" s="1" t="s">
        <v>1443</v>
      </c>
      <c r="O220" s="24" t="str">
        <f>テーブル1[[#This Row],[リンク]]&amp;テーブル1[[#This Row],[描画状況]]</f>
        <v>https://vividseekers.utau.sorairomarch.com済</v>
      </c>
      <c r="P220" s="17">
        <f>1-(COUNTIF(O:O,_xlfn.TEXTJOIN(",",TRUE,テーブル1[[#This Row],[リンク]],テーブル1[[#This Row],[描画状況]]))/COUNTIF(F:F,テーブル1[[#This Row],[リンク]]))</f>
        <v>1</v>
      </c>
      <c r="Q220" s="16" t="str">
        <f ca="1">IFERROR(IF(テーブル1[[#This Row],[描画状況]]="",RAND()+(テーブル1[[#This Row],[列2]]*100),""),RAND())</f>
        <v/>
      </c>
      <c r="R220" s="1" t="s">
        <v>1193</v>
      </c>
      <c r="S220" s="24" t="str">
        <f ca="1">IF(AND(テーブル1[[#This Row],[描画状況]]="済",テーブル1[[#This Row],[投稿状況]]=""),RAND(),"")</f>
        <v/>
      </c>
      <c r="T220" s="23" t="str">
        <f>"|&amp;image("&amp;テーブル1[[#This Row],[画像]]&amp;".png,width=100,height=100)"</f>
        <v>|&amp;image(yoizuki-mikumo.png,width=100,height=100)</v>
      </c>
      <c r="U220" s="23" t="str">
        <f>"|MIDDLE:​"&amp;テーブル1[[#This Row],[名前]]</f>
        <v>|MIDDLE:​宵月未雲</v>
      </c>
      <c r="V220" s="23" t="str">
        <f>"|MIDDLE:​"&amp;テーブル1[[#This Row],[なまえ]]</f>
        <v>|MIDDLE:​よいづき みくも</v>
      </c>
      <c r="W220" s="23" t="str">
        <f>"|MIDDLE:​"&amp;テーブル1[[#This Row],[Name]]</f>
        <v>|MIDDLE:​Yoizuki Mikumo</v>
      </c>
      <c r="X220" s="23" t="str">
        <f>"|MIDDLE:​&amp;link(配布所はこちら){​"&amp;テーブル1[[#This Row],[リンク]]&amp;"}|"</f>
        <v>|MIDDLE:​&amp;link(配布所はこちら){​https://vividseekers.utau.sorairomarch.com}|</v>
      </c>
    </row>
    <row r="221" spans="1:24" ht="20.149999999999999" customHeight="1" x14ac:dyDescent="0.35">
      <c r="A221" s="20">
        <v>220</v>
      </c>
      <c r="B221" s="23" t="str">
        <f>SUBSTITUTE(SUBSTITUTE(SUBSTITUTE(SUBSTITUTE(SUBSTITUTE(SUBSTITUTE(SUBSTITUTE(SUBSTITUTE(LOWER(テーブル1[[#This Row],[Name]])," ","-"),".","-"),"&amp;","-"),"_","-"),"・","-"),"=","-"),"--","-"),"--","-")</f>
        <v>kang-unshim</v>
      </c>
      <c r="C221" s="24" t="s">
        <v>1584</v>
      </c>
      <c r="D221" s="23" t="s">
        <v>1585</v>
      </c>
      <c r="E221" s="23" t="s">
        <v>1586</v>
      </c>
      <c r="F221" s="15" t="s">
        <v>1587</v>
      </c>
      <c r="G221" s="23" t="s">
        <v>1588</v>
      </c>
      <c r="M221" s="1" t="s">
        <v>1589</v>
      </c>
      <c r="N221" s="1" t="s">
        <v>1443</v>
      </c>
      <c r="O221" s="24" t="str">
        <f>テーブル1[[#This Row],[リンク]]&amp;テーブル1[[#This Row],[描画状況]]</f>
        <v>https://magnawitch.wixsite.com/seong-ah済</v>
      </c>
      <c r="P221" s="17">
        <f>1-(COUNTIF(O:O,_xlfn.TEXTJOIN(",",TRUE,テーブル1[[#This Row],[リンク]],テーブル1[[#This Row],[描画状況]]))/COUNTIF(F:F,テーブル1[[#This Row],[リンク]]))</f>
        <v>1</v>
      </c>
      <c r="Q221" s="16" t="str">
        <f ca="1">IFERROR(IF(テーブル1[[#This Row],[描画状況]]="",RAND()+(テーブル1[[#This Row],[列2]]*100),""),RAND())</f>
        <v/>
      </c>
      <c r="R221" s="1" t="s">
        <v>1193</v>
      </c>
      <c r="S221" s="24" t="str">
        <f ca="1">IF(AND(テーブル1[[#This Row],[描画状況]]="済",テーブル1[[#This Row],[投稿状況]]=""),RAND(),"")</f>
        <v/>
      </c>
      <c r="T221" s="23" t="str">
        <f>"|&amp;image("&amp;テーブル1[[#This Row],[画像]]&amp;".png,width=100,height=100)"</f>
        <v>|&amp;image(kang-unshim.png,width=100,height=100)</v>
      </c>
      <c r="U221" s="23" t="str">
        <f>"|MIDDLE:​"&amp;テーブル1[[#This Row],[名前]]</f>
        <v>|MIDDLE:​姜運心</v>
      </c>
      <c r="V221" s="23" t="str">
        <f>"|MIDDLE:​"&amp;テーブル1[[#This Row],[なまえ]]</f>
        <v>|MIDDLE:​かん うんしむ</v>
      </c>
      <c r="W221" s="23" t="str">
        <f>"|MIDDLE:​"&amp;テーブル1[[#This Row],[Name]]</f>
        <v>|MIDDLE:​Kang Unshim</v>
      </c>
      <c r="X221" s="23" t="str">
        <f>"|MIDDLE:​&amp;link(配布所はこちら){​"&amp;テーブル1[[#This Row],[リンク]]&amp;"}|"</f>
        <v>|MIDDLE:​&amp;link(配布所はこちら){​https://magnawitch.wixsite.com/seong-ah}|</v>
      </c>
    </row>
    <row r="222" spans="1:24" ht="20.149999999999999" customHeight="1" x14ac:dyDescent="0.35">
      <c r="A222" s="20">
        <v>221</v>
      </c>
      <c r="B222" s="23" t="str">
        <f>SUBSTITUTE(SUBSTITUTE(SUBSTITUTE(SUBSTITUTE(SUBSTITUTE(SUBSTITUTE(SUBSTITUTE(SUBSTITUTE(LOWER(テーブル1[[#This Row],[Name]])," ","-"),".","-"),"&amp;","-"),"_","-"),"・","-"),"=","-"),"--","-"),"--","-")</f>
        <v>optima-215</v>
      </c>
      <c r="C222" s="24" t="s">
        <v>1590</v>
      </c>
      <c r="D222" s="23" t="s">
        <v>1591</v>
      </c>
      <c r="E222" s="23" t="s">
        <v>1592</v>
      </c>
      <c r="F222" s="15" t="s">
        <v>1587</v>
      </c>
      <c r="G222" s="23" t="s">
        <v>1593</v>
      </c>
      <c r="M222" s="1" t="s">
        <v>1589</v>
      </c>
      <c r="N222" s="1" t="s">
        <v>1443</v>
      </c>
      <c r="O222" s="24" t="str">
        <f>テーブル1[[#This Row],[リンク]]&amp;テーブル1[[#This Row],[描画状況]]</f>
        <v>https://magnawitch.wixsite.com/seong-ah済</v>
      </c>
      <c r="P222" s="17">
        <f>1-(COUNTIF(O:O,_xlfn.TEXTJOIN(",",TRUE,テーブル1[[#This Row],[リンク]],テーブル1[[#This Row],[描画状況]]))/COUNTIF(F:F,テーブル1[[#This Row],[リンク]]))</f>
        <v>1</v>
      </c>
      <c r="Q222" s="16" t="str">
        <f ca="1">IFERROR(IF(テーブル1[[#This Row],[描画状況]]="",RAND()+(テーブル1[[#This Row],[列2]]*100),""),RAND())</f>
        <v/>
      </c>
      <c r="R222" s="1" t="s">
        <v>1193</v>
      </c>
      <c r="S222" s="24" t="str">
        <f ca="1">IF(AND(テーブル1[[#This Row],[描画状況]]="済",テーブル1[[#This Row],[投稿状況]]=""),RAND(),"")</f>
        <v/>
      </c>
      <c r="T222" s="23" t="str">
        <f>"|&amp;image("&amp;テーブル1[[#This Row],[画像]]&amp;".png,width=100,height=100)"</f>
        <v>|&amp;image(optima-215.png,width=100,height=100)</v>
      </c>
      <c r="U222" s="23" t="str">
        <f>"|MIDDLE:​"&amp;テーブル1[[#This Row],[名前]]</f>
        <v>|MIDDLE:​オプティマ-215</v>
      </c>
      <c r="V222" s="23" t="str">
        <f>"|MIDDLE:​"&amp;テーブル1[[#This Row],[なまえ]]</f>
        <v>|MIDDLE:​おぷてぃま-215</v>
      </c>
      <c r="W222" s="23" t="str">
        <f>"|MIDDLE:​"&amp;テーブル1[[#This Row],[Name]]</f>
        <v>|MIDDLE:​OPTIMA-215</v>
      </c>
      <c r="X222" s="23" t="str">
        <f>"|MIDDLE:​&amp;link(配布所はこちら){​"&amp;テーブル1[[#This Row],[リンク]]&amp;"}|"</f>
        <v>|MIDDLE:​&amp;link(配布所はこちら){​https://magnawitch.wixsite.com/seong-ah}|</v>
      </c>
    </row>
    <row r="223" spans="1:24" ht="20.149999999999999" customHeight="1" x14ac:dyDescent="0.35">
      <c r="A223" s="20">
        <v>222</v>
      </c>
      <c r="B223" s="23" t="str">
        <f>SUBSTITUTE(SUBSTITUTE(SUBSTITUTE(SUBSTITUTE(SUBSTITUTE(SUBSTITUTE(SUBSTITUTE(SUBSTITUTE(LOWER(テーブル1[[#This Row],[Name]])," ","-"),".","-"),"&amp;","-"),"_","-"),"・","-"),"=","-"),"--","-"),"--","-")</f>
        <v>kyle-tyler</v>
      </c>
      <c r="C223" s="24" t="s">
        <v>1594</v>
      </c>
      <c r="D223" s="23" t="s">
        <v>1595</v>
      </c>
      <c r="E223" s="23" t="s">
        <v>1596</v>
      </c>
      <c r="F223" s="15" t="s">
        <v>1587</v>
      </c>
      <c r="G223" s="23" t="str">
        <f>テーブル1[[#This Row],[名前]]&amp;"(UTAU)"</f>
        <v>カイル・タイラー(UTAU)</v>
      </c>
      <c r="M223" s="1" t="s">
        <v>1589</v>
      </c>
      <c r="N223" s="1" t="s">
        <v>1443</v>
      </c>
      <c r="O223" s="24" t="str">
        <f>テーブル1[[#This Row],[リンク]]&amp;テーブル1[[#This Row],[描画状況]]</f>
        <v>https://magnawitch.wixsite.com/seong-ah済</v>
      </c>
      <c r="P223" s="17">
        <f>1-(COUNTIF(O:O,_xlfn.TEXTJOIN(",",TRUE,テーブル1[[#This Row],[リンク]],テーブル1[[#This Row],[描画状況]]))/COUNTIF(F:F,テーブル1[[#This Row],[リンク]]))</f>
        <v>1</v>
      </c>
      <c r="Q223" s="16" t="str">
        <f ca="1">IFERROR(IF(テーブル1[[#This Row],[描画状況]]="",RAND()+(テーブル1[[#This Row],[列2]]*100),""),RAND())</f>
        <v/>
      </c>
      <c r="R223" s="1" t="s">
        <v>1193</v>
      </c>
      <c r="S223" s="24" t="str">
        <f ca="1">IF(AND(テーブル1[[#This Row],[描画状況]]="済",テーブル1[[#This Row],[投稿状況]]=""),RAND(),"")</f>
        <v/>
      </c>
      <c r="T223" s="23" t="str">
        <f>"|&amp;image("&amp;テーブル1[[#This Row],[画像]]&amp;".png,width=100,height=100)"</f>
        <v>|&amp;image(kyle-tyler.png,width=100,height=100)</v>
      </c>
      <c r="U223" s="23" t="str">
        <f>"|MIDDLE:​"&amp;テーブル1[[#This Row],[名前]]</f>
        <v>|MIDDLE:​カイル・タイラー</v>
      </c>
      <c r="V223" s="23" t="str">
        <f>"|MIDDLE:​"&amp;テーブル1[[#This Row],[なまえ]]</f>
        <v>|MIDDLE:​かいる たいらー</v>
      </c>
      <c r="W223" s="23" t="str">
        <f>"|MIDDLE:​"&amp;テーブル1[[#This Row],[Name]]</f>
        <v>|MIDDLE:​Kyle Tyler</v>
      </c>
      <c r="X223" s="23" t="str">
        <f>"|MIDDLE:​&amp;link(配布所はこちら){​"&amp;テーブル1[[#This Row],[リンク]]&amp;"}|"</f>
        <v>|MIDDLE:​&amp;link(配布所はこちら){​https://magnawitch.wixsite.com/seong-ah}|</v>
      </c>
    </row>
    <row r="224" spans="1:24" ht="20.149999999999999" customHeight="1" x14ac:dyDescent="0.35">
      <c r="A224" s="20">
        <v>223</v>
      </c>
      <c r="B224" s="23" t="str">
        <f>SUBSTITUTE(SUBSTITUTE(SUBSTITUTE(SUBSTITUTE(SUBSTITUTE(SUBSTITUTE(SUBSTITUTE(SUBSTITUTE(LOWER(テーブル1[[#This Row],[Name]])," ","-"),".","-"),"&amp;","-"),"_","-"),"・","-"),"=","-"),"--","-"),"--","-")</f>
        <v>tone-too</v>
      </c>
      <c r="C224" s="24" t="s">
        <v>1597</v>
      </c>
      <c r="D224" s="23" t="s">
        <v>1598</v>
      </c>
      <c r="E224" s="23" t="s">
        <v>1599</v>
      </c>
      <c r="F224" s="15" t="s">
        <v>1600</v>
      </c>
      <c r="G224" s="23" t="s">
        <v>1601</v>
      </c>
      <c r="N224" s="1" t="s">
        <v>1443</v>
      </c>
      <c r="O224" s="24" t="str">
        <f>テーブル1[[#This Row],[リンク]]&amp;テーブル1[[#This Row],[描画状況]]</f>
        <v>https://toooru421.booth.pm/items/8151791済</v>
      </c>
      <c r="P224" s="17">
        <f>1-(COUNTIF(O:O,_xlfn.TEXTJOIN(",",TRUE,テーブル1[[#This Row],[リンク]],テーブル1[[#This Row],[描画状況]]))/COUNTIF(F:F,テーブル1[[#This Row],[リンク]]))</f>
        <v>1</v>
      </c>
      <c r="Q224" s="16" t="str">
        <f ca="1">IFERROR(IF(テーブル1[[#This Row],[描画状況]]="",RAND()+(テーブル1[[#This Row],[列2]]*100),""),RAND())</f>
        <v/>
      </c>
      <c r="R224" s="1" t="s">
        <v>1193</v>
      </c>
      <c r="S224" s="24" t="str">
        <f ca="1">IF(AND(テーブル1[[#This Row],[描画状況]]="済",テーブル1[[#This Row],[投稿状況]]=""),RAND(),"")</f>
        <v/>
      </c>
      <c r="T224" s="23" t="str">
        <f>"|&amp;image("&amp;テーブル1[[#This Row],[画像]]&amp;".png,width=100,height=100)"</f>
        <v>|&amp;image(tone-too.png,width=100,height=100)</v>
      </c>
      <c r="U224" s="23" t="str">
        <f>"|MIDDLE:​"&amp;テーブル1[[#This Row],[名前]]</f>
        <v>|MIDDLE:​通音トオ</v>
      </c>
      <c r="V224" s="23" t="str">
        <f>"|MIDDLE:​"&amp;テーブル1[[#This Row],[なまえ]]</f>
        <v>|MIDDLE:​とおね とお</v>
      </c>
      <c r="W224" s="23" t="str">
        <f>"|MIDDLE:​"&amp;テーブル1[[#This Row],[Name]]</f>
        <v>|MIDDLE:​Tone Too</v>
      </c>
      <c r="X224" s="23" t="str">
        <f>"|MIDDLE:​&amp;link(配布所はこちら){​"&amp;テーブル1[[#This Row],[リンク]]&amp;"}|"</f>
        <v>|MIDDLE:​&amp;link(配布所はこちら){​https://toooru421.booth.pm/items/8151791}|</v>
      </c>
    </row>
    <row r="225" spans="1:24" ht="20.149999999999999" customHeight="1" x14ac:dyDescent="0.35">
      <c r="A225" s="20">
        <v>224</v>
      </c>
      <c r="B225" s="23" t="str">
        <f>SUBSTITUTE(SUBSTITUTE(SUBSTITUTE(SUBSTITUTE(SUBSTITUTE(SUBSTITUTE(SUBSTITUTE(SUBSTITUTE(LOWER(テーブル1[[#This Row],[Name]])," ","-"),".","-"),"&amp;","-"),"_","-"),"・","-"),"=","-"),"--","-"),"--","-")</f>
        <v>fuwa-maria</v>
      </c>
      <c r="C225" s="24" t="s">
        <v>1602</v>
      </c>
      <c r="D225" s="23" t="s">
        <v>1603</v>
      </c>
      <c r="E225" s="23" t="s">
        <v>1604</v>
      </c>
      <c r="F225" s="15" t="s">
        <v>1605</v>
      </c>
      <c r="G225" s="23" t="s">
        <v>1606</v>
      </c>
      <c r="M225" s="1" t="s">
        <v>1589</v>
      </c>
      <c r="N225" s="1" t="s">
        <v>1443</v>
      </c>
      <c r="O225" s="24" t="str">
        <f>テーブル1[[#This Row],[リンク]]&amp;テーブル1[[#This Row],[描画状況]]</f>
        <v>https://strife-horizon.weebly.com済</v>
      </c>
      <c r="P225" s="17">
        <f>1-(COUNTIF(O:O,_xlfn.TEXTJOIN(",",TRUE,テーブル1[[#This Row],[リンク]],テーブル1[[#This Row],[描画状況]]))/COUNTIF(F:F,テーブル1[[#This Row],[リンク]]))</f>
        <v>1</v>
      </c>
      <c r="Q225" s="16" t="str">
        <f ca="1">IFERROR(IF(テーブル1[[#This Row],[描画状況]]="",RAND()+(テーブル1[[#This Row],[列2]]*100),""),RAND())</f>
        <v/>
      </c>
      <c r="R225" s="1" t="s">
        <v>1193</v>
      </c>
      <c r="S225" s="24" t="str">
        <f ca="1">IF(AND(テーブル1[[#This Row],[描画状況]]="済",テーブル1[[#This Row],[投稿状況]]=""),RAND(),"")</f>
        <v/>
      </c>
      <c r="T225" s="23" t="str">
        <f>"|&amp;image("&amp;テーブル1[[#This Row],[画像]]&amp;".png,width=100,height=100)"</f>
        <v>|&amp;image(fuwa-maria.png,width=100,height=100)</v>
      </c>
      <c r="U225" s="23" t="str">
        <f>"|MIDDLE:​"&amp;テーブル1[[#This Row],[名前]]</f>
        <v>|MIDDLE:​不破マリア</v>
      </c>
      <c r="V225" s="23" t="str">
        <f>"|MIDDLE:​"&amp;テーブル1[[#This Row],[なまえ]]</f>
        <v>|MIDDLE:​ふわ まりあ</v>
      </c>
      <c r="W225" s="23" t="str">
        <f>"|MIDDLE:​"&amp;テーブル1[[#This Row],[Name]]</f>
        <v>|MIDDLE:​Fuwa Maria</v>
      </c>
      <c r="X225" s="23" t="str">
        <f>"|MIDDLE:​&amp;link(配布所はこちら){​"&amp;テーブル1[[#This Row],[リンク]]&amp;"}|"</f>
        <v>|MIDDLE:​&amp;link(配布所はこちら){​https://strife-horizon.weebly.com}|</v>
      </c>
    </row>
    <row r="226" spans="1:24" ht="20.149999999999999" customHeight="1" x14ac:dyDescent="0.35">
      <c r="A226" s="20">
        <v>225</v>
      </c>
      <c r="B226" s="23" t="str">
        <f>SUBSTITUTE(SUBSTITUTE(SUBSTITUTE(SUBSTITUTE(SUBSTITUTE(SUBSTITUTE(SUBSTITUTE(SUBSTITUTE(LOWER(テーブル1[[#This Row],[Name]])," ","-"),".","-"),"&amp;","-"),"_","-"),"・","-"),"=","-"),"--","-"),"--","-")</f>
        <v>maruaria</v>
      </c>
      <c r="C226" s="24" t="s">
        <v>1607</v>
      </c>
      <c r="D226" s="23" t="s">
        <v>1608</v>
      </c>
      <c r="E226" s="23" t="s">
        <v>1609</v>
      </c>
      <c r="F226" s="15" t="s">
        <v>1610</v>
      </c>
      <c r="G226" s="23" t="s">
        <v>1611</v>
      </c>
      <c r="M226" s="1" t="s">
        <v>1589</v>
      </c>
      <c r="N226" s="1" t="s">
        <v>1443</v>
      </c>
      <c r="O226" s="24" t="str">
        <f>テーブル1[[#This Row],[リンク]]&amp;テーブル1[[#This Row],[描画状況]]</f>
        <v>https://bowlroll.net/user/946776済</v>
      </c>
      <c r="P226" s="17">
        <f>1-(COUNTIF(O:O,_xlfn.TEXTJOIN(",",TRUE,テーブル1[[#This Row],[リンク]],テーブル1[[#This Row],[描画状況]]))/COUNTIF(F:F,テーブル1[[#This Row],[リンク]]))</f>
        <v>1</v>
      </c>
      <c r="Q226" s="16" t="str">
        <f ca="1">IFERROR(IF(テーブル1[[#This Row],[描画状況]]="",RAND()+(テーブル1[[#This Row],[列2]]*100),""),RAND())</f>
        <v/>
      </c>
      <c r="R226" s="1" t="s">
        <v>1193</v>
      </c>
      <c r="S226" s="24" t="str">
        <f ca="1">IF(AND(テーブル1[[#This Row],[描画状況]]="済",テーブル1[[#This Row],[投稿状況]]=""),RAND(),"")</f>
        <v/>
      </c>
      <c r="T226" s="23" t="str">
        <f>"|&amp;image("&amp;テーブル1[[#This Row],[画像]]&amp;".png,width=100,height=100)"</f>
        <v>|&amp;image(maruaria.png,width=100,height=100)</v>
      </c>
      <c r="U226" s="23" t="str">
        <f>"|MIDDLE:​"&amp;テーブル1[[#This Row],[名前]]</f>
        <v>|MIDDLE:​マルアリア</v>
      </c>
      <c r="V226" s="23" t="str">
        <f>"|MIDDLE:​"&amp;テーブル1[[#This Row],[なまえ]]</f>
        <v>|MIDDLE:​あるまりあ</v>
      </c>
      <c r="W226" s="23" t="str">
        <f>"|MIDDLE:​"&amp;テーブル1[[#This Row],[Name]]</f>
        <v>|MIDDLE:​Maruaria</v>
      </c>
      <c r="X226" s="23" t="str">
        <f>"|MIDDLE:​&amp;link(配布所はこちら){​"&amp;テーブル1[[#This Row],[リンク]]&amp;"}|"</f>
        <v>|MIDDLE:​&amp;link(配布所はこちら){​https://bowlroll.net/user/946776}|</v>
      </c>
    </row>
    <row r="227" spans="1:24" ht="20.149999999999999" customHeight="1" x14ac:dyDescent="0.35">
      <c r="A227" s="20">
        <v>226</v>
      </c>
      <c r="B227" s="23" t="str">
        <f>SUBSTITUTE(SUBSTITUTE(SUBSTITUTE(SUBSTITUTE(SUBSTITUTE(SUBSTITUTE(SUBSTITUTE(SUBSTITUTE(LOWER(テーブル1[[#This Row],[Name]])," ","-"),".","-"),"&amp;","-"),"_","-"),"・","-"),"=","-"),"--","-"),"--","-")</f>
        <v>sanity-doyou</v>
      </c>
      <c r="C227" s="24" t="s">
        <v>1612</v>
      </c>
      <c r="D227" s="23" t="s">
        <v>1613</v>
      </c>
      <c r="E227" s="23" t="s">
        <v>1614</v>
      </c>
      <c r="F227" s="15" t="s">
        <v>1610</v>
      </c>
      <c r="G227" s="23" t="s">
        <v>1615</v>
      </c>
      <c r="M227" s="1" t="s">
        <v>1589</v>
      </c>
      <c r="N227" s="1" t="s">
        <v>1443</v>
      </c>
      <c r="O227" s="24" t="str">
        <f>テーブル1[[#This Row],[リンク]]&amp;テーブル1[[#This Row],[描画状況]]</f>
        <v>https://bowlroll.net/user/946776済</v>
      </c>
      <c r="P227" s="17">
        <f>1-(COUNTIF(O:O,_xlfn.TEXTJOIN(",",TRUE,テーブル1[[#This Row],[リンク]],テーブル1[[#This Row],[描画状況]]))/COUNTIF(F:F,テーブル1[[#This Row],[リンク]]))</f>
        <v>1</v>
      </c>
      <c r="Q227" s="16" t="str">
        <f ca="1">IFERROR(IF(テーブル1[[#This Row],[描画状況]]="",RAND()+(テーブル1[[#This Row],[列2]]*100),""),RAND())</f>
        <v/>
      </c>
      <c r="R227" s="1" t="s">
        <v>1193</v>
      </c>
      <c r="S227" s="24" t="str">
        <f ca="1">IF(AND(テーブル1[[#This Row],[描画状況]]="済",テーブル1[[#This Row],[投稿状況]]=""),RAND(),"")</f>
        <v/>
      </c>
      <c r="T227" s="23" t="str">
        <f>"|&amp;image("&amp;テーブル1[[#This Row],[画像]]&amp;".png,width=100,height=100)"</f>
        <v>|&amp;image(sanity-doyou.png,width=100,height=100)</v>
      </c>
      <c r="U227" s="23" t="str">
        <f>"|MIDDLE:​"&amp;テーブル1[[#This Row],[名前]]</f>
        <v>|MIDDLE:​サニティ・ドゥーユー</v>
      </c>
      <c r="V227" s="23" t="str">
        <f>"|MIDDLE:​"&amp;テーブル1[[#This Row],[なまえ]]</f>
        <v>|MIDDLE:​さにてぃ・どぅーゆー</v>
      </c>
      <c r="W227" s="23" t="str">
        <f>"|MIDDLE:​"&amp;テーブル1[[#This Row],[Name]]</f>
        <v>|MIDDLE:​Sanity Doyou</v>
      </c>
      <c r="X227" s="23" t="str">
        <f>"|MIDDLE:​&amp;link(配布所はこちら){​"&amp;テーブル1[[#This Row],[リンク]]&amp;"}|"</f>
        <v>|MIDDLE:​&amp;link(配布所はこちら){​https://bowlroll.net/user/946776}|</v>
      </c>
    </row>
    <row r="228" spans="1:24" ht="20.149999999999999" customHeight="1" x14ac:dyDescent="0.35">
      <c r="A228" s="20">
        <v>227</v>
      </c>
      <c r="B228" s="23" t="str">
        <f>SUBSTITUTE(SUBSTITUTE(SUBSTITUTE(SUBSTITUTE(SUBSTITUTE(SUBSTITUTE(SUBSTITUTE(SUBSTITUTE(LOWER(テーブル1[[#This Row],[Name]])," ","-"),".","-"),"&amp;","-"),"_","-"),"・","-"),"=","-"),"--","-"),"--","-")</f>
        <v>iruya-rui</v>
      </c>
      <c r="C228" s="24" t="s">
        <v>1717</v>
      </c>
      <c r="D228" s="23" t="s">
        <v>1718</v>
      </c>
      <c r="E228" s="23" t="s">
        <v>1719</v>
      </c>
      <c r="F228" s="15" t="s">
        <v>1720</v>
      </c>
      <c r="G228" s="23" t="s">
        <v>1721</v>
      </c>
      <c r="H228" s="23" t="s">
        <v>1626</v>
      </c>
      <c r="I228" s="23" t="s">
        <v>1649</v>
      </c>
      <c r="J228" s="23" t="s">
        <v>1722</v>
      </c>
      <c r="K228" s="23" t="s">
        <v>1723</v>
      </c>
      <c r="L228" s="23" t="s">
        <v>1737</v>
      </c>
      <c r="M228" s="1" t="s">
        <v>1589</v>
      </c>
      <c r="N228" s="1" t="s">
        <v>1443</v>
      </c>
      <c r="O228" s="24" t="str">
        <f>テーブル1[[#This Row],[リンク]]&amp;テーブル1[[#This Row],[描画状況]]</f>
        <v>https://lclcofficial6565.wixsite.com/lclc済</v>
      </c>
      <c r="P228" s="17">
        <f>1-(COUNTIF(O:O,_xlfn.TEXTJOIN(",",TRUE,テーブル1[[#This Row],[リンク]],テーブル1[[#This Row],[描画状況]]))/COUNTIF(F:F,テーブル1[[#This Row],[リンク]]))</f>
        <v>1</v>
      </c>
      <c r="Q228" s="16" t="str">
        <f ca="1">IFERROR(IF(テーブル1[[#This Row],[描画状況]]="",RAND()+(テーブル1[[#This Row],[列2]]*100),""),RAND())</f>
        <v/>
      </c>
      <c r="R228" s="1" t="s">
        <v>1193</v>
      </c>
      <c r="S228" s="24" t="str">
        <f ca="1">IF(AND(テーブル1[[#This Row],[描画状況]]="済",テーブル1[[#This Row],[投稿状況]]=""),RAND(),"")</f>
        <v/>
      </c>
      <c r="T228" s="23" t="str">
        <f>"|&amp;image("&amp;テーブル1[[#This Row],[画像]]&amp;".png,width=100,height=100)"</f>
        <v>|&amp;image(iruya-rui.png,width=100,height=100)</v>
      </c>
      <c r="U228" s="23" t="str">
        <f>"|MIDDLE:​"&amp;テーブル1[[#This Row],[名前]]</f>
        <v>|MIDDLE:​いるやるい</v>
      </c>
      <c r="V228" s="23" t="str">
        <f>"|MIDDLE:​"&amp;テーブル1[[#This Row],[なまえ]]</f>
        <v>|MIDDLE:​いるや るい</v>
      </c>
      <c r="W228" s="23" t="str">
        <f>"|MIDDLE:​"&amp;テーブル1[[#This Row],[Name]]</f>
        <v>|MIDDLE:​Iruya Rui</v>
      </c>
      <c r="X228" s="23" t="str">
        <f>"|MIDDLE:​&amp;link(配布所はこちら){​"&amp;テーブル1[[#This Row],[リンク]]&amp;"}|"</f>
        <v>|MIDDLE:​&amp;link(配布所はこちら){​https://lclcofficial6565.wixsite.com/lclc}|</v>
      </c>
    </row>
    <row r="229" spans="1:24" ht="20.149999999999999" customHeight="1" x14ac:dyDescent="0.35">
      <c r="A229" s="20">
        <v>228</v>
      </c>
      <c r="B229" s="23" t="str">
        <f>SUBSTITUTE(SUBSTITUTE(SUBSTITUTE(SUBSTITUTE(SUBSTITUTE(SUBSTITUTE(SUBSTITUTE(SUBSTITUTE(LOWER(テーブル1[[#This Row],[Name]])," ","-"),".","-"),"&amp;","-"),"_","-"),"・","-"),"=","-"),"--","-"),"--","-")</f>
        <v>​hagane-meta</v>
      </c>
      <c r="C229" s="24" t="s">
        <v>1724</v>
      </c>
      <c r="D229" s="23" t="s">
        <v>1725</v>
      </c>
      <c r="E229" s="23" t="s">
        <v>1726</v>
      </c>
      <c r="F229" s="3" t="s">
        <v>1727</v>
      </c>
      <c r="G229" s="23" t="s">
        <v>1728</v>
      </c>
      <c r="H229" s="23" t="s">
        <v>1626</v>
      </c>
      <c r="I229" s="23" t="s">
        <v>1636</v>
      </c>
      <c r="K229" s="23" t="s">
        <v>1729</v>
      </c>
      <c r="M229" s="1" t="s">
        <v>1730</v>
      </c>
      <c r="N229" s="1" t="s">
        <v>1443</v>
      </c>
      <c r="O229" s="24" t="str">
        <f>テーブル1[[#This Row],[リンク]]&amp;テーブル1[[#This Row],[描画状況]]</f>
        <v>​https://kagerou009.hatenablog.com済</v>
      </c>
      <c r="P229" s="17">
        <f>1-(COUNTIF(O:O,_xlfn.TEXTJOIN(",",TRUE,テーブル1[[#This Row],[リンク]],テーブル1[[#This Row],[描画状況]]))/COUNTIF(F:F,テーブル1[[#This Row],[リンク]]))</f>
        <v>1</v>
      </c>
      <c r="Q229" s="16" t="str">
        <f ca="1">IFERROR(IF(テーブル1[[#This Row],[描画状況]]="",RAND()+(テーブル1[[#This Row],[列2]]*100),""),RAND())</f>
        <v/>
      </c>
      <c r="R229" s="1" t="s">
        <v>1193</v>
      </c>
      <c r="S229" s="24" t="str">
        <f ca="1">IF(AND(テーブル1[[#This Row],[描画状況]]="済",テーブル1[[#This Row],[投稿状況]]=""),RAND(),"")</f>
        <v/>
      </c>
      <c r="T229" s="23" t="str">
        <f>"|&amp;image("&amp;テーブル1[[#This Row],[画像]]&amp;".png,width=100,height=100)"</f>
        <v>|&amp;image(​hagane-meta.png,width=100,height=100)</v>
      </c>
      <c r="U229" s="23" t="str">
        <f>"|MIDDLE:​"&amp;テーブル1[[#This Row],[名前]]</f>
        <v>|MIDDLE:​刃華音メタ</v>
      </c>
      <c r="V229" s="23" t="str">
        <f>"|MIDDLE:​"&amp;テーブル1[[#This Row],[なまえ]]</f>
        <v>|MIDDLE:​はがね めた</v>
      </c>
      <c r="W229" s="23" t="str">
        <f>"|MIDDLE:​"&amp;テーブル1[[#This Row],[Name]]</f>
        <v>|MIDDLE:​​Hagane Meta</v>
      </c>
      <c r="X229" s="23" t="str">
        <f>"|MIDDLE:​&amp;link(配布所はこちら){​"&amp;テーブル1[[#This Row],[リンク]]&amp;"}|"</f>
        <v>|MIDDLE:​&amp;link(配布所はこちら){​​https://kagerou009.hatenablog.com}|</v>
      </c>
    </row>
    <row r="230" spans="1:24" ht="20.149999999999999" customHeight="1" x14ac:dyDescent="0.35">
      <c r="A230" s="20">
        <v>229</v>
      </c>
      <c r="B230" s="23" t="str">
        <f>SUBSTITUTE(SUBSTITUTE(SUBSTITUTE(SUBSTITUTE(SUBSTITUTE(SUBSTITUTE(SUBSTITUTE(SUBSTITUTE(LOWER(テーブル1[[#This Row],[Name]])," ","-"),".","-"),"&amp;","-"),"_","-"),"・","-"),"=","-"),"--","-"),"--","-")</f>
        <v>the-bard-euphoria</v>
      </c>
      <c r="C230" s="24" t="s">
        <v>1742</v>
      </c>
      <c r="D230" s="23" t="s">
        <v>1743</v>
      </c>
      <c r="E230" s="23" t="s">
        <v>1744</v>
      </c>
      <c r="F230" s="30" t="s">
        <v>1750</v>
      </c>
      <c r="G230" s="23" t="s">
        <v>1746</v>
      </c>
      <c r="H230" s="23" t="s">
        <v>1662</v>
      </c>
      <c r="I230" s="23" t="s">
        <v>1636</v>
      </c>
      <c r="J230" s="23" t="s">
        <v>1745</v>
      </c>
      <c r="M230" s="1" t="s">
        <v>1589</v>
      </c>
      <c r="N230" s="1" t="s">
        <v>1443</v>
      </c>
      <c r="O230" s="24" t="str">
        <f>テーブル1[[#This Row],[リンク]]&amp;テーブル1[[#This Row],[描画状況]]</f>
        <v>https://pessieuph.wixsite.com/meusycaseuphoria済</v>
      </c>
      <c r="P230" s="17">
        <f>1-(COUNTIF(O:O,_xlfn.TEXTJOIN(",",TRUE,テーブル1[[#This Row],[リンク]],テーブル1[[#This Row],[描画状況]]))/COUNTIF(F:F,テーブル1[[#This Row],[リンク]]))</f>
        <v>1</v>
      </c>
      <c r="Q230" s="16" t="str">
        <f ca="1">IFERROR(IF(テーブル1[[#This Row],[描画状況]]="",RAND()+(テーブル1[[#This Row],[列2]]*100),""),RAND())</f>
        <v/>
      </c>
      <c r="R230" s="1" t="s">
        <v>1193</v>
      </c>
      <c r="S230" s="24" t="str">
        <f ca="1">IF(AND(テーブル1[[#This Row],[描画状況]]="済",テーブル1[[#This Row],[投稿状況]]=""),RAND(),"")</f>
        <v/>
      </c>
      <c r="T230" s="23" t="str">
        <f>"|&amp;image("&amp;テーブル1[[#This Row],[画像]]&amp;".png,width=100,height=100)"</f>
        <v>|&amp;image(the-bard-euphoria.png,width=100,height=100)</v>
      </c>
      <c r="U230" s="23" t="str">
        <f>"|MIDDLE:​"&amp;テーブル1[[#This Row],[名前]]</f>
        <v>|MIDDLE:​さすらいのユーフォリア</v>
      </c>
      <c r="V230" s="23" t="str">
        <f>"|MIDDLE:​"&amp;テーブル1[[#This Row],[なまえ]]</f>
        <v>|MIDDLE:​さすらいのゆーふぉりあ</v>
      </c>
      <c r="W230" s="23" t="str">
        <f>"|MIDDLE:​"&amp;テーブル1[[#This Row],[Name]]</f>
        <v>|MIDDLE:​The Bard Euphoria</v>
      </c>
      <c r="X230" s="23" t="str">
        <f>"|MIDDLE:​&amp;link(配布所はこちら){​"&amp;テーブル1[[#This Row],[リンク]]&amp;"}|"</f>
        <v>|MIDDLE:​&amp;link(配布所はこちら){​https://pessieuph.wixsite.com/meusycaseuphoria}|</v>
      </c>
    </row>
    <row r="231" spans="1:24" ht="20.149999999999999" customHeight="1" x14ac:dyDescent="0.35">
      <c r="A231" s="20">
        <v>230</v>
      </c>
      <c r="B231" s="23" t="str">
        <f>SUBSTITUTE(SUBSTITUTE(SUBSTITUTE(SUBSTITUTE(SUBSTITUTE(SUBSTITUTE(SUBSTITUTE(SUBSTITUTE(LOWER(テーブル1[[#This Row],[Name]])," ","-"),".","-"),"&amp;","-"),"_","-"),"・","-"),"=","-"),"--","-"),"--","-")</f>
        <v>arujine-sarasa</v>
      </c>
      <c r="C231" s="24" t="s">
        <v>1751</v>
      </c>
      <c r="D231" s="23" t="s">
        <v>1752</v>
      </c>
      <c r="E231" s="23" t="s">
        <v>1753</v>
      </c>
      <c r="F231" s="30" t="s">
        <v>1754</v>
      </c>
      <c r="G231" s="23" t="s">
        <v>1755</v>
      </c>
      <c r="H231" s="23" t="s">
        <v>1627</v>
      </c>
      <c r="I231" s="23" t="s">
        <v>1756</v>
      </c>
      <c r="K231" s="23" t="s">
        <v>1758</v>
      </c>
      <c r="L231" s="23" t="s">
        <v>1757</v>
      </c>
      <c r="M231" s="1" t="s">
        <v>1589</v>
      </c>
      <c r="N231" s="1" t="s">
        <v>1443</v>
      </c>
      <c r="O231" s="24" t="str">
        <f>テーブル1[[#This Row],[リンク]]&amp;テーブル1[[#This Row],[描画状況]]</f>
        <v>https://arujinesarasa.wixsite.com/official済</v>
      </c>
      <c r="P231" s="17">
        <f>1-(COUNTIF(O:O,_xlfn.TEXTJOIN(",",TRUE,テーブル1[[#This Row],[リンク]],テーブル1[[#This Row],[描画状況]]))/COUNTIF(F:F,テーブル1[[#This Row],[リンク]]))</f>
        <v>1</v>
      </c>
      <c r="Q231" s="16" t="str">
        <f ca="1">IFERROR(IF(テーブル1[[#This Row],[描画状況]]="",RAND()+(テーブル1[[#This Row],[列2]]*100),""),RAND())</f>
        <v/>
      </c>
      <c r="R231" s="1" t="s">
        <v>1193</v>
      </c>
      <c r="S231" s="24" t="str">
        <f ca="1">IF(AND(テーブル1[[#This Row],[描画状況]]="済",テーブル1[[#This Row],[投稿状況]]=""),RAND(),"")</f>
        <v/>
      </c>
      <c r="T231" s="23" t="str">
        <f>"|&amp;image("&amp;テーブル1[[#This Row],[画像]]&amp;".png,width=100,height=100)"</f>
        <v>|&amp;image(arujine-sarasa.png,width=100,height=100)</v>
      </c>
      <c r="U231" s="23" t="str">
        <f>"|MIDDLE:​"&amp;テーブル1[[#This Row],[名前]]</f>
        <v>|MIDDLE:​主音サラサ</v>
      </c>
      <c r="V231" s="23" t="str">
        <f>"|MIDDLE:​"&amp;テーブル1[[#This Row],[なまえ]]</f>
        <v>|MIDDLE:​あるじね さらさ</v>
      </c>
      <c r="W231" s="23" t="str">
        <f>"|MIDDLE:​"&amp;テーブル1[[#This Row],[Name]]</f>
        <v>|MIDDLE:​Arujine Sarasa</v>
      </c>
      <c r="X231" s="23" t="str">
        <f>"|MIDDLE:​&amp;link(配布所はこちら){​"&amp;テーブル1[[#This Row],[リンク]]&amp;"}|"</f>
        <v>|MIDDLE:​&amp;link(配布所はこちら){​https://arujinesarasa.wixsite.com/official}|</v>
      </c>
    </row>
    <row r="232" spans="1:24" ht="20.149999999999999" customHeight="1" x14ac:dyDescent="0.35">
      <c r="A232" s="20">
        <v>231</v>
      </c>
      <c r="B232" s="23" t="str">
        <f>SUBSTITUTE(SUBSTITUTE(SUBSTITUTE(SUBSTITUTE(SUBSTITUTE(SUBSTITUTE(SUBSTITUTE(SUBSTITUTE(LOWER(テーブル1[[#This Row],[Name]])," ","-"),".","-"),"&amp;","-"),"_","-"),"・","-"),"=","-"),"--","-"),"--","-")</f>
        <v>amaga-eru</v>
      </c>
      <c r="C232" s="24" t="s">
        <v>1762</v>
      </c>
      <c r="D232" s="23" t="s">
        <v>1763</v>
      </c>
      <c r="E232" s="23" t="s">
        <v>1764</v>
      </c>
      <c r="F232" s="30" t="s">
        <v>1765</v>
      </c>
      <c r="G232" s="23" t="s">
        <v>1766</v>
      </c>
      <c r="H232" s="23" t="s">
        <v>1626</v>
      </c>
      <c r="I232" s="23" t="s">
        <v>1636</v>
      </c>
      <c r="K232" s="23" t="s">
        <v>1767</v>
      </c>
      <c r="M232" s="1" t="s">
        <v>1589</v>
      </c>
      <c r="N232" s="1" t="s">
        <v>1443</v>
      </c>
      <c r="O232" s="24" t="str">
        <f>テーブル1[[#This Row],[リンク]]&amp;テーブル1[[#This Row],[描画状況]]</f>
        <v>https://www.mizuiro.info/amagaelu済</v>
      </c>
      <c r="P232" s="17">
        <f>1-(COUNTIF(O:O,_xlfn.TEXTJOIN(",",TRUE,テーブル1[[#This Row],[リンク]],テーブル1[[#This Row],[描画状況]]))/COUNTIF(F:F,テーブル1[[#This Row],[リンク]]))</f>
        <v>1</v>
      </c>
      <c r="Q232" s="16" t="str">
        <f ca="1">IFERROR(IF(テーブル1[[#This Row],[描画状況]]="",RAND()+(テーブル1[[#This Row],[列2]]*100),""),RAND())</f>
        <v/>
      </c>
      <c r="R232" s="1" t="s">
        <v>1193</v>
      </c>
      <c r="S232" s="24" t="str">
        <f ca="1">IF(AND(テーブル1[[#This Row],[描画状況]]="済",テーブル1[[#This Row],[投稿状況]]=""),RAND(),"")</f>
        <v/>
      </c>
      <c r="T232" s="23" t="str">
        <f>"|&amp;image("&amp;テーブル1[[#This Row],[画像]]&amp;".png,width=100,height=100)"</f>
        <v>|&amp;image(amaga-eru.png,width=100,height=100)</v>
      </c>
      <c r="U232" s="23" t="str">
        <f>"|MIDDLE:​"&amp;テーブル1[[#This Row],[名前]]</f>
        <v>|MIDDLE:​雨歌エル</v>
      </c>
      <c r="V232" s="23" t="str">
        <f>"|MIDDLE:​"&amp;テーブル1[[#This Row],[なまえ]]</f>
        <v>|MIDDLE:​あまが える</v>
      </c>
      <c r="W232" s="23" t="str">
        <f>"|MIDDLE:​"&amp;テーブル1[[#This Row],[Name]]</f>
        <v>|MIDDLE:​Amaga Eru</v>
      </c>
      <c r="X232" s="23" t="str">
        <f>"|MIDDLE:​&amp;link(配布所はこちら){​"&amp;テーブル1[[#This Row],[リンク]]&amp;"}|"</f>
        <v>|MIDDLE:​&amp;link(配布所はこちら){​https://www.mizuiro.info/amagaelu}|</v>
      </c>
    </row>
    <row r="233" spans="1:24" ht="20.149999999999999" customHeight="1" x14ac:dyDescent="0.35">
      <c r="A233" s="20">
        <v>232</v>
      </c>
      <c r="B233" s="32" t="str">
        <f>SUBSTITUTE(SUBSTITUTE(SUBSTITUTE(SUBSTITUTE(SUBSTITUTE(SUBSTITUTE(SUBSTITUTE(SUBSTITUTE(LOWER(テーブル1[[#This Row],[Name]])," ","-"),".","-"),"&amp;","-"),"_","-"),"・","-"),"=","-"),"--","-"),"--","-")</f>
        <v>narukami-kyou</v>
      </c>
      <c r="C233" s="24" t="s">
        <v>1768</v>
      </c>
      <c r="D233" s="23" t="s">
        <v>1769</v>
      </c>
      <c r="E233" s="23" t="s">
        <v>1770</v>
      </c>
      <c r="F233" s="30" t="s">
        <v>1771</v>
      </c>
      <c r="G233" s="23" t="str">
        <f>テーブル1[[#This Row],[名前]]&amp;"(UTAU)"</f>
        <v>鳴上キョウ(UTAU)</v>
      </c>
      <c r="H233" s="23" t="s">
        <v>1627</v>
      </c>
      <c r="I233" s="23" t="s">
        <v>1636</v>
      </c>
      <c r="M233" s="1" t="s">
        <v>1589</v>
      </c>
      <c r="N233" s="1" t="s">
        <v>1443</v>
      </c>
      <c r="O233" s="33" t="str">
        <f>テーブル1[[#This Row],[リンク]]&amp;テーブル1[[#This Row],[描画状況]]</f>
        <v>https://sites.google.com/view/arcobaleno-utau/home済</v>
      </c>
      <c r="P233" s="17">
        <f>1-(COUNTIF(O:O,_xlfn.TEXTJOIN(",",TRUE,テーブル1[[#This Row],[リンク]],テーブル1[[#This Row],[描画状況]]))/COUNTIF(F:F,テーブル1[[#This Row],[リンク]]))</f>
        <v>1</v>
      </c>
      <c r="Q233" s="16" t="str">
        <f ca="1">IFERROR(IF(テーブル1[[#This Row],[描画状況]]="",RAND()+(テーブル1[[#This Row],[列2]]*100),""),RAND())</f>
        <v/>
      </c>
      <c r="R233" s="1" t="s">
        <v>1193</v>
      </c>
      <c r="S233" s="33" t="str">
        <f ca="1">IF(AND(テーブル1[[#This Row],[描画状況]]="済",テーブル1[[#This Row],[投稿状況]]=""),RAND(),"")</f>
        <v/>
      </c>
      <c r="T233" s="32" t="str">
        <f>"|&amp;image("&amp;テーブル1[[#This Row],[画像]]&amp;".png,width=100,height=100)"</f>
        <v>|&amp;image(narukami-kyou.png,width=100,height=100)</v>
      </c>
      <c r="U233" s="32" t="str">
        <f>"|MIDDLE:​"&amp;テーブル1[[#This Row],[名前]]</f>
        <v>|MIDDLE:​鳴上キョウ</v>
      </c>
      <c r="V233" s="32" t="str">
        <f>"|MIDDLE:​"&amp;テーブル1[[#This Row],[なまえ]]</f>
        <v>|MIDDLE:​なるかみ きょう</v>
      </c>
      <c r="W233" s="32" t="str">
        <f>"|MIDDLE:​"&amp;テーブル1[[#This Row],[Name]]</f>
        <v>|MIDDLE:​Narukami Kyou</v>
      </c>
      <c r="X233" s="32" t="str">
        <f>"|MIDDLE:​&amp;link(配布所はこちら){​"&amp;テーブル1[[#This Row],[リンク]]&amp;"}|"</f>
        <v>|MIDDLE:​&amp;link(配布所はこちら){​https://sites.google.com/view/arcobaleno-utau/home}|</v>
      </c>
    </row>
    <row r="234" spans="1:24" ht="20.149999999999999" customHeight="1" x14ac:dyDescent="0.35">
      <c r="B234" s="23" t="str">
        <f>SUBSTITUTE(SUBSTITUTE(SUBSTITUTE(SUBSTITUTE(SUBSTITUTE(SUBSTITUTE(SUBSTITUTE(SUBSTITUTE(LOWER(テーブル1[[#This Row],[Name]])," ","-"),".","-"),"&amp;","-"),"_","-"),"・","-"),"=","-"),"--","-"),"--","-")</f>
        <v>aira</v>
      </c>
      <c r="C234" s="24" t="s">
        <v>1747</v>
      </c>
      <c r="D234" s="23" t="s">
        <v>1748</v>
      </c>
      <c r="E234" s="23" t="s">
        <v>1749</v>
      </c>
      <c r="F234" s="3" t="s">
        <v>1750</v>
      </c>
      <c r="G234" s="23" t="s">
        <v>1746</v>
      </c>
      <c r="H234" s="23" t="s">
        <v>1626</v>
      </c>
      <c r="I234" s="23" t="s">
        <v>1636</v>
      </c>
      <c r="M234" s="1" t="s">
        <v>1589</v>
      </c>
      <c r="O234" s="24" t="str">
        <f>テーブル1[[#This Row],[リンク]]&amp;テーブル1[[#This Row],[描画状況]]</f>
        <v>https://pessieuph.wixsite.com/meusycaseuphoria</v>
      </c>
      <c r="P234" s="17">
        <f>1-(COUNTIF(O:O,_xlfn.TEXTJOIN(",",TRUE,テーブル1[[#This Row],[リンク]],テーブル1[[#This Row],[描画状況]]))/COUNTIF(F:F,テーブル1[[#This Row],[リンク]]))</f>
        <v>0.5</v>
      </c>
      <c r="Q234" s="16">
        <f ca="1">IFERROR(IF(テーブル1[[#This Row],[描画状況]]="",RAND()+(テーブル1[[#This Row],[列2]]*100),""),RAND())</f>
        <v>50.826211411025888</v>
      </c>
      <c r="S234" s="24" t="str">
        <f ca="1">IF(AND(テーブル1[[#This Row],[描画状況]]="済",テーブル1[[#This Row],[投稿状況]]=""),RAND(),"")</f>
        <v/>
      </c>
      <c r="T234" s="23" t="str">
        <f>"|&amp;image("&amp;テーブル1[[#This Row],[画像]]&amp;".png,width=100,height=100)"</f>
        <v>|&amp;image(aira.png,width=100,height=100)</v>
      </c>
      <c r="U234" s="23" t="str">
        <f>"|MIDDLE:​"&amp;テーブル1[[#This Row],[名前]]</f>
        <v>|MIDDLE:​アイラ</v>
      </c>
      <c r="V234" s="23" t="str">
        <f>"|MIDDLE:​"&amp;テーブル1[[#This Row],[なまえ]]</f>
        <v>|MIDDLE:​あいら</v>
      </c>
      <c r="W234" s="23" t="str">
        <f>"|MIDDLE:​"&amp;テーブル1[[#This Row],[Name]]</f>
        <v>|MIDDLE:​Aira</v>
      </c>
      <c r="X234" s="23" t="str">
        <f>"|MIDDLE:​&amp;link(配布所はこちら){​"&amp;テーブル1[[#This Row],[リンク]]&amp;"}|"</f>
        <v>|MIDDLE:​&amp;link(配布所はこちら){​https://pessieuph.wixsite.com/meusycaseuphoria}|</v>
      </c>
    </row>
    <row r="235" spans="1:24" ht="20.149999999999999" customHeight="1" x14ac:dyDescent="0.35">
      <c r="B235" s="23" t="str">
        <f>SUBSTITUTE(SUBSTITUTE(SUBSTITUTE(SUBSTITUTE(SUBSTITUTE(SUBSTITUTE(SUBSTITUTE(SUBSTITUTE(LOWER(テーブル1[[#This Row],[Name]])," ","-"),".","-"),"&amp;","-"),"_","-"),"・","-"),"=","-"),"--","-"),"--","-")</f>
        <v>kagetsuki-reine</v>
      </c>
      <c r="C235" s="24" t="s">
        <v>1576</v>
      </c>
      <c r="D235" s="23" t="s">
        <v>1581</v>
      </c>
      <c r="E235" s="23" t="s">
        <v>1580</v>
      </c>
      <c r="F235" s="2" t="s">
        <v>1537</v>
      </c>
      <c r="G235" s="23" t="s">
        <v>414</v>
      </c>
      <c r="H235" s="23" t="s">
        <v>1626</v>
      </c>
      <c r="I235" s="23" t="s">
        <v>1649</v>
      </c>
      <c r="L235" s="23" t="s">
        <v>1672</v>
      </c>
      <c r="M235" s="1" t="s">
        <v>1517</v>
      </c>
      <c r="O235" s="24" t="str">
        <f>テーブル1[[#This Row],[リンク]]&amp;テーブル1[[#This Row],[描画状況]]</f>
        <v>https://vividseekers.utau.sorairomarch.com</v>
      </c>
      <c r="P235" s="17">
        <f>1-(COUNTIF(O:O,_xlfn.TEXTJOIN(",",TRUE,テーブル1[[#This Row],[リンク]],テーブル1[[#This Row],[描画状況]]))/COUNTIF(F:F,テーブル1[[#This Row],[リンク]]))</f>
        <v>0.6</v>
      </c>
      <c r="Q235" s="16">
        <f ca="1">IFERROR(IF(テーブル1[[#This Row],[描画状況]]="",RAND()+(テーブル1[[#This Row],[列2]]*100),""),RAND())</f>
        <v>60.472476412969158</v>
      </c>
      <c r="S235" s="24" t="str">
        <f ca="1">IF(AND(テーブル1[[#This Row],[描画状況]]="済",テーブル1[[#This Row],[投稿状況]]=""),RAND(),"")</f>
        <v/>
      </c>
      <c r="T235" s="23" t="str">
        <f>"|&amp;image("&amp;テーブル1[[#This Row],[画像]]&amp;".png,width=100,height=100)"</f>
        <v>|&amp;image(kagetsuki-reine.png,width=100,height=100)</v>
      </c>
      <c r="U235" s="23" t="str">
        <f>"|MIDDLE:​"&amp;テーブル1[[#This Row],[名前]]</f>
        <v>|MIDDLE:​影月澪音</v>
      </c>
      <c r="V235" s="23" t="str">
        <f>"|MIDDLE:​"&amp;テーブル1[[#This Row],[なまえ]]</f>
        <v>|MIDDLE:​かげつき れいね</v>
      </c>
      <c r="W235" s="23" t="str">
        <f>"|MIDDLE:​"&amp;テーブル1[[#This Row],[Name]]</f>
        <v>|MIDDLE:​Kagetsuki Reine</v>
      </c>
      <c r="X235" s="23" t="str">
        <f>"|MIDDLE:​&amp;link(配布所はこちら){​"&amp;テーブル1[[#This Row],[リンク]]&amp;"}|"</f>
        <v>|MIDDLE:​&amp;link(配布所はこちら){​https://vividseekers.utau.sorairomarch.com}|</v>
      </c>
    </row>
    <row r="236" spans="1:24" ht="20.149999999999999" customHeight="1" x14ac:dyDescent="0.35">
      <c r="B236" s="23" t="str">
        <f>SUBSTITUTE(SUBSTITUTE(SUBSTITUTE(SUBSTITUTE(SUBSTITUTE(SUBSTITUTE(SUBSTITUTE(SUBSTITUTE(LOWER(テーブル1[[#This Row],[Name]])," ","-"),".","-"),"&amp;","-"),"_","-"),"・","-"),"=","-"),"--","-"),"--","-")</f>
        <v>akatsuki-haruki</v>
      </c>
      <c r="C236" s="24" t="s">
        <v>1577</v>
      </c>
      <c r="D236" s="23" t="s">
        <v>1583</v>
      </c>
      <c r="E236" s="23" t="s">
        <v>1582</v>
      </c>
      <c r="F236" s="2" t="s">
        <v>1537</v>
      </c>
      <c r="G236" s="23" t="s">
        <v>414</v>
      </c>
      <c r="H236" s="23" t="s">
        <v>1627</v>
      </c>
      <c r="I236" s="23" t="s">
        <v>1649</v>
      </c>
      <c r="M236" s="1" t="s">
        <v>1517</v>
      </c>
      <c r="O236" s="24" t="str">
        <f>テーブル1[[#This Row],[リンク]]&amp;テーブル1[[#This Row],[描画状況]]</f>
        <v>https://vividseekers.utau.sorairomarch.com</v>
      </c>
      <c r="P236" s="17">
        <f>1-(COUNTIF(O:O,_xlfn.TEXTJOIN(",",TRUE,テーブル1[[#This Row],[リンク]],テーブル1[[#This Row],[描画状況]]))/COUNTIF(F:F,テーブル1[[#This Row],[リンク]]))</f>
        <v>0.6</v>
      </c>
      <c r="Q236" s="16">
        <f ca="1">IFERROR(IF(テーブル1[[#This Row],[描画状況]]="",RAND()+(テーブル1[[#This Row],[列2]]*100),""),RAND())</f>
        <v>60.878209004537695</v>
      </c>
      <c r="S236" s="24" t="str">
        <f ca="1">IF(AND(テーブル1[[#This Row],[描画状況]]="済",テーブル1[[#This Row],[投稿状況]]=""),RAND(),"")</f>
        <v/>
      </c>
      <c r="T236" s="23" t="str">
        <f>"|&amp;image("&amp;テーブル1[[#This Row],[画像]]&amp;".png,width=100,height=100)"</f>
        <v>|&amp;image(akatsuki-haruki.png,width=100,height=100)</v>
      </c>
      <c r="U236" s="23" t="str">
        <f>"|MIDDLE:​"&amp;テーブル1[[#This Row],[名前]]</f>
        <v>|MIDDLE:​暁月陽輝</v>
      </c>
      <c r="V236" s="23" t="str">
        <f>"|MIDDLE:​"&amp;テーブル1[[#This Row],[なまえ]]</f>
        <v>|MIDDLE:​あかつき はるき</v>
      </c>
      <c r="W236" s="23" t="str">
        <f>"|MIDDLE:​"&amp;テーブル1[[#This Row],[Name]]</f>
        <v>|MIDDLE:​Akatsuki Haruki</v>
      </c>
      <c r="X236" s="23" t="str">
        <f>"|MIDDLE:​&amp;link(配布所はこちら){​"&amp;テーブル1[[#This Row],[リンク]]&amp;"}|"</f>
        <v>|MIDDLE:​&amp;link(配布所はこちら){​https://vividseekers.utau.sorairomarch.com}|</v>
      </c>
    </row>
    <row r="237" spans="1:24" ht="20.149999999999999" customHeight="1" x14ac:dyDescent="0.35">
      <c r="B237" s="23" t="str">
        <f>SUBSTITUTE(SUBSTITUTE(SUBSTITUTE(SUBSTITUTE(SUBSTITUTE(SUBSTITUTE(SUBSTITUTE(SUBSTITUTE(LOWER(テーブル1[[#This Row],[Name]])," ","-"),".","-"),"&amp;","-"),"_","-"),"・","-"),"=","-"),"--","-"),"--","-")</f>
        <v>asahibashi-nagisa</v>
      </c>
      <c r="C237" s="24" t="s">
        <v>1040</v>
      </c>
      <c r="D237" s="23" t="s">
        <v>1041</v>
      </c>
      <c r="E237" s="23" t="s">
        <v>1042</v>
      </c>
      <c r="F237" s="2" t="s">
        <v>520</v>
      </c>
      <c r="G237" s="23" t="s">
        <v>521</v>
      </c>
      <c r="M237" s="1" t="s">
        <v>1517</v>
      </c>
      <c r="O237" s="24" t="str">
        <f>テーブル1[[#This Row],[リンク]]&amp;テーブル1[[#This Row],[描画状況]]</f>
        <v>https://coyukimachi.wixsite.com/my-site</v>
      </c>
      <c r="P237" s="17">
        <f>1-(COUNTIF(O:O,_xlfn.TEXTJOIN(",",TRUE,テーブル1[[#This Row],[リンク]],テーブル1[[#This Row],[描画状況]]))/COUNTIF(F:F,テーブル1[[#This Row],[リンク]]))</f>
        <v>0</v>
      </c>
      <c r="Q237" s="16">
        <f ca="1">IFERROR(IF(テーブル1[[#This Row],[描画状況]]="",RAND()+(テーブル1[[#This Row],[列2]]*100),""),RAND())</f>
        <v>0.79215445241336035</v>
      </c>
      <c r="S237" s="24" t="str">
        <f ca="1">IF(AND(テーブル1[[#This Row],[描画状況]]="済",テーブル1[[#This Row],[投稿状況]]=""),RAND(),"")</f>
        <v/>
      </c>
      <c r="T237" s="23" t="str">
        <f>"|&amp;image("&amp;テーブル1[[#This Row],[画像]]&amp;".png,width=100,height=100)"</f>
        <v>|&amp;image(asahibashi-nagisa.png,width=100,height=100)</v>
      </c>
      <c r="U237" s="23" t="str">
        <f>"|MIDDLE:​"&amp;テーブル1[[#This Row],[名前]]</f>
        <v>|MIDDLE:​旭橋渚</v>
      </c>
      <c r="V237" s="23" t="str">
        <f>"|MIDDLE:​"&amp;テーブル1[[#This Row],[なまえ]]</f>
        <v>|MIDDLE:​​あさひばし なぎさ</v>
      </c>
      <c r="W237" s="23" t="str">
        <f>"|MIDDLE:​"&amp;テーブル1[[#This Row],[Name]]</f>
        <v>|MIDDLE:​Asahibashi Nagisa</v>
      </c>
      <c r="X237" s="23" t="str">
        <f>"|MIDDLE:​&amp;link(配布所はこちら){​"&amp;テーブル1[[#This Row],[リンク]]&amp;"}|"</f>
        <v>|MIDDLE:​&amp;link(配布所はこちら){​https://coyukimachi.wixsite.com/my-site}|</v>
      </c>
    </row>
    <row r="238" spans="1:24" ht="20.149999999999999" customHeight="1" x14ac:dyDescent="0.35">
      <c r="B238" s="23" t="str">
        <f>SUBSTITUTE(SUBSTITUTE(SUBSTITUTE(SUBSTITUTE(SUBSTITUTE(SUBSTITUTE(SUBSTITUTE(SUBSTITUTE(LOWER(テーブル1[[#This Row],[Name]])," ","-"),".","-"),"&amp;","-"),"_","-"),"・","-"),"=","-"),"--","-"),"--","-")</f>
        <v>aoba-shin</v>
      </c>
      <c r="C238" s="24" t="s">
        <v>766</v>
      </c>
      <c r="D238" s="23" t="s">
        <v>767</v>
      </c>
      <c r="E238" s="23" t="s">
        <v>768</v>
      </c>
      <c r="F238" s="15" t="s">
        <v>756</v>
      </c>
      <c r="G238" s="23" t="s">
        <v>760</v>
      </c>
      <c r="M238" s="1" t="s">
        <v>1517</v>
      </c>
      <c r="O238" s="24" t="str">
        <f>テーブル1[[#This Row],[リンク]]&amp;テーブル1[[#This Row],[描画状況]]</f>
        <v>http://shadeofgreen.web.fc2.com</v>
      </c>
      <c r="P238" s="17">
        <f>1-(COUNTIF(O:O,_xlfn.TEXTJOIN(",",TRUE,テーブル1[[#This Row],[リンク]],テーブル1[[#This Row],[描画状況]]))/COUNTIF(F:F,テーブル1[[#This Row],[リンク]]))</f>
        <v>0.33333333333333337</v>
      </c>
      <c r="Q238" s="16">
        <f ca="1">IFERROR(IF(テーブル1[[#This Row],[描画状況]]="",RAND()+(テーブル1[[#This Row],[列2]]*100),""),RAND())</f>
        <v>33.921634352765828</v>
      </c>
      <c r="S238" s="24" t="str">
        <f ca="1">IF(AND(テーブル1[[#This Row],[描画状況]]="済",テーブル1[[#This Row],[投稿状況]]=""),RAND(),"")</f>
        <v/>
      </c>
      <c r="T238" s="23" t="str">
        <f>"|&amp;image("&amp;テーブル1[[#This Row],[画像]]&amp;".png,width=100,height=100)"</f>
        <v>|&amp;image(aoba-shin.png,width=100,height=100)</v>
      </c>
      <c r="U238" s="23" t="str">
        <f>"|MIDDLE:​"&amp;テーブル1[[#This Row],[名前]]</f>
        <v>|MIDDLE:​青葉シン</v>
      </c>
      <c r="V238" s="23" t="str">
        <f>"|MIDDLE:​"&amp;テーブル1[[#This Row],[なまえ]]</f>
        <v>|MIDDLE:​あおば しん</v>
      </c>
      <c r="W238" s="23" t="str">
        <f>"|MIDDLE:​"&amp;テーブル1[[#This Row],[Name]]</f>
        <v>|MIDDLE:​Aoba Shin</v>
      </c>
      <c r="X238" s="23" t="str">
        <f>"|MIDDLE:​&amp;link(配布所はこちら){​"&amp;テーブル1[[#This Row],[リンク]]&amp;"}|"</f>
        <v>|MIDDLE:​&amp;link(配布所はこちら){​http://shadeofgreen.web.fc2.com}|</v>
      </c>
    </row>
    <row r="239" spans="1:24" ht="20.149999999999999" customHeight="1" x14ac:dyDescent="0.35">
      <c r="B239" s="23" t="str">
        <f>SUBSTITUTE(SUBSTITUTE(SUBSTITUTE(SUBSTITUTE(SUBSTITUTE(SUBSTITUTE(SUBSTITUTE(SUBSTITUTE(LOWER(テーブル1[[#This Row],[Name]])," ","-"),".","-"),"&amp;","-"),"_","-"),"・","-"),"=","-"),"--","-"),"--","-")</f>
        <v>aoba-ryoku</v>
      </c>
      <c r="C239" s="24" t="s">
        <v>757</v>
      </c>
      <c r="D239" s="23" t="s">
        <v>758</v>
      </c>
      <c r="E239" s="23" t="s">
        <v>759</v>
      </c>
      <c r="F239" s="15" t="s">
        <v>756</v>
      </c>
      <c r="G239" s="23" t="s">
        <v>760</v>
      </c>
      <c r="M239" s="1" t="s">
        <v>1517</v>
      </c>
      <c r="O239" s="24" t="str">
        <f>テーブル1[[#This Row],[リンク]]&amp;テーブル1[[#This Row],[描画状況]]</f>
        <v>http://shadeofgreen.web.fc2.com</v>
      </c>
      <c r="P239" s="17">
        <f>1-(COUNTIF(O:O,_xlfn.TEXTJOIN(",",TRUE,テーブル1[[#This Row],[リンク]],テーブル1[[#This Row],[描画状況]]))/COUNTIF(F:F,テーブル1[[#This Row],[リンク]]))</f>
        <v>0.33333333333333337</v>
      </c>
      <c r="Q239" s="16">
        <f ca="1">IFERROR(IF(テーブル1[[#This Row],[描画状況]]="",RAND()+(テーブル1[[#This Row],[列2]]*100),""),RAND())</f>
        <v>34.036486795168763</v>
      </c>
      <c r="S239" s="24" t="str">
        <f ca="1">IF(AND(テーブル1[[#This Row],[描画状況]]="済",テーブル1[[#This Row],[投稿状況]]=""),RAND(),"")</f>
        <v/>
      </c>
      <c r="T239" s="23" t="str">
        <f>"|&amp;image("&amp;テーブル1[[#This Row],[画像]]&amp;".png,width=100,height=100)"</f>
        <v>|&amp;image(aoba-ryoku.png,width=100,height=100)</v>
      </c>
      <c r="U239" s="23" t="str">
        <f>"|MIDDLE:​"&amp;テーブル1[[#This Row],[名前]]</f>
        <v>|MIDDLE:​青葉リョク</v>
      </c>
      <c r="V239" s="23" t="str">
        <f>"|MIDDLE:​"&amp;テーブル1[[#This Row],[なまえ]]</f>
        <v>|MIDDLE:​あおば りょく</v>
      </c>
      <c r="W239" s="23" t="str">
        <f>"|MIDDLE:​"&amp;テーブル1[[#This Row],[Name]]</f>
        <v>|MIDDLE:​Aoba Ryoku</v>
      </c>
      <c r="X239" s="23" t="str">
        <f>"|MIDDLE:​&amp;link(配布所はこちら){​"&amp;テーブル1[[#This Row],[リンク]]&amp;"}|"</f>
        <v>|MIDDLE:​&amp;link(配布所はこちら){​http://shadeofgreen.web.fc2.com}|</v>
      </c>
    </row>
    <row r="240" spans="1:24" ht="20.149999999999999" customHeight="1" x14ac:dyDescent="0.35">
      <c r="B240" s="23" t="str">
        <f>SUBSTITUTE(SUBSTITUTE(SUBSTITUTE(SUBSTITUTE(SUBSTITUTE(SUBSTITUTE(SUBSTITUTE(SUBSTITUTE(LOWER(テーブル1[[#This Row],[Name]])," ","-"),".","-"),"&amp;","-"),"_","-"),"・","-"),"=","-"),"--","-"),"--","-")</f>
        <v>akasha＝sophia</v>
      </c>
      <c r="C240" s="24" t="s">
        <v>1380</v>
      </c>
      <c r="D240" s="23" t="s">
        <v>1382</v>
      </c>
      <c r="E240" s="23" t="s">
        <v>1381</v>
      </c>
      <c r="F240" s="2" t="s">
        <v>1363</v>
      </c>
      <c r="G240" s="23" t="s">
        <v>1364</v>
      </c>
      <c r="O240" s="24" t="str">
        <f>テーブル1[[#This Row],[リンク]]&amp;テーブル1[[#This Row],[描画状況]]</f>
        <v>https://maybeanglo0mochi.wixsite.com/mochiyanosouko</v>
      </c>
      <c r="P240" s="17">
        <f>1-(COUNTIF(O:O,_xlfn.TEXTJOIN(",",TRUE,テーブル1[[#This Row],[リンク]],テーブル1[[#This Row],[描画状況]]))/COUNTIF(F:F,テーブル1[[#This Row],[リンク]]))</f>
        <v>0.125</v>
      </c>
      <c r="Q240" s="16">
        <f ca="1">IFERROR(IF(テーブル1[[#This Row],[描画状況]]="",RAND()+(テーブル1[[#This Row],[列2]]*100),""),RAND())</f>
        <v>13.244117084519237</v>
      </c>
      <c r="S240" s="24" t="str">
        <f ca="1">IF(AND(テーブル1[[#This Row],[描画状況]]="済",テーブル1[[#This Row],[投稿状況]]=""),RAND(),"")</f>
        <v/>
      </c>
      <c r="T240" s="23" t="str">
        <f>"|&amp;image("&amp;テーブル1[[#This Row],[画像]]&amp;".png,width=100,height=100)"</f>
        <v>|&amp;image(akasha＝sophia.png,width=100,height=100)</v>
      </c>
      <c r="U240" s="23" t="str">
        <f>"|MIDDLE:​"&amp;テーブル1[[#This Row],[名前]]</f>
        <v>|MIDDLE:​アカシャ＝ソフィア</v>
      </c>
      <c r="V240" s="23" t="str">
        <f>"|MIDDLE:​"&amp;テーブル1[[#This Row],[なまえ]]</f>
        <v>|MIDDLE:​あかしゃ＝そふぃあ</v>
      </c>
      <c r="W240" s="23" t="str">
        <f>"|MIDDLE:​"&amp;テーブル1[[#This Row],[Name]]</f>
        <v>|MIDDLE:​Akasha＝Sophia</v>
      </c>
      <c r="X240" s="23" t="str">
        <f>"|MIDDLE:​&amp;link(配布所はこちら){​"&amp;テーブル1[[#This Row],[リンク]]&amp;"}|"</f>
        <v>|MIDDLE:​&amp;link(配布所はこちら){​https://maybeanglo0mochi.wixsite.com/mochiyanosouko}|</v>
      </c>
    </row>
    <row r="241" spans="2:24" ht="20.149999999999999" customHeight="1" x14ac:dyDescent="0.35">
      <c r="B241" s="23" t="str">
        <f>SUBSTITUTE(SUBSTITUTE(SUBSTITUTE(SUBSTITUTE(SUBSTITUTE(SUBSTITUTE(SUBSTITUTE(SUBSTITUTE(LOWER(テーブル1[[#This Row],[Name]])," ","-"),".","-"),"&amp;","-"),"_","-"),"・","-"),"=","-"),"--","-"),"--","-")</f>
        <v>akaruiji-satsu</v>
      </c>
      <c r="C241" s="24" t="s">
        <v>984</v>
      </c>
      <c r="D241" s="23" t="s">
        <v>985</v>
      </c>
      <c r="E241" s="23" t="s">
        <v>986</v>
      </c>
      <c r="F241" s="2" t="s">
        <v>572</v>
      </c>
      <c r="G241" s="23" t="s">
        <v>573</v>
      </c>
      <c r="M241" s="1" t="s">
        <v>1517</v>
      </c>
      <c r="O241" s="24" t="str">
        <f>テーブル1[[#This Row],[リンク]]&amp;テーブル1[[#This Row],[描画状況]]</f>
        <v>https://askdance.wixsite.com/monitor-room/monitor-room</v>
      </c>
      <c r="P241" s="17">
        <f>1-(COUNTIF(O:O,_xlfn.TEXTJOIN(",",TRUE,テーブル1[[#This Row],[リンク]],テーブル1[[#This Row],[描画状況]]))/COUNTIF(F:F,テーブル1[[#This Row],[リンク]]))</f>
        <v>9.9999999999999978E-2</v>
      </c>
      <c r="Q241" s="16">
        <f ca="1">IFERROR(IF(テーブル1[[#This Row],[描画状況]]="",RAND()+(テーブル1[[#This Row],[列2]]*100),""),RAND())</f>
        <v>10.055924186236178</v>
      </c>
      <c r="S241" s="24" t="str">
        <f ca="1">IF(AND(テーブル1[[#This Row],[描画状況]]="済",テーブル1[[#This Row],[投稿状況]]=""),RAND(),"")</f>
        <v/>
      </c>
      <c r="T241" s="23" t="str">
        <f>"|&amp;image("&amp;テーブル1[[#This Row],[画像]]&amp;".png,width=100,height=100)"</f>
        <v>|&amp;image(akaruiji-satsu.png,width=100,height=100)</v>
      </c>
      <c r="U241" s="23" t="str">
        <f>"|MIDDLE:​"&amp;テーブル1[[#This Row],[名前]]</f>
        <v>|MIDDLE:​明泪寺早津</v>
      </c>
      <c r="V241" s="23" t="str">
        <f>"|MIDDLE:​"&amp;テーブル1[[#This Row],[なまえ]]</f>
        <v>|MIDDLE:​あかるいじ さつ</v>
      </c>
      <c r="W241" s="23" t="str">
        <f>"|MIDDLE:​"&amp;テーブル1[[#This Row],[Name]]</f>
        <v>|MIDDLE:​Akaruiji Satsu</v>
      </c>
      <c r="X241" s="23" t="str">
        <f>"|MIDDLE:​&amp;link(配布所はこちら){​"&amp;テーブル1[[#This Row],[リンク]]&amp;"}|"</f>
        <v>|MIDDLE:​&amp;link(配布所はこちら){​https://askdance.wixsite.com/monitor-room/monitor-room}|</v>
      </c>
    </row>
    <row r="242" spans="2:24" ht="20.149999999999999" customHeight="1" x14ac:dyDescent="0.35">
      <c r="B242" s="23" t="str">
        <f>SUBSTITUTE(SUBSTITUTE(SUBSTITUTE(SUBSTITUTE(SUBSTITUTE(SUBSTITUTE(SUBSTITUTE(SUBSTITUTE(LOWER(テーブル1[[#This Row],[Name]])," ","-"),".","-"),"&amp;","-"),"_","-"),"・","-"),"=","-"),"--","-"),"--","-")</f>
        <v>amatsuka-yuki</v>
      </c>
      <c r="C242" s="24" t="s">
        <v>619</v>
      </c>
      <c r="D242" s="23" t="s">
        <v>620</v>
      </c>
      <c r="E242" s="23" t="s">
        <v>621</v>
      </c>
      <c r="F242" s="2" t="s">
        <v>215</v>
      </c>
      <c r="G242" s="23" t="s">
        <v>216</v>
      </c>
      <c r="M242" s="1" t="s">
        <v>1517</v>
      </c>
      <c r="O242" s="24" t="str">
        <f>テーブル1[[#This Row],[リンク]]&amp;テーブル1[[#This Row],[描画状況]]</f>
        <v>https://mitoristu.wixsite.com/kousaibako</v>
      </c>
      <c r="P242" s="17">
        <f>1-(COUNTIF(O:O,_xlfn.TEXTJOIN(",",TRUE,テーブル1[[#This Row],[リンク]],テーブル1[[#This Row],[描画状況]]))/COUNTIF(F:F,テーブル1[[#This Row],[リンク]]))</f>
        <v>0.19999999999999996</v>
      </c>
      <c r="Q242" s="16">
        <f ca="1">IFERROR(IF(テーブル1[[#This Row],[描画状況]]="",RAND()+(テーブル1[[#This Row],[列2]]*100),""),RAND())</f>
        <v>20.178290392429361</v>
      </c>
      <c r="S242" s="24" t="str">
        <f ca="1">IF(AND(テーブル1[[#This Row],[描画状況]]="済",テーブル1[[#This Row],[投稿状況]]=""),RAND(),"")</f>
        <v/>
      </c>
      <c r="T242" s="23" t="str">
        <f>"|&amp;image("&amp;テーブル1[[#This Row],[画像]]&amp;".png,width=100,height=100)"</f>
        <v>|&amp;image(amatsuka-yuki.png,width=100,height=100)</v>
      </c>
      <c r="U242" s="23" t="str">
        <f>"|MIDDLE:​"&amp;テーブル1[[#This Row],[名前]]</f>
        <v>|MIDDLE:​天使雪</v>
      </c>
      <c r="V242" s="23" t="str">
        <f>"|MIDDLE:​"&amp;テーブル1[[#This Row],[なまえ]]</f>
        <v>|MIDDLE:​あまつか ゆき</v>
      </c>
      <c r="W242" s="23" t="str">
        <f>"|MIDDLE:​"&amp;テーブル1[[#This Row],[Name]]</f>
        <v>|MIDDLE:​Amatsuka Yuki</v>
      </c>
      <c r="X242" s="23" t="str">
        <f>"|MIDDLE:​&amp;link(配布所はこちら){​"&amp;テーブル1[[#This Row],[リンク]]&amp;"}|"</f>
        <v>|MIDDLE:​&amp;link(配布所はこちら){​https://mitoristu.wixsite.com/kousaibako}|</v>
      </c>
    </row>
    <row r="243" spans="2:24" ht="20.149999999999999" customHeight="1" x14ac:dyDescent="0.35">
      <c r="B243" s="23" t="str">
        <f>SUBSTITUTE(SUBSTITUTE(SUBSTITUTE(SUBSTITUTE(SUBSTITUTE(SUBSTITUTE(SUBSTITUTE(SUBSTITUTE(LOWER(テーブル1[[#This Row],[Name]])," ","-"),".","-"),"&amp;","-"),"_","-"),"・","-"),"=","-"),"--","-"),"--","-")</f>
        <v>amatsuji-azuma</v>
      </c>
      <c r="C243" s="24" t="s">
        <v>1270</v>
      </c>
      <c r="D243" s="23" t="s">
        <v>1272</v>
      </c>
      <c r="E243" s="23" t="s">
        <v>1271</v>
      </c>
      <c r="F243" s="15" t="s">
        <v>177</v>
      </c>
      <c r="G243" s="24" t="s">
        <v>1290</v>
      </c>
      <c r="H243" s="24"/>
      <c r="I243" s="24"/>
      <c r="J243" s="24"/>
      <c r="K243" s="24"/>
      <c r="L243" s="24"/>
      <c r="O243" s="24" t="str">
        <f>テーブル1[[#This Row],[リンク]]&amp;テーブル1[[#This Row],[描画状況]]</f>
        <v>https://lenskkpb.wixsite.com/len-sakaki-official</v>
      </c>
      <c r="P243" s="17">
        <f>1-(COUNTIF(O:O,_xlfn.TEXTJOIN(",",TRUE,テーブル1[[#This Row],[リンク]],テーブル1[[#This Row],[描画状況]]))/COUNTIF(F:F,テーブル1[[#This Row],[リンク]]))</f>
        <v>0.125</v>
      </c>
      <c r="Q243" s="16">
        <f ca="1">IFERROR(IF(テーブル1[[#This Row],[描画状況]]="",RAND()+(テーブル1[[#This Row],[列2]]*100),""),RAND())</f>
        <v>13.053859237246556</v>
      </c>
      <c r="S243" s="24" t="str">
        <f ca="1">IF(AND(テーブル1[[#This Row],[描画状況]]="済",テーブル1[[#This Row],[投稿状況]]=""),RAND(),"")</f>
        <v/>
      </c>
      <c r="T243" s="23" t="str">
        <f>"|&amp;image("&amp;テーブル1[[#This Row],[画像]]&amp;".png,width=100,height=100)"</f>
        <v>|&amp;image(amatsuji-azuma.png,width=100,height=100)</v>
      </c>
      <c r="U243" s="23" t="str">
        <f>"|MIDDLE:​"&amp;テーブル1[[#This Row],[名前]]</f>
        <v>|MIDDLE:​天辻雷</v>
      </c>
      <c r="V243" s="23" t="str">
        <f>"|MIDDLE:​"&amp;テーブル1[[#This Row],[なまえ]]</f>
        <v>|MIDDLE:​あまつじ あずま</v>
      </c>
      <c r="W243" s="23" t="str">
        <f>"|MIDDLE:​"&amp;テーブル1[[#This Row],[Name]]</f>
        <v>|MIDDLE:​Amatsuji Azuma</v>
      </c>
      <c r="X243" s="23" t="str">
        <f>"|MIDDLE:​&amp;link(配布所はこちら){​"&amp;テーブル1[[#This Row],[リンク]]&amp;"}|"</f>
        <v>|MIDDLE:​&amp;link(配布所はこちら){​https://lenskkpb.wixsite.com/len-sakaki-official}|</v>
      </c>
    </row>
    <row r="244" spans="2:24" ht="20.149999999999999" customHeight="1" x14ac:dyDescent="0.35">
      <c r="B244" s="23" t="str">
        <f>SUBSTITUTE(SUBSTITUTE(SUBSTITUTE(SUBSTITUTE(SUBSTITUTE(SUBSTITUTE(SUBSTITUTE(SUBSTITUTE(LOWER(テーブル1[[#This Row],[Name]])," ","-"),".","-"),"&amp;","-"),"_","-"),"・","-"),"=","-"),"--","-"),"--","-")</f>
        <v>amatsuroid</v>
      </c>
      <c r="C244" s="24" t="s">
        <v>850</v>
      </c>
      <c r="D244" s="23" t="s">
        <v>851</v>
      </c>
      <c r="E244" s="23" t="s">
        <v>852</v>
      </c>
      <c r="F244" s="2" t="s">
        <v>833</v>
      </c>
      <c r="G244" s="23" t="s">
        <v>834</v>
      </c>
      <c r="O244" s="24" t="str">
        <f>テーブル1[[#This Row],[リンク]]&amp;テーブル1[[#This Row],[描画状況]]</f>
        <v>https://kaedekatusaki.wixsite.com/yanagiroutyou</v>
      </c>
      <c r="P244" s="17">
        <f>1-(COUNTIF(O:O,_xlfn.TEXTJOIN(",",TRUE,テーブル1[[#This Row],[リンク]],テーブル1[[#This Row],[描画状況]]))/COUNTIF(F:F,テーブル1[[#This Row],[リンク]]))</f>
        <v>0.125</v>
      </c>
      <c r="Q244" s="16">
        <f ca="1">IFERROR(IF(テーブル1[[#This Row],[描画状況]]="",RAND()+(テーブル1[[#This Row],[列2]]*100),""),RAND())</f>
        <v>12.796382568777297</v>
      </c>
      <c r="S244" s="24" t="str">
        <f ca="1">IF(AND(テーブル1[[#This Row],[描画状況]]="済",テーブル1[[#This Row],[投稿状況]]=""),RAND(),"")</f>
        <v/>
      </c>
      <c r="T244" s="23" t="str">
        <f>"|&amp;image("&amp;テーブル1[[#This Row],[画像]]&amp;".png,width=100,height=100)"</f>
        <v>|&amp;image(amatsuroid.png,width=100,height=100)</v>
      </c>
      <c r="U244" s="23" t="str">
        <f>"|MIDDLE:​"&amp;テーブル1[[#This Row],[名前]]</f>
        <v>|MIDDLE:​アマツロイド</v>
      </c>
      <c r="V244" s="23" t="str">
        <f>"|MIDDLE:​"&amp;テーブル1[[#This Row],[なまえ]]</f>
        <v>|MIDDLE:​あまつろいど</v>
      </c>
      <c r="W244" s="23" t="str">
        <f>"|MIDDLE:​"&amp;テーブル1[[#This Row],[Name]]</f>
        <v>|MIDDLE:​Amatsuroid</v>
      </c>
      <c r="X244" s="23" t="str">
        <f>"|MIDDLE:​&amp;link(配布所はこちら){​"&amp;テーブル1[[#This Row],[リンク]]&amp;"}|"</f>
        <v>|MIDDLE:​&amp;link(配布所はこちら){​https://kaedekatusaki.wixsite.com/yanagiroutyou}|</v>
      </c>
    </row>
    <row r="245" spans="2:24" ht="20.149999999999999" customHeight="1" x14ac:dyDescent="0.35">
      <c r="B245" s="23" t="str">
        <f>SUBSTITUTE(SUBSTITUTE(SUBSTITUTE(SUBSTITUTE(SUBSTITUTE(SUBSTITUTE(SUBSTITUTE(SUBSTITUTE(LOWER(テーブル1[[#This Row],[Name]])," ","-"),".","-"),"&amp;","-"),"_","-"),"・","-"),"=","-"),"--","-"),"--","-")</f>
        <v>ameaya-nano</v>
      </c>
      <c r="C245" s="24" t="s">
        <v>994</v>
      </c>
      <c r="D245" s="23" t="s">
        <v>995</v>
      </c>
      <c r="E245" s="23" t="s">
        <v>996</v>
      </c>
      <c r="F245" s="2" t="s">
        <v>572</v>
      </c>
      <c r="G245" s="23" t="s">
        <v>573</v>
      </c>
      <c r="M245" s="1" t="s">
        <v>1517</v>
      </c>
      <c r="O245" s="24" t="str">
        <f>テーブル1[[#This Row],[リンク]]&amp;テーブル1[[#This Row],[描画状況]]</f>
        <v>https://askdance.wixsite.com/monitor-room/monitor-room</v>
      </c>
      <c r="P245" s="17">
        <f>1-(COUNTIF(O:O,_xlfn.TEXTJOIN(",",TRUE,テーブル1[[#This Row],[リンク]],テーブル1[[#This Row],[描画状況]]))/COUNTIF(F:F,テーブル1[[#This Row],[リンク]]))</f>
        <v>9.9999999999999978E-2</v>
      </c>
      <c r="Q245" s="16">
        <f ca="1">IFERROR(IF(テーブル1[[#This Row],[描画状況]]="",RAND()+(テーブル1[[#This Row],[列2]]*100),""),RAND())</f>
        <v>10.369527645956833</v>
      </c>
      <c r="S245" s="24" t="str">
        <f ca="1">IF(AND(テーブル1[[#This Row],[描画状況]]="済",テーブル1[[#This Row],[投稿状況]]=""),RAND(),"")</f>
        <v/>
      </c>
      <c r="T245" s="23" t="str">
        <f>"|&amp;image("&amp;テーブル1[[#This Row],[画像]]&amp;".png,width=100,height=100)"</f>
        <v>|&amp;image(ameaya-nano.png,width=100,height=100)</v>
      </c>
      <c r="U245" s="23" t="str">
        <f>"|MIDDLE:​"&amp;テーブル1[[#This Row],[名前]]</f>
        <v>|MIDDLE:​天彩渚乃</v>
      </c>
      <c r="V245" s="23" t="str">
        <f>"|MIDDLE:​"&amp;テーブル1[[#This Row],[なまえ]]</f>
        <v>|MIDDLE:​あめあや なの</v>
      </c>
      <c r="W245" s="23" t="str">
        <f>"|MIDDLE:​"&amp;テーブル1[[#This Row],[Name]]</f>
        <v>|MIDDLE:​Ameaya Nano</v>
      </c>
      <c r="X245" s="23" t="str">
        <f>"|MIDDLE:​&amp;link(配布所はこちら){​"&amp;テーブル1[[#This Row],[リンク]]&amp;"}|"</f>
        <v>|MIDDLE:​&amp;link(配布所はこちら){​https://askdance.wixsite.com/monitor-room/monitor-room}|</v>
      </c>
    </row>
    <row r="246" spans="2:24" ht="20.149999999999999" customHeight="1" x14ac:dyDescent="0.35">
      <c r="B246" s="23" t="str">
        <f>SUBSTITUTE(SUBSTITUTE(SUBSTITUTE(SUBSTITUTE(SUBSTITUTE(SUBSTITUTE(SUBSTITUTE(SUBSTITUTE(LOWER(テーブル1[[#This Row],[Name]])," ","-"),".","-"),"&amp;","-"),"_","-"),"・","-"),"=","-"),"--","-"),"--","-")</f>
        <v>amaze</v>
      </c>
      <c r="C246" s="24" t="s">
        <v>1178</v>
      </c>
      <c r="D246" s="23" t="s">
        <v>1180</v>
      </c>
      <c r="E246" s="23" t="s">
        <v>1179</v>
      </c>
      <c r="F246" s="2" t="s">
        <v>100</v>
      </c>
      <c r="G246" s="23" t="s">
        <v>101</v>
      </c>
      <c r="M246" s="1" t="s">
        <v>1517</v>
      </c>
      <c r="O246" s="24" t="str">
        <f>テーブル1[[#This Row],[リンク]]&amp;テーブル1[[#This Row],[描画状況]]</f>
        <v>https://hinagitsune-utau.wixsite.com/utaukokorone</v>
      </c>
      <c r="P246" s="17">
        <f>1-(COUNTIF(O:O,_xlfn.TEXTJOIN(",",TRUE,テーブル1[[#This Row],[リンク]],テーブル1[[#This Row],[描画状況]]))/COUNTIF(F:F,テーブル1[[#This Row],[リンク]]))</f>
        <v>0.19999999999999996</v>
      </c>
      <c r="Q246" s="16">
        <f ca="1">IFERROR(IF(テーブル1[[#This Row],[描画状況]]="",RAND()+(テーブル1[[#This Row],[列2]]*100),""),RAND())</f>
        <v>20.279292130415524</v>
      </c>
      <c r="S246" s="24" t="str">
        <f ca="1">IF(AND(テーブル1[[#This Row],[描画状況]]="済",テーブル1[[#This Row],[投稿状況]]=""),RAND(),"")</f>
        <v/>
      </c>
      <c r="T246" s="23" t="str">
        <f>"|&amp;image("&amp;テーブル1[[#This Row],[画像]]&amp;".png,width=100,height=100)"</f>
        <v>|&amp;image(amaze.png,width=100,height=100)</v>
      </c>
      <c r="U246" s="23" t="str">
        <f>"|MIDDLE:​"&amp;テーブル1[[#This Row],[名前]]</f>
        <v>|MIDDLE:​アメイズ</v>
      </c>
      <c r="V246" s="23" t="str">
        <f>"|MIDDLE:​"&amp;テーブル1[[#This Row],[なまえ]]</f>
        <v>|MIDDLE:​あめいず</v>
      </c>
      <c r="W246" s="23" t="str">
        <f>"|MIDDLE:​"&amp;テーブル1[[#This Row],[Name]]</f>
        <v>|MIDDLE:​Amaze</v>
      </c>
      <c r="X246" s="23" t="str">
        <f>"|MIDDLE:​&amp;link(配布所はこちら){​"&amp;テーブル1[[#This Row],[リンク]]&amp;"}|"</f>
        <v>|MIDDLE:​&amp;link(配布所はこちら){​https://hinagitsune-utau.wixsite.com/utaukokorone}|</v>
      </c>
    </row>
    <row r="247" spans="2:24" ht="20.149999999999999" customHeight="1" x14ac:dyDescent="0.35">
      <c r="B247" s="23" t="str">
        <f>SUBSTITUTE(SUBSTITUTE(SUBSTITUTE(SUBSTITUTE(SUBSTITUTE(SUBSTITUTE(SUBSTITUTE(SUBSTITUTE(LOWER(テーブル1[[#This Row],[Name]])," ","-"),".","-"),"&amp;","-"),"_","-"),"・","-"),"=","-"),"--","-"),"--","-")</f>
        <v>ameuta-nives</v>
      </c>
      <c r="C247" s="24" t="s">
        <v>952</v>
      </c>
      <c r="D247" s="23" t="s">
        <v>953</v>
      </c>
      <c r="E247" s="23" t="s">
        <v>954</v>
      </c>
      <c r="F247" s="2" t="s">
        <v>676</v>
      </c>
      <c r="G247" s="23" t="s">
        <v>677</v>
      </c>
      <c r="M247" s="1" t="s">
        <v>1517</v>
      </c>
      <c r="O247" s="24" t="str">
        <f>テーブル1[[#This Row],[リンク]]&amp;テーブル1[[#This Row],[描画状況]]</f>
        <v>https://ametro.jimdofree.com</v>
      </c>
      <c r="P247" s="17">
        <f>1-(COUNTIF(O:O,_xlfn.TEXTJOIN(",",TRUE,テーブル1[[#This Row],[リンク]],テーブル1[[#This Row],[描画状況]]))/COUNTIF(F:F,テーブル1[[#This Row],[リンク]]))</f>
        <v>0.19999999999999996</v>
      </c>
      <c r="Q247" s="16">
        <f ca="1">IFERROR(IF(テーブル1[[#This Row],[描画状況]]="",RAND()+(テーブル1[[#This Row],[列2]]*100),""),RAND())</f>
        <v>20.905587113531748</v>
      </c>
      <c r="S247" s="24" t="str">
        <f ca="1">IF(AND(テーブル1[[#This Row],[描画状況]]="済",テーブル1[[#This Row],[投稿状況]]=""),RAND(),"")</f>
        <v/>
      </c>
      <c r="T247" s="23" t="str">
        <f>"|&amp;image("&amp;テーブル1[[#This Row],[画像]]&amp;".png,width=100,height=100)"</f>
        <v>|&amp;image(ameuta-nives.png,width=100,height=100)</v>
      </c>
      <c r="U247" s="23" t="str">
        <f>"|MIDDLE:​"&amp;テーブル1[[#This Row],[名前]]</f>
        <v>|MIDDLE:​飴唄ニーヴェス</v>
      </c>
      <c r="V247" s="23" t="str">
        <f>"|MIDDLE:​"&amp;テーブル1[[#This Row],[なまえ]]</f>
        <v>|MIDDLE:​あめうた にーゔぇす</v>
      </c>
      <c r="W247" s="23" t="str">
        <f>"|MIDDLE:​"&amp;テーブル1[[#This Row],[Name]]</f>
        <v>|MIDDLE:​Ameuta Nives</v>
      </c>
      <c r="X247" s="23" t="str">
        <f>"|MIDDLE:​&amp;link(配布所はこちら){​"&amp;テーブル1[[#This Row],[リンク]]&amp;"}|"</f>
        <v>|MIDDLE:​&amp;link(配布所はこちら){​https://ametro.jimdofree.com}|</v>
      </c>
    </row>
    <row r="248" spans="2:24" ht="20.149999999999999" customHeight="1" x14ac:dyDescent="0.35">
      <c r="B248" s="23" t="str">
        <f>SUBSTITUTE(SUBSTITUTE(SUBSTITUTE(SUBSTITUTE(SUBSTITUTE(SUBSTITUTE(SUBSTITUTE(SUBSTITUTE(LOWER(テーブル1[[#This Row],[Name]])," ","-"),".","-"),"&amp;","-"),"_","-"),"・","-"),"=","-"),"--","-"),"--","-")</f>
        <v>ameuta-niko</v>
      </c>
      <c r="C248" s="24" t="s">
        <v>931</v>
      </c>
      <c r="D248" s="23" t="s">
        <v>932</v>
      </c>
      <c r="E248" s="23" t="s">
        <v>933</v>
      </c>
      <c r="F248" s="2" t="s">
        <v>676</v>
      </c>
      <c r="G248" s="23" t="s">
        <v>677</v>
      </c>
      <c r="M248" s="1" t="s">
        <v>1517</v>
      </c>
      <c r="O248" s="24" t="str">
        <f>テーブル1[[#This Row],[リンク]]&amp;テーブル1[[#This Row],[描画状況]]</f>
        <v>https://ametro.jimdofree.com</v>
      </c>
      <c r="P248" s="17">
        <f>1-(COUNTIF(O:O,_xlfn.TEXTJOIN(",",TRUE,テーブル1[[#This Row],[リンク]],テーブル1[[#This Row],[描画状況]]))/COUNTIF(F:F,テーブル1[[#This Row],[リンク]]))</f>
        <v>0.19999999999999996</v>
      </c>
      <c r="Q248" s="16">
        <f ca="1">IFERROR(IF(テーブル1[[#This Row],[描画状況]]="",RAND()+(テーブル1[[#This Row],[列2]]*100),""),RAND())</f>
        <v>20.186204086877286</v>
      </c>
      <c r="S248" s="24" t="str">
        <f ca="1">IF(AND(テーブル1[[#This Row],[描画状況]]="済",テーブル1[[#This Row],[投稿状況]]=""),RAND(),"")</f>
        <v/>
      </c>
      <c r="T248" s="23" t="str">
        <f>"|&amp;image("&amp;テーブル1[[#This Row],[画像]]&amp;".png,width=100,height=100)"</f>
        <v>|&amp;image(ameuta-niko.png,width=100,height=100)</v>
      </c>
      <c r="U248" s="23" t="str">
        <f>"|MIDDLE:​"&amp;テーブル1[[#This Row],[名前]]</f>
        <v>|MIDDLE:​飴唄仁胡</v>
      </c>
      <c r="V248" s="23" t="str">
        <f>"|MIDDLE:​"&amp;テーブル1[[#This Row],[なまえ]]</f>
        <v>|MIDDLE:​あめうた にこ</v>
      </c>
      <c r="W248" s="23" t="str">
        <f>"|MIDDLE:​"&amp;テーブル1[[#This Row],[Name]]</f>
        <v>|MIDDLE:​Ameuta Niko</v>
      </c>
      <c r="X248" s="23" t="str">
        <f>"|MIDDLE:​&amp;link(配布所はこちら){​"&amp;テーブル1[[#This Row],[リンク]]&amp;"}|"</f>
        <v>|MIDDLE:​&amp;link(配布所はこちら){​https://ametro.jimdofree.com}|</v>
      </c>
    </row>
    <row r="249" spans="2:24" ht="20.149999999999999" customHeight="1" x14ac:dyDescent="0.35">
      <c r="B249" s="23" t="str">
        <f>SUBSTITUTE(SUBSTITUTE(SUBSTITUTE(SUBSTITUTE(SUBSTITUTE(SUBSTITUTE(SUBSTITUTE(SUBSTITUTE(LOWER(テーブル1[[#This Row],[Name]])," ","-"),".","-"),"&amp;","-"),"_","-"),"・","-"),"=","-"),"--","-"),"--","-")</f>
        <v>ameuta-nije</v>
      </c>
      <c r="C249" s="24" t="s">
        <v>937</v>
      </c>
      <c r="D249" s="23" t="s">
        <v>938</v>
      </c>
      <c r="E249" s="23" t="s">
        <v>939</v>
      </c>
      <c r="F249" s="2" t="s">
        <v>676</v>
      </c>
      <c r="G249" s="23" t="s">
        <v>677</v>
      </c>
      <c r="M249" s="1" t="s">
        <v>1517</v>
      </c>
      <c r="O249" s="24" t="str">
        <f>テーブル1[[#This Row],[リンク]]&amp;テーブル1[[#This Row],[描画状況]]</f>
        <v>https://ametro.jimdofree.com</v>
      </c>
      <c r="P249" s="17">
        <f>1-(COUNTIF(O:O,_xlfn.TEXTJOIN(",",TRUE,テーブル1[[#This Row],[リンク]],テーブル1[[#This Row],[描画状況]]))/COUNTIF(F:F,テーブル1[[#This Row],[リンク]]))</f>
        <v>0.19999999999999996</v>
      </c>
      <c r="Q249" s="16">
        <f ca="1">IFERROR(IF(テーブル1[[#This Row],[描画状況]]="",RAND()+(テーブル1[[#This Row],[列2]]*100),""),RAND())</f>
        <v>20.020070404130713</v>
      </c>
      <c r="S249" s="24" t="str">
        <f ca="1">IF(AND(テーブル1[[#This Row],[描画状況]]="済",テーブル1[[#This Row],[投稿状況]]=""),RAND(),"")</f>
        <v/>
      </c>
      <c r="T249" s="23" t="str">
        <f>"|&amp;image("&amp;テーブル1[[#This Row],[画像]]&amp;".png,width=100,height=100)"</f>
        <v>|&amp;image(ameuta-nije.png,width=100,height=100)</v>
      </c>
      <c r="U249" s="23" t="str">
        <f>"|MIDDLE:​"&amp;テーブル1[[#This Row],[名前]]</f>
        <v>|MIDDLE:​飴唄ニジェ</v>
      </c>
      <c r="V249" s="23" t="str">
        <f>"|MIDDLE:​"&amp;テーブル1[[#This Row],[なまえ]]</f>
        <v>|MIDDLE:​あめうた にじぇ</v>
      </c>
      <c r="W249" s="23" t="str">
        <f>"|MIDDLE:​"&amp;テーブル1[[#This Row],[Name]]</f>
        <v>|MIDDLE:​Ameuta Nije</v>
      </c>
      <c r="X249" s="23" t="str">
        <f>"|MIDDLE:​&amp;link(配布所はこちら){​"&amp;テーブル1[[#This Row],[リンク]]&amp;"}|"</f>
        <v>|MIDDLE:​&amp;link(配布所はこちら){​https://ametro.jimdofree.com}|</v>
      </c>
    </row>
    <row r="250" spans="2:24" ht="20.149999999999999" customHeight="1" x14ac:dyDescent="0.35">
      <c r="B250" s="23" t="str">
        <f>SUBSTITUTE(SUBSTITUTE(SUBSTITUTE(SUBSTITUTE(SUBSTITUTE(SUBSTITUTE(SUBSTITUTE(SUBSTITUTE(LOWER(テーブル1[[#This Row],[Name]])," ","-"),".","-"),"&amp;","-"),"_","-"),"・","-"),"=","-"),"--","-"),"--","-")</f>
        <v>ameuta-nisen</v>
      </c>
      <c r="C250" s="24" t="s">
        <v>955</v>
      </c>
      <c r="D250" s="23" t="s">
        <v>956</v>
      </c>
      <c r="E250" s="23" t="s">
        <v>957</v>
      </c>
      <c r="F250" s="2" t="s">
        <v>676</v>
      </c>
      <c r="G250" s="23" t="s">
        <v>677</v>
      </c>
      <c r="M250" s="1" t="s">
        <v>1517</v>
      </c>
      <c r="O250" s="24" t="str">
        <f>テーブル1[[#This Row],[リンク]]&amp;テーブル1[[#This Row],[描画状況]]</f>
        <v>https://ametro.jimdofree.com</v>
      </c>
      <c r="P250" s="17">
        <f>1-(COUNTIF(O:O,_xlfn.TEXTJOIN(",",TRUE,テーブル1[[#This Row],[リンク]],テーブル1[[#This Row],[描画状況]]))/COUNTIF(F:F,テーブル1[[#This Row],[リンク]]))</f>
        <v>0.19999999999999996</v>
      </c>
      <c r="Q250" s="16">
        <f ca="1">IFERROR(IF(テーブル1[[#This Row],[描画状況]]="",RAND()+(テーブル1[[#This Row],[列2]]*100),""),RAND())</f>
        <v>20.806096400326098</v>
      </c>
      <c r="S250" s="24" t="str">
        <f ca="1">IF(AND(テーブル1[[#This Row],[描画状況]]="済",テーブル1[[#This Row],[投稿状況]]=""),RAND(),"")</f>
        <v/>
      </c>
      <c r="T250" s="23" t="str">
        <f>"|&amp;image("&amp;テーブル1[[#This Row],[画像]]&amp;".png,width=100,height=100)"</f>
        <v>|&amp;image(ameuta-nisen.png,width=100,height=100)</v>
      </c>
      <c r="U250" s="23" t="str">
        <f>"|MIDDLE:​"&amp;テーブル1[[#This Row],[名前]]</f>
        <v>|MIDDLE:​飴唄2000</v>
      </c>
      <c r="V250" s="23" t="str">
        <f>"|MIDDLE:​"&amp;テーブル1[[#This Row],[なまえ]]</f>
        <v>|MIDDLE:​あめうた にせん</v>
      </c>
      <c r="W250" s="23" t="str">
        <f>"|MIDDLE:​"&amp;テーブル1[[#This Row],[Name]]</f>
        <v>|MIDDLE:​Ameuta Nisen</v>
      </c>
      <c r="X250" s="23" t="str">
        <f>"|MIDDLE:​&amp;link(配布所はこちら){​"&amp;テーブル1[[#This Row],[リンク]]&amp;"}|"</f>
        <v>|MIDDLE:​&amp;link(配布所はこちら){​https://ametro.jimdofree.com}|</v>
      </c>
    </row>
    <row r="251" spans="2:24" ht="20.149999999999999" customHeight="1" x14ac:dyDescent="0.35">
      <c r="B251" s="23" t="str">
        <f>SUBSTITUTE(SUBSTITUTE(SUBSTITUTE(SUBSTITUTE(SUBSTITUTE(SUBSTITUTE(SUBSTITUTE(SUBSTITUTE(LOWER(テーブル1[[#This Row],[Name]])," ","-"),".","-"),"&amp;","-"),"_","-"),"・","-"),"=","-"),"--","-"),"--","-")</f>
        <v>ameuta-nina</v>
      </c>
      <c r="C251" s="24" t="s">
        <v>940</v>
      </c>
      <c r="D251" s="23" t="s">
        <v>941</v>
      </c>
      <c r="E251" s="23" t="s">
        <v>942</v>
      </c>
      <c r="F251" s="2" t="s">
        <v>676</v>
      </c>
      <c r="G251" s="23" t="s">
        <v>677</v>
      </c>
      <c r="M251" s="1" t="s">
        <v>1517</v>
      </c>
      <c r="O251" s="24" t="str">
        <f>テーブル1[[#This Row],[リンク]]&amp;テーブル1[[#This Row],[描画状況]]</f>
        <v>https://ametro.jimdofree.com</v>
      </c>
      <c r="P251" s="17">
        <f>1-(COUNTIF(O:O,_xlfn.TEXTJOIN(",",TRUE,テーブル1[[#This Row],[リンク]],テーブル1[[#This Row],[描画状況]]))/COUNTIF(F:F,テーブル1[[#This Row],[リンク]]))</f>
        <v>0.19999999999999996</v>
      </c>
      <c r="Q251" s="16">
        <f ca="1">IFERROR(IF(テーブル1[[#This Row],[描画状況]]="",RAND()+(テーブル1[[#This Row],[列2]]*100),""),RAND())</f>
        <v>20.009813159513943</v>
      </c>
      <c r="S251" s="24" t="str">
        <f ca="1">IF(AND(テーブル1[[#This Row],[描画状況]]="済",テーブル1[[#This Row],[投稿状況]]=""),RAND(),"")</f>
        <v/>
      </c>
      <c r="T251" s="23" t="str">
        <f>"|&amp;image("&amp;テーブル1[[#This Row],[画像]]&amp;".png,width=100,height=100)"</f>
        <v>|&amp;image(ameuta-nina.png,width=100,height=100)</v>
      </c>
      <c r="U251" s="23" t="str">
        <f>"|MIDDLE:​"&amp;テーブル1[[#This Row],[名前]]</f>
        <v>|MIDDLE:​飴唄ニナ</v>
      </c>
      <c r="V251" s="23" t="str">
        <f>"|MIDDLE:​"&amp;テーブル1[[#This Row],[なまえ]]</f>
        <v>|MIDDLE:​あめうた にな</v>
      </c>
      <c r="W251" s="23" t="str">
        <f>"|MIDDLE:​"&amp;テーブル1[[#This Row],[Name]]</f>
        <v>|MIDDLE:​Ameuta Nina</v>
      </c>
      <c r="X251" s="23" t="str">
        <f>"|MIDDLE:​&amp;link(配布所はこちら){​"&amp;テーブル1[[#This Row],[リンク]]&amp;"}|"</f>
        <v>|MIDDLE:​&amp;link(配布所はこちら){​https://ametro.jimdofree.com}|</v>
      </c>
    </row>
    <row r="252" spans="2:24" ht="20.149999999999999" customHeight="1" x14ac:dyDescent="0.35">
      <c r="B252" s="23" t="str">
        <f>SUBSTITUTE(SUBSTITUTE(SUBSTITUTE(SUBSTITUTE(SUBSTITUTE(SUBSTITUTE(SUBSTITUTE(SUBSTITUTE(LOWER(テーブル1[[#This Row],[Name]])," ","-"),".","-"),"&amp;","-"),"_","-"),"・","-"),"=","-"),"--","-"),"--","-")</f>
        <v>ameuta-ninon</v>
      </c>
      <c r="C252" s="24" t="s">
        <v>949</v>
      </c>
      <c r="D252" s="23" t="s">
        <v>950</v>
      </c>
      <c r="E252" s="23" t="s">
        <v>951</v>
      </c>
      <c r="F252" s="2" t="s">
        <v>676</v>
      </c>
      <c r="G252" s="23" t="s">
        <v>677</v>
      </c>
      <c r="M252" s="1" t="s">
        <v>1517</v>
      </c>
      <c r="O252" s="24" t="str">
        <f>テーブル1[[#This Row],[リンク]]&amp;テーブル1[[#This Row],[描画状況]]</f>
        <v>https://ametro.jimdofree.com</v>
      </c>
      <c r="P252" s="17">
        <f>1-(COUNTIF(O:O,_xlfn.TEXTJOIN(",",TRUE,テーブル1[[#This Row],[リンク]],テーブル1[[#This Row],[描画状況]]))/COUNTIF(F:F,テーブル1[[#This Row],[リンク]]))</f>
        <v>0.19999999999999996</v>
      </c>
      <c r="Q252" s="16">
        <f ca="1">IFERROR(IF(テーブル1[[#This Row],[描画状況]]="",RAND()+(テーブル1[[#This Row],[列2]]*100),""),RAND())</f>
        <v>20.809170101263575</v>
      </c>
      <c r="S252" s="24" t="str">
        <f ca="1">IF(AND(テーブル1[[#This Row],[描画状況]]="済",テーブル1[[#This Row],[投稿状況]]=""),RAND(),"")</f>
        <v/>
      </c>
      <c r="T252" s="23" t="str">
        <f>"|&amp;image("&amp;テーブル1[[#This Row],[画像]]&amp;".png,width=100,height=100)"</f>
        <v>|&amp;image(ameuta-ninon.png,width=100,height=100)</v>
      </c>
      <c r="U252" s="23" t="str">
        <f>"|MIDDLE:​"&amp;テーブル1[[#This Row],[名前]]</f>
        <v>|MIDDLE:​飴唄ニノン</v>
      </c>
      <c r="V252" s="23" t="str">
        <f>"|MIDDLE:​"&amp;テーブル1[[#This Row],[なまえ]]</f>
        <v>|MIDDLE:​あめうた にのん</v>
      </c>
      <c r="W252" s="23" t="str">
        <f>"|MIDDLE:​"&amp;テーブル1[[#This Row],[Name]]</f>
        <v>|MIDDLE:​Ameuta Ninon</v>
      </c>
      <c r="X252" s="23" t="str">
        <f>"|MIDDLE:​&amp;link(配布所はこちら){​"&amp;テーブル1[[#This Row],[リンク]]&amp;"}|"</f>
        <v>|MIDDLE:​&amp;link(配布所はこちら){​https://ametro.jimdofree.com}|</v>
      </c>
    </row>
    <row r="253" spans="2:24" ht="20.149999999999999" customHeight="1" x14ac:dyDescent="0.35">
      <c r="B253" s="23" t="str">
        <f>SUBSTITUTE(SUBSTITUTE(SUBSTITUTE(SUBSTITUTE(SUBSTITUTE(SUBSTITUTE(SUBSTITUTE(SUBSTITUTE(LOWER(テーブル1[[#This Row],[Name]])," ","-"),".","-"),"&amp;","-"),"_","-"),"・","-"),"=","-"),"--","-"),"--","-")</f>
        <v>ameuta-nihito</v>
      </c>
      <c r="C253" s="24" t="s">
        <v>769</v>
      </c>
      <c r="D253" s="23" t="s">
        <v>770</v>
      </c>
      <c r="E253" s="23" t="s">
        <v>771</v>
      </c>
      <c r="F253" s="2" t="s">
        <v>676</v>
      </c>
      <c r="G253" s="23" t="s">
        <v>677</v>
      </c>
      <c r="M253" s="1" t="s">
        <v>1517</v>
      </c>
      <c r="O253" s="24" t="str">
        <f>テーブル1[[#This Row],[リンク]]&amp;テーブル1[[#This Row],[描画状況]]</f>
        <v>https://ametro.jimdofree.com</v>
      </c>
      <c r="P253" s="17">
        <f>1-(COUNTIF(O:O,_xlfn.TEXTJOIN(",",TRUE,テーブル1[[#This Row],[リンク]],テーブル1[[#This Row],[描画状況]]))/COUNTIF(F:F,テーブル1[[#This Row],[リンク]]))</f>
        <v>0.19999999999999996</v>
      </c>
      <c r="Q253" s="16">
        <f ca="1">IFERROR(IF(テーブル1[[#This Row],[描画状況]]="",RAND()+(テーブル1[[#This Row],[列2]]*100),""),RAND())</f>
        <v>20.073272695684405</v>
      </c>
      <c r="S253" s="24" t="str">
        <f ca="1">IF(AND(テーブル1[[#This Row],[描画状況]]="済",テーブル1[[#This Row],[投稿状況]]=""),RAND(),"")</f>
        <v/>
      </c>
      <c r="T253" s="23" t="str">
        <f>"|&amp;image("&amp;テーブル1[[#This Row],[画像]]&amp;".png,width=100,height=100)"</f>
        <v>|&amp;image(ameuta-nihito.png,width=100,height=100)</v>
      </c>
      <c r="U253" s="23" t="str">
        <f>"|MIDDLE:​"&amp;テーブル1[[#This Row],[名前]]</f>
        <v>|MIDDLE:​飴唄ニヒト</v>
      </c>
      <c r="V253" s="23" t="str">
        <f>"|MIDDLE:​"&amp;テーブル1[[#This Row],[なまえ]]</f>
        <v>|MIDDLE:​あめうた にひと</v>
      </c>
      <c r="W253" s="23" t="str">
        <f>"|MIDDLE:​"&amp;テーブル1[[#This Row],[Name]]</f>
        <v>|MIDDLE:​Ameuta Nihito</v>
      </c>
      <c r="X253" s="23" t="str">
        <f>"|MIDDLE:​&amp;link(配布所はこちら){​"&amp;テーブル1[[#This Row],[リンク]]&amp;"}|"</f>
        <v>|MIDDLE:​&amp;link(配布所はこちら){​https://ametro.jimdofree.com}|</v>
      </c>
    </row>
    <row r="254" spans="2:24" ht="20.149999999999999" customHeight="1" x14ac:dyDescent="0.35">
      <c r="B254" s="23" t="str">
        <f>SUBSTITUTE(SUBSTITUTE(SUBSTITUTE(SUBSTITUTE(SUBSTITUTE(SUBSTITUTE(SUBSTITUTE(SUBSTITUTE(LOWER(テーブル1[[#This Row],[Name]])," ","-"),".","-"),"&amp;","-"),"_","-"),"・","-"),"=","-"),"--","-"),"--","-")</f>
        <v>ameuta-nipo</v>
      </c>
      <c r="C254" s="24" t="s">
        <v>922</v>
      </c>
      <c r="D254" s="23" t="s">
        <v>923</v>
      </c>
      <c r="E254" s="23" t="s">
        <v>924</v>
      </c>
      <c r="F254" s="2" t="s">
        <v>676</v>
      </c>
      <c r="G254" s="23" t="s">
        <v>677</v>
      </c>
      <c r="M254" s="1" t="s">
        <v>1517</v>
      </c>
      <c r="O254" s="24" t="str">
        <f>テーブル1[[#This Row],[リンク]]&amp;テーブル1[[#This Row],[描画状況]]</f>
        <v>https://ametro.jimdofree.com</v>
      </c>
      <c r="P254" s="17">
        <f>1-(COUNTIF(O:O,_xlfn.TEXTJOIN(",",TRUE,テーブル1[[#This Row],[リンク]],テーブル1[[#This Row],[描画状況]]))/COUNTIF(F:F,テーブル1[[#This Row],[リンク]]))</f>
        <v>0.19999999999999996</v>
      </c>
      <c r="Q254" s="16">
        <f ca="1">IFERROR(IF(テーブル1[[#This Row],[描画状況]]="",RAND()+(テーブル1[[#This Row],[列2]]*100),""),RAND())</f>
        <v>20.967212499649055</v>
      </c>
      <c r="S254" s="24" t="str">
        <f ca="1">IF(AND(テーブル1[[#This Row],[描画状況]]="済",テーブル1[[#This Row],[投稿状況]]=""),RAND(),"")</f>
        <v/>
      </c>
      <c r="T254" s="23" t="str">
        <f>"|&amp;image("&amp;テーブル1[[#This Row],[画像]]&amp;".png,width=100,height=100)"</f>
        <v>|&amp;image(ameuta-nipo.png,width=100,height=100)</v>
      </c>
      <c r="U254" s="23" t="str">
        <f>"|MIDDLE:​"&amp;テーブル1[[#This Row],[名前]]</f>
        <v>|MIDDLE:​飴唄にぽ</v>
      </c>
      <c r="V254" s="23" t="str">
        <f>"|MIDDLE:​"&amp;テーブル1[[#This Row],[なまえ]]</f>
        <v>|MIDDLE:​あめうた にぽ</v>
      </c>
      <c r="W254" s="23" t="str">
        <f>"|MIDDLE:​"&amp;テーブル1[[#This Row],[Name]]</f>
        <v>|MIDDLE:​Ameuta Nipo</v>
      </c>
      <c r="X254" s="23" t="str">
        <f>"|MIDDLE:​&amp;link(配布所はこちら){​"&amp;テーブル1[[#This Row],[リンク]]&amp;"}|"</f>
        <v>|MIDDLE:​&amp;link(配布所はこちら){​https://ametro.jimdofree.com}|</v>
      </c>
    </row>
    <row r="255" spans="2:24" ht="20.149999999999999" customHeight="1" x14ac:dyDescent="0.35">
      <c r="B255" s="23" t="str">
        <f>SUBSTITUTE(SUBSTITUTE(SUBSTITUTE(SUBSTITUTE(SUBSTITUTE(SUBSTITUTE(SUBSTITUTE(SUBSTITUTE(LOWER(テーブル1[[#This Row],[Name]])," ","-"),".","-"),"&amp;","-"),"_","-"),"・","-"),"=","-"),"--","-"),"--","-")</f>
        <v>ameuta-niyusu</v>
      </c>
      <c r="C255" s="24" t="s">
        <v>946</v>
      </c>
      <c r="D255" s="23" t="s">
        <v>947</v>
      </c>
      <c r="E255" s="23" t="s">
        <v>948</v>
      </c>
      <c r="F255" s="2" t="s">
        <v>676</v>
      </c>
      <c r="G255" s="23" t="s">
        <v>677</v>
      </c>
      <c r="M255" s="1" t="s">
        <v>1517</v>
      </c>
      <c r="O255" s="24" t="str">
        <f>テーブル1[[#This Row],[リンク]]&amp;テーブル1[[#This Row],[描画状況]]</f>
        <v>https://ametro.jimdofree.com</v>
      </c>
      <c r="P255" s="17">
        <f>1-(COUNTIF(O:O,_xlfn.TEXTJOIN(",",TRUE,テーブル1[[#This Row],[リンク]],テーブル1[[#This Row],[描画状況]]))/COUNTIF(F:F,テーブル1[[#This Row],[リンク]]))</f>
        <v>0.19999999999999996</v>
      </c>
      <c r="Q255" s="16">
        <f ca="1">IFERROR(IF(テーブル1[[#This Row],[描画状況]]="",RAND()+(テーブル1[[#This Row],[列2]]*100),""),RAND())</f>
        <v>20.637859365868561</v>
      </c>
      <c r="S255" s="24" t="str">
        <f ca="1">IF(AND(テーブル1[[#This Row],[描画状況]]="済",テーブル1[[#This Row],[投稿状況]]=""),RAND(),"")</f>
        <v/>
      </c>
      <c r="T255" s="23" t="str">
        <f>"|&amp;image("&amp;テーブル1[[#This Row],[画像]]&amp;".png,width=100,height=100)"</f>
        <v>|&amp;image(ameuta-niyusu.png,width=100,height=100)</v>
      </c>
      <c r="U255" s="23" t="str">
        <f>"|MIDDLE:​"&amp;テーブル1[[#This Row],[名前]]</f>
        <v>|MIDDLE:​飴唄ニユス</v>
      </c>
      <c r="V255" s="23" t="str">
        <f>"|MIDDLE:​"&amp;テーブル1[[#This Row],[なまえ]]</f>
        <v>|MIDDLE:​あめうた にゆす</v>
      </c>
      <c r="W255" s="23" t="str">
        <f>"|MIDDLE:​"&amp;テーブル1[[#This Row],[Name]]</f>
        <v>|MIDDLE:​Ameuta Niyusu</v>
      </c>
      <c r="X255" s="23" t="str">
        <f>"|MIDDLE:​&amp;link(配布所はこちら){​"&amp;テーブル1[[#This Row],[リンク]]&amp;"}|"</f>
        <v>|MIDDLE:​&amp;link(配布所はこちら){​https://ametro.jimdofree.com}|</v>
      </c>
    </row>
    <row r="256" spans="2:24" ht="20.149999999999999" customHeight="1" x14ac:dyDescent="0.35">
      <c r="B256" s="23" t="str">
        <f>SUBSTITUTE(SUBSTITUTE(SUBSTITUTE(SUBSTITUTE(SUBSTITUTE(SUBSTITUTE(SUBSTITUTE(SUBSTITUTE(LOWER(テーブル1[[#This Row],[Name]])," ","-"),".","-"),"&amp;","-"),"_","-"),"・","-"),"=","-"),"--","-"),"--","-")</f>
        <v>ameuta-niriya</v>
      </c>
      <c r="C256" s="24" t="s">
        <v>943</v>
      </c>
      <c r="D256" s="23" t="s">
        <v>944</v>
      </c>
      <c r="E256" s="23" t="s">
        <v>945</v>
      </c>
      <c r="F256" s="2" t="s">
        <v>676</v>
      </c>
      <c r="G256" s="23" t="s">
        <v>677</v>
      </c>
      <c r="M256" s="1" t="s">
        <v>1517</v>
      </c>
      <c r="O256" s="24" t="str">
        <f>テーブル1[[#This Row],[リンク]]&amp;テーブル1[[#This Row],[描画状況]]</f>
        <v>https://ametro.jimdofree.com</v>
      </c>
      <c r="P256" s="17">
        <f>1-(COUNTIF(O:O,_xlfn.TEXTJOIN(",",TRUE,テーブル1[[#This Row],[リンク]],テーブル1[[#This Row],[描画状況]]))/COUNTIF(F:F,テーブル1[[#This Row],[リンク]]))</f>
        <v>0.19999999999999996</v>
      </c>
      <c r="Q256" s="16">
        <f ca="1">IFERROR(IF(テーブル1[[#This Row],[描画状況]]="",RAND()+(テーブル1[[#This Row],[列2]]*100),""),RAND())</f>
        <v>20.905319146439862</v>
      </c>
      <c r="S256" s="24" t="str">
        <f ca="1">IF(AND(テーブル1[[#This Row],[描画状況]]="済",テーブル1[[#This Row],[投稿状況]]=""),RAND(),"")</f>
        <v/>
      </c>
      <c r="T256" s="23" t="str">
        <f>"|&amp;image("&amp;テーブル1[[#This Row],[画像]]&amp;".png,width=100,height=100)"</f>
        <v>|&amp;image(ameuta-niriya.png,width=100,height=100)</v>
      </c>
      <c r="U256" s="23" t="str">
        <f>"|MIDDLE:​"&amp;テーブル1[[#This Row],[名前]]</f>
        <v>|MIDDLE:​飴唄ニリヤ</v>
      </c>
      <c r="V256" s="23" t="str">
        <f>"|MIDDLE:​"&amp;テーブル1[[#This Row],[なまえ]]</f>
        <v>|MIDDLE:​あめうた にりや</v>
      </c>
      <c r="W256" s="23" t="str">
        <f>"|MIDDLE:​"&amp;テーブル1[[#This Row],[Name]]</f>
        <v>|MIDDLE:​Ameuta Niriya</v>
      </c>
      <c r="X256" s="23" t="str">
        <f>"|MIDDLE:​&amp;link(配布所はこちら){​"&amp;テーブル1[[#This Row],[リンク]]&amp;"}|"</f>
        <v>|MIDDLE:​&amp;link(配布所はこちら){​https://ametro.jimdofree.com}|</v>
      </c>
    </row>
    <row r="257" spans="2:24" ht="20.149999999999999" customHeight="1" x14ac:dyDescent="0.35">
      <c r="B257" s="23" t="str">
        <f>SUBSTITUTE(SUBSTITUTE(SUBSTITUTE(SUBSTITUTE(SUBSTITUTE(SUBSTITUTE(SUBSTITUTE(SUBSTITUTE(LOWER(テーブル1[[#This Row],[Name]])," ","-"),".","-"),"&amp;","-"),"_","-"),"・","-"),"=","-"),"--","-"),"--","-")</f>
        <v>ameuta-niru</v>
      </c>
      <c r="C257" s="24" t="s">
        <v>934</v>
      </c>
      <c r="D257" s="23" t="s">
        <v>935</v>
      </c>
      <c r="E257" s="23" t="s">
        <v>936</v>
      </c>
      <c r="F257" s="2" t="s">
        <v>676</v>
      </c>
      <c r="G257" s="23" t="s">
        <v>677</v>
      </c>
      <c r="M257" s="1" t="s">
        <v>1517</v>
      </c>
      <c r="O257" s="24" t="str">
        <f>テーブル1[[#This Row],[リンク]]&amp;テーブル1[[#This Row],[描画状況]]</f>
        <v>https://ametro.jimdofree.com</v>
      </c>
      <c r="P257" s="17">
        <f>1-(COUNTIF(O:O,_xlfn.TEXTJOIN(",",TRUE,テーブル1[[#This Row],[リンク]],テーブル1[[#This Row],[描画状況]]))/COUNTIF(F:F,テーブル1[[#This Row],[リンク]]))</f>
        <v>0.19999999999999996</v>
      </c>
      <c r="Q257" s="16">
        <f ca="1">IFERROR(IF(テーブル1[[#This Row],[描画状況]]="",RAND()+(テーブル1[[#This Row],[列2]]*100),""),RAND())</f>
        <v>20.948075870500769</v>
      </c>
      <c r="S257" s="24" t="str">
        <f ca="1">IF(AND(テーブル1[[#This Row],[描画状況]]="済",テーブル1[[#This Row],[投稿状況]]=""),RAND(),"")</f>
        <v/>
      </c>
      <c r="T257" s="23" t="str">
        <f>"|&amp;image("&amp;テーブル1[[#This Row],[画像]]&amp;".png,width=100,height=100)"</f>
        <v>|&amp;image(ameuta-niru.png,width=100,height=100)</v>
      </c>
      <c r="U257" s="23" t="str">
        <f>"|MIDDLE:​"&amp;テーブル1[[#This Row],[名前]]</f>
        <v>|MIDDLE:​飴唄ニル</v>
      </c>
      <c r="V257" s="23" t="str">
        <f>"|MIDDLE:​"&amp;テーブル1[[#This Row],[なまえ]]</f>
        <v>|MIDDLE:​あめうた にる</v>
      </c>
      <c r="W257" s="23" t="str">
        <f>"|MIDDLE:​"&amp;テーブル1[[#This Row],[Name]]</f>
        <v>|MIDDLE:​Ameuta Niru</v>
      </c>
      <c r="X257" s="23" t="str">
        <f>"|MIDDLE:​&amp;link(配布所はこちら){​"&amp;テーブル1[[#This Row],[リンク]]&amp;"}|"</f>
        <v>|MIDDLE:​&amp;link(配布所はこちら){​https://ametro.jimdofree.com}|</v>
      </c>
    </row>
    <row r="258" spans="2:24" ht="20.149999999999999" customHeight="1" x14ac:dyDescent="0.35">
      <c r="B258" s="23" t="str">
        <f>SUBSTITUTE(SUBSTITUTE(SUBSTITUTE(SUBSTITUTE(SUBSTITUTE(SUBSTITUTE(SUBSTITUTE(SUBSTITUTE(LOWER(テーブル1[[#This Row],[Name]])," ","-"),".","-"),"&amp;","-"),"_","-"),"・","-"),"=","-"),"--","-"),"--","-")</f>
        <v>ayarune-hachika</v>
      </c>
      <c r="C258" s="24" t="s">
        <v>1125</v>
      </c>
      <c r="D258" s="23" t="s">
        <v>1127</v>
      </c>
      <c r="E258" s="23" t="s">
        <v>1126</v>
      </c>
      <c r="F258" s="15" t="s">
        <v>1143</v>
      </c>
      <c r="G258" s="23" t="str">
        <f>テーブル1[[#This Row],[名前]]&amp;"(UTAU)"</f>
        <v>斐音ハチカ(UTAU)</v>
      </c>
      <c r="O258" s="24" t="str">
        <f>テーブル1[[#This Row],[リンク]]&amp;テーブル1[[#This Row],[描画状況]]</f>
        <v>https://yautau.wixsite.com/0909</v>
      </c>
      <c r="P258" s="17">
        <f>1-(COUNTIF(O:O,_xlfn.TEXTJOIN(",",TRUE,テーブル1[[#This Row],[リンク]],テーブル1[[#This Row],[描画状況]]))/COUNTIF(F:F,テーブル1[[#This Row],[リンク]]))</f>
        <v>0.125</v>
      </c>
      <c r="Q258" s="16">
        <f ca="1">IFERROR(IF(テーブル1[[#This Row],[描画状況]]="",RAND()+(テーブル1[[#This Row],[列2]]*100),""),RAND())</f>
        <v>13.468040883615224</v>
      </c>
      <c r="S258" s="24" t="str">
        <f ca="1">IF(AND(テーブル1[[#This Row],[描画状況]]="済",テーブル1[[#This Row],[投稿状況]]=""),RAND(),"")</f>
        <v/>
      </c>
      <c r="T258" s="23" t="str">
        <f>"|&amp;image("&amp;テーブル1[[#This Row],[画像]]&amp;".png,width=100,height=100)"</f>
        <v>|&amp;image(ayarune-hachika.png,width=100,height=100)</v>
      </c>
      <c r="U258" s="23" t="str">
        <f>"|MIDDLE:​"&amp;テーブル1[[#This Row],[名前]]</f>
        <v>|MIDDLE:​斐音ハチカ</v>
      </c>
      <c r="V258" s="23" t="str">
        <f>"|MIDDLE:​"&amp;テーブル1[[#This Row],[なまえ]]</f>
        <v>|MIDDLE:​あやるね はちか</v>
      </c>
      <c r="W258" s="23" t="str">
        <f>"|MIDDLE:​"&amp;テーブル1[[#This Row],[Name]]</f>
        <v>|MIDDLE:​Ayarune Hachika</v>
      </c>
      <c r="X258" s="23" t="str">
        <f>"|MIDDLE:​&amp;link(配布所はこちら){​"&amp;テーブル1[[#This Row],[リンク]]&amp;"}|"</f>
        <v>|MIDDLE:​&amp;link(配布所はこちら){​https://yautau.wixsite.com/0909}|</v>
      </c>
    </row>
    <row r="259" spans="2:24" ht="20.149999999999999" customHeight="1" x14ac:dyDescent="0.35">
      <c r="B259" s="23" t="str">
        <f>SUBSTITUTE(SUBSTITUTE(SUBSTITUTE(SUBSTITUTE(SUBSTITUTE(SUBSTITUTE(SUBSTITUTE(SUBSTITUTE(LOWER(テーブル1[[#This Row],[Name]])," ","-"),".","-"),"&amp;","-"),"_","-"),"・","-"),"=","-"),"--","-"),"--","-")</f>
        <v>alia</v>
      </c>
      <c r="C259" s="24" t="s">
        <v>822</v>
      </c>
      <c r="D259" s="23" t="s">
        <v>823</v>
      </c>
      <c r="E259" s="23" t="s">
        <v>824</v>
      </c>
      <c r="F259" s="2" t="s">
        <v>814</v>
      </c>
      <c r="G259" s="23" t="s">
        <v>815</v>
      </c>
      <c r="O259" s="24" t="str">
        <f>テーブル1[[#This Row],[リンク]]&amp;テーブル1[[#This Row],[描画状況]]</f>
        <v>https://makurakue.wixsite.com/kemononokemono</v>
      </c>
      <c r="P259" s="17">
        <f>1-(COUNTIF(O:O,_xlfn.TEXTJOIN(",",TRUE,テーブル1[[#This Row],[リンク]],テーブル1[[#This Row],[描画状況]]))/COUNTIF(F:F,テーブル1[[#This Row],[リンク]]))</f>
        <v>0.4</v>
      </c>
      <c r="Q259" s="16">
        <f ca="1">IFERROR(IF(テーブル1[[#This Row],[描画状況]]="",RAND()+(テーブル1[[#This Row],[列2]]*100),""),RAND())</f>
        <v>40.228795118329508</v>
      </c>
      <c r="S259" s="24" t="str">
        <f ca="1">IF(AND(テーブル1[[#This Row],[描画状況]]="済",テーブル1[[#This Row],[投稿状況]]=""),RAND(),"")</f>
        <v/>
      </c>
      <c r="T259" s="23" t="str">
        <f>"|&amp;image("&amp;テーブル1[[#This Row],[画像]]&amp;".png,width=100,height=100)"</f>
        <v>|&amp;image(alia.png,width=100,height=100)</v>
      </c>
      <c r="U259" s="23" t="str">
        <f>"|MIDDLE:​"&amp;テーブル1[[#This Row],[名前]]</f>
        <v>|MIDDLE:​アリア</v>
      </c>
      <c r="V259" s="23" t="str">
        <f>"|MIDDLE:​"&amp;テーブル1[[#This Row],[なまえ]]</f>
        <v>|MIDDLE:​ありあ</v>
      </c>
      <c r="W259" s="23" t="str">
        <f>"|MIDDLE:​"&amp;テーブル1[[#This Row],[Name]]</f>
        <v>|MIDDLE:​Alia</v>
      </c>
      <c r="X259" s="23" t="str">
        <f>"|MIDDLE:​&amp;link(配布所はこちら){​"&amp;テーブル1[[#This Row],[リンク]]&amp;"}|"</f>
        <v>|MIDDLE:​&amp;link(配布所はこちら){​https://makurakue.wixsite.com/kemononokemono}|</v>
      </c>
    </row>
    <row r="260" spans="2:24" ht="20.149999999999999" customHeight="1" x14ac:dyDescent="0.35">
      <c r="B260" s="23" t="str">
        <f>SUBSTITUTE(SUBSTITUTE(SUBSTITUTE(SUBSTITUTE(SUBSTITUTE(SUBSTITUTE(SUBSTITUTE(SUBSTITUTE(LOWER(テーブル1[[#This Row],[Name]])," ","-"),".","-"),"&amp;","-"),"_","-"),"・","-"),"=","-"),"--","-"),"--","-")</f>
        <v>awaawa-chan</v>
      </c>
      <c r="C260" s="24" t="s">
        <v>1080</v>
      </c>
      <c r="D260" s="23" t="s">
        <v>1081</v>
      </c>
      <c r="E260" s="23" t="s">
        <v>1082</v>
      </c>
      <c r="F260" s="15" t="s">
        <v>1066</v>
      </c>
      <c r="G260" s="23" t="s">
        <v>1067</v>
      </c>
      <c r="O260" s="24" t="str">
        <f>テーブル1[[#This Row],[リンク]]&amp;テーブル1[[#This Row],[描画状況]]</f>
        <v>https://yukimiyashimusho.jimdofree.com</v>
      </c>
      <c r="P260" s="17">
        <f>1-(COUNTIF(O:O,_xlfn.TEXTJOIN(",",TRUE,テーブル1[[#This Row],[リンク]],テーブル1[[#This Row],[描画状況]]))/COUNTIF(F:F,テーブル1[[#This Row],[リンク]]))</f>
        <v>7.1428571428571397E-2</v>
      </c>
      <c r="Q260" s="16">
        <f ca="1">IFERROR(IF(テーブル1[[#This Row],[描画状況]]="",RAND()+(テーブル1[[#This Row],[列2]]*100),""),RAND())</f>
        <v>7.6653010218384603</v>
      </c>
      <c r="S260" s="24" t="str">
        <f ca="1">IF(AND(テーブル1[[#This Row],[描画状況]]="済",テーブル1[[#This Row],[投稿状況]]=""),RAND(),"")</f>
        <v/>
      </c>
      <c r="T260" s="23" t="str">
        <f>"|&amp;image("&amp;テーブル1[[#This Row],[画像]]&amp;".png,width=100,height=100)"</f>
        <v>|&amp;image(awaawa-chan.png,width=100,height=100)</v>
      </c>
      <c r="U260" s="23" t="str">
        <f>"|MIDDLE:​"&amp;テーブル1[[#This Row],[名前]]</f>
        <v>|MIDDLE:​粟沫ちゃん</v>
      </c>
      <c r="V260" s="23" t="str">
        <f>"|MIDDLE:​"&amp;テーブル1[[#This Row],[なまえ]]</f>
        <v>|MIDDLE:​あわあわちゃん</v>
      </c>
      <c r="W260" s="23" t="str">
        <f>"|MIDDLE:​"&amp;テーブル1[[#This Row],[Name]]</f>
        <v>|MIDDLE:​Awaawa-chan</v>
      </c>
      <c r="X260" s="23" t="str">
        <f>"|MIDDLE:​&amp;link(配布所はこちら){​"&amp;テーブル1[[#This Row],[リンク]]&amp;"}|"</f>
        <v>|MIDDLE:​&amp;link(配布所はこちら){​https://yukimiyashimusho.jimdofree.com}|</v>
      </c>
    </row>
    <row r="261" spans="2:24" ht="20.149999999999999" customHeight="1" x14ac:dyDescent="0.35">
      <c r="B261" s="23" t="str">
        <f>SUBSTITUTE(SUBSTITUTE(SUBSTITUTE(SUBSTITUTE(SUBSTITUTE(SUBSTITUTE(SUBSTITUTE(SUBSTITUTE(LOWER(テーブル1[[#This Row],[Name]])," ","-"),".","-"),"&amp;","-"),"_","-"),"・","-"),"=","-"),"--","-"),"--","-")</f>
        <v>awaka-mizuha</v>
      </c>
      <c r="C261" s="24" t="s">
        <v>659</v>
      </c>
      <c r="D261" s="23" t="s">
        <v>660</v>
      </c>
      <c r="E261" s="23" t="s">
        <v>661</v>
      </c>
      <c r="F261" s="2" t="s">
        <v>658</v>
      </c>
      <c r="G261" s="23" t="s">
        <v>662</v>
      </c>
      <c r="O261" s="24" t="str">
        <f>テーブル1[[#This Row],[リンク]]&amp;テーブル1[[#This Row],[描画状況]]</f>
        <v>https://mashimo0330.wixsite.com/awaka-utau</v>
      </c>
      <c r="P261" s="17">
        <f>1-(COUNTIF(O:O,_xlfn.TEXTJOIN(",",TRUE,テーブル1[[#This Row],[リンク]],テーブル1[[#This Row],[描画状況]]))/COUNTIF(F:F,テーブル1[[#This Row],[リンク]]))</f>
        <v>0.5</v>
      </c>
      <c r="Q261" s="16">
        <f ca="1">IFERROR(IF(テーブル1[[#This Row],[描画状況]]="",RAND()+(テーブル1[[#This Row],[列2]]*100),""),RAND())</f>
        <v>50.489633313821436</v>
      </c>
      <c r="S261" s="24" t="str">
        <f ca="1">IF(AND(テーブル1[[#This Row],[描画状況]]="済",テーブル1[[#This Row],[投稿状況]]=""),RAND(),"")</f>
        <v/>
      </c>
      <c r="T261" s="23" t="str">
        <f>"|&amp;image("&amp;テーブル1[[#This Row],[画像]]&amp;".png,width=100,height=100)"</f>
        <v>|&amp;image(awaka-mizuha.png,width=100,height=100)</v>
      </c>
      <c r="U261" s="23" t="str">
        <f>"|MIDDLE:​"&amp;テーブル1[[#This Row],[名前]]</f>
        <v>|MIDDLE:​泡歌ミズハ</v>
      </c>
      <c r="V261" s="23" t="str">
        <f>"|MIDDLE:​"&amp;テーブル1[[#This Row],[なまえ]]</f>
        <v>|MIDDLE:​あわか みずは</v>
      </c>
      <c r="W261" s="23" t="str">
        <f>"|MIDDLE:​"&amp;テーブル1[[#This Row],[Name]]</f>
        <v>|MIDDLE:​Awaka Mizuha</v>
      </c>
      <c r="X261" s="23" t="str">
        <f>"|MIDDLE:​&amp;link(配布所はこちら){​"&amp;テーブル1[[#This Row],[リンク]]&amp;"}|"</f>
        <v>|MIDDLE:​&amp;link(配布所はこちら){​https://mashimo0330.wixsite.com/awaka-utau}|</v>
      </c>
    </row>
    <row r="262" spans="2:24" ht="20.149999999999999" customHeight="1" x14ac:dyDescent="0.35">
      <c r="B262" s="23" t="str">
        <f>SUBSTITUTE(SUBSTITUTE(SUBSTITUTE(SUBSTITUTE(SUBSTITUTE(SUBSTITUTE(SUBSTITUTE(SUBSTITUTE(LOWER(テーブル1[[#This Row],[Name]])," ","-"),".","-"),"&amp;","-"),"_","-"),"・","-"),"=","-"),"--","-"),"--","-")</f>
        <v>ion-moka</v>
      </c>
      <c r="C262" s="24" t="s">
        <v>1151</v>
      </c>
      <c r="D262" s="23" t="s">
        <v>1152</v>
      </c>
      <c r="E262" s="23" t="s">
        <v>1153</v>
      </c>
      <c r="F262" s="15" t="s">
        <v>1144</v>
      </c>
      <c r="G262" s="23" t="s">
        <v>1157</v>
      </c>
      <c r="O262" s="24" t="str">
        <f>テーブル1[[#This Row],[リンク]]&amp;テーブル1[[#This Row],[描画状況]]</f>
        <v>https://sites.google.com/view/report1023</v>
      </c>
      <c r="P262" s="17">
        <f>1-(COUNTIF(O:O,_xlfn.TEXTJOIN(",",TRUE,テーブル1[[#This Row],[リンク]],テーブル1[[#This Row],[描画状況]]))/COUNTIF(F:F,テーブル1[[#This Row],[リンク]]))</f>
        <v>0</v>
      </c>
      <c r="Q262" s="16">
        <f ca="1">IFERROR(IF(テーブル1[[#This Row],[描画状況]]="",RAND()+(テーブル1[[#This Row],[列2]]*100),""),RAND())</f>
        <v>0.20663742566893684</v>
      </c>
      <c r="S262" s="24" t="str">
        <f ca="1">IF(AND(テーブル1[[#This Row],[描画状況]]="済",テーブル1[[#This Row],[投稿状況]]=""),RAND(),"")</f>
        <v/>
      </c>
      <c r="T262" s="23" t="str">
        <f>"|&amp;image("&amp;テーブル1[[#This Row],[画像]]&amp;".png,width=100,height=100)"</f>
        <v>|&amp;image(ion-moka.png,width=100,height=100)</v>
      </c>
      <c r="U262" s="23" t="str">
        <f>"|MIDDLE:​"&amp;テーブル1[[#This Row],[名前]]</f>
        <v>|MIDDLE:​唯音文歌</v>
      </c>
      <c r="V262" s="23" t="str">
        <f>"|MIDDLE:​"&amp;テーブル1[[#This Row],[なまえ]]</f>
        <v>|MIDDLE:​いおん もか</v>
      </c>
      <c r="W262" s="23" t="str">
        <f>"|MIDDLE:​"&amp;テーブル1[[#This Row],[Name]]</f>
        <v>|MIDDLE:​Ion Moka</v>
      </c>
      <c r="X262" s="23" t="str">
        <f>"|MIDDLE:​&amp;link(配布所はこちら){​"&amp;テーブル1[[#This Row],[リンク]]&amp;"}|"</f>
        <v>|MIDDLE:​&amp;link(配布所はこちら){​https://sites.google.com/view/report1023}|</v>
      </c>
    </row>
    <row r="263" spans="2:24" ht="20.149999999999999" customHeight="1" x14ac:dyDescent="0.35">
      <c r="B263" s="23" t="str">
        <f>SUBSTITUTE(SUBSTITUTE(SUBSTITUTE(SUBSTITUTE(SUBSTITUTE(SUBSTITUTE(SUBSTITUTE(SUBSTITUTE(LOWER(テーブル1[[#This Row],[Name]])," ","-"),".","-"),"&amp;","-"),"_","-"),"・","-"),"=","-"),"--","-"),"--","-")</f>
        <v>ion-rika</v>
      </c>
      <c r="C263" s="24" t="s">
        <v>1145</v>
      </c>
      <c r="D263" s="23" t="s">
        <v>1146</v>
      </c>
      <c r="E263" s="23" t="s">
        <v>1147</v>
      </c>
      <c r="F263" s="15" t="s">
        <v>1144</v>
      </c>
      <c r="G263" s="23" t="s">
        <v>1157</v>
      </c>
      <c r="O263" s="24" t="str">
        <f>テーブル1[[#This Row],[リンク]]&amp;テーブル1[[#This Row],[描画状況]]</f>
        <v>https://sites.google.com/view/report1023</v>
      </c>
      <c r="P263" s="17">
        <f>1-(COUNTIF(O:O,_xlfn.TEXTJOIN(",",TRUE,テーブル1[[#This Row],[リンク]],テーブル1[[#This Row],[描画状況]]))/COUNTIF(F:F,テーブル1[[#This Row],[リンク]]))</f>
        <v>0</v>
      </c>
      <c r="Q263" s="16">
        <f ca="1">IFERROR(IF(テーブル1[[#This Row],[描画状況]]="",RAND()+(テーブル1[[#This Row],[列2]]*100),""),RAND())</f>
        <v>0.61142871086916339</v>
      </c>
      <c r="S263" s="24" t="str">
        <f ca="1">IF(AND(テーブル1[[#This Row],[描画状況]]="済",テーブル1[[#This Row],[投稿状況]]=""),RAND(),"")</f>
        <v/>
      </c>
      <c r="T263" s="23" t="str">
        <f>"|&amp;image("&amp;テーブル1[[#This Row],[画像]]&amp;".png,width=100,height=100)"</f>
        <v>|&amp;image(ion-rika.png,width=100,height=100)</v>
      </c>
      <c r="U263" s="23" t="str">
        <f>"|MIDDLE:​"&amp;テーブル1[[#This Row],[名前]]</f>
        <v>|MIDDLE:​唯音理歌</v>
      </c>
      <c r="V263" s="23" t="str">
        <f>"|MIDDLE:​"&amp;テーブル1[[#This Row],[なまえ]]</f>
        <v>|MIDDLE:​いおん りか</v>
      </c>
      <c r="W263" s="23" t="str">
        <f>"|MIDDLE:​"&amp;テーブル1[[#This Row],[Name]]</f>
        <v>|MIDDLE:​Ion Rika</v>
      </c>
      <c r="X263" s="23" t="str">
        <f>"|MIDDLE:​&amp;link(配布所はこちら){​"&amp;テーブル1[[#This Row],[リンク]]&amp;"}|"</f>
        <v>|MIDDLE:​&amp;link(配布所はこちら){​https://sites.google.com/view/report1023}|</v>
      </c>
    </row>
    <row r="264" spans="2:24" ht="20.149999999999999" customHeight="1" x14ac:dyDescent="0.35">
      <c r="B264" s="23" t="str">
        <f>SUBSTITUTE(SUBSTITUTE(SUBSTITUTE(SUBSTITUTE(SUBSTITUTE(SUBSTITUTE(SUBSTITUTE(SUBSTITUTE(LOWER(テーブル1[[#This Row],[Name]])," ","-"),".","-"),"&amp;","-"),"_","-"),"・","-"),"=","-"),"--","-"),"--","-")</f>
        <v>ikuuta-sein</v>
      </c>
      <c r="C264" s="24" t="s">
        <v>1101</v>
      </c>
      <c r="D264" s="23" t="s">
        <v>1102</v>
      </c>
      <c r="E264" s="23" t="s">
        <v>1103</v>
      </c>
      <c r="F264" s="15" t="s">
        <v>1066</v>
      </c>
      <c r="G264" s="23" t="s">
        <v>1067</v>
      </c>
      <c r="O264" s="24" t="str">
        <f>テーブル1[[#This Row],[リンク]]&amp;テーブル1[[#This Row],[描画状況]]</f>
        <v>https://yukimiyashimusho.jimdofree.com</v>
      </c>
      <c r="P264" s="17">
        <f>1-(COUNTIF(O:O,_xlfn.TEXTJOIN(",",TRUE,テーブル1[[#This Row],[リンク]],テーブル1[[#This Row],[描画状況]]))/COUNTIF(F:F,テーブル1[[#This Row],[リンク]]))</f>
        <v>7.1428571428571397E-2</v>
      </c>
      <c r="Q264" s="16">
        <f ca="1">IFERROR(IF(テーブル1[[#This Row],[描画状況]]="",RAND()+(テーブル1[[#This Row],[列2]]*100),""),RAND())</f>
        <v>8.0191834082787388</v>
      </c>
      <c r="S264" s="24" t="str">
        <f ca="1">IF(AND(テーブル1[[#This Row],[描画状況]]="済",テーブル1[[#This Row],[投稿状況]]=""),RAND(),"")</f>
        <v/>
      </c>
      <c r="T264" s="23" t="str">
        <f>"|&amp;image("&amp;テーブル1[[#This Row],[画像]]&amp;".png,width=100,height=100)"</f>
        <v>|&amp;image(ikuuta-sein.png,width=100,height=100)</v>
      </c>
      <c r="U264" s="23" t="str">
        <f>"|MIDDLE:​"&amp;テーブル1[[#This Row],[名前]]</f>
        <v>|MIDDLE:​郁歌セイン</v>
      </c>
      <c r="V264" s="23" t="str">
        <f>"|MIDDLE:​"&amp;テーブル1[[#This Row],[なまえ]]</f>
        <v>|MIDDLE:​いくうた せいん</v>
      </c>
      <c r="W264" s="23" t="str">
        <f>"|MIDDLE:​"&amp;テーブル1[[#This Row],[Name]]</f>
        <v>|MIDDLE:​Ikuuta Sein</v>
      </c>
      <c r="X264" s="23" t="str">
        <f>"|MIDDLE:​&amp;link(配布所はこちら){​"&amp;テーブル1[[#This Row],[リンク]]&amp;"}|"</f>
        <v>|MIDDLE:​&amp;link(配布所はこちら){​https://yukimiyashimusho.jimdofree.com}|</v>
      </c>
    </row>
    <row r="265" spans="2:24" ht="20.149999999999999" customHeight="1" x14ac:dyDescent="0.35">
      <c r="B265" s="23" t="str">
        <f>SUBSTITUTE(SUBSTITUTE(SUBSTITUTE(SUBSTITUTE(SUBSTITUTE(SUBSTITUTE(SUBSTITUTE(SUBSTITUTE(LOWER(テーブル1[[#This Row],[Name]])," ","-"),".","-"),"&amp;","-"),"_","-"),"・","-"),"=","-"),"--","-"),"--","-")</f>
        <v>itazura-seto</v>
      </c>
      <c r="C265" s="24" t="s">
        <v>556</v>
      </c>
      <c r="D265" s="23" t="s">
        <v>557</v>
      </c>
      <c r="E265" s="23" t="s">
        <v>558</v>
      </c>
      <c r="F265" s="2" t="s">
        <v>559</v>
      </c>
      <c r="G265" s="23" t="str">
        <f>テーブル1[[#This Row],[名前]]&amp;"(UTAU)"</f>
        <v>悪戯セト(UTAU)</v>
      </c>
      <c r="M265" s="1" t="s">
        <v>1517</v>
      </c>
      <c r="O265" s="24" t="str">
        <f>テーブル1[[#This Row],[リンク]]&amp;テーブル1[[#This Row],[描画状況]]</f>
        <v>https://bowlroll.net/user/700434</v>
      </c>
      <c r="P265" s="17">
        <f>1-(COUNTIF(O:O,_xlfn.TEXTJOIN(",",TRUE,テーブル1[[#This Row],[リンク]],テーブル1[[#This Row],[描画状況]]))/COUNTIF(F:F,テーブル1[[#This Row],[リンク]]))</f>
        <v>0.5</v>
      </c>
      <c r="Q265" s="16">
        <f ca="1">IFERROR(IF(テーブル1[[#This Row],[描画状況]]="",RAND()+(テーブル1[[#This Row],[列2]]*100),""),RAND())</f>
        <v>50.365951789087426</v>
      </c>
      <c r="S265" s="24" t="str">
        <f ca="1">IF(AND(テーブル1[[#This Row],[描画状況]]="済",テーブル1[[#This Row],[投稿状況]]=""),RAND(),"")</f>
        <v/>
      </c>
      <c r="T265" s="23" t="str">
        <f>"|&amp;image("&amp;テーブル1[[#This Row],[画像]]&amp;".png,width=100,height=100)"</f>
        <v>|&amp;image(itazura-seto.png,width=100,height=100)</v>
      </c>
      <c r="U265" s="23" t="str">
        <f>"|MIDDLE:​"&amp;テーブル1[[#This Row],[名前]]</f>
        <v>|MIDDLE:​悪戯セト</v>
      </c>
      <c r="V265" s="23" t="str">
        <f>"|MIDDLE:​"&amp;テーブル1[[#This Row],[なまえ]]</f>
        <v>|MIDDLE:​いたずら せと</v>
      </c>
      <c r="W265" s="23" t="str">
        <f>"|MIDDLE:​"&amp;テーブル1[[#This Row],[Name]]</f>
        <v>|MIDDLE:​Itazura Seto</v>
      </c>
      <c r="X265" s="23" t="str">
        <f>"|MIDDLE:​&amp;link(配布所はこちら){​"&amp;テーブル1[[#This Row],[リンク]]&amp;"}|"</f>
        <v>|MIDDLE:​&amp;link(配布所はこちら){​https://bowlroll.net/user/700434}|</v>
      </c>
    </row>
    <row r="266" spans="2:24" ht="20.149999999999999" customHeight="1" x14ac:dyDescent="0.35">
      <c r="B266" s="23" t="str">
        <f>SUBSTITUTE(SUBSTITUTE(SUBSTITUTE(SUBSTITUTE(SUBSTITUTE(SUBSTITUTE(SUBSTITUTE(SUBSTITUTE(LOWER(テーブル1[[#This Row],[Name]])," ","-"),".","-"),"&amp;","-"),"_","-"),"・","-"),"=","-"),"--","-"),"--","-")</f>
        <v>itokuri-samayu</v>
      </c>
      <c r="C266" s="24" t="s">
        <v>918</v>
      </c>
      <c r="D266" s="23" t="s">
        <v>920</v>
      </c>
      <c r="E266" s="23" t="s">
        <v>921</v>
      </c>
      <c r="F266" s="23" t="s">
        <v>421</v>
      </c>
      <c r="G266" s="23" t="s">
        <v>919</v>
      </c>
      <c r="O266" s="24" t="str">
        <f>テーブル1[[#This Row],[リンク]]&amp;テーブル1[[#This Row],[描画状況]]</f>
        <v>-</v>
      </c>
      <c r="P266" s="17">
        <f>1-(COUNTIF(O:O,_xlfn.TEXTJOIN(",",TRUE,テーブル1[[#This Row],[リンク]],テーブル1[[#This Row],[描画状況]]))/COUNTIF(F:F,テーブル1[[#This Row],[リンク]]))</f>
        <v>0.33333333333333337</v>
      </c>
      <c r="Q266" s="16">
        <f ca="1">IFERROR(IF(テーブル1[[#This Row],[描画状況]]="",RAND()+(テーブル1[[#This Row],[列2]]*100),""),RAND())</f>
        <v>33.597404851091838</v>
      </c>
      <c r="S266" s="24" t="str">
        <f ca="1">IF(AND(テーブル1[[#This Row],[描画状況]]="済",テーブル1[[#This Row],[投稿状況]]=""),RAND(),"")</f>
        <v/>
      </c>
      <c r="T266" s="23" t="str">
        <f>"|&amp;image("&amp;テーブル1[[#This Row],[画像]]&amp;".png,width=100,height=100)"</f>
        <v>|&amp;image(itokuri-samayu.png,width=100,height=100)</v>
      </c>
      <c r="U266" s="23" t="str">
        <f>"|MIDDLE:​"&amp;テーブル1[[#This Row],[名前]]</f>
        <v>|MIDDLE:​糸來さまゆ</v>
      </c>
      <c r="V266" s="23" t="str">
        <f>"|MIDDLE:​"&amp;テーブル1[[#This Row],[なまえ]]</f>
        <v>|MIDDLE:​いとくり さまゆ</v>
      </c>
      <c r="W266" s="23" t="str">
        <f>"|MIDDLE:​"&amp;テーブル1[[#This Row],[Name]]</f>
        <v>|MIDDLE:​Itokuri Samayu</v>
      </c>
      <c r="X266" s="23" t="str">
        <f>"|MIDDLE:​&amp;link(配布所はこちら){​"&amp;テーブル1[[#This Row],[リンク]]&amp;"}|"</f>
        <v>|MIDDLE:​&amp;link(配布所はこちら){​-}|</v>
      </c>
    </row>
    <row r="267" spans="2:24" ht="20.149999999999999" customHeight="1" x14ac:dyDescent="0.35">
      <c r="B267" s="23" t="str">
        <f>SUBSTITUTE(SUBSTITUTE(SUBSTITUTE(SUBSTITUTE(SUBSTITUTE(SUBSTITUTE(SUBSTITUTE(SUBSTITUTE(LOWER(テーブル1[[#This Row],[Name]])," ","-"),".","-"),"&amp;","-"),"_","-"),"・","-"),"=","-"),"--","-"),"--","-")</f>
        <v>usone-kuro</v>
      </c>
      <c r="C267" s="24" t="s">
        <v>1063</v>
      </c>
      <c r="D267" s="23" t="s">
        <v>1064</v>
      </c>
      <c r="E267" s="23" t="s">
        <v>1065</v>
      </c>
      <c r="F267" s="15" t="s">
        <v>1066</v>
      </c>
      <c r="G267" s="23" t="s">
        <v>1067</v>
      </c>
      <c r="O267" s="24" t="str">
        <f>テーブル1[[#This Row],[リンク]]&amp;テーブル1[[#This Row],[描画状況]]</f>
        <v>https://yukimiyashimusho.jimdofree.com</v>
      </c>
      <c r="P267" s="17">
        <f>1-(COUNTIF(O:O,_xlfn.TEXTJOIN(",",TRUE,テーブル1[[#This Row],[リンク]],テーブル1[[#This Row],[描画状況]]))/COUNTIF(F:F,テーブル1[[#This Row],[リンク]]))</f>
        <v>7.1428571428571397E-2</v>
      </c>
      <c r="Q267" s="16">
        <f ca="1">IFERROR(IF(テーブル1[[#This Row],[描画状況]]="",RAND()+(テーブル1[[#This Row],[列2]]*100),""),RAND())</f>
        <v>7.2417230100668313</v>
      </c>
      <c r="S267" s="24" t="str">
        <f ca="1">IF(AND(テーブル1[[#This Row],[描画状況]]="済",テーブル1[[#This Row],[投稿状況]]=""),RAND(),"")</f>
        <v/>
      </c>
      <c r="T267" s="23" t="str">
        <f>"|&amp;image("&amp;テーブル1[[#This Row],[画像]]&amp;".png,width=100,height=100)"</f>
        <v>|&amp;image(usone-kuro.png,width=100,height=100)</v>
      </c>
      <c r="U267" s="23" t="str">
        <f>"|MIDDLE:​"&amp;テーブル1[[#This Row],[名前]]</f>
        <v>|MIDDLE:​噓音クロ</v>
      </c>
      <c r="V267" s="23" t="str">
        <f>"|MIDDLE:​"&amp;テーブル1[[#This Row],[なまえ]]</f>
        <v>|MIDDLE:​うそね くろ</v>
      </c>
      <c r="W267" s="23" t="str">
        <f>"|MIDDLE:​"&amp;テーブル1[[#This Row],[Name]]</f>
        <v>|MIDDLE:​Usone Kuro</v>
      </c>
      <c r="X267" s="23" t="str">
        <f>"|MIDDLE:​&amp;link(配布所はこちら){​"&amp;テーブル1[[#This Row],[リンク]]&amp;"}|"</f>
        <v>|MIDDLE:​&amp;link(配布所はこちら){​https://yukimiyashimusho.jimdofree.com}|</v>
      </c>
    </row>
    <row r="268" spans="2:24" ht="20.149999999999999" customHeight="1" x14ac:dyDescent="0.35">
      <c r="B268" s="23" t="str">
        <f>SUBSTITUTE(SUBSTITUTE(SUBSTITUTE(SUBSTITUTE(SUBSTITUTE(SUBSTITUTE(SUBSTITUTE(SUBSTITUTE(LOWER(テーブル1[[#This Row],[Name]])," ","-"),".","-"),"&amp;","-"),"_","-"),"・","-"),"=","-"),"--","-"),"--","-")</f>
        <v>uta-senshi</v>
      </c>
      <c r="C268" s="24" t="s">
        <v>1214</v>
      </c>
      <c r="D268" s="23" t="s">
        <v>1230</v>
      </c>
      <c r="E268" s="23" t="s">
        <v>1229</v>
      </c>
      <c r="F268" s="15" t="s">
        <v>339</v>
      </c>
      <c r="G268" s="23" t="s">
        <v>340</v>
      </c>
      <c r="O268" s="24" t="str">
        <f>テーブル1[[#This Row],[リンク]]&amp;テーブル1[[#This Row],[描画状況]]</f>
        <v>https://torinosu-hikikomori.jimdofree.com</v>
      </c>
      <c r="P268" s="17">
        <f>1-(COUNTIF(O:O,_xlfn.TEXTJOIN(",",TRUE,テーブル1[[#This Row],[リンク]],テーブル1[[#This Row],[描画状況]]))/COUNTIF(F:F,テーブル1[[#This Row],[リンク]]))</f>
        <v>0.125</v>
      </c>
      <c r="Q268" s="16">
        <f ca="1">IFERROR(IF(テーブル1[[#This Row],[描画状況]]="",RAND()+(テーブル1[[#This Row],[列2]]*100),""),RAND())</f>
        <v>12.981908001179526</v>
      </c>
      <c r="S268" s="24" t="str">
        <f ca="1">IF(AND(テーブル1[[#This Row],[描画状況]]="済",テーブル1[[#This Row],[投稿状況]]=""),RAND(),"")</f>
        <v/>
      </c>
      <c r="T268" s="23" t="str">
        <f>"|&amp;image("&amp;テーブル1[[#This Row],[画像]]&amp;".png,width=100,height=100)"</f>
        <v>|&amp;image(uta-senshi.png,width=100,height=100)</v>
      </c>
      <c r="U268" s="23" t="str">
        <f>"|MIDDLE:​"&amp;テーブル1[[#This Row],[名前]]</f>
        <v>|MIDDLE:​UTA戦死</v>
      </c>
      <c r="V268" s="23" t="str">
        <f>"|MIDDLE:​"&amp;テーブル1[[#This Row],[なまえ]]</f>
        <v>|MIDDLE:​うた せんし</v>
      </c>
      <c r="W268" s="23" t="str">
        <f>"|MIDDLE:​"&amp;テーブル1[[#This Row],[Name]]</f>
        <v>|MIDDLE:​Uta Senshi</v>
      </c>
      <c r="X268" s="23" t="str">
        <f>"|MIDDLE:​&amp;link(配布所はこちら){​"&amp;テーブル1[[#This Row],[リンク]]&amp;"}|"</f>
        <v>|MIDDLE:​&amp;link(配布所はこちら){​https://torinosu-hikikomori.jimdofree.com}|</v>
      </c>
    </row>
    <row r="269" spans="2:24" ht="20.149999999999999" customHeight="1" x14ac:dyDescent="0.35">
      <c r="B269" s="23" t="str">
        <f>SUBSTITUTE(SUBSTITUTE(SUBSTITUTE(SUBSTITUTE(SUBSTITUTE(SUBSTITUTE(SUBSTITUTE(SUBSTITUTE(LOWER(テーブル1[[#This Row],[Name]])," ","-"),".","-"),"&amp;","-"),"_","-"),"・","-"),"=","-"),"--","-"),"--","-")</f>
        <v>uta-tuufuu</v>
      </c>
      <c r="C269" s="24" t="s">
        <v>1213</v>
      </c>
      <c r="D269" s="23" t="s">
        <v>1228</v>
      </c>
      <c r="E269" s="23" t="s">
        <v>1227</v>
      </c>
      <c r="F269" s="15" t="s">
        <v>339</v>
      </c>
      <c r="G269" s="23" t="s">
        <v>340</v>
      </c>
      <c r="O269" s="24" t="str">
        <f>テーブル1[[#This Row],[リンク]]&amp;テーブル1[[#This Row],[描画状況]]</f>
        <v>https://torinosu-hikikomori.jimdofree.com</v>
      </c>
      <c r="P269" s="17">
        <f>1-(COUNTIF(O:O,_xlfn.TEXTJOIN(",",TRUE,テーブル1[[#This Row],[リンク]],テーブル1[[#This Row],[描画状況]]))/COUNTIF(F:F,テーブル1[[#This Row],[リンク]]))</f>
        <v>0.125</v>
      </c>
      <c r="Q269" s="16">
        <f ca="1">IFERROR(IF(テーブル1[[#This Row],[描画状況]]="",RAND()+(テーブル1[[#This Row],[列2]]*100),""),RAND())</f>
        <v>12.966276999820399</v>
      </c>
      <c r="S269" s="24" t="str">
        <f ca="1">IF(AND(テーブル1[[#This Row],[描画状況]]="済",テーブル1[[#This Row],[投稿状況]]=""),RAND(),"")</f>
        <v/>
      </c>
      <c r="T269" s="23" t="str">
        <f>"|&amp;image("&amp;テーブル1[[#This Row],[画像]]&amp;".png,width=100,height=100)"</f>
        <v>|&amp;image(uta-tuufuu.png,width=100,height=100)</v>
      </c>
      <c r="U269" s="23" t="str">
        <f>"|MIDDLE:​"&amp;テーブル1[[#This Row],[名前]]</f>
        <v>|MIDDLE:​UTA痛風</v>
      </c>
      <c r="V269" s="23" t="str">
        <f>"|MIDDLE:​"&amp;テーブル1[[#This Row],[なまえ]]</f>
        <v>|MIDDLE:​うた つうふう</v>
      </c>
      <c r="W269" s="23" t="str">
        <f>"|MIDDLE:​"&amp;テーブル1[[#This Row],[Name]]</f>
        <v>|MIDDLE:​Uta Tuufuu</v>
      </c>
      <c r="X269" s="23" t="str">
        <f>"|MIDDLE:​&amp;link(配布所はこちら){​"&amp;テーブル1[[#This Row],[リンク]]&amp;"}|"</f>
        <v>|MIDDLE:​&amp;link(配布所はこちら){​https://torinosu-hikikomori.jimdofree.com}|</v>
      </c>
    </row>
    <row r="270" spans="2:24" ht="20.149999999999999" customHeight="1" x14ac:dyDescent="0.35">
      <c r="B270" s="23" t="str">
        <f>SUBSTITUTE(SUBSTITUTE(SUBSTITUTE(SUBSTITUTE(SUBSTITUTE(SUBSTITUTE(SUBSTITUTE(SUBSTITUTE(LOWER(テーブル1[[#This Row],[Name]])," ","-"),".","-"),"&amp;","-"),"_","-"),"・","-"),"=","-"),"--","-"),"--","-")</f>
        <v>uta-naitou</v>
      </c>
      <c r="C270" s="24" t="s">
        <v>1212</v>
      </c>
      <c r="D270" s="23" t="s">
        <v>1225</v>
      </c>
      <c r="E270" s="23" t="s">
        <v>1224</v>
      </c>
      <c r="F270" s="15" t="s">
        <v>339</v>
      </c>
      <c r="G270" s="23" t="s">
        <v>340</v>
      </c>
      <c r="O270" s="24" t="str">
        <f>テーブル1[[#This Row],[リンク]]&amp;テーブル1[[#This Row],[描画状況]]</f>
        <v>https://torinosu-hikikomori.jimdofree.com</v>
      </c>
      <c r="P270" s="17">
        <f>1-(COUNTIF(O:O,_xlfn.TEXTJOIN(",",TRUE,テーブル1[[#This Row],[リンク]],テーブル1[[#This Row],[描画状況]]))/COUNTIF(F:F,テーブル1[[#This Row],[リンク]]))</f>
        <v>0.125</v>
      </c>
      <c r="Q270" s="16">
        <f ca="1">IFERROR(IF(テーブル1[[#This Row],[描画状況]]="",RAND()+(テーブル1[[#This Row],[列2]]*100),""),RAND())</f>
        <v>13.194731191376322</v>
      </c>
      <c r="S270" s="24" t="str">
        <f ca="1">IF(AND(テーブル1[[#This Row],[描画状況]]="済",テーブル1[[#This Row],[投稿状況]]=""),RAND(),"")</f>
        <v/>
      </c>
      <c r="T270" s="23" t="str">
        <f>"|&amp;image("&amp;テーブル1[[#This Row],[画像]]&amp;".png,width=100,height=100)"</f>
        <v>|&amp;image(uta-naitou.png,width=100,height=100)</v>
      </c>
      <c r="U270" s="23" t="str">
        <f>"|MIDDLE:​"&amp;テーブル1[[#This Row],[名前]]</f>
        <v>|MIDDLE:​UTA内藤</v>
      </c>
      <c r="V270" s="23" t="str">
        <f>"|MIDDLE:​"&amp;テーブル1[[#This Row],[なまえ]]</f>
        <v>|MIDDLE:​うた ないとう</v>
      </c>
      <c r="W270" s="23" t="str">
        <f>"|MIDDLE:​"&amp;テーブル1[[#This Row],[Name]]</f>
        <v>|MIDDLE:​Uta Naitou</v>
      </c>
      <c r="X270" s="23" t="str">
        <f>"|MIDDLE:​&amp;link(配布所はこちら){​"&amp;テーブル1[[#This Row],[リンク]]&amp;"}|"</f>
        <v>|MIDDLE:​&amp;link(配布所はこちら){​https://torinosu-hikikomori.jimdofree.com}|</v>
      </c>
    </row>
    <row r="271" spans="2:24" ht="20.149999999999999" customHeight="1" x14ac:dyDescent="0.35">
      <c r="B271" s="23" t="str">
        <f>SUBSTITUTE(SUBSTITUTE(SUBSTITUTE(SUBSTITUTE(SUBSTITUTE(SUBSTITUTE(SUBSTITUTE(SUBSTITUTE(LOWER(テーブル1[[#This Row],[Name]])," ","-"),".","-"),"&amp;","-"),"_","-"),"・","-"),"=","-"),"--","-"),"--","-")</f>
        <v>eke</v>
      </c>
      <c r="C271" s="24" t="s">
        <v>528</v>
      </c>
      <c r="D271" s="23" t="s">
        <v>529</v>
      </c>
      <c r="E271" s="28" t="s">
        <v>530</v>
      </c>
      <c r="F271" s="2" t="s">
        <v>219</v>
      </c>
      <c r="G271" s="23" t="s">
        <v>220</v>
      </c>
      <c r="O271" s="24" t="str">
        <f>テーブル1[[#This Row],[リンク]]&amp;テーブル1[[#This Row],[描画状況]]</f>
        <v>https://moqujc.wixsite.com/mqtop</v>
      </c>
      <c r="P271" s="17">
        <f>1-(COUNTIF(O:O,_xlfn.TEXTJOIN(",",TRUE,テーブル1[[#This Row],[リンク]],テーブル1[[#This Row],[描画状況]]))/COUNTIF(F:F,テーブル1[[#This Row],[リンク]]))</f>
        <v>0.75</v>
      </c>
      <c r="Q271" s="16">
        <f ca="1">IFERROR(IF(テーブル1[[#This Row],[描画状況]]="",RAND()+(テーブル1[[#This Row],[列2]]*100),""),RAND())</f>
        <v>75.27352034851252</v>
      </c>
      <c r="S271" s="24" t="str">
        <f ca="1">IF(AND(テーブル1[[#This Row],[描画状況]]="済",テーブル1[[#This Row],[投稿状況]]=""),RAND(),"")</f>
        <v/>
      </c>
      <c r="T271" s="23" t="str">
        <f>"|&amp;image("&amp;テーブル1[[#This Row],[画像]]&amp;".png,width=100,height=100)"</f>
        <v>|&amp;image(eke.png,width=100,height=100)</v>
      </c>
      <c r="U271" s="23" t="str">
        <f>"|MIDDLE:​"&amp;テーブル1[[#This Row],[名前]]</f>
        <v>|MIDDLE:​Akerr</v>
      </c>
      <c r="V271" s="23" t="str">
        <f>"|MIDDLE:​"&amp;テーブル1[[#This Row],[なまえ]]</f>
        <v>|MIDDLE:​えーけー</v>
      </c>
      <c r="W271" s="23" t="str">
        <f>"|MIDDLE:​"&amp;テーブル1[[#This Row],[Name]]</f>
        <v>|MIDDLE:​eke</v>
      </c>
      <c r="X271" s="23" t="str">
        <f>"|MIDDLE:​&amp;link(配布所はこちら){​"&amp;テーブル1[[#This Row],[リンク]]&amp;"}|"</f>
        <v>|MIDDLE:​&amp;link(配布所はこちら){​https://moqujc.wixsite.com/mqtop}|</v>
      </c>
    </row>
    <row r="272" spans="2:24" ht="20.149999999999999" customHeight="1" x14ac:dyDescent="0.35">
      <c r="B272" s="23" t="str">
        <f>SUBSTITUTE(SUBSTITUTE(SUBSTITUTE(SUBSTITUTE(SUBSTITUTE(SUBSTITUTE(SUBSTITUTE(SUBSTITUTE(LOWER(テーブル1[[#This Row],[Name]])," ","-"),".","-"),"&amp;","-"),"_","-"),"・","-"),"=","-"),"--","-"),"--","-")</f>
        <v>ekida-mari</v>
      </c>
      <c r="C272" s="24" t="s">
        <v>853</v>
      </c>
      <c r="D272" s="23" t="s">
        <v>854</v>
      </c>
      <c r="E272" s="23" t="s">
        <v>857</v>
      </c>
      <c r="F272" s="2" t="s">
        <v>833</v>
      </c>
      <c r="G272" s="23" t="s">
        <v>834</v>
      </c>
      <c r="O272" s="24" t="str">
        <f>テーブル1[[#This Row],[リンク]]&amp;テーブル1[[#This Row],[描画状況]]</f>
        <v>https://kaedekatusaki.wixsite.com/yanagiroutyou</v>
      </c>
      <c r="P272" s="17">
        <f>1-(COUNTIF(O:O,_xlfn.TEXTJOIN(",",TRUE,テーブル1[[#This Row],[リンク]],テーブル1[[#This Row],[描画状況]]))/COUNTIF(F:F,テーブル1[[#This Row],[リンク]]))</f>
        <v>0.125</v>
      </c>
      <c r="Q272" s="16">
        <f ca="1">IFERROR(IF(テーブル1[[#This Row],[描画状況]]="",RAND()+(テーブル1[[#This Row],[列2]]*100),""),RAND())</f>
        <v>13.406122617617836</v>
      </c>
      <c r="S272" s="24" t="str">
        <f ca="1">IF(AND(テーブル1[[#This Row],[描画状況]]="済",テーブル1[[#This Row],[投稿状況]]=""),RAND(),"")</f>
        <v/>
      </c>
      <c r="T272" s="23" t="str">
        <f>"|&amp;image("&amp;テーブル1[[#This Row],[画像]]&amp;".png,width=100,height=100)"</f>
        <v>|&amp;image(ekida-mari.png,width=100,height=100)</v>
      </c>
      <c r="U272" s="23" t="str">
        <f>"|MIDDLE:​"&amp;テーブル1[[#This Row],[名前]]</f>
        <v>|MIDDLE:​柄木田真理</v>
      </c>
      <c r="V272" s="23" t="str">
        <f>"|MIDDLE:​"&amp;テーブル1[[#This Row],[なまえ]]</f>
        <v>|MIDDLE:​えきだ まり</v>
      </c>
      <c r="W272" s="23" t="str">
        <f>"|MIDDLE:​"&amp;テーブル1[[#This Row],[Name]]</f>
        <v>|MIDDLE:​Ekida Mari</v>
      </c>
      <c r="X272" s="23" t="str">
        <f>"|MIDDLE:​&amp;link(配布所はこちら){​"&amp;テーブル1[[#This Row],[リンク]]&amp;"}|"</f>
        <v>|MIDDLE:​&amp;link(配布所はこちら){​https://kaedekatusaki.wixsite.com/yanagiroutyou}|</v>
      </c>
    </row>
    <row r="273" spans="2:24" ht="20.149999999999999" customHeight="1" x14ac:dyDescent="0.35">
      <c r="B273" s="23" t="str">
        <f>SUBSTITUTE(SUBSTITUTE(SUBSTITUTE(SUBSTITUTE(SUBSTITUTE(SUBSTITUTE(SUBSTITUTE(SUBSTITUTE(LOWER(テーブル1[[#This Row],[Name]])," ","-"),".","-"),"&amp;","-"),"_","-"),"・","-"),"=","-"),"--","-"),"--","-")</f>
        <v>ekida-rima</v>
      </c>
      <c r="C273" s="24" t="s">
        <v>855</v>
      </c>
      <c r="D273" s="23" t="s">
        <v>856</v>
      </c>
      <c r="E273" s="23" t="s">
        <v>858</v>
      </c>
      <c r="F273" s="2" t="s">
        <v>833</v>
      </c>
      <c r="G273" s="23" t="s">
        <v>834</v>
      </c>
      <c r="O273" s="24" t="str">
        <f>テーブル1[[#This Row],[リンク]]&amp;テーブル1[[#This Row],[描画状況]]</f>
        <v>https://kaedekatusaki.wixsite.com/yanagiroutyou</v>
      </c>
      <c r="P273" s="17">
        <f>1-(COUNTIF(O:O,_xlfn.TEXTJOIN(",",TRUE,テーブル1[[#This Row],[リンク]],テーブル1[[#This Row],[描画状況]]))/COUNTIF(F:F,テーブル1[[#This Row],[リンク]]))</f>
        <v>0.125</v>
      </c>
      <c r="Q273" s="16">
        <f ca="1">IFERROR(IF(テーブル1[[#This Row],[描画状況]]="",RAND()+(テーブル1[[#This Row],[列2]]*100),""),RAND())</f>
        <v>12.980297030953242</v>
      </c>
      <c r="S273" s="24" t="str">
        <f ca="1">IF(AND(テーブル1[[#This Row],[描画状況]]="済",テーブル1[[#This Row],[投稿状況]]=""),RAND(),"")</f>
        <v/>
      </c>
      <c r="T273" s="23" t="str">
        <f>"|&amp;image("&amp;テーブル1[[#This Row],[画像]]&amp;".png,width=100,height=100)"</f>
        <v>|&amp;image(ekida-rima.png,width=100,height=100)</v>
      </c>
      <c r="U273" s="23" t="str">
        <f>"|MIDDLE:​"&amp;テーブル1[[#This Row],[名前]]</f>
        <v>|MIDDLE:​柄木田理真</v>
      </c>
      <c r="V273" s="23" t="str">
        <f>"|MIDDLE:​"&amp;テーブル1[[#This Row],[なまえ]]</f>
        <v>|MIDDLE:​えきだ りま</v>
      </c>
      <c r="W273" s="23" t="str">
        <f>"|MIDDLE:​"&amp;テーブル1[[#This Row],[Name]]</f>
        <v>|MIDDLE:​Ekida Rima</v>
      </c>
      <c r="X273" s="23" t="str">
        <f>"|MIDDLE:​&amp;link(配布所はこちら){​"&amp;テーブル1[[#This Row],[リンク]]&amp;"}|"</f>
        <v>|MIDDLE:​&amp;link(配布所はこちら){​https://kaedekatusaki.wixsite.com/yanagiroutyou}|</v>
      </c>
    </row>
    <row r="274" spans="2:24" ht="20.149999999999999" customHeight="1" x14ac:dyDescent="0.35">
      <c r="B274" s="23" t="str">
        <f>SUBSTITUTE(SUBSTITUTE(SUBSTITUTE(SUBSTITUTE(SUBSTITUTE(SUBSTITUTE(SUBSTITUTE(SUBSTITUTE(LOWER(テーブル1[[#This Row],[Name]])," ","-"),".","-"),"&amp;","-"),"_","-"),"・","-"),"=","-"),"--","-"),"--","-")</f>
        <v>elmarie</v>
      </c>
      <c r="C274" s="24" t="s">
        <v>1452</v>
      </c>
      <c r="D274" s="23" t="s">
        <v>1452</v>
      </c>
      <c r="E274" s="23" t="s">
        <v>1453</v>
      </c>
      <c r="F274" s="15" t="s">
        <v>1447</v>
      </c>
      <c r="G274" s="23" t="s">
        <v>1448</v>
      </c>
      <c r="O274" s="24" t="str">
        <f>テーブル1[[#This Row],[リンク]]&amp;テーブル1[[#This Row],[描画状況]]</f>
        <v>https://bowlroll.net/user/992955</v>
      </c>
      <c r="P274" s="17">
        <f>1-(COUNTIF(O:O,_xlfn.TEXTJOIN(",",TRUE,テーブル1[[#This Row],[リンク]],テーブル1[[#This Row],[描画状況]]))/COUNTIF(F:F,テーブル1[[#This Row],[リンク]]))</f>
        <v>0</v>
      </c>
      <c r="Q274" s="16">
        <f ca="1">IFERROR(IF(テーブル1[[#This Row],[描画状況]]="",RAND()+(テーブル1[[#This Row],[列2]]*100),""),RAND())</f>
        <v>0.26582972407832073</v>
      </c>
      <c r="S274" s="24" t="str">
        <f ca="1">IF(AND(テーブル1[[#This Row],[描画状況]]="済",テーブル1[[#This Row],[投稿状況]]=""),RAND(),"")</f>
        <v/>
      </c>
      <c r="T274" s="23" t="str">
        <f>"|&amp;image("&amp;テーブル1[[#This Row],[画像]]&amp;".png,width=100,height=100)"</f>
        <v>|&amp;image(elmarie.png,width=100,height=100)</v>
      </c>
      <c r="U274" s="23" t="str">
        <f>"|MIDDLE:​"&amp;テーブル1[[#This Row],[名前]]</f>
        <v>|MIDDLE:​えるまりー</v>
      </c>
      <c r="V274" s="23" t="str">
        <f>"|MIDDLE:​"&amp;テーブル1[[#This Row],[なまえ]]</f>
        <v>|MIDDLE:​えるまりー</v>
      </c>
      <c r="W274" s="23" t="str">
        <f>"|MIDDLE:​"&amp;テーブル1[[#This Row],[Name]]</f>
        <v>|MIDDLE:​Elmarie</v>
      </c>
      <c r="X274" s="23" t="str">
        <f>"|MIDDLE:​&amp;link(配布所はこちら){​"&amp;テーブル1[[#This Row],[リンク]]&amp;"}|"</f>
        <v>|MIDDLE:​&amp;link(配布所はこちら){​https://bowlroll.net/user/992955}|</v>
      </c>
    </row>
    <row r="275" spans="2:24" ht="20.149999999999999" customHeight="1" x14ac:dyDescent="0.35">
      <c r="B275" s="23" t="str">
        <f>SUBSTITUTE(SUBSTITUTE(SUBSTITUTE(SUBSTITUTE(SUBSTITUTE(SUBSTITUTE(SUBSTITUTE(SUBSTITUTE(LOWER(テーブル1[[#This Row],[Name]])," ","-"),".","-"),"&amp;","-"),"_","-"),"・","-"),"=","-"),"--","-"),"--","-")</f>
        <v>ouka-arisu</v>
      </c>
      <c r="C275" s="24" t="s">
        <v>1347</v>
      </c>
      <c r="D275" s="23" t="s">
        <v>1348</v>
      </c>
      <c r="E275" s="23" t="s">
        <v>1349</v>
      </c>
      <c r="F275" s="23" t="s">
        <v>421</v>
      </c>
      <c r="G275" s="23" t="s">
        <v>1350</v>
      </c>
      <c r="O275" s="24" t="str">
        <f>テーブル1[[#This Row],[リンク]]&amp;テーブル1[[#This Row],[描画状況]]</f>
        <v>-</v>
      </c>
      <c r="P275" s="17">
        <f>1-(COUNTIF(O:O,_xlfn.TEXTJOIN(",",TRUE,テーブル1[[#This Row],[リンク]],テーブル1[[#This Row],[描画状況]]))/COUNTIF(F:F,テーブル1[[#This Row],[リンク]]))</f>
        <v>0.33333333333333337</v>
      </c>
      <c r="Q275" s="16">
        <f ca="1">IFERROR(IF(テーブル1[[#This Row],[描画状況]]="",RAND()+(テーブル1[[#This Row],[列2]]*100),""),RAND())</f>
        <v>34.105305409868663</v>
      </c>
      <c r="S275" s="24" t="str">
        <f ca="1">IF(AND(テーブル1[[#This Row],[描画状況]]="済",テーブル1[[#This Row],[投稿状況]]=""),RAND(),"")</f>
        <v/>
      </c>
      <c r="T275" s="23" t="str">
        <f>"|&amp;image("&amp;テーブル1[[#This Row],[画像]]&amp;".png,width=100,height=100)"</f>
        <v>|&amp;image(ouka-arisu.png,width=100,height=100)</v>
      </c>
      <c r="U275" s="23" t="str">
        <f>"|MIDDLE:​"&amp;テーブル1[[#This Row],[名前]]</f>
        <v>|MIDDLE:​櫻花アリス</v>
      </c>
      <c r="V275" s="23" t="str">
        <f>"|MIDDLE:​"&amp;テーブル1[[#This Row],[なまえ]]</f>
        <v>|MIDDLE:​おうか ありす</v>
      </c>
      <c r="W275" s="23" t="str">
        <f>"|MIDDLE:​"&amp;テーブル1[[#This Row],[Name]]</f>
        <v>|MIDDLE:​Ouka Arisu</v>
      </c>
      <c r="X275" s="23" t="str">
        <f>"|MIDDLE:​&amp;link(配布所はこちら){​"&amp;テーブル1[[#This Row],[リンク]]&amp;"}|"</f>
        <v>|MIDDLE:​&amp;link(配布所はこちら){​-}|</v>
      </c>
    </row>
    <row r="276" spans="2:24" ht="20.149999999999999" customHeight="1" x14ac:dyDescent="0.35">
      <c r="B276" s="23" t="str">
        <f>SUBSTITUTE(SUBSTITUTE(SUBSTITUTE(SUBSTITUTE(SUBSTITUTE(SUBSTITUTE(SUBSTITUTE(SUBSTITUTE(LOWER(テーブル1[[#This Row],[Name]])," ","-"),".","-"),"&amp;","-"),"_","-"),"・","-"),"=","-"),"--","-"),"--","-")</f>
        <v>okashiikun</v>
      </c>
      <c r="C276" s="24" t="s">
        <v>847</v>
      </c>
      <c r="D276" s="23" t="s">
        <v>848</v>
      </c>
      <c r="E276" s="23" t="s">
        <v>849</v>
      </c>
      <c r="F276" s="2" t="s">
        <v>833</v>
      </c>
      <c r="G276" s="23" t="s">
        <v>834</v>
      </c>
      <c r="O276" s="24" t="str">
        <f>テーブル1[[#This Row],[リンク]]&amp;テーブル1[[#This Row],[描画状況]]</f>
        <v>https://kaedekatusaki.wixsite.com/yanagiroutyou</v>
      </c>
      <c r="P276" s="17">
        <f>1-(COUNTIF(O:O,_xlfn.TEXTJOIN(",",TRUE,テーブル1[[#This Row],[リンク]],テーブル1[[#This Row],[描画状況]]))/COUNTIF(F:F,テーブル1[[#This Row],[リンク]]))</f>
        <v>0.125</v>
      </c>
      <c r="Q276" s="16">
        <f ca="1">IFERROR(IF(テーブル1[[#This Row],[描画状況]]="",RAND()+(テーブル1[[#This Row],[列2]]*100),""),RAND())</f>
        <v>12.526606147320853</v>
      </c>
      <c r="S276" s="24" t="str">
        <f ca="1">IF(AND(テーブル1[[#This Row],[描画状況]]="済",テーブル1[[#This Row],[投稿状況]]=""),RAND(),"")</f>
        <v/>
      </c>
      <c r="T276" s="23" t="str">
        <f>"|&amp;image("&amp;テーブル1[[#This Row],[画像]]&amp;".png,width=100,height=100)"</f>
        <v>|&amp;image(okashiikun.png,width=100,height=100)</v>
      </c>
      <c r="U276" s="23" t="str">
        <f>"|MIDDLE:​"&amp;テーブル1[[#This Row],[名前]]</f>
        <v>|MIDDLE:​おｋしいくん</v>
      </c>
      <c r="V276" s="23" t="str">
        <f>"|MIDDLE:​"&amp;テーブル1[[#This Row],[なまえ]]</f>
        <v>|MIDDLE:​おかしいくん</v>
      </c>
      <c r="W276" s="23" t="str">
        <f>"|MIDDLE:​"&amp;テーブル1[[#This Row],[Name]]</f>
        <v>|MIDDLE:​Okashiikun</v>
      </c>
      <c r="X276" s="23" t="str">
        <f>"|MIDDLE:​&amp;link(配布所はこちら){​"&amp;テーブル1[[#This Row],[リンク]]&amp;"}|"</f>
        <v>|MIDDLE:​&amp;link(配布所はこちら){​https://kaedekatusaki.wixsite.com/yanagiroutyou}|</v>
      </c>
    </row>
    <row r="277" spans="2:24" ht="20.149999999999999" customHeight="1" x14ac:dyDescent="0.35">
      <c r="B277" s="23" t="str">
        <f>SUBSTITUTE(SUBSTITUTE(SUBSTITUTE(SUBSTITUTE(SUBSTITUTE(SUBSTITUTE(SUBSTITUTE(SUBSTITUTE(LOWER(テーブル1[[#This Row],[Name]])," ","-"),".","-"),"&amp;","-"),"_","-"),"・","-"),"=","-"),"--","-"),"--","-")</f>
        <v>ohgi-fuki</v>
      </c>
      <c r="C277" s="24" t="s">
        <v>1219</v>
      </c>
      <c r="D277" s="23" t="s">
        <v>1240</v>
      </c>
      <c r="E277" s="23" t="s">
        <v>1239</v>
      </c>
      <c r="F277" s="15" t="s">
        <v>339</v>
      </c>
      <c r="G277" s="23" t="s">
        <v>340</v>
      </c>
      <c r="O277" s="24" t="str">
        <f>テーブル1[[#This Row],[リンク]]&amp;テーブル1[[#This Row],[描画状況]]</f>
        <v>https://torinosu-hikikomori.jimdofree.com</v>
      </c>
      <c r="P277" s="17">
        <f>1-(COUNTIF(O:O,_xlfn.TEXTJOIN(",",TRUE,テーブル1[[#This Row],[リンク]],テーブル1[[#This Row],[描画状況]]))/COUNTIF(F:F,テーブル1[[#This Row],[リンク]]))</f>
        <v>0.125</v>
      </c>
      <c r="Q277" s="16">
        <f ca="1">IFERROR(IF(テーブル1[[#This Row],[描画状況]]="",RAND()+(テーブル1[[#This Row],[列2]]*100),""),RAND())</f>
        <v>12.648553346050127</v>
      </c>
      <c r="S277" s="24" t="str">
        <f ca="1">IF(AND(テーブル1[[#This Row],[描画状況]]="済",テーブル1[[#This Row],[投稿状況]]=""),RAND(),"")</f>
        <v/>
      </c>
      <c r="T277" s="23" t="str">
        <f>"|&amp;image("&amp;テーブル1[[#This Row],[画像]]&amp;".png,width=100,height=100)"</f>
        <v>|&amp;image(ohgi-fuki.png,width=100,height=100)</v>
      </c>
      <c r="U277" s="23" t="str">
        <f>"|MIDDLE:​"&amp;テーブル1[[#This Row],[名前]]</f>
        <v>|MIDDLE:​オーギ・フーキ</v>
      </c>
      <c r="V277" s="23" t="str">
        <f>"|MIDDLE:​"&amp;テーブル1[[#This Row],[なまえ]]</f>
        <v>|MIDDLE:​おぎ ふき</v>
      </c>
      <c r="W277" s="23" t="str">
        <f>"|MIDDLE:​"&amp;テーブル1[[#This Row],[Name]]</f>
        <v>|MIDDLE:​Ohgi Fuki</v>
      </c>
      <c r="X277" s="23" t="str">
        <f>"|MIDDLE:​&amp;link(配布所はこちら){​"&amp;テーブル1[[#This Row],[リンク]]&amp;"}|"</f>
        <v>|MIDDLE:​&amp;link(配布所はこちら){​https://torinosu-hikikomori.jimdofree.com}|</v>
      </c>
    </row>
    <row r="278" spans="2:24" ht="20.149999999999999" customHeight="1" x14ac:dyDescent="0.35">
      <c r="B278" s="23" t="str">
        <f>SUBSTITUTE(SUBSTITUTE(SUBSTITUTE(SUBSTITUTE(SUBSTITUTE(SUBSTITUTE(SUBSTITUTE(SUBSTITUTE(LOWER(テーブル1[[#This Row],[Name]])," ","-"),".","-"),"&amp;","-"),"_","-"),"・","-"),"=","-"),"--","-"),"--","-")</f>
        <v>oshiro-tabi</v>
      </c>
      <c r="C278" s="24" t="s">
        <v>511</v>
      </c>
      <c r="D278" s="23" t="s">
        <v>512</v>
      </c>
      <c r="E278" s="23" t="s">
        <v>513</v>
      </c>
      <c r="F278" s="2" t="s">
        <v>36</v>
      </c>
      <c r="G278" s="23" t="s">
        <v>514</v>
      </c>
      <c r="M278" s="1" t="s">
        <v>1517</v>
      </c>
      <c r="O278" s="24" t="str">
        <f>テーブル1[[#This Row],[リンク]]&amp;テーブル1[[#This Row],[描画状況]]</f>
        <v>https://666not.wixsite.com/partition-voyage</v>
      </c>
      <c r="P278" s="17">
        <f>1-(COUNTIF(O:O,_xlfn.TEXTJOIN(",",TRUE,テーブル1[[#This Row],[リンク]],テーブル1[[#This Row],[描画状況]]))/COUNTIF(F:F,テーブル1[[#This Row],[リンク]]))</f>
        <v>0.5</v>
      </c>
      <c r="Q278" s="16">
        <f ca="1">IFERROR(IF(テーブル1[[#This Row],[描画状況]]="",RAND()+(テーブル1[[#This Row],[列2]]*100),""),RAND())</f>
        <v>50.244403313141142</v>
      </c>
      <c r="S278" s="24" t="str">
        <f ca="1">IF(AND(テーブル1[[#This Row],[描画状況]]="済",テーブル1[[#This Row],[投稿状況]]=""),RAND(),"")</f>
        <v/>
      </c>
      <c r="T278" s="23" t="str">
        <f>"|&amp;image("&amp;テーブル1[[#This Row],[画像]]&amp;".png,width=100,height=100)"</f>
        <v>|&amp;image(oshiro-tabi.png,width=100,height=100)</v>
      </c>
      <c r="U278" s="23" t="str">
        <f>"|MIDDLE:​"&amp;テーブル1[[#This Row],[名前]]</f>
        <v>|MIDDLE:​嗚代タビ</v>
      </c>
      <c r="V278" s="23" t="str">
        <f>"|MIDDLE:​"&amp;テーブル1[[#This Row],[なまえ]]</f>
        <v>|MIDDLE:​おしろ たび</v>
      </c>
      <c r="W278" s="23" t="str">
        <f>"|MIDDLE:​"&amp;テーブル1[[#This Row],[Name]]</f>
        <v>|MIDDLE:​Oshiro Tabi</v>
      </c>
      <c r="X278" s="23" t="str">
        <f>"|MIDDLE:​&amp;link(配布所はこちら){​"&amp;テーブル1[[#This Row],[リンク]]&amp;"}|"</f>
        <v>|MIDDLE:​&amp;link(配布所はこちら){​https://666not.wixsite.com/partition-voyage}|</v>
      </c>
    </row>
    <row r="279" spans="2:24" ht="20.149999999999999" customHeight="1" x14ac:dyDescent="0.35">
      <c r="B279" s="23" t="str">
        <f>SUBSTITUTE(SUBSTITUTE(SUBSTITUTE(SUBSTITUTE(SUBSTITUTE(SUBSTITUTE(SUBSTITUTE(SUBSTITUTE(LOWER(テーブル1[[#This Row],[Name]])," ","-"),".","-"),"&amp;","-"),"_","-"),"・","-"),"=","-"),"--","-"),"--","-")</f>
        <v>oda-maki</v>
      </c>
      <c r="C279" s="24" t="s">
        <v>761</v>
      </c>
      <c r="D279" s="23" t="s">
        <v>762</v>
      </c>
      <c r="E279" s="23" t="s">
        <v>763</v>
      </c>
      <c r="F279" s="15" t="s">
        <v>764</v>
      </c>
      <c r="G279" s="23" t="s">
        <v>765</v>
      </c>
      <c r="O279" s="24" t="str">
        <f>テーブル1[[#This Row],[リンク]]&amp;テーブル1[[#This Row],[描画状況]]</f>
        <v>https://bowlroll.net/user/634941</v>
      </c>
      <c r="P279" s="17">
        <f>1-(COUNTIF(O:O,_xlfn.TEXTJOIN(",",TRUE,テーブル1[[#This Row],[リンク]],テーブル1[[#This Row],[描画状況]]))/COUNTIF(F:F,テーブル1[[#This Row],[リンク]]))</f>
        <v>0</v>
      </c>
      <c r="Q279" s="16">
        <f ca="1">IFERROR(IF(テーブル1[[#This Row],[描画状況]]="",RAND()+(テーブル1[[#This Row],[列2]]*100),""),RAND())</f>
        <v>0.88537221720891035</v>
      </c>
      <c r="S279" s="24" t="str">
        <f ca="1">IF(AND(テーブル1[[#This Row],[描画状況]]="済",テーブル1[[#This Row],[投稿状況]]=""),RAND(),"")</f>
        <v/>
      </c>
      <c r="T279" s="23" t="str">
        <f>"|&amp;image("&amp;テーブル1[[#This Row],[画像]]&amp;".png,width=100,height=100)"</f>
        <v>|&amp;image(oda-maki.png,width=100,height=100)</v>
      </c>
      <c r="U279" s="23" t="str">
        <f>"|MIDDLE:​"&amp;テーブル1[[#This Row],[名前]]</f>
        <v>|MIDDLE:​苧田マキ</v>
      </c>
      <c r="V279" s="23" t="str">
        <f>"|MIDDLE:​"&amp;テーブル1[[#This Row],[なまえ]]</f>
        <v>|MIDDLE:​おだ まき</v>
      </c>
      <c r="W279" s="23" t="str">
        <f>"|MIDDLE:​"&amp;テーブル1[[#This Row],[Name]]</f>
        <v>|MIDDLE:​Oda Maki</v>
      </c>
      <c r="X279" s="23" t="str">
        <f>"|MIDDLE:​&amp;link(配布所はこちら){​"&amp;テーブル1[[#This Row],[リンク]]&amp;"}|"</f>
        <v>|MIDDLE:​&amp;link(配布所はこちら){​https://bowlroll.net/user/634941}|</v>
      </c>
    </row>
    <row r="280" spans="2:24" ht="20.149999999999999" customHeight="1" x14ac:dyDescent="0.35">
      <c r="B280" s="23" t="str">
        <f>SUBSTITUTE(SUBSTITUTE(SUBSTITUTE(SUBSTITUTE(SUBSTITUTE(SUBSTITUTE(SUBSTITUTE(SUBSTITUTE(LOWER(テーブル1[[#This Row],[Name]])," ","-"),".","-"),"&amp;","-"),"_","-"),"・","-"),"=","-"),"--","-"),"--","-")</f>
        <v>otoori-kouji</v>
      </c>
      <c r="C280" s="24" t="s">
        <v>598</v>
      </c>
      <c r="D280" s="23" t="s">
        <v>599</v>
      </c>
      <c r="E280" s="23" t="s">
        <v>600</v>
      </c>
      <c r="F280" s="2" t="s">
        <v>601</v>
      </c>
      <c r="G280" s="23" t="s">
        <v>602</v>
      </c>
      <c r="O280" s="24" t="str">
        <f>テーブル1[[#This Row],[リンク]]&amp;テーブル1[[#This Row],[描画状況]]</f>
        <v>https://bowlroll.net/user/253605</v>
      </c>
      <c r="P280" s="17">
        <f>1-(COUNTIF(O:O,_xlfn.TEXTJOIN(",",TRUE,テーブル1[[#This Row],[リンク]],テーブル1[[#This Row],[描画状況]]))/COUNTIF(F:F,テーブル1[[#This Row],[リンク]]))</f>
        <v>0</v>
      </c>
      <c r="Q280" s="16">
        <f ca="1">IFERROR(IF(テーブル1[[#This Row],[描画状況]]="",RAND()+(テーブル1[[#This Row],[列2]]*100),""),RAND())</f>
        <v>0.3870812408612071</v>
      </c>
      <c r="S280" s="24" t="str">
        <f ca="1">IF(AND(テーブル1[[#This Row],[描画状況]]="済",テーブル1[[#This Row],[投稿状況]]=""),RAND(),"")</f>
        <v/>
      </c>
      <c r="T280" s="23" t="str">
        <f>"|&amp;image("&amp;テーブル1[[#This Row],[画像]]&amp;".png,width=100,height=100)"</f>
        <v>|&amp;image(otoori-kouji.png,width=100,height=100)</v>
      </c>
      <c r="U280" s="23" t="str">
        <f>"|MIDDLE:​"&amp;テーブル1[[#This Row],[名前]]</f>
        <v>|MIDDLE:​音通コウジ</v>
      </c>
      <c r="V280" s="23" t="str">
        <f>"|MIDDLE:​"&amp;テーブル1[[#This Row],[なまえ]]</f>
        <v>|MIDDLE:​おとおり こうじ</v>
      </c>
      <c r="W280" s="23" t="str">
        <f>"|MIDDLE:​"&amp;テーブル1[[#This Row],[Name]]</f>
        <v>|MIDDLE:​Otoori Kouji</v>
      </c>
      <c r="X280" s="23" t="str">
        <f>"|MIDDLE:​&amp;link(配布所はこちら){​"&amp;テーブル1[[#This Row],[リンク]]&amp;"}|"</f>
        <v>|MIDDLE:​&amp;link(配布所はこちら){​https://bowlroll.net/user/253605}|</v>
      </c>
    </row>
    <row r="281" spans="2:24" ht="20.149999999999999" customHeight="1" x14ac:dyDescent="0.35">
      <c r="B281" s="23" t="str">
        <f>SUBSTITUTE(SUBSTITUTE(SUBSTITUTE(SUBSTITUTE(SUBSTITUTE(SUBSTITUTE(SUBSTITUTE(SUBSTITUTE(LOWER(テーブル1[[#This Row],[Name]])," ","-"),".","-"),"&amp;","-"),"_","-"),"・","-"),"=","-"),"--","-"),"--","-")</f>
        <v>otogi-yu</v>
      </c>
      <c r="C281" s="24" t="s">
        <v>805</v>
      </c>
      <c r="D281" s="23" t="s">
        <v>807</v>
      </c>
      <c r="E281" s="23" t="s">
        <v>806</v>
      </c>
      <c r="F281" s="15" t="s">
        <v>778</v>
      </c>
      <c r="G281" s="23" t="str">
        <f>テーブル1[[#This Row],[名前]]&amp;"(UTAU)"</f>
        <v>音偽ユウ(UTAU)</v>
      </c>
      <c r="M281" s="1" t="s">
        <v>1517</v>
      </c>
      <c r="O281" s="24" t="str">
        <f>テーブル1[[#This Row],[リンク]]&amp;テーブル1[[#This Row],[描画状況]]</f>
        <v>https://cmamizki.wixsite.com/edelstein</v>
      </c>
      <c r="P281" s="17">
        <f>1-(COUNTIF(O:O,_xlfn.TEXTJOIN(",",TRUE,テーブル1[[#This Row],[リンク]],テーブル1[[#This Row],[描画状況]]))/COUNTIF(F:F,テーブル1[[#This Row],[リンク]]))</f>
        <v>9.0909090909090939E-2</v>
      </c>
      <c r="Q281" s="16">
        <f ca="1">IFERROR(IF(テーブル1[[#This Row],[描画状況]]="",RAND()+(テーブル1[[#This Row],[列2]]*100),""),RAND())</f>
        <v>9.1657484575126524</v>
      </c>
      <c r="S281" s="24" t="str">
        <f ca="1">IF(AND(テーブル1[[#This Row],[描画状況]]="済",テーブル1[[#This Row],[投稿状況]]=""),RAND(),"")</f>
        <v/>
      </c>
      <c r="T281" s="23" t="str">
        <f>"|&amp;image("&amp;テーブル1[[#This Row],[画像]]&amp;".png,width=100,height=100)"</f>
        <v>|&amp;image(otogi-yu.png,width=100,height=100)</v>
      </c>
      <c r="U281" s="23" t="str">
        <f>"|MIDDLE:​"&amp;テーブル1[[#This Row],[名前]]</f>
        <v>|MIDDLE:​音偽ユウ</v>
      </c>
      <c r="V281" s="23" t="str">
        <f>"|MIDDLE:​"&amp;テーブル1[[#This Row],[なまえ]]</f>
        <v>|MIDDLE:​おとぎ ゆう</v>
      </c>
      <c r="W281" s="23" t="str">
        <f>"|MIDDLE:​"&amp;テーブル1[[#This Row],[Name]]</f>
        <v>|MIDDLE:​Otogi Yu</v>
      </c>
      <c r="X281" s="23" t="str">
        <f>"|MIDDLE:​&amp;link(配布所はこちら){​"&amp;テーブル1[[#This Row],[リンク]]&amp;"}|"</f>
        <v>|MIDDLE:​&amp;link(配布所はこちら){​https://cmamizki.wixsite.com/edelstein}|</v>
      </c>
    </row>
    <row r="282" spans="2:24" ht="20.149999999999999" customHeight="1" x14ac:dyDescent="0.35">
      <c r="B282" s="23" t="str">
        <f>SUBSTITUTE(SUBSTITUTE(SUBSTITUTE(SUBSTITUTE(SUBSTITUTE(SUBSTITUTE(SUBSTITUTE(SUBSTITUTE(LOWER(テーブル1[[#This Row],[Name]])," ","-"),".","-"),"&amp;","-"),"_","-"),"・","-"),"=","-"),"--","-"),"--","-")</f>
        <v>otonashi-kae</v>
      </c>
      <c r="C282" s="24" t="s">
        <v>1017</v>
      </c>
      <c r="D282" s="23" t="s">
        <v>1020</v>
      </c>
      <c r="E282" s="23" t="s">
        <v>1021</v>
      </c>
      <c r="F282" s="2" t="s">
        <v>540</v>
      </c>
      <c r="G282" s="23" t="s">
        <v>1013</v>
      </c>
      <c r="H282" s="23" t="s">
        <v>1626</v>
      </c>
      <c r="I282" s="23" t="s">
        <v>1654</v>
      </c>
      <c r="J282" s="23" t="s">
        <v>1716</v>
      </c>
      <c r="K282" s="23" t="s">
        <v>1694</v>
      </c>
      <c r="O282" s="24" t="str">
        <f>テーブル1[[#This Row],[リンク]]&amp;テーブル1[[#This Row],[描画状況]]</f>
        <v>https://bowlroll.net/user/980255</v>
      </c>
      <c r="P282" s="17">
        <f>1-(COUNTIF(O:O,_xlfn.TEXTJOIN(",",TRUE,テーブル1[[#This Row],[リンク]],テーブル1[[#This Row],[描画状況]]))/COUNTIF(F:F,テーブル1[[#This Row],[リンク]]))</f>
        <v>0.5714285714285714</v>
      </c>
      <c r="Q282" s="16">
        <f ca="1">IFERROR(IF(テーブル1[[#This Row],[描画状況]]="",RAND()+(テーブル1[[#This Row],[列2]]*100),""),RAND())</f>
        <v>57.843014594993647</v>
      </c>
      <c r="S282" s="24" t="str">
        <f ca="1">IF(AND(テーブル1[[#This Row],[描画状況]]="済",テーブル1[[#This Row],[投稿状況]]=""),RAND(),"")</f>
        <v/>
      </c>
      <c r="T282" s="23" t="str">
        <f>"|&amp;image("&amp;テーブル1[[#This Row],[画像]]&amp;".png,width=100,height=100)"</f>
        <v>|&amp;image(otonashi-kae.png,width=100,height=100)</v>
      </c>
      <c r="U282" s="23" t="str">
        <f>"|MIDDLE:​"&amp;テーブル1[[#This Row],[名前]]</f>
        <v>|MIDDLE:​於菟無カエ</v>
      </c>
      <c r="V282" s="23" t="str">
        <f>"|MIDDLE:​"&amp;テーブル1[[#This Row],[なまえ]]</f>
        <v>|MIDDLE:​おとなし かえ</v>
      </c>
      <c r="W282" s="23" t="str">
        <f>"|MIDDLE:​"&amp;テーブル1[[#This Row],[Name]]</f>
        <v>|MIDDLE:​Otonashi Kae</v>
      </c>
      <c r="X282" s="23" t="str">
        <f>"|MIDDLE:​&amp;link(配布所はこちら){​"&amp;テーブル1[[#This Row],[リンク]]&amp;"}|"</f>
        <v>|MIDDLE:​&amp;link(配布所はこちら){​https://bowlroll.net/user/980255}|</v>
      </c>
    </row>
    <row r="283" spans="2:24" ht="20.149999999999999" customHeight="1" x14ac:dyDescent="0.35">
      <c r="B283" s="23" t="str">
        <f>SUBSTITUTE(SUBSTITUTE(SUBSTITUTE(SUBSTITUTE(SUBSTITUTE(SUBSTITUTE(SUBSTITUTE(SUBSTITUTE(LOWER(テーブル1[[#This Row],[Name]])," ","-"),".","-"),"&amp;","-"),"_","-"),"・","-"),"=","-"),"--","-"),"--","-")</f>
        <v>otowa-shigure</v>
      </c>
      <c r="C283" s="24" t="s">
        <v>1333</v>
      </c>
      <c r="D283" s="23" t="s">
        <v>1335</v>
      </c>
      <c r="E283" s="23" t="s">
        <v>1334</v>
      </c>
      <c r="F283" s="15" t="s">
        <v>1321</v>
      </c>
      <c r="G283" s="23" t="str">
        <f>テーブル1[[#This Row],[名前]]&amp;"(UTAU)"</f>
        <v>オトワシグレ(UTAU)</v>
      </c>
      <c r="O283" s="24" t="str">
        <f>テーブル1[[#This Row],[リンク]]&amp;テーブル1[[#This Row],[描画状況]]</f>
        <v>https://jiwajiwakirinn.wixsite.com/sakurada</v>
      </c>
      <c r="P283" s="17">
        <f>1-(COUNTIF(O:O,_xlfn.TEXTJOIN(",",TRUE,テーブル1[[#This Row],[リンク]],テーブル1[[#This Row],[描画状況]]))/COUNTIF(F:F,テーブル1[[#This Row],[リンク]]))</f>
        <v>0.19999999999999996</v>
      </c>
      <c r="Q283" s="16">
        <f ca="1">IFERROR(IF(テーブル1[[#This Row],[描画状況]]="",RAND()+(テーブル1[[#This Row],[列2]]*100),""),RAND())</f>
        <v>20.310825098967079</v>
      </c>
      <c r="S283" s="24" t="str">
        <f ca="1">IF(AND(テーブル1[[#This Row],[描画状況]]="済",テーブル1[[#This Row],[投稿状況]]=""),RAND(),"")</f>
        <v/>
      </c>
      <c r="T283" s="23" t="str">
        <f>"|&amp;image("&amp;テーブル1[[#This Row],[画像]]&amp;".png,width=100,height=100)"</f>
        <v>|&amp;image(otowa-shigure.png,width=100,height=100)</v>
      </c>
      <c r="U283" s="23" t="str">
        <f>"|MIDDLE:​"&amp;テーブル1[[#This Row],[名前]]</f>
        <v>|MIDDLE:​オトワシグレ</v>
      </c>
      <c r="V283" s="23" t="str">
        <f>"|MIDDLE:​"&amp;テーブル1[[#This Row],[なまえ]]</f>
        <v>|MIDDLE:​おとわ しぐれ</v>
      </c>
      <c r="W283" s="23" t="str">
        <f>"|MIDDLE:​"&amp;テーブル1[[#This Row],[Name]]</f>
        <v>|MIDDLE:​Otowa Shigure</v>
      </c>
      <c r="X283" s="23" t="str">
        <f>"|MIDDLE:​&amp;link(配布所はこちら){​"&amp;テーブル1[[#This Row],[リンク]]&amp;"}|"</f>
        <v>|MIDDLE:​&amp;link(配布所はこちら){​https://jiwajiwakirinn.wixsite.com/sakurada}|</v>
      </c>
    </row>
    <row r="284" spans="2:24" ht="20.149999999999999" customHeight="1" x14ac:dyDescent="0.35">
      <c r="B284" s="23" t="str">
        <f>SUBSTITUTE(SUBSTITUTE(SUBSTITUTE(SUBSTITUTE(SUBSTITUTE(SUBSTITUTE(SUBSTITUTE(SUBSTITUTE(LOWER(テーブル1[[#This Row],[Name]])," ","-"),".","-"),"&amp;","-"),"_","-"),"・","-"),"=","-"),"--","-"),"--","-")</f>
        <v>kaiko-rito</v>
      </c>
      <c r="C284" s="24" t="s">
        <v>911</v>
      </c>
      <c r="D284" s="23" t="s">
        <v>913</v>
      </c>
      <c r="E284" s="23" t="s">
        <v>912</v>
      </c>
      <c r="F284" s="15" t="s">
        <v>904</v>
      </c>
      <c r="G284" s="23" t="s">
        <v>917</v>
      </c>
      <c r="O284" s="24" t="str">
        <f>テーブル1[[#This Row],[リンク]]&amp;テーブル1[[#This Row],[描画状況]]</f>
        <v>https://suukedayo.wixsite.com/shiawasefairu</v>
      </c>
      <c r="P284" s="17">
        <f>1-(COUNTIF(O:O,_xlfn.TEXTJOIN(",",TRUE,テーブル1[[#This Row],[リンク]],テーブル1[[#This Row],[描画状況]]))/COUNTIF(F:F,テーブル1[[#This Row],[リンク]]))</f>
        <v>0</v>
      </c>
      <c r="Q284" s="16">
        <f ca="1">IFERROR(IF(テーブル1[[#This Row],[描画状況]]="",RAND()+(テーブル1[[#This Row],[列2]]*100),""),RAND())</f>
        <v>0.96089366622369765</v>
      </c>
      <c r="S284" s="24" t="str">
        <f ca="1">IF(AND(テーブル1[[#This Row],[描画状況]]="済",テーブル1[[#This Row],[投稿状況]]=""),RAND(),"")</f>
        <v/>
      </c>
      <c r="T284" s="23" t="str">
        <f>"|&amp;image("&amp;テーブル1[[#This Row],[画像]]&amp;".png,width=100,height=100)"</f>
        <v>|&amp;image(kaiko-rito.png,width=100,height=100)</v>
      </c>
      <c r="U284" s="23" t="str">
        <f>"|MIDDLE:​"&amp;テーブル1[[#This Row],[名前]]</f>
        <v>|MIDDLE:​开狐リト</v>
      </c>
      <c r="V284" s="23" t="str">
        <f>"|MIDDLE:​"&amp;テーブル1[[#This Row],[なまえ]]</f>
        <v>|MIDDLE:​かいこ りと</v>
      </c>
      <c r="W284" s="23" t="str">
        <f>"|MIDDLE:​"&amp;テーブル1[[#This Row],[Name]]</f>
        <v>|MIDDLE:​Kaiko Rito</v>
      </c>
      <c r="X284" s="23" t="str">
        <f>"|MIDDLE:​&amp;link(配布所はこちら){​"&amp;テーブル1[[#This Row],[リンク]]&amp;"}|"</f>
        <v>|MIDDLE:​&amp;link(配布所はこちら){​https://suukedayo.wixsite.com/shiawasefairu}|</v>
      </c>
    </row>
    <row r="285" spans="2:24" ht="20.149999999999999" customHeight="1" x14ac:dyDescent="0.35">
      <c r="B285" s="23" t="str">
        <f>SUBSTITUTE(SUBSTITUTE(SUBSTITUTE(SUBSTITUTE(SUBSTITUTE(SUBSTITUTE(SUBSTITUTE(SUBSTITUTE(LOWER(テーブル1[[#This Row],[Name]])," ","-"),".","-"),"&amp;","-"),"_","-"),"・","-"),"=","-"),"--","-"),"--","-")</f>
        <v>gaitou-nashi</v>
      </c>
      <c r="C285" s="24" t="s">
        <v>990</v>
      </c>
      <c r="D285" s="23" t="s">
        <v>993</v>
      </c>
      <c r="E285" s="23" t="s">
        <v>991</v>
      </c>
      <c r="F285" s="2" t="s">
        <v>572</v>
      </c>
      <c r="G285" s="23" t="s">
        <v>573</v>
      </c>
      <c r="M285" s="1" t="s">
        <v>1517</v>
      </c>
      <c r="O285" s="24" t="str">
        <f>テーブル1[[#This Row],[リンク]]&amp;テーブル1[[#This Row],[描画状況]]</f>
        <v>https://askdance.wixsite.com/monitor-room/monitor-room</v>
      </c>
      <c r="P285" s="17">
        <f>1-(COUNTIF(O:O,_xlfn.TEXTJOIN(",",TRUE,テーブル1[[#This Row],[リンク]],テーブル1[[#This Row],[描画状況]]))/COUNTIF(F:F,テーブル1[[#This Row],[リンク]]))</f>
        <v>9.9999999999999978E-2</v>
      </c>
      <c r="Q285" s="16">
        <f ca="1">IFERROR(IF(テーブル1[[#This Row],[描画状況]]="",RAND()+(テーブル1[[#This Row],[列2]]*100),""),RAND())</f>
        <v>10.823450042413672</v>
      </c>
      <c r="S285" s="24" t="str">
        <f ca="1">IF(AND(テーブル1[[#This Row],[描画状況]]="済",テーブル1[[#This Row],[投稿状況]]=""),RAND(),"")</f>
        <v/>
      </c>
      <c r="T285" s="23" t="str">
        <f>"|&amp;image("&amp;テーブル1[[#This Row],[画像]]&amp;".png,width=100,height=100)"</f>
        <v>|&amp;image(gaitou-nashi.png,width=100,height=100)</v>
      </c>
      <c r="U285" s="23" t="str">
        <f>"|MIDDLE:​"&amp;テーブル1[[#This Row],[名前]]</f>
        <v>|MIDDLE:​該当ナシ</v>
      </c>
      <c r="V285" s="23" t="str">
        <f>"|MIDDLE:​"&amp;テーブル1[[#This Row],[なまえ]]</f>
        <v>|MIDDLE:​がいとう なし</v>
      </c>
      <c r="W285" s="23" t="str">
        <f>"|MIDDLE:​"&amp;テーブル1[[#This Row],[Name]]</f>
        <v>|MIDDLE:​Gaitou Nashi</v>
      </c>
      <c r="X285" s="23" t="str">
        <f>"|MIDDLE:​&amp;link(配布所はこちら){​"&amp;テーブル1[[#This Row],[リンク]]&amp;"}|"</f>
        <v>|MIDDLE:​&amp;link(配布所はこちら){​https://askdance.wixsite.com/monitor-room/monitor-room}|</v>
      </c>
    </row>
    <row r="286" spans="2:24" ht="20.149999999999999" customHeight="1" x14ac:dyDescent="0.35">
      <c r="B286" s="23" t="str">
        <f>SUBSTITUTE(SUBSTITUTE(SUBSTITUTE(SUBSTITUTE(SUBSTITUTE(SUBSTITUTE(SUBSTITUTE(SUBSTITUTE(LOWER(テーブル1[[#This Row],[Name]])," ","-"),".","-"),"&amp;","-"),"_","-"),"・","-"),"=","-"),"--","-"),"--","-")</f>
        <v>kagibako-moka</v>
      </c>
      <c r="C286" s="24" t="s">
        <v>1034</v>
      </c>
      <c r="D286" s="23" t="s">
        <v>1036</v>
      </c>
      <c r="E286" s="23" t="s">
        <v>1035</v>
      </c>
      <c r="F286" s="2" t="s">
        <v>93</v>
      </c>
      <c r="G286" s="23" t="s">
        <v>94</v>
      </c>
      <c r="H286" s="23" t="s">
        <v>1626</v>
      </c>
      <c r="I286" s="23" t="s">
        <v>1650</v>
      </c>
      <c r="K286" s="23" t="s">
        <v>1653</v>
      </c>
      <c r="M286" s="1" t="s">
        <v>1518</v>
      </c>
      <c r="O286" s="24" t="str">
        <f>テーブル1[[#This Row],[リンク]]&amp;テーブル1[[#This Row],[描画状況]]</f>
        <v>https://cloudcatch1224.wixsite.com/godsfoot</v>
      </c>
      <c r="P286" s="17">
        <f>1-(COUNTIF(O:O,_xlfn.TEXTJOIN(",",TRUE,テーブル1[[#This Row],[リンク]],テーブル1[[#This Row],[描画状況]]))/COUNTIF(F:F,テーブル1[[#This Row],[リンク]]))</f>
        <v>0.8</v>
      </c>
      <c r="Q286" s="16">
        <f ca="1">IFERROR(IF(テーブル1[[#This Row],[描画状況]]="",RAND()+(テーブル1[[#This Row],[列2]]*100),""),RAND())</f>
        <v>80.928986016210743</v>
      </c>
      <c r="S286" s="24" t="str">
        <f ca="1">IF(AND(テーブル1[[#This Row],[描画状況]]="済",テーブル1[[#This Row],[投稿状況]]=""),RAND(),"")</f>
        <v/>
      </c>
      <c r="T286" s="23" t="str">
        <f>"|&amp;image("&amp;テーブル1[[#This Row],[画像]]&amp;".png,width=100,height=100)"</f>
        <v>|&amp;image(kagibako-moka.png,width=100,height=100)</v>
      </c>
      <c r="U286" s="23" t="str">
        <f>"|MIDDLE:​"&amp;テーブル1[[#This Row],[名前]]</f>
        <v>|MIDDLE:​鍵箱モカ</v>
      </c>
      <c r="V286" s="23" t="str">
        <f>"|MIDDLE:​"&amp;テーブル1[[#This Row],[なまえ]]</f>
        <v>|MIDDLE:​かぎばこ もか</v>
      </c>
      <c r="W286" s="23" t="str">
        <f>"|MIDDLE:​"&amp;テーブル1[[#This Row],[Name]]</f>
        <v>|MIDDLE:​Kagibako Moka</v>
      </c>
      <c r="X286" s="23" t="str">
        <f>"|MIDDLE:​&amp;link(配布所はこちら){​"&amp;テーブル1[[#This Row],[リンク]]&amp;"}|"</f>
        <v>|MIDDLE:​&amp;link(配布所はこちら){​https://cloudcatch1224.wixsite.com/godsfoot}|</v>
      </c>
    </row>
    <row r="287" spans="2:24" ht="20.149999999999999" customHeight="1" x14ac:dyDescent="0.35">
      <c r="B287" s="23" t="str">
        <f>SUBSTITUTE(SUBSTITUTE(SUBSTITUTE(SUBSTITUTE(SUBSTITUTE(SUBSTITUTE(SUBSTITUTE(SUBSTITUTE(LOWER(テーブル1[[#This Row],[Name]])," ","-"),".","-"),"&amp;","-"),"_","-"),"・","-"),"=","-"),"--","-"),"--","-")</f>
        <v>kashihara-xavier</v>
      </c>
      <c r="C287" s="24" t="s">
        <v>1074</v>
      </c>
      <c r="D287" s="23" t="s">
        <v>1075</v>
      </c>
      <c r="E287" s="23" t="s">
        <v>1076</v>
      </c>
      <c r="F287" s="15" t="s">
        <v>1066</v>
      </c>
      <c r="G287" s="23" t="s">
        <v>1067</v>
      </c>
      <c r="O287" s="24" t="str">
        <f>テーブル1[[#This Row],[リンク]]&amp;テーブル1[[#This Row],[描画状況]]</f>
        <v>https://yukimiyashimusho.jimdofree.com</v>
      </c>
      <c r="P287" s="17">
        <f>1-(COUNTIF(O:O,_xlfn.TEXTJOIN(",",TRUE,テーブル1[[#This Row],[リンク]],テーブル1[[#This Row],[描画状況]]))/COUNTIF(F:F,テーブル1[[#This Row],[リンク]]))</f>
        <v>7.1428571428571397E-2</v>
      </c>
      <c r="Q287" s="16">
        <f ca="1">IFERROR(IF(テーブル1[[#This Row],[描画状況]]="",RAND()+(テーブル1[[#This Row],[列2]]*100),""),RAND())</f>
        <v>7.1614074294820904</v>
      </c>
      <c r="S287" s="24" t="str">
        <f ca="1">IF(AND(テーブル1[[#This Row],[描画状況]]="済",テーブル1[[#This Row],[投稿状況]]=""),RAND(),"")</f>
        <v/>
      </c>
      <c r="T287" s="23" t="str">
        <f>"|&amp;image("&amp;テーブル1[[#This Row],[画像]]&amp;".png,width=100,height=100)"</f>
        <v>|&amp;image(kashihara-xavier.png,width=100,height=100)</v>
      </c>
      <c r="U287" s="23" t="str">
        <f>"|MIDDLE:​"&amp;テーブル1[[#This Row],[名前]]</f>
        <v>|MIDDLE:​橿原ザビエル</v>
      </c>
      <c r="V287" s="23" t="str">
        <f>"|MIDDLE:​"&amp;テーブル1[[#This Row],[なまえ]]</f>
        <v>|MIDDLE:​かしはら ざびえる</v>
      </c>
      <c r="W287" s="23" t="str">
        <f>"|MIDDLE:​"&amp;テーブル1[[#This Row],[Name]]</f>
        <v>|MIDDLE:​Kashihara Xavier</v>
      </c>
      <c r="X287" s="23" t="str">
        <f>"|MIDDLE:​&amp;link(配布所はこちら){​"&amp;テーブル1[[#This Row],[リンク]]&amp;"}|"</f>
        <v>|MIDDLE:​&amp;link(配布所はこちら){​https://yukimiyashimusho.jimdofree.com}|</v>
      </c>
    </row>
    <row r="288" spans="2:24" ht="20.149999999999999" customHeight="1" x14ac:dyDescent="0.35">
      <c r="B288" s="23" t="str">
        <f>SUBSTITUTE(SUBSTITUTE(SUBSTITUTE(SUBSTITUTE(SUBSTITUTE(SUBSTITUTE(SUBSTITUTE(SUBSTITUTE(LOWER(テーブル1[[#This Row],[Name]])," ","-"),".","-"),"&amp;","-"),"_","-"),"・","-"),"=","-"),"--","-"),"--","-")</f>
        <v>cutter-knife-girl-in-love</v>
      </c>
      <c r="C288" s="24" t="s">
        <v>1215</v>
      </c>
      <c r="D288" s="23" t="s">
        <v>1232</v>
      </c>
      <c r="E288" s="23" t="s">
        <v>1231</v>
      </c>
      <c r="F288" s="15" t="s">
        <v>339</v>
      </c>
      <c r="G288" s="23" t="s">
        <v>340</v>
      </c>
      <c r="O288" s="24" t="str">
        <f>テーブル1[[#This Row],[リンク]]&amp;テーブル1[[#This Row],[描画状況]]</f>
        <v>https://torinosu-hikikomori.jimdofree.com</v>
      </c>
      <c r="P288" s="17">
        <f>1-(COUNTIF(O:O,_xlfn.TEXTJOIN(",",TRUE,テーブル1[[#This Row],[リンク]],テーブル1[[#This Row],[描画状況]]))/COUNTIF(F:F,テーブル1[[#This Row],[リンク]]))</f>
        <v>0.125</v>
      </c>
      <c r="Q288" s="16">
        <f ca="1">IFERROR(IF(テーブル1[[#This Row],[描画状況]]="",RAND()+(テーブル1[[#This Row],[列2]]*100),""),RAND())</f>
        <v>12.608738064829963</v>
      </c>
      <c r="S288" s="24" t="str">
        <f ca="1">IF(AND(テーブル1[[#This Row],[描画状況]]="済",テーブル1[[#This Row],[投稿状況]]=""),RAND(),"")</f>
        <v/>
      </c>
      <c r="T288" s="23" t="str">
        <f>"|&amp;image("&amp;テーブル1[[#This Row],[画像]]&amp;".png,width=100,height=100)"</f>
        <v>|&amp;image(cutter-knife-girl-in-love.png,width=100,height=100)</v>
      </c>
      <c r="U288" s="23" t="str">
        <f>"|MIDDLE:​"&amp;テーブル1[[#This Row],[名前]]</f>
        <v>|MIDDLE:​カッターナイフと恋する少女</v>
      </c>
      <c r="V288" s="23" t="str">
        <f>"|MIDDLE:​"&amp;テーブル1[[#This Row],[なまえ]]</f>
        <v>|MIDDLE:​かったーないふとこいするしょうじょ</v>
      </c>
      <c r="W288" s="23" t="str">
        <f>"|MIDDLE:​"&amp;テーブル1[[#This Row],[Name]]</f>
        <v>|MIDDLE:​Cutter Knife &amp; Girl in Love</v>
      </c>
      <c r="X288" s="23" t="str">
        <f>"|MIDDLE:​&amp;link(配布所はこちら){​"&amp;テーブル1[[#This Row],[リンク]]&amp;"}|"</f>
        <v>|MIDDLE:​&amp;link(配布所はこちら){​https://torinosu-hikikomori.jimdofree.com}|</v>
      </c>
    </row>
    <row r="289" spans="2:24" ht="20.149999999999999" customHeight="1" x14ac:dyDescent="0.35">
      <c r="B289" s="23" t="str">
        <f>SUBSTITUTE(SUBSTITUTE(SUBSTITUTE(SUBSTITUTE(SUBSTITUTE(SUBSTITUTE(SUBSTITUTE(SUBSTITUTE(LOWER(テーブル1[[#This Row],[Name]])," ","-"),".","-"),"&amp;","-"),"_","-"),"・","-"),"=","-"),"--","-"),"--","-")</f>
        <v>caffin</v>
      </c>
      <c r="C289" s="24" t="s">
        <v>782</v>
      </c>
      <c r="D289" s="23" t="s">
        <v>783</v>
      </c>
      <c r="E289" s="23" t="s">
        <v>785</v>
      </c>
      <c r="F289" s="15" t="s">
        <v>778</v>
      </c>
      <c r="G289" s="23" t="s">
        <v>784</v>
      </c>
      <c r="M289" s="1" t="s">
        <v>1517</v>
      </c>
      <c r="O289" s="24" t="str">
        <f>テーブル1[[#This Row],[リンク]]&amp;テーブル1[[#This Row],[描画状況]]</f>
        <v>https://cmamizki.wixsite.com/edelstein</v>
      </c>
      <c r="P289" s="17">
        <f>1-(COUNTIF(O:O,_xlfn.TEXTJOIN(",",TRUE,テーブル1[[#This Row],[リンク]],テーブル1[[#This Row],[描画状況]]))/COUNTIF(F:F,テーブル1[[#This Row],[リンク]]))</f>
        <v>9.0909090909090939E-2</v>
      </c>
      <c r="Q289" s="16">
        <f ca="1">IFERROR(IF(テーブル1[[#This Row],[描画状況]]="",RAND()+(テーブル1[[#This Row],[列2]]*100),""),RAND())</f>
        <v>9.1766715307423556</v>
      </c>
      <c r="S289" s="24" t="str">
        <f ca="1">IF(AND(テーブル1[[#This Row],[描画状況]]="済",テーブル1[[#This Row],[投稿状況]]=""),RAND(),"")</f>
        <v/>
      </c>
      <c r="T289" s="23" t="str">
        <f>"|&amp;image("&amp;テーブル1[[#This Row],[画像]]&amp;".png,width=100,height=100)"</f>
        <v>|&amp;image(caffin.png,width=100,height=100)</v>
      </c>
      <c r="U289" s="23" t="str">
        <f>"|MIDDLE:​"&amp;テーブル1[[#This Row],[名前]]</f>
        <v>|MIDDLE:​カフィン</v>
      </c>
      <c r="V289" s="23" t="str">
        <f>"|MIDDLE:​"&amp;テーブル1[[#This Row],[なまえ]]</f>
        <v>|MIDDLE:​かふぃん</v>
      </c>
      <c r="W289" s="23" t="str">
        <f>"|MIDDLE:​"&amp;テーブル1[[#This Row],[Name]]</f>
        <v>|MIDDLE:​Caffin</v>
      </c>
      <c r="X289" s="23" t="str">
        <f>"|MIDDLE:​&amp;link(配布所はこちら){​"&amp;テーブル1[[#This Row],[リンク]]&amp;"}|"</f>
        <v>|MIDDLE:​&amp;link(配布所はこちら){​https://cmamizki.wixsite.com/edelstein}|</v>
      </c>
    </row>
    <row r="290" spans="2:24" ht="20.149999999999999" customHeight="1" x14ac:dyDescent="0.35">
      <c r="B290" s="23" t="str">
        <f>SUBSTITUTE(SUBSTITUTE(SUBSTITUTE(SUBSTITUTE(SUBSTITUTE(SUBSTITUTE(SUBSTITUTE(SUBSTITUTE(LOWER(テーブル1[[#This Row],[Name]])," ","-"),".","-"),"&amp;","-"),"_","-"),"・","-"),"=","-"),"--","-"),"--","-")</f>
        <v>karan-runa</v>
      </c>
      <c r="C290" s="24" t="s">
        <v>1182</v>
      </c>
      <c r="D290" s="23" t="s">
        <v>1183</v>
      </c>
      <c r="E290" s="23" t="s">
        <v>1184</v>
      </c>
      <c r="F290" s="15" t="s">
        <v>1181</v>
      </c>
      <c r="G290" s="23" t="s">
        <v>1185</v>
      </c>
      <c r="O290" s="24" t="str">
        <f>テーブル1[[#This Row],[リンク]]&amp;テーブル1[[#This Row],[描画状況]]</f>
        <v>http://lunacalan.com</v>
      </c>
      <c r="P290" s="17">
        <f>1-(COUNTIF(O:O,_xlfn.TEXTJOIN(",",TRUE,テーブル1[[#This Row],[リンク]],テーブル1[[#This Row],[描画状況]]))/COUNTIF(F:F,テーブル1[[#This Row],[リンク]]))</f>
        <v>0</v>
      </c>
      <c r="Q290" s="16">
        <f ca="1">IFERROR(IF(テーブル1[[#This Row],[描画状況]]="",RAND()+(テーブル1[[#This Row],[列2]]*100),""),RAND())</f>
        <v>0.71189036861987864</v>
      </c>
      <c r="S290" s="24" t="str">
        <f ca="1">IF(AND(テーブル1[[#This Row],[描画状況]]="済",テーブル1[[#This Row],[投稿状況]]=""),RAND(),"")</f>
        <v/>
      </c>
      <c r="T290" s="23" t="str">
        <f>"|&amp;image("&amp;テーブル1[[#This Row],[画像]]&amp;".png,width=100,height=100)"</f>
        <v>|&amp;image(karan-runa.png,width=100,height=100)</v>
      </c>
      <c r="U290" s="23" t="str">
        <f>"|MIDDLE:​"&amp;テーブル1[[#This Row],[名前]]</f>
        <v>|MIDDLE:​花蘭るな</v>
      </c>
      <c r="V290" s="23" t="str">
        <f>"|MIDDLE:​"&amp;テーブル1[[#This Row],[なまえ]]</f>
        <v>|MIDDLE:​からん るな</v>
      </c>
      <c r="W290" s="23" t="str">
        <f>"|MIDDLE:​"&amp;テーブル1[[#This Row],[Name]]</f>
        <v>|MIDDLE:​Karan Runa</v>
      </c>
      <c r="X290" s="23" t="str">
        <f>"|MIDDLE:​&amp;link(配布所はこちら){​"&amp;テーブル1[[#This Row],[リンク]]&amp;"}|"</f>
        <v>|MIDDLE:​&amp;link(配布所はこちら){​http://lunacalan.com}|</v>
      </c>
    </row>
    <row r="291" spans="2:24" ht="20.149999999999999" customHeight="1" x14ac:dyDescent="0.35">
      <c r="B291" s="23" t="str">
        <f>SUBSTITUTE(SUBSTITUTE(SUBSTITUTE(SUBSTITUTE(SUBSTITUTE(SUBSTITUTE(SUBSTITUTE(SUBSTITUTE(LOWER(テーブル1[[#This Row],[Name]])," ","-"),".","-"),"&amp;","-"),"_","-"),"・","-"),"=","-"),"--","-"),"--","-")</f>
        <v>karuta-koya</v>
      </c>
      <c r="C291" s="24" t="s">
        <v>1016</v>
      </c>
      <c r="D291" s="23" t="s">
        <v>1018</v>
      </c>
      <c r="E291" s="23" t="s">
        <v>1019</v>
      </c>
      <c r="F291" s="2" t="s">
        <v>540</v>
      </c>
      <c r="G291" s="23" t="s">
        <v>1013</v>
      </c>
      <c r="H291" s="23" t="s">
        <v>1627</v>
      </c>
      <c r="I291" s="23" t="s">
        <v>1636</v>
      </c>
      <c r="J291" s="23" t="s">
        <v>1716</v>
      </c>
      <c r="K291" s="23" t="s">
        <v>1637</v>
      </c>
      <c r="O291" s="24" t="str">
        <f>テーブル1[[#This Row],[リンク]]&amp;テーブル1[[#This Row],[描画状況]]</f>
        <v>https://bowlroll.net/user/980255</v>
      </c>
      <c r="P291" s="17">
        <f>1-(COUNTIF(O:O,_xlfn.TEXTJOIN(",",TRUE,テーブル1[[#This Row],[リンク]],テーブル1[[#This Row],[描画状況]]))/COUNTIF(F:F,テーブル1[[#This Row],[リンク]]))</f>
        <v>0.5714285714285714</v>
      </c>
      <c r="Q291" s="16">
        <f ca="1">IFERROR(IF(テーブル1[[#This Row],[描画状況]]="",RAND()+(テーブル1[[#This Row],[列2]]*100),""),RAND())</f>
        <v>57.714782570133309</v>
      </c>
      <c r="S291" s="24" t="str">
        <f ca="1">IF(AND(テーブル1[[#This Row],[描画状況]]="済",テーブル1[[#This Row],[投稿状況]]=""),RAND(),"")</f>
        <v/>
      </c>
      <c r="T291" s="23" t="str">
        <f>"|&amp;image("&amp;テーブル1[[#This Row],[画像]]&amp;".png,width=100,height=100)"</f>
        <v>|&amp;image(karuta-koya.png,width=100,height=100)</v>
      </c>
      <c r="U291" s="23" t="str">
        <f>"|MIDDLE:​"&amp;テーブル1[[#This Row],[名前]]</f>
        <v>|MIDDLE:​歌留多耕也</v>
      </c>
      <c r="V291" s="23" t="str">
        <f>"|MIDDLE:​"&amp;テーブル1[[#This Row],[なまえ]]</f>
        <v>|MIDDLE:​かるた こうや</v>
      </c>
      <c r="W291" s="23" t="str">
        <f>"|MIDDLE:​"&amp;テーブル1[[#This Row],[Name]]</f>
        <v>|MIDDLE:​Karuta Koya</v>
      </c>
      <c r="X291" s="23" t="str">
        <f>"|MIDDLE:​&amp;link(配布所はこちら){​"&amp;テーブル1[[#This Row],[リンク]]&amp;"}|"</f>
        <v>|MIDDLE:​&amp;link(配布所はこちら){​https://bowlroll.net/user/980255}|</v>
      </c>
    </row>
    <row r="292" spans="2:24" ht="20.149999999999999" customHeight="1" x14ac:dyDescent="0.35">
      <c r="B292" s="23" t="str">
        <f>SUBSTITUTE(SUBSTITUTE(SUBSTITUTE(SUBSTITUTE(SUBSTITUTE(SUBSTITUTE(SUBSTITUTE(SUBSTITUTE(LOWER(テーブル1[[#This Row],[Name]])," ","-"),".","-"),"&amp;","-"),"_","-"),"・","-"),"=","-"),"--","-"),"--","-")</f>
        <v>kido-on</v>
      </c>
      <c r="C292" s="24" t="s">
        <v>844</v>
      </c>
      <c r="D292" s="23" t="s">
        <v>845</v>
      </c>
      <c r="E292" s="23" t="s">
        <v>846</v>
      </c>
      <c r="F292" s="2" t="s">
        <v>833</v>
      </c>
      <c r="G292" s="23" t="s">
        <v>834</v>
      </c>
      <c r="O292" s="24" t="str">
        <f>テーブル1[[#This Row],[リンク]]&amp;テーブル1[[#This Row],[描画状況]]</f>
        <v>https://kaedekatusaki.wixsite.com/yanagiroutyou</v>
      </c>
      <c r="P292" s="17">
        <f>1-(COUNTIF(O:O,_xlfn.TEXTJOIN(",",TRUE,テーブル1[[#This Row],[リンク]],テーブル1[[#This Row],[描画状況]]))/COUNTIF(F:F,テーブル1[[#This Row],[リンク]]))</f>
        <v>0.125</v>
      </c>
      <c r="Q292" s="16">
        <f ca="1">IFERROR(IF(テーブル1[[#This Row],[描画状況]]="",RAND()+(テーブル1[[#This Row],[列2]]*100),""),RAND())</f>
        <v>13.387492733844756</v>
      </c>
      <c r="S292" s="24" t="str">
        <f ca="1">IF(AND(テーブル1[[#This Row],[描画状況]]="済",テーブル1[[#This Row],[投稿状況]]=""),RAND(),"")</f>
        <v/>
      </c>
      <c r="T292" s="23" t="str">
        <f>"|&amp;image("&amp;テーブル1[[#This Row],[画像]]&amp;".png,width=100,height=100)"</f>
        <v>|&amp;image(kido-on.png,width=100,height=100)</v>
      </c>
      <c r="U292" s="23" t="str">
        <f>"|MIDDLE:​"&amp;テーブル1[[#This Row],[名前]]</f>
        <v>|MIDDLE:​​機動穏</v>
      </c>
      <c r="V292" s="23" t="str">
        <f>"|MIDDLE:​"&amp;テーブル1[[#This Row],[なまえ]]</f>
        <v>|MIDDLE:​きどう おん</v>
      </c>
      <c r="W292" s="23" t="str">
        <f>"|MIDDLE:​"&amp;テーブル1[[#This Row],[Name]]</f>
        <v>|MIDDLE:​Kido On</v>
      </c>
      <c r="X292" s="23" t="str">
        <f>"|MIDDLE:​&amp;link(配布所はこちら){​"&amp;テーブル1[[#This Row],[リンク]]&amp;"}|"</f>
        <v>|MIDDLE:​&amp;link(配布所はこちら){​https://kaedekatusaki.wixsite.com/yanagiroutyou}|</v>
      </c>
    </row>
    <row r="293" spans="2:24" ht="20.149999999999999" customHeight="1" x14ac:dyDescent="0.35">
      <c r="B293" s="23" t="str">
        <f>SUBSTITUTE(SUBSTITUTE(SUBSTITUTE(SUBSTITUTE(SUBSTITUTE(SUBSTITUTE(SUBSTITUTE(SUBSTITUTE(LOWER(テーブル1[[#This Row],[Name]])," ","-"),".","-"),"&amp;","-"),"_","-"),"・","-"),"=","-"),"--","-"),"--","-")</f>
        <v>gitorasan</v>
      </c>
      <c r="C293" s="24" t="s">
        <v>1060</v>
      </c>
      <c r="D293" s="23" t="s">
        <v>1061</v>
      </c>
      <c r="E293" s="23" t="s">
        <v>1062</v>
      </c>
      <c r="F293" s="15" t="s">
        <v>671</v>
      </c>
      <c r="G293" s="23" t="s">
        <v>672</v>
      </c>
      <c r="M293" s="1" t="s">
        <v>1517</v>
      </c>
      <c r="O293" s="24" t="str">
        <f>テーブル1[[#This Row],[リンク]]&amp;テーブル1[[#This Row],[描画状況]]</f>
        <v>https://flowerrocklove.wixsite.com/twilight-crisis</v>
      </c>
      <c r="P293" s="17">
        <f>1-(COUNTIF(O:O,_xlfn.TEXTJOIN(",",TRUE,テーブル1[[#This Row],[リンク]],テーブル1[[#This Row],[描画状況]]))/COUNTIF(F:F,テーブル1[[#This Row],[リンク]]))</f>
        <v>0.22222222222222221</v>
      </c>
      <c r="Q293" s="16">
        <f ca="1">IFERROR(IF(テーブル1[[#This Row],[描画状況]]="",RAND()+(テーブル1[[#This Row],[列2]]*100),""),RAND())</f>
        <v>22.726554326480304</v>
      </c>
      <c r="S293" s="24" t="str">
        <f ca="1">IF(AND(テーブル1[[#This Row],[描画状況]]="済",テーブル1[[#This Row],[投稿状況]]=""),RAND(),"")</f>
        <v/>
      </c>
      <c r="T293" s="23" t="str">
        <f>"|&amp;image("&amp;テーブル1[[#This Row],[画像]]&amp;".png,width=100,height=100)"</f>
        <v>|&amp;image(gitorasan.png,width=100,height=100)</v>
      </c>
      <c r="U293" s="23" t="str">
        <f>"|MIDDLE:​"&amp;テーブル1[[#This Row],[名前]]</f>
        <v>|MIDDLE:​ギトラさん</v>
      </c>
      <c r="V293" s="23" t="str">
        <f>"|MIDDLE:​"&amp;テーブル1[[#This Row],[なまえ]]</f>
        <v>|MIDDLE:​ぎとらさん</v>
      </c>
      <c r="W293" s="23" t="str">
        <f>"|MIDDLE:​"&amp;テーブル1[[#This Row],[Name]]</f>
        <v>|MIDDLE:​Gitorasan</v>
      </c>
      <c r="X293" s="23" t="str">
        <f>"|MIDDLE:​&amp;link(配布所はこちら){​"&amp;テーブル1[[#This Row],[リンク]]&amp;"}|"</f>
        <v>|MIDDLE:​&amp;link(配布所はこちら){​https://flowerrocklove.wixsite.com/twilight-crisis}|</v>
      </c>
    </row>
    <row r="294" spans="2:24" ht="20.149999999999999" customHeight="1" x14ac:dyDescent="0.35">
      <c r="B294" s="23" t="str">
        <f>SUBSTITUTE(SUBSTITUTE(SUBSTITUTE(SUBSTITUTE(SUBSTITUTE(SUBSTITUTE(SUBSTITUTE(SUBSTITUTE(LOWER(テーブル1[[#This Row],[Name]])," ","-"),".","-"),"&amp;","-"),"_","-"),"・","-"),"=","-"),"--","-"),"--","-")</f>
        <v>kinone-moto</v>
      </c>
      <c r="C294" s="24" t="s">
        <v>1003</v>
      </c>
      <c r="D294" s="23" t="s">
        <v>1006</v>
      </c>
      <c r="E294" s="23" t="s">
        <v>1007</v>
      </c>
      <c r="F294" s="2" t="s">
        <v>64</v>
      </c>
      <c r="G294" s="23" t="s">
        <v>65</v>
      </c>
      <c r="M294" s="1" t="s">
        <v>1517</v>
      </c>
      <c r="O294" s="24" t="str">
        <f>テーブル1[[#This Row],[リンク]]&amp;テーブル1[[#This Row],[描画状況]]</f>
        <v>https://bowlroll.net/user/852117/files</v>
      </c>
      <c r="P294" s="17">
        <f>1-(COUNTIF(O:O,_xlfn.TEXTJOIN(",",TRUE,テーブル1[[#This Row],[リンク]],テーブル1[[#This Row],[描画状況]]))/COUNTIF(F:F,テーブル1[[#This Row],[リンク]]))</f>
        <v>0.6</v>
      </c>
      <c r="Q294" s="16">
        <f ca="1">IFERROR(IF(テーブル1[[#This Row],[描画状況]]="",RAND()+(テーブル1[[#This Row],[列2]]*100),""),RAND())</f>
        <v>60.939600007861664</v>
      </c>
      <c r="S294" s="24" t="str">
        <f ca="1">IF(AND(テーブル1[[#This Row],[描画状況]]="済",テーブル1[[#This Row],[投稿状況]]=""),RAND(),"")</f>
        <v/>
      </c>
      <c r="T294" s="23" t="str">
        <f>"|&amp;image("&amp;テーブル1[[#This Row],[画像]]&amp;".png,width=100,height=100)"</f>
        <v>|&amp;image(kinone-moto.png,width=100,height=100)</v>
      </c>
      <c r="U294" s="23" t="str">
        <f>"|MIDDLE:​"&amp;テーブル1[[#This Row],[名前]]</f>
        <v>|MIDDLE:​きの音もと</v>
      </c>
      <c r="V294" s="23" t="str">
        <f>"|MIDDLE:​"&amp;テーブル1[[#This Row],[なまえ]]</f>
        <v>|MIDDLE:​きのね もと</v>
      </c>
      <c r="W294" s="23" t="str">
        <f>"|MIDDLE:​"&amp;テーブル1[[#This Row],[Name]]</f>
        <v>|MIDDLE:​Kinone Moto</v>
      </c>
      <c r="X294" s="23" t="str">
        <f>"|MIDDLE:​&amp;link(配布所はこちら){​"&amp;テーブル1[[#This Row],[リンク]]&amp;"}|"</f>
        <v>|MIDDLE:​&amp;link(配布所はこちら){​https://bowlroll.net/user/852117/files}|</v>
      </c>
    </row>
    <row r="295" spans="2:24" ht="20.149999999999999" customHeight="1" x14ac:dyDescent="0.35">
      <c r="B295" s="23" t="str">
        <f>SUBSTITUTE(SUBSTITUTE(SUBSTITUTE(SUBSTITUTE(SUBSTITUTE(SUBSTITUTE(SUBSTITUTE(SUBSTITUTE(LOWER(テーブル1[[#This Row],[Name]])," ","-"),".","-"),"&amp;","-"),"_","-"),"・","-"),"=","-"),"--","-"),"--","-")</f>
        <v>giba-yorika</v>
      </c>
      <c r="C295" s="24" t="s">
        <v>1444</v>
      </c>
      <c r="D295" s="23" t="s">
        <v>1445</v>
      </c>
      <c r="E295" s="23" t="s">
        <v>1446</v>
      </c>
      <c r="F295" s="15" t="s">
        <v>1447</v>
      </c>
      <c r="G295" s="23" t="s">
        <v>1448</v>
      </c>
      <c r="O295" s="24" t="str">
        <f>テーブル1[[#This Row],[リンク]]&amp;テーブル1[[#This Row],[描画状況]]</f>
        <v>https://bowlroll.net/user/992955</v>
      </c>
      <c r="P295" s="17">
        <f>1-(COUNTIF(O:O,_xlfn.TEXTJOIN(",",TRUE,テーブル1[[#This Row],[リンク]],テーブル1[[#This Row],[描画状況]]))/COUNTIF(F:F,テーブル1[[#This Row],[リンク]]))</f>
        <v>0</v>
      </c>
      <c r="Q295" s="16">
        <f ca="1">IFERROR(IF(テーブル1[[#This Row],[描画状況]]="",RAND()+(テーブル1[[#This Row],[列2]]*100),""),RAND())</f>
        <v>0.30645057055756197</v>
      </c>
      <c r="S295" s="24" t="str">
        <f ca="1">IF(AND(テーブル1[[#This Row],[描画状況]]="済",テーブル1[[#This Row],[投稿状況]]=""),RAND(),"")</f>
        <v/>
      </c>
      <c r="T295" s="23" t="str">
        <f>"|&amp;image("&amp;テーブル1[[#This Row],[画像]]&amp;".png,width=100,height=100)"</f>
        <v>|&amp;image(giba-yorika.png,width=100,height=100)</v>
      </c>
      <c r="U295" s="23" t="str">
        <f>"|MIDDLE:​"&amp;テーブル1[[#This Row],[名前]]</f>
        <v>|MIDDLE:​義羽よりか</v>
      </c>
      <c r="V295" s="23" t="str">
        <f>"|MIDDLE:​"&amp;テーブル1[[#This Row],[なまえ]]</f>
        <v>|MIDDLE:​ぎば よりか</v>
      </c>
      <c r="W295" s="23" t="str">
        <f>"|MIDDLE:​"&amp;テーブル1[[#This Row],[Name]]</f>
        <v>|MIDDLE:​Giba Yorika</v>
      </c>
      <c r="X295" s="23" t="str">
        <f>"|MIDDLE:​&amp;link(配布所はこちら){​"&amp;テーブル1[[#This Row],[リンク]]&amp;"}|"</f>
        <v>|MIDDLE:​&amp;link(配布所はこちら){​https://bowlroll.net/user/992955}|</v>
      </c>
    </row>
    <row r="296" spans="2:24" ht="20.149999999999999" customHeight="1" x14ac:dyDescent="0.35">
      <c r="B296" s="23" t="str">
        <f>SUBSTITUTE(SUBSTITUTE(SUBSTITUTE(SUBSTITUTE(SUBSTITUTE(SUBSTITUTE(SUBSTITUTE(SUBSTITUTE(LOWER(テーブル1[[#This Row],[Name]])," ","-"),".","-"),"&amp;","-"),"_","-"),"・","-"),"=","-"),"--","-"),"--","-")</f>
        <v>gyokuto</v>
      </c>
      <c r="C296" s="24" t="s">
        <v>730</v>
      </c>
      <c r="D296" s="23" t="s">
        <v>732</v>
      </c>
      <c r="E296" s="23" t="s">
        <v>731</v>
      </c>
      <c r="F296" s="2" t="s">
        <v>729</v>
      </c>
      <c r="G296" s="23" t="s">
        <v>728</v>
      </c>
      <c r="O296" s="24" t="str">
        <f>テーブル1[[#This Row],[リンク]]&amp;テーブル1[[#This Row],[描画状況]]</f>
        <v>https://shiromeneko162.wixsite.com/shiromean-official</v>
      </c>
      <c r="P296" s="17">
        <f>1-(COUNTIF(O:O,_xlfn.TEXTJOIN(",",TRUE,テーブル1[[#This Row],[リンク]],テーブル1[[#This Row],[描画状況]]))/COUNTIF(F:F,テーブル1[[#This Row],[リンク]]))</f>
        <v>0.5</v>
      </c>
      <c r="Q296" s="16">
        <f ca="1">IFERROR(IF(テーブル1[[#This Row],[描画状況]]="",RAND()+(テーブル1[[#This Row],[列2]]*100),""),RAND())</f>
        <v>50.803434828085152</v>
      </c>
      <c r="S296" s="24" t="str">
        <f ca="1">IF(AND(テーブル1[[#This Row],[描画状況]]="済",テーブル1[[#This Row],[投稿状況]]=""),RAND(),"")</f>
        <v/>
      </c>
      <c r="T296" s="23" t="str">
        <f>"|&amp;image("&amp;テーブル1[[#This Row],[画像]]&amp;".png,width=100,height=100)"</f>
        <v>|&amp;image(gyokuto.png,width=100,height=100)</v>
      </c>
      <c r="U296" s="23" t="str">
        <f>"|MIDDLE:​"&amp;テーブル1[[#This Row],[名前]]</f>
        <v>|MIDDLE:​​玉兎</v>
      </c>
      <c r="V296" s="23" t="str">
        <f>"|MIDDLE:​"&amp;テーブル1[[#This Row],[なまえ]]</f>
        <v>|MIDDLE:​ぎょくと</v>
      </c>
      <c r="W296" s="23" t="str">
        <f>"|MIDDLE:​"&amp;テーブル1[[#This Row],[Name]]</f>
        <v>|MIDDLE:​Gyokuto</v>
      </c>
      <c r="X296" s="23" t="str">
        <f>"|MIDDLE:​&amp;link(配布所はこちら){​"&amp;テーブル1[[#This Row],[リンク]]&amp;"}|"</f>
        <v>|MIDDLE:​&amp;link(配布所はこちら){​https://shiromeneko162.wixsite.com/shiromean-official}|</v>
      </c>
    </row>
    <row r="297" spans="2:24" ht="20.149999999999999" customHeight="1" x14ac:dyDescent="0.35">
      <c r="B297" s="23" t="str">
        <f>SUBSTITUTE(SUBSTITUTE(SUBSTITUTE(SUBSTITUTE(SUBSTITUTE(SUBSTITUTE(SUBSTITUTE(SUBSTITUTE(LOWER(テーブル1[[#This Row],[Name]])," ","-"),".","-"),"&amp;","-"),"_","-"),"・","-"),"=","-"),"--","-"),"--","-")</f>
        <v>kusuzato-kimeru</v>
      </c>
      <c r="C297" s="24" t="s">
        <v>981</v>
      </c>
      <c r="D297" s="23" t="s">
        <v>983</v>
      </c>
      <c r="E297" s="23" t="s">
        <v>982</v>
      </c>
      <c r="F297" s="2" t="s">
        <v>572</v>
      </c>
      <c r="G297" s="23" t="s">
        <v>573</v>
      </c>
      <c r="M297" s="1" t="s">
        <v>1517</v>
      </c>
      <c r="O297" s="24" t="str">
        <f>テーブル1[[#This Row],[リンク]]&amp;テーブル1[[#This Row],[描画状況]]</f>
        <v>https://askdance.wixsite.com/monitor-room/monitor-room</v>
      </c>
      <c r="P297" s="17">
        <f>1-(COUNTIF(O:O,_xlfn.TEXTJOIN(",",TRUE,テーブル1[[#This Row],[リンク]],テーブル1[[#This Row],[描画状況]]))/COUNTIF(F:F,テーブル1[[#This Row],[リンク]]))</f>
        <v>9.9999999999999978E-2</v>
      </c>
      <c r="Q297" s="16">
        <f ca="1">IFERROR(IF(テーブル1[[#This Row],[描画状況]]="",RAND()+(テーブル1[[#This Row],[列2]]*100),""),RAND())</f>
        <v>10.098193283491247</v>
      </c>
      <c r="S297" s="24" t="str">
        <f ca="1">IF(AND(テーブル1[[#This Row],[描画状況]]="済",テーブル1[[#This Row],[投稿状況]]=""),RAND(),"")</f>
        <v/>
      </c>
      <c r="T297" s="23" t="str">
        <f>"|&amp;image("&amp;テーブル1[[#This Row],[画像]]&amp;".png,width=100,height=100)"</f>
        <v>|&amp;image(kusuzato-kimeru.png,width=100,height=100)</v>
      </c>
      <c r="U297" s="23" t="str">
        <f>"|MIDDLE:​"&amp;テーブル1[[#This Row],[名前]]</f>
        <v xml:space="preserve">|MIDDLE:​楠里極 </v>
      </c>
      <c r="V297" s="23" t="str">
        <f>"|MIDDLE:​"&amp;テーブル1[[#This Row],[なまえ]]</f>
        <v>|MIDDLE:​くすざと きめる</v>
      </c>
      <c r="W297" s="23" t="str">
        <f>"|MIDDLE:​"&amp;テーブル1[[#This Row],[Name]]</f>
        <v>|MIDDLE:​Kusuzato Kimeru</v>
      </c>
      <c r="X297" s="23" t="str">
        <f>"|MIDDLE:​&amp;link(配布所はこちら){​"&amp;テーブル1[[#This Row],[リンク]]&amp;"}|"</f>
        <v>|MIDDLE:​&amp;link(配布所はこちら){​https://askdance.wixsite.com/monitor-room/monitor-room}|</v>
      </c>
    </row>
    <row r="298" spans="2:24" ht="20.149999999999999" customHeight="1" x14ac:dyDescent="0.35">
      <c r="B298" s="23" t="str">
        <f>SUBSTITUTE(SUBSTITUTE(SUBSTITUTE(SUBSTITUTE(SUBSTITUTE(SUBSTITUTE(SUBSTITUTE(SUBSTITUTE(LOWER(テーブル1[[#This Row],[Name]])," ","-"),".","-"),"&amp;","-"),"_","-"),"・","-"),"=","-"),"--","-"),"--","-")</f>
        <v>kuzuhira-tsumari</v>
      </c>
      <c r="C298" s="24" t="s">
        <v>1262</v>
      </c>
      <c r="D298" s="23" t="s">
        <v>1263</v>
      </c>
      <c r="E298" s="23" t="s">
        <v>1264</v>
      </c>
      <c r="F298" s="15" t="s">
        <v>1265</v>
      </c>
      <c r="G298" s="23" t="s">
        <v>1266</v>
      </c>
      <c r="O298" s="24" t="str">
        <f>テーブル1[[#This Row],[リンク]]&amp;テーブル1[[#This Row],[描画状況]]</f>
        <v>https://bowlroll.net/user/934800</v>
      </c>
      <c r="P298" s="17">
        <f>1-(COUNTIF(O:O,_xlfn.TEXTJOIN(",",TRUE,テーブル1[[#This Row],[リンク]],テーブル1[[#This Row],[描画状況]]))/COUNTIF(F:F,テーブル1[[#This Row],[リンク]]))</f>
        <v>0</v>
      </c>
      <c r="Q298" s="16">
        <f ca="1">IFERROR(IF(テーブル1[[#This Row],[描画状況]]="",RAND()+(テーブル1[[#This Row],[列2]]*100),""),RAND())</f>
        <v>0.24981509783367628</v>
      </c>
      <c r="S298" s="24" t="str">
        <f ca="1">IF(AND(テーブル1[[#This Row],[描画状況]]="済",テーブル1[[#This Row],[投稿状況]]=""),RAND(),"")</f>
        <v/>
      </c>
      <c r="T298" s="23" t="str">
        <f>"|&amp;image("&amp;テーブル1[[#This Row],[画像]]&amp;".png,width=100,height=100)"</f>
        <v>|&amp;image(kuzuhira-tsumari.png,width=100,height=100)</v>
      </c>
      <c r="U298" s="23" t="str">
        <f>"|MIDDLE:​"&amp;テーブル1[[#This Row],[名前]]</f>
        <v>|MIDDLE:​葛平ツマリ</v>
      </c>
      <c r="V298" s="23" t="str">
        <f>"|MIDDLE:​"&amp;テーブル1[[#This Row],[なまえ]]</f>
        <v>|MIDDLE:​くずひら つまり</v>
      </c>
      <c r="W298" s="23" t="str">
        <f>"|MIDDLE:​"&amp;テーブル1[[#This Row],[Name]]</f>
        <v>|MIDDLE:​Kuzuhira tsumari</v>
      </c>
      <c r="X298" s="23" t="str">
        <f>"|MIDDLE:​&amp;link(配布所はこちら){​"&amp;テーブル1[[#This Row],[リンク]]&amp;"}|"</f>
        <v>|MIDDLE:​&amp;link(配布所はこちら){​https://bowlroll.net/user/934800}|</v>
      </c>
    </row>
    <row r="299" spans="2:24" ht="20.149999999999999" customHeight="1" x14ac:dyDescent="0.35">
      <c r="B299" s="23" t="str">
        <f>SUBSTITUTE(SUBSTITUTE(SUBSTITUTE(SUBSTITUTE(SUBSTITUTE(SUBSTITUTE(SUBSTITUTE(SUBSTITUTE(LOWER(テーブル1[[#This Row],[Name]])," ","-"),".","-"),"&amp;","-"),"_","-"),"・","-"),"=","-"),"--","-"),"--","-")</f>
        <v>kunisue-kiyomasa</v>
      </c>
      <c r="C299" s="24" t="s">
        <v>522</v>
      </c>
      <c r="D299" s="23" t="s">
        <v>523</v>
      </c>
      <c r="E299" s="23" t="s">
        <v>524</v>
      </c>
      <c r="F299" s="2" t="s">
        <v>520</v>
      </c>
      <c r="G299" s="23" t="s">
        <v>521</v>
      </c>
      <c r="M299" s="1" t="s">
        <v>1517</v>
      </c>
      <c r="O299" s="24" t="str">
        <f>テーブル1[[#This Row],[リンク]]&amp;テーブル1[[#This Row],[描画状況]]</f>
        <v>https://coyukimachi.wixsite.com/my-site</v>
      </c>
      <c r="P299" s="17">
        <f>1-(COUNTIF(O:O,_xlfn.TEXTJOIN(",",TRUE,テーブル1[[#This Row],[リンク]],テーブル1[[#This Row],[描画状況]]))/COUNTIF(F:F,テーブル1[[#This Row],[リンク]]))</f>
        <v>0</v>
      </c>
      <c r="Q299" s="16">
        <f ca="1">IFERROR(IF(テーブル1[[#This Row],[描画状況]]="",RAND()+(テーブル1[[#This Row],[列2]]*100),""),RAND())</f>
        <v>0.91220815681970135</v>
      </c>
      <c r="S299" s="24" t="str">
        <f ca="1">IF(AND(テーブル1[[#This Row],[描画状況]]="済",テーブル1[[#This Row],[投稿状況]]=""),RAND(),"")</f>
        <v/>
      </c>
      <c r="T299" s="23" t="str">
        <f>"|&amp;image("&amp;テーブル1[[#This Row],[画像]]&amp;".png,width=100,height=100)"</f>
        <v>|&amp;image(kunisue-kiyomasa.png,width=100,height=100)</v>
      </c>
      <c r="U299" s="23" t="str">
        <f>"|MIDDLE:​"&amp;テーブル1[[#This Row],[名前]]</f>
        <v>|MIDDLE:​​國居清正</v>
      </c>
      <c r="V299" s="23" t="str">
        <f>"|MIDDLE:​"&amp;テーブル1[[#This Row],[なまえ]]</f>
        <v>|MIDDLE:​くにすえ きよまさ</v>
      </c>
      <c r="W299" s="23" t="str">
        <f>"|MIDDLE:​"&amp;テーブル1[[#This Row],[Name]]</f>
        <v>|MIDDLE:​Kunisue Kiyomasa</v>
      </c>
      <c r="X299" s="23" t="str">
        <f>"|MIDDLE:​&amp;link(配布所はこちら){​"&amp;テーブル1[[#This Row],[リンク]]&amp;"}|"</f>
        <v>|MIDDLE:​&amp;link(配布所はこちら){​https://coyukimachi.wixsite.com/my-site}|</v>
      </c>
    </row>
    <row r="300" spans="2:24" ht="20.149999999999999" customHeight="1" x14ac:dyDescent="0.35">
      <c r="B300" s="23" t="str">
        <f>SUBSTITUTE(SUBSTITUTE(SUBSTITUTE(SUBSTITUTE(SUBSTITUTE(SUBSTITUTE(SUBSTITUTE(SUBSTITUTE(LOWER(テーブル1[[#This Row],[Name]])," ","-"),".","-"),"&amp;","-"),"_","-"),"・","-"),"=","-"),"--","-"),"--","-")</f>
        <v>kurene-shito</v>
      </c>
      <c r="C300" s="24" t="s">
        <v>1012</v>
      </c>
      <c r="D300" s="23" t="s">
        <v>1014</v>
      </c>
      <c r="E300" s="23" t="s">
        <v>1015</v>
      </c>
      <c r="F300" s="2" t="s">
        <v>540</v>
      </c>
      <c r="G300" s="23" t="s">
        <v>71</v>
      </c>
      <c r="H300" s="23" t="s">
        <v>1663</v>
      </c>
      <c r="I300" s="23" t="s">
        <v>1715</v>
      </c>
      <c r="O300" s="24" t="str">
        <f>テーブル1[[#This Row],[リンク]]&amp;テーブル1[[#This Row],[描画状況]]</f>
        <v>https://bowlroll.net/user/980255</v>
      </c>
      <c r="P300" s="17">
        <f>1-(COUNTIF(O:O,_xlfn.TEXTJOIN(",",TRUE,テーブル1[[#This Row],[リンク]],テーブル1[[#This Row],[描画状況]]))/COUNTIF(F:F,テーブル1[[#This Row],[リンク]]))</f>
        <v>0.5714285714285714</v>
      </c>
      <c r="Q300" s="16">
        <f ca="1">IFERROR(IF(テーブル1[[#This Row],[描画状況]]="",RAND()+(テーブル1[[#This Row],[列2]]*100),""),RAND())</f>
        <v>58.003071452113929</v>
      </c>
      <c r="S300" s="24" t="str">
        <f ca="1">IF(AND(テーブル1[[#This Row],[描画状況]]="済",テーブル1[[#This Row],[投稿状況]]=""),RAND(),"")</f>
        <v/>
      </c>
      <c r="T300" s="23" t="str">
        <f>"|&amp;image("&amp;テーブル1[[#This Row],[画像]]&amp;".png,width=100,height=100)"</f>
        <v>|&amp;image(kurene-shito.png,width=100,height=100)</v>
      </c>
      <c r="U300" s="23" t="str">
        <f>"|MIDDLE:​"&amp;テーブル1[[#This Row],[名前]]</f>
        <v>|MIDDLE:​暮音シト</v>
      </c>
      <c r="V300" s="23" t="str">
        <f>"|MIDDLE:​"&amp;テーブル1[[#This Row],[なまえ]]</f>
        <v>|MIDDLE:​くれね しと</v>
      </c>
      <c r="W300" s="23" t="str">
        <f>"|MIDDLE:​"&amp;テーブル1[[#This Row],[Name]]</f>
        <v>|MIDDLE:​Kurene Shito</v>
      </c>
      <c r="X300" s="23" t="str">
        <f>"|MIDDLE:​&amp;link(配布所はこちら){​"&amp;テーブル1[[#This Row],[リンク]]&amp;"}|"</f>
        <v>|MIDDLE:​&amp;link(配布所はこちら){​https://bowlroll.net/user/980255}|</v>
      </c>
    </row>
    <row r="301" spans="2:24" ht="20.149999999999999" customHeight="1" x14ac:dyDescent="0.35">
      <c r="B301" s="23" t="str">
        <f>SUBSTITUTE(SUBSTITUTE(SUBSTITUTE(SUBSTITUTE(SUBSTITUTE(SUBSTITUTE(SUBSTITUTE(SUBSTITUTE(LOWER(テーブル1[[#This Row],[Name]])," ","-"),".","-"),"&amp;","-"),"_","-"),"・","-"),"=","-"),"--","-"),"--","-")</f>
        <v>kurobai-pafia</v>
      </c>
      <c r="C301" s="24" t="s">
        <v>738</v>
      </c>
      <c r="D301" s="23" t="s">
        <v>739</v>
      </c>
      <c r="E301" s="23" t="s">
        <v>740</v>
      </c>
      <c r="F301" s="15" t="s">
        <v>736</v>
      </c>
      <c r="G301" s="23" t="s">
        <v>737</v>
      </c>
      <c r="O301" s="24" t="str">
        <f>テーブル1[[#This Row],[リンク]]&amp;テーブル1[[#This Row],[描画状況]]</f>
        <v>https://t7ttttttt.wixsite.com/t7-re</v>
      </c>
      <c r="P301" s="17">
        <f>1-(COUNTIF(O:O,_xlfn.TEXTJOIN(",",TRUE,テーブル1[[#This Row],[リンク]],テーブル1[[#This Row],[描画状況]]))/COUNTIF(F:F,テーブル1[[#This Row],[リンク]]))</f>
        <v>0</v>
      </c>
      <c r="Q301" s="16">
        <f ca="1">IFERROR(IF(テーブル1[[#This Row],[描画状況]]="",RAND()+(テーブル1[[#This Row],[列2]]*100),""),RAND())</f>
        <v>0.52376887615697165</v>
      </c>
      <c r="S301" s="24" t="str">
        <f ca="1">IF(AND(テーブル1[[#This Row],[描画状況]]="済",テーブル1[[#This Row],[投稿状況]]=""),RAND(),"")</f>
        <v/>
      </c>
      <c r="T301" s="23" t="str">
        <f>"|&amp;image("&amp;テーブル1[[#This Row],[画像]]&amp;".png,width=100,height=100)"</f>
        <v>|&amp;image(kurobai-pafia.png,width=100,height=100)</v>
      </c>
      <c r="U301" s="23" t="str">
        <f>"|MIDDLE:​"&amp;テーブル1[[#This Row],[名前]]</f>
        <v>|MIDDLE:​黒這パフィア</v>
      </c>
      <c r="V301" s="23" t="str">
        <f>"|MIDDLE:​"&amp;テーブル1[[#This Row],[なまえ]]</f>
        <v>|MIDDLE:​くろばい ぱふぃあ</v>
      </c>
      <c r="W301" s="23" t="str">
        <f>"|MIDDLE:​"&amp;テーブル1[[#This Row],[Name]]</f>
        <v>|MIDDLE:​Kurobai Pafia</v>
      </c>
      <c r="X301" s="23" t="str">
        <f>"|MIDDLE:​&amp;link(配布所はこちら){​"&amp;テーブル1[[#This Row],[リンク]]&amp;"}|"</f>
        <v>|MIDDLE:​&amp;link(配布所はこちら){​https://t7ttttttt.wixsite.com/t7-re}|</v>
      </c>
    </row>
    <row r="302" spans="2:24" ht="20.149999999999999" customHeight="1" x14ac:dyDescent="0.35">
      <c r="B302" s="23" t="str">
        <f>SUBSTITUTE(SUBSTITUTE(SUBSTITUTE(SUBSTITUTE(SUBSTITUTE(SUBSTITUTE(SUBSTITUTE(SUBSTITUTE(LOWER(テーブル1[[#This Row],[Name]])," ","-"),".","-"),"&amp;","-"),"_","-"),"・","-"),"=","-"),"--","-"),"--","-")</f>
        <v>keitai-hakken</v>
      </c>
      <c r="C302" s="24" t="s">
        <v>1304</v>
      </c>
      <c r="D302" s="23" t="s">
        <v>1306</v>
      </c>
      <c r="E302" s="23" t="s">
        <v>1305</v>
      </c>
      <c r="F302" s="15" t="s">
        <v>1310</v>
      </c>
      <c r="G302" s="23" t="s">
        <v>1311</v>
      </c>
      <c r="O302" s="24" t="str">
        <f>テーブル1[[#This Row],[リンク]]&amp;テーブル1[[#This Row],[描画状況]]</f>
        <v>https://keitaiware.com</v>
      </c>
      <c r="P302" s="17">
        <f>1-(COUNTIF(O:O,_xlfn.TEXTJOIN(",",TRUE,テーブル1[[#This Row],[リンク]],テーブル1[[#This Row],[描画状況]]))/COUNTIF(F:F,テーブル1[[#This Row],[リンク]]))</f>
        <v>0</v>
      </c>
      <c r="Q302" s="16">
        <f ca="1">IFERROR(IF(テーブル1[[#This Row],[描画状況]]="",RAND()+(テーブル1[[#This Row],[列2]]*100),""),RAND())</f>
        <v>0.12847543877104217</v>
      </c>
      <c r="S302" s="24" t="str">
        <f ca="1">IF(AND(テーブル1[[#This Row],[描画状況]]="済",テーブル1[[#This Row],[投稿状況]]=""),RAND(),"")</f>
        <v/>
      </c>
      <c r="T302" s="23" t="str">
        <f>"|&amp;image("&amp;テーブル1[[#This Row],[画像]]&amp;".png,width=100,height=100)"</f>
        <v>|&amp;image(keitai-hakken.png,width=100,height=100)</v>
      </c>
      <c r="U302" s="23" t="str">
        <f>"|MIDDLE:​"&amp;テーブル1[[#This Row],[名前]]</f>
        <v>|MIDDLE:​携帯ハッケン</v>
      </c>
      <c r="V302" s="23" t="str">
        <f>"|MIDDLE:​"&amp;テーブル1[[#This Row],[なまえ]]</f>
        <v>|MIDDLE:​けいたい はっけん</v>
      </c>
      <c r="W302" s="23" t="str">
        <f>"|MIDDLE:​"&amp;テーブル1[[#This Row],[Name]]</f>
        <v>|MIDDLE:​Keitai Hakken</v>
      </c>
      <c r="X302" s="23" t="str">
        <f>"|MIDDLE:​&amp;link(配布所はこちら){​"&amp;テーブル1[[#This Row],[リンク]]&amp;"}|"</f>
        <v>|MIDDLE:​&amp;link(配布所はこちら){​https://keitaiware.com}|</v>
      </c>
    </row>
    <row r="303" spans="2:24" ht="20.149999999999999" customHeight="1" x14ac:dyDescent="0.35">
      <c r="B303" s="23" t="str">
        <f>SUBSTITUTE(SUBSTITUTE(SUBSTITUTE(SUBSTITUTE(SUBSTITUTE(SUBSTITUTE(SUBSTITUTE(SUBSTITUTE(LOWER(テーブル1[[#This Row],[Name]])," ","-"),".","-"),"&amp;","-"),"_","-"),"・","-"),"=","-"),"--","-"),"--","-")</f>
        <v>keitai-ron</v>
      </c>
      <c r="C303" s="24" t="s">
        <v>1308</v>
      </c>
      <c r="D303" s="23" t="s">
        <v>1309</v>
      </c>
      <c r="E303" s="23" t="s">
        <v>1307</v>
      </c>
      <c r="F303" s="15" t="s">
        <v>1310</v>
      </c>
      <c r="G303" s="23" t="s">
        <v>1312</v>
      </c>
      <c r="O303" s="24" t="str">
        <f>テーブル1[[#This Row],[リンク]]&amp;テーブル1[[#This Row],[描画状況]]</f>
        <v>https://keitaiware.com</v>
      </c>
      <c r="P303" s="17">
        <f>1-(COUNTIF(O:O,_xlfn.TEXTJOIN(",",TRUE,テーブル1[[#This Row],[リンク]],テーブル1[[#This Row],[描画状況]]))/COUNTIF(F:F,テーブル1[[#This Row],[リンク]]))</f>
        <v>0</v>
      </c>
      <c r="Q303" s="16">
        <f ca="1">IFERROR(IF(テーブル1[[#This Row],[描画状況]]="",RAND()+(テーブル1[[#This Row],[列2]]*100),""),RAND())</f>
        <v>0.35709446745937878</v>
      </c>
      <c r="S303" s="24" t="str">
        <f ca="1">IF(AND(テーブル1[[#This Row],[描画状況]]="済",テーブル1[[#This Row],[投稿状況]]=""),RAND(),"")</f>
        <v/>
      </c>
      <c r="T303" s="23" t="str">
        <f>"|&amp;image("&amp;テーブル1[[#This Row],[画像]]&amp;".png,width=100,height=100)"</f>
        <v>|&amp;image(keitai-ron.png,width=100,height=100)</v>
      </c>
      <c r="U303" s="23" t="str">
        <f>"|MIDDLE:​"&amp;テーブル1[[#This Row],[名前]]</f>
        <v>|MIDDLE:​携帯ロン</v>
      </c>
      <c r="V303" s="23" t="str">
        <f>"|MIDDLE:​"&amp;テーブル1[[#This Row],[なまえ]]</f>
        <v>|MIDDLE:​けいたい ろん</v>
      </c>
      <c r="W303" s="23" t="str">
        <f>"|MIDDLE:​"&amp;テーブル1[[#This Row],[Name]]</f>
        <v>|MIDDLE:​Keitai Ron</v>
      </c>
      <c r="X303" s="23" t="str">
        <f>"|MIDDLE:​&amp;link(配布所はこちら){​"&amp;テーブル1[[#This Row],[リンク]]&amp;"}|"</f>
        <v>|MIDDLE:​&amp;link(配布所はこちら){​https://keitaiware.com}|</v>
      </c>
    </row>
    <row r="304" spans="2:24" ht="20.149999999999999" customHeight="1" x14ac:dyDescent="0.35">
      <c r="B304" s="23" t="str">
        <f>SUBSTITUTE(SUBSTITUTE(SUBSTITUTE(SUBSTITUTE(SUBSTITUTE(SUBSTITUTE(SUBSTITUTE(SUBSTITUTE(LOWER(テーブル1[[#This Row],[Name]])," ","-"),".","-"),"&amp;","-"),"_","-"),"・","-"),"=","-"),"--","-"),"--","-")</f>
        <v>koine-aru</v>
      </c>
      <c r="C304" s="24" t="s">
        <v>872</v>
      </c>
      <c r="D304" s="23" t="s">
        <v>873</v>
      </c>
      <c r="E304" s="23" t="s">
        <v>874</v>
      </c>
      <c r="F304" s="15" t="s">
        <v>871</v>
      </c>
      <c r="G304" s="23" t="s">
        <v>875</v>
      </c>
      <c r="O304" s="24" t="str">
        <f>テーブル1[[#This Row],[リンク]]&amp;テーブル1[[#This Row],[描画状況]]</f>
        <v>https://bindumechan.wixsite.com/koinearuutau</v>
      </c>
      <c r="P304" s="17">
        <f>1-(COUNTIF(O:O,_xlfn.TEXTJOIN(",",TRUE,テーブル1[[#This Row],[リンク]],テーブル1[[#This Row],[描画状況]]))/COUNTIF(F:F,テーブル1[[#This Row],[リンク]]))</f>
        <v>0</v>
      </c>
      <c r="Q304" s="16">
        <f ca="1">IFERROR(IF(テーブル1[[#This Row],[描画状況]]="",RAND()+(テーブル1[[#This Row],[列2]]*100),""),RAND())</f>
        <v>0.66433261986015779</v>
      </c>
      <c r="S304" s="24" t="str">
        <f ca="1">IF(AND(テーブル1[[#This Row],[描画状況]]="済",テーブル1[[#This Row],[投稿状況]]=""),RAND(),"")</f>
        <v/>
      </c>
      <c r="T304" s="23" t="str">
        <f>"|&amp;image("&amp;テーブル1[[#This Row],[画像]]&amp;".png,width=100,height=100)"</f>
        <v>|&amp;image(koine-aru.png,width=100,height=100)</v>
      </c>
      <c r="U304" s="23" t="str">
        <f>"|MIDDLE:​"&amp;テーブル1[[#This Row],[名前]]</f>
        <v>|MIDDLE:​恋音アル</v>
      </c>
      <c r="V304" s="23" t="str">
        <f>"|MIDDLE:​"&amp;テーブル1[[#This Row],[なまえ]]</f>
        <v>|MIDDLE:​こいね ある</v>
      </c>
      <c r="W304" s="23" t="str">
        <f>"|MIDDLE:​"&amp;テーブル1[[#This Row],[Name]]</f>
        <v>|MIDDLE:​Koine Aru</v>
      </c>
      <c r="X304" s="23" t="str">
        <f>"|MIDDLE:​&amp;link(配布所はこちら){​"&amp;テーブル1[[#This Row],[リンク]]&amp;"}|"</f>
        <v>|MIDDLE:​&amp;link(配布所はこちら){​https://bindumechan.wixsite.com/koinearuutau}|</v>
      </c>
    </row>
    <row r="305" spans="2:24" ht="20.149999999999999" customHeight="1" x14ac:dyDescent="0.35">
      <c r="B305" s="23" t="str">
        <f>SUBSTITUTE(SUBSTITUTE(SUBSTITUTE(SUBSTITUTE(SUBSTITUTE(SUBSTITUTE(SUBSTITUTE(SUBSTITUTE(LOWER(テーブル1[[#This Row],[Name]])," ","-"),".","-"),"&amp;","-"),"_","-"),"・","-"),"=","-"),"--","-"),"--","-")</f>
        <v>kon-suishi</v>
      </c>
      <c r="C305" s="24" t="s">
        <v>1028</v>
      </c>
      <c r="D305" s="23" t="s">
        <v>1029</v>
      </c>
      <c r="E305" s="23" t="s">
        <v>1030</v>
      </c>
      <c r="F305" s="27" t="s">
        <v>87</v>
      </c>
      <c r="G305" s="23" t="s">
        <v>88</v>
      </c>
      <c r="M305" s="1" t="s">
        <v>1518</v>
      </c>
      <c r="O305" s="24" t="str">
        <f>テーブル1[[#This Row],[リンク]]&amp;テーブル1[[#This Row],[描画状況]]</f>
        <v>https://chunyinhui021.wixsite.com/mutyuusaisei</v>
      </c>
      <c r="P305" s="17">
        <f>1-(COUNTIF(O:O,_xlfn.TEXTJOIN(",",TRUE,テーブル1[[#This Row],[リンク]],テーブル1[[#This Row],[描画状況]]))/COUNTIF(F:F,テーブル1[[#This Row],[リンク]]))</f>
        <v>0.33333333333333337</v>
      </c>
      <c r="Q305" s="16">
        <f ca="1">IFERROR(IF(テーブル1[[#This Row],[描画状況]]="",RAND()+(テーブル1[[#This Row],[列2]]*100),""),RAND())</f>
        <v>33.675719733651768</v>
      </c>
      <c r="S305" s="24" t="str">
        <f ca="1">IF(AND(テーブル1[[#This Row],[描画状況]]="済",テーブル1[[#This Row],[投稿状況]]=""),RAND(),"")</f>
        <v/>
      </c>
      <c r="T305" s="23" t="str">
        <f>"|&amp;image("&amp;テーブル1[[#This Row],[画像]]&amp;".png,width=100,height=100)"</f>
        <v>|&amp;image(kon-suishi.png,width=100,height=100)</v>
      </c>
      <c r="U305" s="23" t="str">
        <f>"|MIDDLE:​"&amp;テーブル1[[#This Row],[名前]]</f>
        <v>|MIDDLE:​​狐隠祟紫</v>
      </c>
      <c r="V305" s="23" t="str">
        <f>"|MIDDLE:​"&amp;テーブル1[[#This Row],[なまえ]]</f>
        <v>|MIDDLE:​こおん すいし</v>
      </c>
      <c r="W305" s="23" t="str">
        <f>"|MIDDLE:​"&amp;テーブル1[[#This Row],[Name]]</f>
        <v>|MIDDLE:​Kon Suishi</v>
      </c>
      <c r="X305" s="23" t="str">
        <f>"|MIDDLE:​&amp;link(配布所はこちら){​"&amp;テーブル1[[#This Row],[リンク]]&amp;"}|"</f>
        <v>|MIDDLE:​&amp;link(配布所はこちら){​https://chunyinhui021.wixsite.com/mutyuusaisei}|</v>
      </c>
    </row>
    <row r="306" spans="2:24" ht="20.149999999999999" customHeight="1" x14ac:dyDescent="0.35">
      <c r="B306" s="23" t="str">
        <f>SUBSTITUTE(SUBSTITUTE(SUBSTITUTE(SUBSTITUTE(SUBSTITUTE(SUBSTITUTE(SUBSTITUTE(SUBSTITUTE(LOWER(テーブル1[[#This Row],[Name]])," ","-"),".","-"),"&amp;","-"),"_","-"),"・","-"),"=","-"),"--","-"),"--","-")</f>
        <v>kokorone-aoba</v>
      </c>
      <c r="C306" s="24" t="s">
        <v>1169</v>
      </c>
      <c r="D306" s="23" t="s">
        <v>1170</v>
      </c>
      <c r="E306" s="23" t="s">
        <v>1171</v>
      </c>
      <c r="F306" s="2" t="s">
        <v>100</v>
      </c>
      <c r="G306" s="23" t="s">
        <v>101</v>
      </c>
      <c r="M306" s="1" t="s">
        <v>1517</v>
      </c>
      <c r="O306" s="24" t="str">
        <f>テーブル1[[#This Row],[リンク]]&amp;テーブル1[[#This Row],[描画状況]]</f>
        <v>https://hinagitsune-utau.wixsite.com/utaukokorone</v>
      </c>
      <c r="P306" s="17">
        <f>1-(COUNTIF(O:O,_xlfn.TEXTJOIN(",",TRUE,テーブル1[[#This Row],[リンク]],テーブル1[[#This Row],[描画状況]]))/COUNTIF(F:F,テーブル1[[#This Row],[リンク]]))</f>
        <v>0.19999999999999996</v>
      </c>
      <c r="Q306" s="16">
        <f ca="1">IFERROR(IF(テーブル1[[#This Row],[描画状況]]="",RAND()+(テーブル1[[#This Row],[列2]]*100),""),RAND())</f>
        <v>20.973950269826439</v>
      </c>
      <c r="S306" s="24" t="str">
        <f ca="1">IF(AND(テーブル1[[#This Row],[描画状況]]="済",テーブル1[[#This Row],[投稿状況]]=""),RAND(),"")</f>
        <v/>
      </c>
      <c r="T306" s="23" t="str">
        <f>"|&amp;image("&amp;テーブル1[[#This Row],[画像]]&amp;".png,width=100,height=100)"</f>
        <v>|&amp;image(kokorone-aoba.png,width=100,height=100)</v>
      </c>
      <c r="U306" s="23" t="str">
        <f>"|MIDDLE:​"&amp;テーブル1[[#This Row],[名前]]</f>
        <v>|MIDDLE:​​心音アオバ</v>
      </c>
      <c r="V306" s="23" t="str">
        <f>"|MIDDLE:​"&amp;テーブル1[[#This Row],[なまえ]]</f>
        <v>|MIDDLE:​こころね あおば</v>
      </c>
      <c r="W306" s="23" t="str">
        <f>"|MIDDLE:​"&amp;テーブル1[[#This Row],[Name]]</f>
        <v>|MIDDLE:​Kokorone Aoba</v>
      </c>
      <c r="X306" s="23" t="str">
        <f>"|MIDDLE:​&amp;link(配布所はこちら){​"&amp;テーブル1[[#This Row],[リンク]]&amp;"}|"</f>
        <v>|MIDDLE:​&amp;link(配布所はこちら){​https://hinagitsune-utau.wixsite.com/utaukokorone}|</v>
      </c>
    </row>
    <row r="307" spans="2:24" ht="20.149999999999999" customHeight="1" x14ac:dyDescent="0.35">
      <c r="B307" s="23" t="str">
        <f>SUBSTITUTE(SUBSTITUTE(SUBSTITUTE(SUBSTITUTE(SUBSTITUTE(SUBSTITUTE(SUBSTITUTE(SUBSTITUTE(LOWER(テーブル1[[#This Row],[Name]])," ","-"),".","-"),"&amp;","-"),"_","-"),"・","-"),"=","-"),"--","-"),"--","-")</f>
        <v>kochie</v>
      </c>
      <c r="C307" s="24" t="s">
        <v>1187</v>
      </c>
      <c r="D307" s="23" t="s">
        <v>1187</v>
      </c>
      <c r="E307" s="23" t="s">
        <v>1188</v>
      </c>
      <c r="F307" s="15" t="s">
        <v>1186</v>
      </c>
      <c r="G307" s="23" t="s">
        <v>1189</v>
      </c>
      <c r="O307" s="24" t="str">
        <f>テーブル1[[#This Row],[リンク]]&amp;テーブル1[[#This Row],[描画状況]]</f>
        <v>https://bowlroll.net/user/367777</v>
      </c>
      <c r="P307" s="17">
        <f>1-(COUNTIF(O:O,_xlfn.TEXTJOIN(",",TRUE,テーブル1[[#This Row],[リンク]],テーブル1[[#This Row],[描画状況]]))/COUNTIF(F:F,テーブル1[[#This Row],[リンク]]))</f>
        <v>0</v>
      </c>
      <c r="Q307" s="16">
        <f ca="1">IFERROR(IF(テーブル1[[#This Row],[描画状況]]="",RAND()+(テーブル1[[#This Row],[列2]]*100),""),RAND())</f>
        <v>0.99189244760671569</v>
      </c>
      <c r="S307" s="24" t="str">
        <f ca="1">IF(AND(テーブル1[[#This Row],[描画状況]]="済",テーブル1[[#This Row],[投稿状況]]=""),RAND(),"")</f>
        <v/>
      </c>
      <c r="T307" s="23" t="str">
        <f>"|&amp;image("&amp;テーブル1[[#This Row],[画像]]&amp;".png,width=100,height=100)"</f>
        <v>|&amp;image(kochie.png,width=100,height=100)</v>
      </c>
      <c r="U307" s="23" t="str">
        <f>"|MIDDLE:​"&amp;テーブル1[[#This Row],[名前]]</f>
        <v>|MIDDLE:​こちぇ</v>
      </c>
      <c r="V307" s="23" t="str">
        <f>"|MIDDLE:​"&amp;テーブル1[[#This Row],[なまえ]]</f>
        <v>|MIDDLE:​こちぇ</v>
      </c>
      <c r="W307" s="23" t="str">
        <f>"|MIDDLE:​"&amp;テーブル1[[#This Row],[Name]]</f>
        <v>|MIDDLE:​Kochie</v>
      </c>
      <c r="X307" s="23" t="str">
        <f>"|MIDDLE:​&amp;link(配布所はこちら){​"&amp;テーブル1[[#This Row],[リンク]]&amp;"}|"</f>
        <v>|MIDDLE:​&amp;link(配布所はこちら){​https://bowlroll.net/user/367777}|</v>
      </c>
    </row>
    <row r="308" spans="2:24" ht="20.149999999999999" customHeight="1" x14ac:dyDescent="0.35">
      <c r="B308" s="23" t="str">
        <f>SUBSTITUTE(SUBSTITUTE(SUBSTITUTE(SUBSTITUTE(SUBSTITUTE(SUBSTITUTE(SUBSTITUTE(SUBSTITUTE(LOWER(テーブル1[[#This Row],[Name]])," ","-"),".","-"),"&amp;","-"),"_","-"),"・","-"),"=","-"),"--","-"),"--","-")</f>
        <v>konari-haruta</v>
      </c>
      <c r="C308" s="24" t="s">
        <v>1159</v>
      </c>
      <c r="D308" s="23" t="s">
        <v>1160</v>
      </c>
      <c r="E308" s="23" t="s">
        <v>1161</v>
      </c>
      <c r="F308" s="2" t="s">
        <v>1158</v>
      </c>
      <c r="G308" s="23" t="s">
        <v>1168</v>
      </c>
      <c r="O308" s="24" t="str">
        <f>テーブル1[[#This Row],[リンク]]&amp;テーブル1[[#This Row],[描画状況]]</f>
        <v>https://osomatsu-poid.wixsite.com/konari-san-chi</v>
      </c>
      <c r="P308" s="17">
        <f>1-(COUNTIF(O:O,_xlfn.TEXTJOIN(",",TRUE,テーブル1[[#This Row],[リンク]],テーブル1[[#This Row],[描画状況]]))/COUNTIF(F:F,テーブル1[[#This Row],[リンク]]))</f>
        <v>0.33333333333333337</v>
      </c>
      <c r="Q308" s="16">
        <f ca="1">IFERROR(IF(テーブル1[[#This Row],[描画状況]]="",RAND()+(テーブル1[[#This Row],[列2]]*100),""),RAND())</f>
        <v>33.936175011407023</v>
      </c>
      <c r="S308" s="24" t="str">
        <f ca="1">IF(AND(テーブル1[[#This Row],[描画状況]]="済",テーブル1[[#This Row],[投稿状況]]=""),RAND(),"")</f>
        <v/>
      </c>
      <c r="T308" s="23" t="str">
        <f>"|&amp;image("&amp;テーブル1[[#This Row],[画像]]&amp;".png,width=100,height=100)"</f>
        <v>|&amp;image(konari-haruta.png,width=100,height=100)</v>
      </c>
      <c r="U308" s="23" t="str">
        <f>"|MIDDLE:​"&amp;テーブル1[[#This Row],[名前]]</f>
        <v>|MIDDLE:​狐鳴陽夛</v>
      </c>
      <c r="V308" s="23" t="str">
        <f>"|MIDDLE:​"&amp;テーブル1[[#This Row],[なまえ]]</f>
        <v>|MIDDLE:​こなり はるた</v>
      </c>
      <c r="W308" s="23" t="str">
        <f>"|MIDDLE:​"&amp;テーブル1[[#This Row],[Name]]</f>
        <v>|MIDDLE:​Konari Haruta</v>
      </c>
      <c r="X308" s="23" t="str">
        <f>"|MIDDLE:​&amp;link(配布所はこちら){​"&amp;テーブル1[[#This Row],[リンク]]&amp;"}|"</f>
        <v>|MIDDLE:​&amp;link(配布所はこちら){​https://osomatsu-poid.wixsite.com/konari-san-chi}|</v>
      </c>
    </row>
    <row r="309" spans="2:24" ht="20.149999999999999" customHeight="1" x14ac:dyDescent="0.35">
      <c r="B309" s="23" t="str">
        <f>SUBSTITUTE(SUBSTITUTE(SUBSTITUTE(SUBSTITUTE(SUBSTITUTE(SUBSTITUTE(SUBSTITUTE(SUBSTITUTE(LOWER(テーブル1[[#This Row],[Name]])," ","-"),".","-"),"&amp;","-"),"_","-"),"・","-"),"=","-"),"--","-"),"--","-")</f>
        <v>konari-hina</v>
      </c>
      <c r="C309" s="24" t="s">
        <v>1162</v>
      </c>
      <c r="D309" s="23" t="s">
        <v>1163</v>
      </c>
      <c r="E309" s="23" t="s">
        <v>1164</v>
      </c>
      <c r="F309" s="2" t="s">
        <v>1158</v>
      </c>
      <c r="G309" s="23" t="s">
        <v>1168</v>
      </c>
      <c r="O309" s="24" t="str">
        <f>テーブル1[[#This Row],[リンク]]&amp;テーブル1[[#This Row],[描画状況]]</f>
        <v>https://osomatsu-poid.wixsite.com/konari-san-chi</v>
      </c>
      <c r="P309" s="17">
        <f>1-(COUNTIF(O:O,_xlfn.TEXTJOIN(",",TRUE,テーブル1[[#This Row],[リンク]],テーブル1[[#This Row],[描画状況]]))/COUNTIF(F:F,テーブル1[[#This Row],[リンク]]))</f>
        <v>0.33333333333333337</v>
      </c>
      <c r="Q309" s="16">
        <f ca="1">IFERROR(IF(テーブル1[[#This Row],[描画状況]]="",RAND()+(テーブル1[[#This Row],[列2]]*100),""),RAND())</f>
        <v>33.36558036999844</v>
      </c>
      <c r="S309" s="24" t="str">
        <f ca="1">IF(AND(テーブル1[[#This Row],[描画状況]]="済",テーブル1[[#This Row],[投稿状況]]=""),RAND(),"")</f>
        <v/>
      </c>
      <c r="T309" s="23" t="str">
        <f>"|&amp;image("&amp;テーブル1[[#This Row],[画像]]&amp;".png,width=100,height=100)"</f>
        <v>|&amp;image(konari-hina.png,width=100,height=100)</v>
      </c>
      <c r="U309" s="23" t="str">
        <f>"|MIDDLE:​"&amp;テーブル1[[#This Row],[名前]]</f>
        <v>|MIDDLE:​狐鳴陽</v>
      </c>
      <c r="V309" s="23" t="str">
        <f>"|MIDDLE:​"&amp;テーブル1[[#This Row],[なまえ]]</f>
        <v>|MIDDLE:​こなり ひな</v>
      </c>
      <c r="W309" s="23" t="str">
        <f>"|MIDDLE:​"&amp;テーブル1[[#This Row],[Name]]</f>
        <v>|MIDDLE:​Konari Hina</v>
      </c>
      <c r="X309" s="23" t="str">
        <f>"|MIDDLE:​&amp;link(配布所はこちら){​"&amp;テーブル1[[#This Row],[リンク]]&amp;"}|"</f>
        <v>|MIDDLE:​&amp;link(配布所はこちら){​https://osomatsu-poid.wixsite.com/konari-san-chi}|</v>
      </c>
    </row>
    <row r="310" spans="2:24" ht="20.149999999999999" customHeight="1" x14ac:dyDescent="0.35">
      <c r="B310" s="23" t="str">
        <f>SUBSTITUTE(SUBSTITUTE(SUBSTITUTE(SUBSTITUTE(SUBSTITUTE(SUBSTITUTE(SUBSTITUTE(SUBSTITUTE(LOWER(テーブル1[[#This Row],[Name]])," ","-"),".","-"),"&amp;","-"),"_","-"),"・","-"),"=","-"),"--","-"),"--","-")</f>
        <v>kowai-kagome</v>
      </c>
      <c r="C310" s="24" t="s">
        <v>808</v>
      </c>
      <c r="D310" s="23" t="s">
        <v>810</v>
      </c>
      <c r="E310" s="23" t="s">
        <v>809</v>
      </c>
      <c r="F310" s="15" t="s">
        <v>778</v>
      </c>
      <c r="G310" s="23" t="str">
        <f>テーブル1[[#This Row],[名前]]&amp;"(UTAU)"</f>
        <v>狐者異カゴメ(UTAU)</v>
      </c>
      <c r="M310" s="1" t="s">
        <v>1517</v>
      </c>
      <c r="O310" s="24" t="str">
        <f>テーブル1[[#This Row],[リンク]]&amp;テーブル1[[#This Row],[描画状況]]</f>
        <v>https://cmamizki.wixsite.com/edelstein</v>
      </c>
      <c r="P310" s="17">
        <f>1-(COUNTIF(O:O,_xlfn.TEXTJOIN(",",TRUE,テーブル1[[#This Row],[リンク]],テーブル1[[#This Row],[描画状況]]))/COUNTIF(F:F,テーブル1[[#This Row],[リンク]]))</f>
        <v>9.0909090909090939E-2</v>
      </c>
      <c r="Q310" s="16">
        <f ca="1">IFERROR(IF(テーブル1[[#This Row],[描画状況]]="",RAND()+(テーブル1[[#This Row],[列2]]*100),""),RAND())</f>
        <v>9.7318122290425428</v>
      </c>
      <c r="S310" s="24" t="str">
        <f ca="1">IF(AND(テーブル1[[#This Row],[描画状況]]="済",テーブル1[[#This Row],[投稿状況]]=""),RAND(),"")</f>
        <v/>
      </c>
      <c r="T310" s="23" t="str">
        <f>"|&amp;image("&amp;テーブル1[[#This Row],[画像]]&amp;".png,width=100,height=100)"</f>
        <v>|&amp;image(kowai-kagome.png,width=100,height=100)</v>
      </c>
      <c r="U310" s="23" t="str">
        <f>"|MIDDLE:​"&amp;テーブル1[[#This Row],[名前]]</f>
        <v>|MIDDLE:​狐者異カゴメ</v>
      </c>
      <c r="V310" s="23" t="str">
        <f>"|MIDDLE:​"&amp;テーブル1[[#This Row],[なまえ]]</f>
        <v>|MIDDLE:​こわい かごめ</v>
      </c>
      <c r="W310" s="23" t="str">
        <f>"|MIDDLE:​"&amp;テーブル1[[#This Row],[Name]]</f>
        <v>|MIDDLE:​Kowai Kagome</v>
      </c>
      <c r="X310" s="23" t="str">
        <f>"|MIDDLE:​&amp;link(配布所はこちら){​"&amp;テーブル1[[#This Row],[リンク]]&amp;"}|"</f>
        <v>|MIDDLE:​&amp;link(配布所はこちら){​https://cmamizki.wixsite.com/edelstein}|</v>
      </c>
    </row>
    <row r="311" spans="2:24" ht="20.149999999999999" customHeight="1" x14ac:dyDescent="0.35">
      <c r="B311" s="23" t="str">
        <f>SUBSTITUTE(SUBSTITUTE(SUBSTITUTE(SUBSTITUTE(SUBSTITUTE(SUBSTITUTE(SUBSTITUTE(SUBSTITUTE(LOWER(テーブル1[[#This Row],[Name]])," ","-"),".","-"),"&amp;","-"),"_","-"),"・","-"),"=","-"),"--","-"),"--","-")</f>
        <v>sai</v>
      </c>
      <c r="C311" s="24" t="s">
        <v>1117</v>
      </c>
      <c r="D311" s="23" t="s">
        <v>1119</v>
      </c>
      <c r="E311" s="23" t="s">
        <v>1118</v>
      </c>
      <c r="F311" s="15" t="s">
        <v>1104</v>
      </c>
      <c r="G311" s="23" t="str">
        <f>テーブル1[[#This Row],[名前]]&amp;"(UTAU)"</f>
        <v>XI -sai-(UTAU)</v>
      </c>
      <c r="O311" s="24" t="str">
        <f>テーブル1[[#This Row],[リンク]]&amp;テーブル1[[#This Row],[描画状況]]</f>
        <v>https://harujpg.wixsite.com/sanshoku</v>
      </c>
      <c r="P311" s="17">
        <f>1-(COUNTIF(O:O,_xlfn.TEXTJOIN(",",TRUE,テーブル1[[#This Row],[リンク]],テーブル1[[#This Row],[描画状況]]))/COUNTIF(F:F,テーブル1[[#This Row],[リンク]]))</f>
        <v>0</v>
      </c>
      <c r="Q311" s="16">
        <f ca="1">IFERROR(IF(テーブル1[[#This Row],[描画状況]]="",RAND()+(テーブル1[[#This Row],[列2]]*100),""),RAND())</f>
        <v>0.3716886847179105</v>
      </c>
      <c r="S311" s="24" t="str">
        <f ca="1">IF(AND(テーブル1[[#This Row],[描画状況]]="済",テーブル1[[#This Row],[投稿状況]]=""),RAND(),"")</f>
        <v/>
      </c>
      <c r="T311" s="23" t="str">
        <f>"|&amp;image("&amp;テーブル1[[#This Row],[画像]]&amp;".png,width=100,height=100)"</f>
        <v>|&amp;image(sai.png,width=100,height=100)</v>
      </c>
      <c r="U311" s="23" t="str">
        <f>"|MIDDLE:​"&amp;テーブル1[[#This Row],[名前]]</f>
        <v>|MIDDLE:​XI -sai-</v>
      </c>
      <c r="V311" s="23" t="str">
        <f>"|MIDDLE:​"&amp;テーブル1[[#This Row],[なまえ]]</f>
        <v>|MIDDLE:​さい</v>
      </c>
      <c r="W311" s="23" t="str">
        <f>"|MIDDLE:​"&amp;テーブル1[[#This Row],[Name]]</f>
        <v>|MIDDLE:​sai</v>
      </c>
      <c r="X311" s="23" t="str">
        <f>"|MIDDLE:​&amp;link(配布所はこちら){​"&amp;テーブル1[[#This Row],[リンク]]&amp;"}|"</f>
        <v>|MIDDLE:​&amp;link(配布所はこちら){​https://harujpg.wixsite.com/sanshoku}|</v>
      </c>
    </row>
    <row r="312" spans="2:24" ht="20.149999999999999" customHeight="1" x14ac:dyDescent="0.35">
      <c r="B312" s="23" t="str">
        <f>SUBSTITUTE(SUBSTITUTE(SUBSTITUTE(SUBSTITUTE(SUBSTITUTE(SUBSTITUTE(SUBSTITUTE(SUBSTITUTE(LOWER(テーブル1[[#This Row],[Name]])," ","-"),".","-"),"&amp;","-"),"_","-"),"・","-"),"=","-"),"--","-"),"--","-")</f>
        <v>sakaki-leo</v>
      </c>
      <c r="C312" s="24" t="s">
        <v>1267</v>
      </c>
      <c r="D312" s="23" t="s">
        <v>1269</v>
      </c>
      <c r="E312" s="23" t="s">
        <v>1268</v>
      </c>
      <c r="F312" s="15" t="s">
        <v>177</v>
      </c>
      <c r="G312" s="24" t="s">
        <v>1289</v>
      </c>
      <c r="H312" s="24"/>
      <c r="I312" s="24"/>
      <c r="J312" s="24"/>
      <c r="K312" s="24"/>
      <c r="L312" s="24"/>
      <c r="O312" s="24" t="str">
        <f>テーブル1[[#This Row],[リンク]]&amp;テーブル1[[#This Row],[描画状況]]</f>
        <v>https://lenskkpb.wixsite.com/len-sakaki-official</v>
      </c>
      <c r="P312" s="17">
        <f>1-(COUNTIF(O:O,_xlfn.TEXTJOIN(",",TRUE,テーブル1[[#This Row],[リンク]],テーブル1[[#This Row],[描画状況]]))/COUNTIF(F:F,テーブル1[[#This Row],[リンク]]))</f>
        <v>0.125</v>
      </c>
      <c r="Q312" s="16">
        <f ca="1">IFERROR(IF(テーブル1[[#This Row],[描画状況]]="",RAND()+(テーブル1[[#This Row],[列2]]*100),""),RAND())</f>
        <v>12.927114664995184</v>
      </c>
      <c r="S312" s="24" t="str">
        <f ca="1">IF(AND(テーブル1[[#This Row],[描画状況]]="済",テーブル1[[#This Row],[投稿状況]]=""),RAND(),"")</f>
        <v/>
      </c>
      <c r="T312" s="23" t="str">
        <f>"|&amp;image("&amp;テーブル1[[#This Row],[画像]]&amp;".png,width=100,height=100)"</f>
        <v>|&amp;image(sakaki-leo.png,width=100,height=100)</v>
      </c>
      <c r="U312" s="23" t="str">
        <f>"|MIDDLE:​"&amp;テーブル1[[#This Row],[名前]]</f>
        <v>|MIDDLE:​榊れを</v>
      </c>
      <c r="V312" s="23" t="str">
        <f>"|MIDDLE:​"&amp;テーブル1[[#This Row],[なまえ]]</f>
        <v>|MIDDLE:​さかき れお</v>
      </c>
      <c r="W312" s="23" t="str">
        <f>"|MIDDLE:​"&amp;テーブル1[[#This Row],[Name]]</f>
        <v>|MIDDLE:​Sakaki Leo</v>
      </c>
      <c r="X312" s="23" t="str">
        <f>"|MIDDLE:​&amp;link(配布所はこちら){​"&amp;テーブル1[[#This Row],[リンク]]&amp;"}|"</f>
        <v>|MIDDLE:​&amp;link(配布所はこちら){​https://lenskkpb.wixsite.com/len-sakaki-official}|</v>
      </c>
    </row>
    <row r="313" spans="2:24" ht="20.149999999999999" customHeight="1" x14ac:dyDescent="0.35">
      <c r="B313" s="23" t="str">
        <f>SUBSTITUTE(SUBSTITUTE(SUBSTITUTE(SUBSTITUTE(SUBSTITUTE(SUBSTITUTE(SUBSTITUTE(SUBSTITUTE(LOWER(テーブル1[[#This Row],[Name]])," ","-"),".","-"),"&amp;","-"),"_","-"),"・","-"),"=","-"),"--","-"),"--","-")</f>
        <v>sakune-shino</v>
      </c>
      <c r="C313" s="24" t="s">
        <v>1254</v>
      </c>
      <c r="D313" s="23" t="s">
        <v>1256</v>
      </c>
      <c r="E313" s="23" t="s">
        <v>1259</v>
      </c>
      <c r="F313" s="15" t="s">
        <v>1257</v>
      </c>
      <c r="G313" s="23" t="s">
        <v>1261</v>
      </c>
      <c r="O313" s="24" t="str">
        <f>テーブル1[[#This Row],[リンク]]&amp;テーブル1[[#This Row],[描画状況]]</f>
        <v>https://sites.google.com/view/fullmoon-ruro</v>
      </c>
      <c r="P313" s="17">
        <f>1-(COUNTIF(O:O,_xlfn.TEXTJOIN(",",TRUE,テーブル1[[#This Row],[リンク]],テーブル1[[#This Row],[描画状況]]))/COUNTIF(F:F,テーブル1[[#This Row],[リンク]]))</f>
        <v>0</v>
      </c>
      <c r="Q313" s="16">
        <f ca="1">IFERROR(IF(テーブル1[[#This Row],[描画状況]]="",RAND()+(テーブル1[[#This Row],[列2]]*100),""),RAND())</f>
        <v>0.94046579287667109</v>
      </c>
      <c r="S313" s="24" t="str">
        <f ca="1">IF(AND(テーブル1[[#This Row],[描画状況]]="済",テーブル1[[#This Row],[投稿状況]]=""),RAND(),"")</f>
        <v/>
      </c>
      <c r="T313" s="23" t="str">
        <f>"|&amp;image("&amp;テーブル1[[#This Row],[画像]]&amp;".png,width=100,height=100)"</f>
        <v>|&amp;image(sakune-shino.png,width=100,height=100)</v>
      </c>
      <c r="U313" s="23" t="str">
        <f>"|MIDDLE:​"&amp;テーブル1[[#This Row],[名前]]</f>
        <v>|MIDDLE:​錯音シノ</v>
      </c>
      <c r="V313" s="23" t="str">
        <f>"|MIDDLE:​"&amp;テーブル1[[#This Row],[なまえ]]</f>
        <v>|MIDDLE:​さくね しの</v>
      </c>
      <c r="W313" s="23" t="str">
        <f>"|MIDDLE:​"&amp;テーブル1[[#This Row],[Name]]</f>
        <v>|MIDDLE:​Sakune Shino</v>
      </c>
      <c r="X313" s="23" t="str">
        <f>"|MIDDLE:​&amp;link(配布所はこちら){​"&amp;テーブル1[[#This Row],[リンク]]&amp;"}|"</f>
        <v>|MIDDLE:​&amp;link(配布所はこちら){​https://sites.google.com/view/fullmoon-ruro}|</v>
      </c>
    </row>
    <row r="314" spans="2:24" ht="20.149999999999999" customHeight="1" x14ac:dyDescent="0.35">
      <c r="B314" s="23" t="str">
        <f>SUBSTITUTE(SUBSTITUTE(SUBSTITUTE(SUBSTITUTE(SUBSTITUTE(SUBSTITUTE(SUBSTITUTE(SUBSTITUTE(LOWER(テーブル1[[#This Row],[Name]])," ","-"),".","-"),"&amp;","-"),"_","-"),"・","-"),"=","-"),"--","-"),"--","-")</f>
        <v>sakune-jiba</v>
      </c>
      <c r="C314" s="24" t="s">
        <v>1253</v>
      </c>
      <c r="D314" s="23" t="s">
        <v>1255</v>
      </c>
      <c r="E314" s="23" t="s">
        <v>1258</v>
      </c>
      <c r="F314" s="15" t="s">
        <v>1257</v>
      </c>
      <c r="G314" s="23" t="s">
        <v>1260</v>
      </c>
      <c r="O314" s="24" t="str">
        <f>テーブル1[[#This Row],[リンク]]&amp;テーブル1[[#This Row],[描画状況]]</f>
        <v>https://sites.google.com/view/fullmoon-ruro</v>
      </c>
      <c r="P314" s="17">
        <f>1-(COUNTIF(O:O,_xlfn.TEXTJOIN(",",TRUE,テーブル1[[#This Row],[リンク]],テーブル1[[#This Row],[描画状況]]))/COUNTIF(F:F,テーブル1[[#This Row],[リンク]]))</f>
        <v>0</v>
      </c>
      <c r="Q314" s="16">
        <f ca="1">IFERROR(IF(テーブル1[[#This Row],[描画状況]]="",RAND()+(テーブル1[[#This Row],[列2]]*100),""),RAND())</f>
        <v>0.77456925045023528</v>
      </c>
      <c r="S314" s="24" t="str">
        <f ca="1">IF(AND(テーブル1[[#This Row],[描画状況]]="済",テーブル1[[#This Row],[投稿状況]]=""),RAND(),"")</f>
        <v/>
      </c>
      <c r="T314" s="23" t="str">
        <f>"|&amp;image("&amp;テーブル1[[#This Row],[画像]]&amp;".png,width=100,height=100)"</f>
        <v>|&amp;image(sakune-jiba.png,width=100,height=100)</v>
      </c>
      <c r="U314" s="23" t="str">
        <f>"|MIDDLE:​"&amp;テーブル1[[#This Row],[名前]]</f>
        <v>|MIDDLE:​錯音ジバ</v>
      </c>
      <c r="V314" s="23" t="str">
        <f>"|MIDDLE:​"&amp;テーブル1[[#This Row],[なまえ]]</f>
        <v>|MIDDLE:​さくね じば</v>
      </c>
      <c r="W314" s="23" t="str">
        <f>"|MIDDLE:​"&amp;テーブル1[[#This Row],[Name]]</f>
        <v>|MIDDLE:​Sakune Jiba</v>
      </c>
      <c r="X314" s="23" t="str">
        <f>"|MIDDLE:​&amp;link(配布所はこちら){​"&amp;テーブル1[[#This Row],[リンク]]&amp;"}|"</f>
        <v>|MIDDLE:​&amp;link(配布所はこちら){​https://sites.google.com/view/fullmoon-ruro}|</v>
      </c>
    </row>
    <row r="315" spans="2:24" ht="20.149999999999999" customHeight="1" x14ac:dyDescent="0.35">
      <c r="B315" s="23" t="str">
        <f>SUBSTITUTE(SUBSTITUTE(SUBSTITUTE(SUBSTITUTE(SUBSTITUTE(SUBSTITUTE(SUBSTITUTE(SUBSTITUTE(LOWER(テーブル1[[#This Row],[Name]])," ","-"),".","-"),"&amp;","-"),"_","-"),"・","-"),"=","-"),"--","-"),"--","-")</f>
        <v>sara-shedy</v>
      </c>
      <c r="C315" s="24" t="s">
        <v>1218</v>
      </c>
      <c r="D315" s="23" t="s">
        <v>1238</v>
      </c>
      <c r="E315" s="23" t="s">
        <v>1237</v>
      </c>
      <c r="F315" s="15" t="s">
        <v>339</v>
      </c>
      <c r="G315" s="23" t="s">
        <v>340</v>
      </c>
      <c r="O315" s="24" t="str">
        <f>テーブル1[[#This Row],[リンク]]&amp;テーブル1[[#This Row],[描画状況]]</f>
        <v>https://torinosu-hikikomori.jimdofree.com</v>
      </c>
      <c r="P315" s="17">
        <f>1-(COUNTIF(O:O,_xlfn.TEXTJOIN(",",TRUE,テーブル1[[#This Row],[リンク]],テーブル1[[#This Row],[描画状況]]))/COUNTIF(F:F,テーブル1[[#This Row],[リンク]]))</f>
        <v>0.125</v>
      </c>
      <c r="Q315" s="16">
        <f ca="1">IFERROR(IF(テーブル1[[#This Row],[描画状況]]="",RAND()+(テーブル1[[#This Row],[列2]]*100),""),RAND())</f>
        <v>12.577090033099113</v>
      </c>
      <c r="S315" s="24" t="str">
        <f ca="1">IF(AND(テーブル1[[#This Row],[描画状況]]="済",テーブル1[[#This Row],[投稿状況]]=""),RAND(),"")</f>
        <v/>
      </c>
      <c r="T315" s="23" t="str">
        <f>"|&amp;image("&amp;テーブル1[[#This Row],[画像]]&amp;".png,width=100,height=100)"</f>
        <v>|&amp;image(sara-shedy.png,width=100,height=100)</v>
      </c>
      <c r="U315" s="23" t="str">
        <f>"|MIDDLE:​"&amp;テーブル1[[#This Row],[名前]]</f>
        <v>|MIDDLE:​サラ・シェーディ</v>
      </c>
      <c r="V315" s="23" t="str">
        <f>"|MIDDLE:​"&amp;テーブル1[[#This Row],[なまえ]]</f>
        <v>|MIDDLE:​さら しぇーでぃ</v>
      </c>
      <c r="W315" s="23" t="str">
        <f>"|MIDDLE:​"&amp;テーブル1[[#This Row],[Name]]</f>
        <v>|MIDDLE:​Sara Shedy</v>
      </c>
      <c r="X315" s="23" t="str">
        <f>"|MIDDLE:​&amp;link(配布所はこちら){​"&amp;テーブル1[[#This Row],[リンク]]&amp;"}|"</f>
        <v>|MIDDLE:​&amp;link(配布所はこちら){​https://torinosu-hikikomori.jimdofree.com}|</v>
      </c>
    </row>
    <row r="316" spans="2:24" ht="20.149999999999999" customHeight="1" x14ac:dyDescent="0.35">
      <c r="B316" s="23" t="str">
        <f>SUBSTITUTE(SUBSTITUTE(SUBSTITUTE(SUBSTITUTE(SUBSTITUTE(SUBSTITUTE(SUBSTITUTE(SUBSTITUTE(LOWER(テーブル1[[#This Row],[Name]])," ","-"),".","-"),"&amp;","-"),"_","-"),"・","-"),"=","-"),"--","-"),"--","-")</f>
        <v>zanshu</v>
      </c>
      <c r="C316" s="24" t="s">
        <v>1191</v>
      </c>
      <c r="D316" s="23" t="s">
        <v>1191</v>
      </c>
      <c r="E316" s="23" t="s">
        <v>1192</v>
      </c>
      <c r="F316" s="15" t="s">
        <v>1190</v>
      </c>
      <c r="G316" s="23" t="str">
        <f>テーブル1[[#This Row],[名前]]&amp;"(UTAU)"</f>
        <v>ざんしゅ(UTAU)</v>
      </c>
      <c r="O316" s="24" t="str">
        <f>テーブル1[[#This Row],[リンク]]&amp;テーブル1[[#This Row],[描画状況]]</f>
        <v>https://ahogepucyi.wixsite.com/zannsyuutau</v>
      </c>
      <c r="P316" s="17">
        <f>1-(COUNTIF(O:O,_xlfn.TEXTJOIN(",",TRUE,テーブル1[[#This Row],[リンク]],テーブル1[[#This Row],[描画状況]]))/COUNTIF(F:F,テーブル1[[#This Row],[リンク]]))</f>
        <v>0</v>
      </c>
      <c r="Q316" s="16">
        <f ca="1">IFERROR(IF(テーブル1[[#This Row],[描画状況]]="",RAND()+(テーブル1[[#This Row],[列2]]*100),""),RAND())</f>
        <v>0.54232701015500995</v>
      </c>
      <c r="S316" s="24" t="str">
        <f ca="1">IF(AND(テーブル1[[#This Row],[描画状況]]="済",テーブル1[[#This Row],[投稿状況]]=""),RAND(),"")</f>
        <v/>
      </c>
      <c r="T316" s="23" t="str">
        <f>"|&amp;image("&amp;テーブル1[[#This Row],[画像]]&amp;".png,width=100,height=100)"</f>
        <v>|&amp;image(zanshu.png,width=100,height=100)</v>
      </c>
      <c r="U316" s="23" t="str">
        <f>"|MIDDLE:​"&amp;テーブル1[[#This Row],[名前]]</f>
        <v>|MIDDLE:​ざんしゅ</v>
      </c>
      <c r="V316" s="23" t="str">
        <f>"|MIDDLE:​"&amp;テーブル1[[#This Row],[なまえ]]</f>
        <v>|MIDDLE:​ざんしゅ</v>
      </c>
      <c r="W316" s="23" t="str">
        <f>"|MIDDLE:​"&amp;テーブル1[[#This Row],[Name]]</f>
        <v>|MIDDLE:​Zanshu</v>
      </c>
      <c r="X316" s="23" t="str">
        <f>"|MIDDLE:​&amp;link(配布所はこちら){​"&amp;テーブル1[[#This Row],[リンク]]&amp;"}|"</f>
        <v>|MIDDLE:​&amp;link(配布所はこちら){​https://ahogepucyi.wixsite.com/zannsyuutau}|</v>
      </c>
    </row>
    <row r="317" spans="2:24" ht="20.149999999999999" customHeight="1" x14ac:dyDescent="0.35">
      <c r="B317" s="23" t="str">
        <f>SUBSTITUTE(SUBSTITUTE(SUBSTITUTE(SUBSTITUTE(SUBSTITUTE(SUBSTITUTE(SUBSTITUTE(SUBSTITUTE(LOWER(テーブル1[[#This Row],[Name]])," ","-"),".","-"),"&amp;","-"),"_","-"),"・","-"),"=","-"),"--","-"),"--","-")</f>
        <v>sanshoku-ayaka</v>
      </c>
      <c r="C317" s="24" t="s">
        <v>1105</v>
      </c>
      <c r="D317" s="23" t="s">
        <v>1106</v>
      </c>
      <c r="E317" s="23" t="s">
        <v>1107</v>
      </c>
      <c r="F317" s="15" t="s">
        <v>1104</v>
      </c>
      <c r="G317" s="23" t="str">
        <f>テーブル1[[#This Row],[名前]]&amp;"(UTAU)"</f>
        <v>三色あやか(UTAU)</v>
      </c>
      <c r="O317" s="24" t="str">
        <f>テーブル1[[#This Row],[リンク]]&amp;テーブル1[[#This Row],[描画状況]]</f>
        <v>https://harujpg.wixsite.com/sanshoku</v>
      </c>
      <c r="P317" s="17">
        <f>1-(COUNTIF(O:O,_xlfn.TEXTJOIN(",",TRUE,テーブル1[[#This Row],[リンク]],テーブル1[[#This Row],[描画状況]]))/COUNTIF(F:F,テーブル1[[#This Row],[リンク]]))</f>
        <v>0</v>
      </c>
      <c r="Q317" s="16">
        <f ca="1">IFERROR(IF(テーブル1[[#This Row],[描画状況]]="",RAND()+(テーブル1[[#This Row],[列2]]*100),""),RAND())</f>
        <v>0.89637377820261621</v>
      </c>
      <c r="S317" s="24" t="str">
        <f ca="1">IF(AND(テーブル1[[#This Row],[描画状況]]="済",テーブル1[[#This Row],[投稿状況]]=""),RAND(),"")</f>
        <v/>
      </c>
      <c r="T317" s="23" t="str">
        <f>"|&amp;image("&amp;テーブル1[[#This Row],[画像]]&amp;".png,width=100,height=100)"</f>
        <v>|&amp;image(sanshoku-ayaka.png,width=100,height=100)</v>
      </c>
      <c r="U317" s="23" t="str">
        <f>"|MIDDLE:​"&amp;テーブル1[[#This Row],[名前]]</f>
        <v>|MIDDLE:​三色あやか</v>
      </c>
      <c r="V317" s="23" t="str">
        <f>"|MIDDLE:​"&amp;テーブル1[[#This Row],[なまえ]]</f>
        <v>|MIDDLE:​さんしょく あやか</v>
      </c>
      <c r="W317" s="23" t="str">
        <f>"|MIDDLE:​"&amp;テーブル1[[#This Row],[Name]]</f>
        <v>|MIDDLE:​Sanshoku Ayaka</v>
      </c>
      <c r="X317" s="23" t="str">
        <f>"|MIDDLE:​&amp;link(配布所はこちら){​"&amp;テーブル1[[#This Row],[リンク]]&amp;"}|"</f>
        <v>|MIDDLE:​&amp;link(配布所はこちら){​https://harujpg.wixsite.com/sanshoku}|</v>
      </c>
    </row>
    <row r="318" spans="2:24" ht="20.149999999999999" customHeight="1" x14ac:dyDescent="0.35">
      <c r="B318" s="23" t="str">
        <f>SUBSTITUTE(SUBSTITUTE(SUBSTITUTE(SUBSTITUTE(SUBSTITUTE(SUBSTITUTE(SUBSTITUTE(SUBSTITUTE(LOWER(テーブル1[[#This Row],[Name]])," ","-"),".","-"),"&amp;","-"),"_","-"),"・","-"),"=","-"),"--","-"),"--","-")</f>
        <v>sanshoku-reika</v>
      </c>
      <c r="C318" s="24" t="s">
        <v>1108</v>
      </c>
      <c r="D318" s="23" t="s">
        <v>1109</v>
      </c>
      <c r="E318" s="23" t="s">
        <v>1110</v>
      </c>
      <c r="F318" s="15" t="s">
        <v>1104</v>
      </c>
      <c r="G318" s="23" t="str">
        <f>テーブル1[[#This Row],[名前]]&amp;"(UTAU)"</f>
        <v>三色れいか(UTAU)</v>
      </c>
      <c r="O318" s="24" t="str">
        <f>テーブル1[[#This Row],[リンク]]&amp;テーブル1[[#This Row],[描画状況]]</f>
        <v>https://harujpg.wixsite.com/sanshoku</v>
      </c>
      <c r="P318" s="17">
        <f>1-(COUNTIF(O:O,_xlfn.TEXTJOIN(",",TRUE,テーブル1[[#This Row],[リンク]],テーブル1[[#This Row],[描画状況]]))/COUNTIF(F:F,テーブル1[[#This Row],[リンク]]))</f>
        <v>0</v>
      </c>
      <c r="Q318" s="16">
        <f ca="1">IFERROR(IF(テーブル1[[#This Row],[描画状況]]="",RAND()+(テーブル1[[#This Row],[列2]]*100),""),RAND())</f>
        <v>0.80800562621169969</v>
      </c>
      <c r="S318" s="24" t="str">
        <f ca="1">IF(AND(テーブル1[[#This Row],[描画状況]]="済",テーブル1[[#This Row],[投稿状況]]=""),RAND(),"")</f>
        <v/>
      </c>
      <c r="T318" s="23" t="str">
        <f>"|&amp;image("&amp;テーブル1[[#This Row],[画像]]&amp;".png,width=100,height=100)"</f>
        <v>|&amp;image(sanshoku-reika.png,width=100,height=100)</v>
      </c>
      <c r="U318" s="23" t="str">
        <f>"|MIDDLE:​"&amp;テーブル1[[#This Row],[名前]]</f>
        <v>|MIDDLE:​三色れいか</v>
      </c>
      <c r="V318" s="23" t="str">
        <f>"|MIDDLE:​"&amp;テーブル1[[#This Row],[なまえ]]</f>
        <v>|MIDDLE:​さんしょく れいか</v>
      </c>
      <c r="W318" s="23" t="str">
        <f>"|MIDDLE:​"&amp;テーブル1[[#This Row],[Name]]</f>
        <v>|MIDDLE:​Sanshoku Reika</v>
      </c>
      <c r="X318" s="23" t="str">
        <f>"|MIDDLE:​&amp;link(配布所はこちら){​"&amp;テーブル1[[#This Row],[リンク]]&amp;"}|"</f>
        <v>|MIDDLE:​&amp;link(配布所はこちら){​https://harujpg.wixsite.com/sanshoku}|</v>
      </c>
    </row>
    <row r="319" spans="2:24" ht="20.149999999999999" customHeight="1" x14ac:dyDescent="0.35">
      <c r="B319" s="23" t="str">
        <f>SUBSTITUTE(SUBSTITUTE(SUBSTITUTE(SUBSTITUTE(SUBSTITUTE(SUBSTITUTE(SUBSTITUTE(SUBSTITUTE(LOWER(テーブル1[[#This Row],[Name]])," ","-"),".","-"),"&amp;","-"),"_","-"),"・","-"),"=","-"),"--","-"),"--","-")</f>
        <v>sanshokukenoboshisan</v>
      </c>
      <c r="C319" s="24" t="s">
        <v>1114</v>
      </c>
      <c r="D319" s="23" t="s">
        <v>1115</v>
      </c>
      <c r="E319" s="23" t="s">
        <v>1116</v>
      </c>
      <c r="F319" s="15" t="s">
        <v>1104</v>
      </c>
      <c r="G319" s="23" t="str">
        <f>テーブル1[[#This Row],[名前]]&amp;"(UTAU)"</f>
        <v>三色家のぼうしさん(UTAU)</v>
      </c>
      <c r="O319" s="24" t="str">
        <f>テーブル1[[#This Row],[リンク]]&amp;テーブル1[[#This Row],[描画状況]]</f>
        <v>https://harujpg.wixsite.com/sanshoku</v>
      </c>
      <c r="P319" s="17">
        <f>1-(COUNTIF(O:O,_xlfn.TEXTJOIN(",",TRUE,テーブル1[[#This Row],[リンク]],テーブル1[[#This Row],[描画状況]]))/COUNTIF(F:F,テーブル1[[#This Row],[リンク]]))</f>
        <v>0</v>
      </c>
      <c r="Q319" s="16">
        <f ca="1">IFERROR(IF(テーブル1[[#This Row],[描画状況]]="",RAND()+(テーブル1[[#This Row],[列2]]*100),""),RAND())</f>
        <v>0.79420048079432359</v>
      </c>
      <c r="S319" s="24" t="str">
        <f ca="1">IF(AND(テーブル1[[#This Row],[描画状況]]="済",テーブル1[[#This Row],[投稿状況]]=""),RAND(),"")</f>
        <v/>
      </c>
      <c r="T319" s="23" t="str">
        <f>"|&amp;image("&amp;テーブル1[[#This Row],[画像]]&amp;".png,width=100,height=100)"</f>
        <v>|&amp;image(sanshokukenoboshisan.png,width=100,height=100)</v>
      </c>
      <c r="U319" s="23" t="str">
        <f>"|MIDDLE:​"&amp;テーブル1[[#This Row],[名前]]</f>
        <v>|MIDDLE:​三色家のぼうしさん</v>
      </c>
      <c r="V319" s="23" t="str">
        <f>"|MIDDLE:​"&amp;テーブル1[[#This Row],[なまえ]]</f>
        <v>|MIDDLE:​さんしょくけのぼうしさん</v>
      </c>
      <c r="W319" s="23" t="str">
        <f>"|MIDDLE:​"&amp;テーブル1[[#This Row],[Name]]</f>
        <v>|MIDDLE:​Sanshokukenoboshisan</v>
      </c>
      <c r="X319" s="23" t="str">
        <f>"|MIDDLE:​&amp;link(配布所はこちら){​"&amp;テーブル1[[#This Row],[リンク]]&amp;"}|"</f>
        <v>|MIDDLE:​&amp;link(配布所はこちら){​https://harujpg.wixsite.com/sanshoku}|</v>
      </c>
    </row>
    <row r="320" spans="2:24" ht="20.149999999999999" customHeight="1" x14ac:dyDescent="0.35">
      <c r="B320" s="23" t="str">
        <f>SUBSTITUTE(SUBSTITUTE(SUBSTITUTE(SUBSTITUTE(SUBSTITUTE(SUBSTITUTE(SUBSTITUTE(SUBSTITUTE(LOWER(テーブル1[[#This Row],[Name]])," ","-"),".","-"),"&amp;","-"),"_","-"),"・","-"),"=","-"),"--","-"),"--","-")</f>
        <v>zanne-uda</v>
      </c>
      <c r="C320" s="24" t="s">
        <v>591</v>
      </c>
      <c r="D320" s="23" t="s">
        <v>592</v>
      </c>
      <c r="E320" s="23" t="s">
        <v>593</v>
      </c>
      <c r="F320" s="2" t="s">
        <v>594</v>
      </c>
      <c r="G320" s="23" t="str">
        <f>テーブル1[[#This Row],[名前]]&amp;"(UTAU)"</f>
        <v>残音ンダ(UTAU)</v>
      </c>
      <c r="O320" s="24" t="str">
        <f>テーブル1[[#This Row],[リンク]]&amp;テーブル1[[#This Row],[描画状況]]</f>
        <v>https://tomatoshop.studio.site</v>
      </c>
      <c r="P320" s="17">
        <f>1-(COUNTIF(O:O,_xlfn.TEXTJOIN(",",TRUE,テーブル1[[#This Row],[リンク]],テーブル1[[#This Row],[描画状況]]))/COUNTIF(F:F,テーブル1[[#This Row],[リンク]]))</f>
        <v>0</v>
      </c>
      <c r="Q320" s="16">
        <f ca="1">IFERROR(IF(テーブル1[[#This Row],[描画状況]]="",RAND()+(テーブル1[[#This Row],[列2]]*100),""),RAND())</f>
        <v>0.50900408714248602</v>
      </c>
      <c r="S320" s="24" t="str">
        <f ca="1">IF(AND(テーブル1[[#This Row],[描画状況]]="済",テーブル1[[#This Row],[投稿状況]]=""),RAND(),"")</f>
        <v/>
      </c>
      <c r="T320" s="23" t="str">
        <f>"|&amp;image("&amp;テーブル1[[#This Row],[画像]]&amp;".png,width=100,height=100)"</f>
        <v>|&amp;image(zanne-uda.png,width=100,height=100)</v>
      </c>
      <c r="U320" s="23" t="str">
        <f>"|MIDDLE:​"&amp;テーブル1[[#This Row],[名前]]</f>
        <v>|MIDDLE:​残音ンダ</v>
      </c>
      <c r="V320" s="23" t="str">
        <f>"|MIDDLE:​"&amp;テーブル1[[#This Row],[なまえ]]</f>
        <v>|MIDDLE:​ざんね うだ</v>
      </c>
      <c r="W320" s="23" t="str">
        <f>"|MIDDLE:​"&amp;テーブル1[[#This Row],[Name]]</f>
        <v>|MIDDLE:​Zanne Uda</v>
      </c>
      <c r="X320" s="23" t="str">
        <f>"|MIDDLE:​&amp;link(配布所はこちら){​"&amp;テーブル1[[#This Row],[リンク]]&amp;"}|"</f>
        <v>|MIDDLE:​&amp;link(配布所はこちら){​https://tomatoshop.studio.site}|</v>
      </c>
    </row>
    <row r="321" spans="2:24" ht="20.149999999999999" customHeight="1" x14ac:dyDescent="0.35">
      <c r="B321" s="23" t="str">
        <f>SUBSTITUTE(SUBSTITUTE(SUBSTITUTE(SUBSTITUTE(SUBSTITUTE(SUBSTITUTE(SUBSTITUTE(SUBSTITUTE(LOWER(テーブル1[[#This Row],[Name]])," ","-"),".","-"),"&amp;","-"),"_","-"),"・","-"),"=","-"),"--","-"),"--","-")</f>
        <v>cherri-loid</v>
      </c>
      <c r="C321" s="24" t="s">
        <v>745</v>
      </c>
      <c r="D321" s="23" t="s">
        <v>746</v>
      </c>
      <c r="E321" s="23" t="s">
        <v>747</v>
      </c>
      <c r="F321" s="23" t="s">
        <v>421</v>
      </c>
      <c r="G321" s="23" t="str">
        <f>テーブル1[[#This Row],[名前]]&amp;"(UTAU)"</f>
        <v>シェリーロイド(UTAU)</v>
      </c>
      <c r="O321" s="24" t="str">
        <f>テーブル1[[#This Row],[リンク]]&amp;テーブル1[[#This Row],[描画状況]]</f>
        <v>-</v>
      </c>
      <c r="P321" s="17">
        <f>1-(COUNTIF(O:O,_xlfn.TEXTJOIN(",",TRUE,テーブル1[[#This Row],[リンク]],テーブル1[[#This Row],[描画状況]]))/COUNTIF(F:F,テーブル1[[#This Row],[リンク]]))</f>
        <v>0.33333333333333337</v>
      </c>
      <c r="Q321" s="16">
        <f ca="1">IFERROR(IF(テーブル1[[#This Row],[描画状況]]="",RAND()+(テーブル1[[#This Row],[列2]]*100),""),RAND())</f>
        <v>33.818802114393769</v>
      </c>
      <c r="S321" s="24" t="str">
        <f ca="1">IF(AND(テーブル1[[#This Row],[描画状況]]="済",テーブル1[[#This Row],[投稿状況]]=""),RAND(),"")</f>
        <v/>
      </c>
      <c r="T321" s="23" t="str">
        <f>"|&amp;image("&amp;テーブル1[[#This Row],[画像]]&amp;".png,width=100,height=100)"</f>
        <v>|&amp;image(cherri-loid.png,width=100,height=100)</v>
      </c>
      <c r="U321" s="23" t="str">
        <f>"|MIDDLE:​"&amp;テーブル1[[#This Row],[名前]]</f>
        <v>|MIDDLE:​シェリーロイド</v>
      </c>
      <c r="V321" s="23" t="str">
        <f>"|MIDDLE:​"&amp;テーブル1[[#This Row],[なまえ]]</f>
        <v>|MIDDLE:​しぇりーろいど</v>
      </c>
      <c r="W321" s="23" t="str">
        <f>"|MIDDLE:​"&amp;テーブル1[[#This Row],[Name]]</f>
        <v>|MIDDLE:​CHERRI-LOID</v>
      </c>
      <c r="X321" s="23" t="str">
        <f>"|MIDDLE:​&amp;link(配布所はこちら){​"&amp;テーブル1[[#This Row],[リンク]]&amp;"}|"</f>
        <v>|MIDDLE:​&amp;link(配布所はこちら){​-}|</v>
      </c>
    </row>
    <row r="322" spans="2:24" ht="20.149999999999999" customHeight="1" x14ac:dyDescent="0.35">
      <c r="B322" s="23" t="str">
        <f>SUBSTITUTE(SUBSTITUTE(SUBSTITUTE(SUBSTITUTE(SUBSTITUTE(SUBSTITUTE(SUBSTITUTE(SUBSTITUTE(LOWER(テーブル1[[#This Row],[Name]])," ","-"),".","-"),"&amp;","-"),"_","-"),"・","-"),"=","-"),"--","-"),"--","-")</f>
        <v>jigokudani-kaku</v>
      </c>
      <c r="C322" s="24" t="s">
        <v>1043</v>
      </c>
      <c r="D322" s="23" t="s">
        <v>1044</v>
      </c>
      <c r="E322" s="23" t="s">
        <v>1045</v>
      </c>
      <c r="F322" s="15" t="s">
        <v>671</v>
      </c>
      <c r="G322" s="23" t="s">
        <v>672</v>
      </c>
      <c r="M322" s="1" t="s">
        <v>1517</v>
      </c>
      <c r="O322" s="24" t="str">
        <f>テーブル1[[#This Row],[リンク]]&amp;テーブル1[[#This Row],[描画状況]]</f>
        <v>https://flowerrocklove.wixsite.com/twilight-crisis</v>
      </c>
      <c r="P322" s="17">
        <f>1-(COUNTIF(O:O,_xlfn.TEXTJOIN(",",TRUE,テーブル1[[#This Row],[リンク]],テーブル1[[#This Row],[描画状況]]))/COUNTIF(F:F,テーブル1[[#This Row],[リンク]]))</f>
        <v>0.22222222222222221</v>
      </c>
      <c r="Q322" s="16">
        <f ca="1">IFERROR(IF(テーブル1[[#This Row],[描画状況]]="",RAND()+(テーブル1[[#This Row],[列2]]*100),""),RAND())</f>
        <v>22.387963305912812</v>
      </c>
      <c r="S322" s="24" t="str">
        <f ca="1">IF(AND(テーブル1[[#This Row],[描画状況]]="済",テーブル1[[#This Row],[投稿状況]]=""),RAND(),"")</f>
        <v/>
      </c>
      <c r="T322" s="23" t="str">
        <f>"|&amp;image("&amp;テーブル1[[#This Row],[画像]]&amp;".png,width=100,height=100)"</f>
        <v>|&amp;image(jigokudani-kaku.png,width=100,height=100)</v>
      </c>
      <c r="U322" s="23" t="str">
        <f>"|MIDDLE:​"&amp;テーブル1[[#This Row],[名前]]</f>
        <v>|MIDDLE:​地獄谷覚</v>
      </c>
      <c r="V322" s="23" t="str">
        <f>"|MIDDLE:​"&amp;テーブル1[[#This Row],[なまえ]]</f>
        <v>|MIDDLE:​じごくだに かく</v>
      </c>
      <c r="W322" s="23" t="str">
        <f>"|MIDDLE:​"&amp;テーブル1[[#This Row],[Name]]</f>
        <v>|MIDDLE:​Jigokudani Kaku</v>
      </c>
      <c r="X322" s="23" t="str">
        <f>"|MIDDLE:​&amp;link(配布所はこちら){​"&amp;テーブル1[[#This Row],[リンク]]&amp;"}|"</f>
        <v>|MIDDLE:​&amp;link(配布所はこちら){​https://flowerrocklove.wixsite.com/twilight-crisis}|</v>
      </c>
    </row>
    <row r="323" spans="2:24" ht="20.149999999999999" customHeight="1" x14ac:dyDescent="0.35">
      <c r="B323" s="23" t="str">
        <f>SUBSTITUTE(SUBSTITUTE(SUBSTITUTE(SUBSTITUTE(SUBSTITUTE(SUBSTITUTE(SUBSTITUTE(SUBSTITUTE(LOWER(テーブル1[[#This Row],[Name]])," ","-"),".","-"),"&amp;","-"),"_","-"),"・","-"),"=","-"),"--","-"),"--","-")</f>
        <v>jigokudani-lin</v>
      </c>
      <c r="C323" s="24" t="s">
        <v>1046</v>
      </c>
      <c r="D323" s="23" t="s">
        <v>1047</v>
      </c>
      <c r="E323" s="23" t="s">
        <v>1048</v>
      </c>
      <c r="F323" s="15" t="s">
        <v>671</v>
      </c>
      <c r="G323" s="23" t="s">
        <v>672</v>
      </c>
      <c r="M323" s="1" t="s">
        <v>1517</v>
      </c>
      <c r="O323" s="24" t="str">
        <f>テーブル1[[#This Row],[リンク]]&amp;テーブル1[[#This Row],[描画状況]]</f>
        <v>https://flowerrocklove.wixsite.com/twilight-crisis</v>
      </c>
      <c r="P323" s="17">
        <f>1-(COUNTIF(O:O,_xlfn.TEXTJOIN(",",TRUE,テーブル1[[#This Row],[リンク]],テーブル1[[#This Row],[描画状況]]))/COUNTIF(F:F,テーブル1[[#This Row],[リンク]]))</f>
        <v>0.22222222222222221</v>
      </c>
      <c r="Q323" s="16">
        <f ca="1">IFERROR(IF(テーブル1[[#This Row],[描画状況]]="",RAND()+(テーブル1[[#This Row],[列2]]*100),""),RAND())</f>
        <v>22.923111057009404</v>
      </c>
      <c r="S323" s="24" t="str">
        <f ca="1">IF(AND(テーブル1[[#This Row],[描画状況]]="済",テーブル1[[#This Row],[投稿状況]]=""),RAND(),"")</f>
        <v/>
      </c>
      <c r="T323" s="23" t="str">
        <f>"|&amp;image("&amp;テーブル1[[#This Row],[画像]]&amp;".png,width=100,height=100)"</f>
        <v>|&amp;image(jigokudani-lin.png,width=100,height=100)</v>
      </c>
      <c r="U323" s="23" t="str">
        <f>"|MIDDLE:​"&amp;テーブル1[[#This Row],[名前]]</f>
        <v>|MIDDLE:​地獄谷燐</v>
      </c>
      <c r="V323" s="23" t="str">
        <f>"|MIDDLE:​"&amp;テーブル1[[#This Row],[なまえ]]</f>
        <v>|MIDDLE:​じごくだに りん</v>
      </c>
      <c r="W323" s="23" t="str">
        <f>"|MIDDLE:​"&amp;テーブル1[[#This Row],[Name]]</f>
        <v>|MIDDLE:​Jigokudani Lin</v>
      </c>
      <c r="X323" s="23" t="str">
        <f>"|MIDDLE:​&amp;link(配布所はこちら){​"&amp;テーブル1[[#This Row],[リンク]]&amp;"}|"</f>
        <v>|MIDDLE:​&amp;link(配布所はこちら){​https://flowerrocklove.wixsite.com/twilight-crisis}|</v>
      </c>
    </row>
    <row r="324" spans="2:24" ht="20.149999999999999" customHeight="1" x14ac:dyDescent="0.35">
      <c r="B324" s="23" t="str">
        <f>SUBSTITUTE(SUBSTITUTE(SUBSTITUTE(SUBSTITUTE(SUBSTITUTE(SUBSTITUTE(SUBSTITUTE(SUBSTITUTE(LOWER(テーブル1[[#This Row],[Name]])," ","-"),".","-"),"&amp;","-"),"_","-"),"・","-"),"=","-"),"--","-"),"--","-")</f>
        <v>shijii-kyoka</v>
      </c>
      <c r="C324" s="24" t="s">
        <v>515</v>
      </c>
      <c r="D324" s="23" t="s">
        <v>516</v>
      </c>
      <c r="E324" s="23" t="s">
        <v>517</v>
      </c>
      <c r="F324" s="2" t="s">
        <v>518</v>
      </c>
      <c r="G324" s="23" t="s">
        <v>519</v>
      </c>
      <c r="O324" s="24" t="str">
        <f>テーブル1[[#This Row],[リンク]]&amp;テーブル1[[#This Row],[描画状況]]</f>
        <v>https://bowlroll.net/user/966729</v>
      </c>
      <c r="P324" s="17">
        <f>1-(COUNTIF(O:O,_xlfn.TEXTJOIN(",",TRUE,テーブル1[[#This Row],[リンク]],テーブル1[[#This Row],[描画状況]]))/COUNTIF(F:F,テーブル1[[#This Row],[リンク]]))</f>
        <v>0</v>
      </c>
      <c r="Q324" s="16">
        <f ca="1">IFERROR(IF(テーブル1[[#This Row],[描画状況]]="",RAND()+(テーブル1[[#This Row],[列2]]*100),""),RAND())</f>
        <v>7.6072297226792651E-2</v>
      </c>
      <c r="S324" s="24" t="str">
        <f ca="1">IF(AND(テーブル1[[#This Row],[描画状況]]="済",テーブル1[[#This Row],[投稿状況]]=""),RAND(),"")</f>
        <v/>
      </c>
      <c r="T324" s="23" t="str">
        <f>"|&amp;image("&amp;テーブル1[[#This Row],[画像]]&amp;".png,width=100,height=100)"</f>
        <v>|&amp;image(shijii-kyoka.png,width=100,height=100)</v>
      </c>
      <c r="U324" s="23" t="str">
        <f>"|MIDDLE:​"&amp;テーブル1[[#This Row],[名前]]</f>
        <v>|MIDDLE:​四々井杏花</v>
      </c>
      <c r="V324" s="23" t="str">
        <f>"|MIDDLE:​"&amp;テーブル1[[#This Row],[なまえ]]</f>
        <v>|MIDDLE:​しじい きょうか</v>
      </c>
      <c r="W324" s="23" t="str">
        <f>"|MIDDLE:​"&amp;テーブル1[[#This Row],[Name]]</f>
        <v>|MIDDLE:​Shijii Kyoka</v>
      </c>
      <c r="X324" s="23" t="str">
        <f>"|MIDDLE:​&amp;link(配布所はこちら){​"&amp;テーブル1[[#This Row],[リンク]]&amp;"}|"</f>
        <v>|MIDDLE:​&amp;link(配布所はこちら){​https://bowlroll.net/user/966729}|</v>
      </c>
    </row>
    <row r="325" spans="2:24" ht="20.149999999999999" customHeight="1" x14ac:dyDescent="0.35">
      <c r="B325" s="23" t="str">
        <f>SUBSTITUTE(SUBSTITUTE(SUBSTITUTE(SUBSTITUTE(SUBSTITUTE(SUBSTITUTE(SUBSTITUTE(SUBSTITUTE(LOWER(テーブル1[[#This Row],[Name]])," ","-"),".","-"),"&amp;","-"),"_","-"),"・","-"),"=","-"),"--","-"),"--","-")</f>
        <v>shippo</v>
      </c>
      <c r="C325" s="24" t="s">
        <v>1313</v>
      </c>
      <c r="D325" s="23" t="s">
        <v>1315</v>
      </c>
      <c r="E325" s="23" t="s">
        <v>1316</v>
      </c>
      <c r="F325" s="15" t="s">
        <v>1317</v>
      </c>
      <c r="G325" s="23" t="s">
        <v>1314</v>
      </c>
      <c r="O325" s="24" t="str">
        <f>テーブル1[[#This Row],[リンク]]&amp;テーブル1[[#This Row],[描画状況]]</f>
        <v>https://bowlroll.net/user/896336</v>
      </c>
      <c r="P325" s="17">
        <f>1-(COUNTIF(O:O,_xlfn.TEXTJOIN(",",TRUE,テーブル1[[#This Row],[リンク]],テーブル1[[#This Row],[描画状況]]))/COUNTIF(F:F,テーブル1[[#This Row],[リンク]]))</f>
        <v>0</v>
      </c>
      <c r="Q325" s="16">
        <f ca="1">IFERROR(IF(テーブル1[[#This Row],[描画状況]]="",RAND()+(テーブル1[[#This Row],[列2]]*100),""),RAND())</f>
        <v>0.97370037878924132</v>
      </c>
      <c r="S325" s="24" t="str">
        <f ca="1">IF(AND(テーブル1[[#This Row],[描画状況]]="済",テーブル1[[#This Row],[投稿状況]]=""),RAND(),"")</f>
        <v/>
      </c>
      <c r="T325" s="23" t="str">
        <f>"|&amp;image("&amp;テーブル1[[#This Row],[画像]]&amp;".png,width=100,height=100)"</f>
        <v>|&amp;image(shippo.png,width=100,height=100)</v>
      </c>
      <c r="U325" s="23" t="str">
        <f>"|MIDDLE:​"&amp;テーブル1[[#This Row],[名前]]</f>
        <v>|MIDDLE:​尻尾</v>
      </c>
      <c r="V325" s="23" t="str">
        <f>"|MIDDLE:​"&amp;テーブル1[[#This Row],[なまえ]]</f>
        <v>|MIDDLE:​しっぽ</v>
      </c>
      <c r="W325" s="23" t="str">
        <f>"|MIDDLE:​"&amp;テーブル1[[#This Row],[Name]]</f>
        <v>|MIDDLE:​Shippo</v>
      </c>
      <c r="X325" s="23" t="str">
        <f>"|MIDDLE:​&amp;link(配布所はこちら){​"&amp;テーブル1[[#This Row],[リンク]]&amp;"}|"</f>
        <v>|MIDDLE:​&amp;link(配布所はこちら){​https://bowlroll.net/user/896336}|</v>
      </c>
    </row>
    <row r="326" spans="2:24" ht="20.149999999999999" customHeight="1" x14ac:dyDescent="0.35">
      <c r="B326" s="23" t="str">
        <f>SUBSTITUTE(SUBSTITUTE(SUBSTITUTE(SUBSTITUTE(SUBSTITUTE(SUBSTITUTE(SUBSTITUTE(SUBSTITUTE(LOWER(テーブル1[[#This Row],[Name]])," ","-"),".","-"),"&amp;","-"),"_","-"),"・","-"),"=","-"),"--","-"),"--","-")</f>
        <v>shinunesan</v>
      </c>
      <c r="C326" s="24" t="s">
        <v>970</v>
      </c>
      <c r="D326" s="23" t="s">
        <v>971</v>
      </c>
      <c r="E326" s="23" t="s">
        <v>972</v>
      </c>
      <c r="F326" s="2" t="s">
        <v>1703</v>
      </c>
      <c r="G326" s="23" t="str">
        <f>テーブル1[[#This Row],[名前]]&amp;"(UTAU)"</f>
        <v>死nu音サン(UTAU)</v>
      </c>
      <c r="H326" s="23" t="s">
        <v>1662</v>
      </c>
      <c r="I326" s="23" t="s">
        <v>1654</v>
      </c>
      <c r="M326" s="1" t="s">
        <v>1518</v>
      </c>
      <c r="O326" s="24" t="str">
        <f>テーブル1[[#This Row],[リンク]]&amp;テーブル1[[#This Row],[描画状況]]</f>
        <v>https://ameutaulii.wixsite.com/telepathycapsule</v>
      </c>
      <c r="P326" s="17">
        <f>1-(COUNTIF(O:O,_xlfn.TEXTJOIN(",",TRUE,テーブル1[[#This Row],[リンク]],テーブル1[[#This Row],[描画状況]]))/COUNTIF(F:F,テーブル1[[#This Row],[リンク]]))</f>
        <v>0.16666666666666663</v>
      </c>
      <c r="Q326" s="16">
        <f ca="1">IFERROR(IF(テーブル1[[#This Row],[描画状況]]="",RAND()+(テーブル1[[#This Row],[列2]]*100),""),RAND())</f>
        <v>17.02260727015225</v>
      </c>
      <c r="S326" s="24" t="str">
        <f ca="1">IF(AND(テーブル1[[#This Row],[描画状況]]="済",テーブル1[[#This Row],[投稿状況]]=""),RAND(),"")</f>
        <v/>
      </c>
      <c r="T326" s="23" t="str">
        <f>"|&amp;image("&amp;テーブル1[[#This Row],[画像]]&amp;".png,width=100,height=100)"</f>
        <v>|&amp;image(shinunesan.png,width=100,height=100)</v>
      </c>
      <c r="U326" s="23" t="str">
        <f>"|MIDDLE:​"&amp;テーブル1[[#This Row],[名前]]</f>
        <v>|MIDDLE:​死nu音サン</v>
      </c>
      <c r="V326" s="23" t="str">
        <f>"|MIDDLE:​"&amp;テーブル1[[#This Row],[なまえ]]</f>
        <v>|MIDDLE:​しぬねさん</v>
      </c>
      <c r="W326" s="23" t="str">
        <f>"|MIDDLE:​"&amp;テーブル1[[#This Row],[Name]]</f>
        <v>|MIDDLE:​Shinunesan</v>
      </c>
      <c r="X326" s="23" t="str">
        <f>"|MIDDLE:​&amp;link(配布所はこちら){​"&amp;テーブル1[[#This Row],[リンク]]&amp;"}|"</f>
        <v>|MIDDLE:​&amp;link(配布所はこちら){​https://ameutaulii.wixsite.com/telepathycapsule}|</v>
      </c>
    </row>
    <row r="327" spans="2:24" ht="20.149999999999999" customHeight="1" x14ac:dyDescent="0.35">
      <c r="B327" s="23" t="str">
        <f>SUBSTITUTE(SUBSTITUTE(SUBSTITUTE(SUBSTITUTE(SUBSTITUTE(SUBSTITUTE(SUBSTITUTE(SUBSTITUTE(LOWER(テーブル1[[#This Row],[Name]])," ","-"),".","-"),"&amp;","-"),"_","-"),"・","-"),"=","-"),"--","-"),"--","-")</f>
        <v>sharena</v>
      </c>
      <c r="C327" s="24" t="s">
        <v>976</v>
      </c>
      <c r="D327" s="23" t="s">
        <v>977</v>
      </c>
      <c r="E327" s="23" t="s">
        <v>978</v>
      </c>
      <c r="F327" s="2" t="s">
        <v>50</v>
      </c>
      <c r="G327" s="23" t="str">
        <f>テーブル1[[#This Row],[名前]]&amp;"(UTAU)"</f>
        <v>シャレーナ(UTAU)</v>
      </c>
      <c r="O327" s="24" t="str">
        <f>テーブル1[[#This Row],[リンク]]&amp;テーブル1[[#This Row],[描画状況]]</f>
        <v>https://amiseniamnu.wixsite.com/amisenia</v>
      </c>
      <c r="P327" s="17">
        <f>1-(COUNTIF(O:O,_xlfn.TEXTJOIN(",",TRUE,テーブル1[[#This Row],[リンク]],テーブル1[[#This Row],[描画状況]]))/COUNTIF(F:F,テーブル1[[#This Row],[リンク]]))</f>
        <v>0.5</v>
      </c>
      <c r="Q327" s="16">
        <f ca="1">IFERROR(IF(テーブル1[[#This Row],[描画状況]]="",RAND()+(テーブル1[[#This Row],[列2]]*100),""),RAND())</f>
        <v>50.689978944873047</v>
      </c>
      <c r="S327" s="24" t="str">
        <f ca="1">IF(AND(テーブル1[[#This Row],[描画状況]]="済",テーブル1[[#This Row],[投稿状況]]=""),RAND(),"")</f>
        <v/>
      </c>
      <c r="T327" s="23" t="str">
        <f>"|&amp;image("&amp;テーブル1[[#This Row],[画像]]&amp;".png,width=100,height=100)"</f>
        <v>|&amp;image(sharena.png,width=100,height=100)</v>
      </c>
      <c r="U327" s="23" t="str">
        <f>"|MIDDLE:​"&amp;テーブル1[[#This Row],[名前]]</f>
        <v>|MIDDLE:​シャレーナ</v>
      </c>
      <c r="V327" s="23" t="str">
        <f>"|MIDDLE:​"&amp;テーブル1[[#This Row],[なまえ]]</f>
        <v>|MIDDLE:​しゃれーな</v>
      </c>
      <c r="W327" s="23" t="str">
        <f>"|MIDDLE:​"&amp;テーブル1[[#This Row],[Name]]</f>
        <v>|MIDDLE:​Sharena</v>
      </c>
      <c r="X327" s="23" t="str">
        <f>"|MIDDLE:​&amp;link(配布所はこちら){​"&amp;テーブル1[[#This Row],[リンク]]&amp;"}|"</f>
        <v>|MIDDLE:​&amp;link(配布所はこちら){​https://amiseniamnu.wixsite.com/amisenia}|</v>
      </c>
    </row>
    <row r="328" spans="2:24" ht="20.149999999999999" customHeight="1" x14ac:dyDescent="0.35">
      <c r="B328" s="23" t="str">
        <f>SUBSTITUTE(SUBSTITUTE(SUBSTITUTE(SUBSTITUTE(SUBSTITUTE(SUBSTITUTE(SUBSTITUTE(SUBSTITUTE(LOWER(テーブル1[[#This Row],[Name]])," ","-"),".","-"),"&amp;","-"),"_","-"),"・","-"),"=","-"),"--","-"),"--","-")</f>
        <v>syokuhei-saku</v>
      </c>
      <c r="C328" s="24" t="s">
        <v>1368</v>
      </c>
      <c r="D328" s="23" t="s">
        <v>1370</v>
      </c>
      <c r="E328" s="23" t="s">
        <v>1369</v>
      </c>
      <c r="F328" s="2" t="s">
        <v>1363</v>
      </c>
      <c r="G328" s="23" t="s">
        <v>1364</v>
      </c>
      <c r="O328" s="24" t="str">
        <f>テーブル1[[#This Row],[リンク]]&amp;テーブル1[[#This Row],[描画状況]]</f>
        <v>https://maybeanglo0mochi.wixsite.com/mochiyanosouko</v>
      </c>
      <c r="P328" s="17">
        <f>1-(COUNTIF(O:O,_xlfn.TEXTJOIN(",",TRUE,テーブル1[[#This Row],[リンク]],テーブル1[[#This Row],[描画状況]]))/COUNTIF(F:F,テーブル1[[#This Row],[リンク]]))</f>
        <v>0.125</v>
      </c>
      <c r="Q328" s="16">
        <f ca="1">IFERROR(IF(テーブル1[[#This Row],[描画状況]]="",RAND()+(テーブル1[[#This Row],[列2]]*100),""),RAND())</f>
        <v>13.39992218818551</v>
      </c>
      <c r="S328" s="24" t="str">
        <f ca="1">IF(AND(テーブル1[[#This Row],[描画状況]]="済",テーブル1[[#This Row],[投稿状況]]=""),RAND(),"")</f>
        <v/>
      </c>
      <c r="T328" s="23" t="str">
        <f>"|&amp;image("&amp;テーブル1[[#This Row],[画像]]&amp;".png,width=100,height=100)"</f>
        <v>|&amp;image(syokuhei-saku.png,width=100,height=100)</v>
      </c>
      <c r="U328" s="23" t="str">
        <f>"|MIDDLE:​"&amp;テーブル1[[#This Row],[名前]]</f>
        <v>|MIDDLE:​食并さく</v>
      </c>
      <c r="V328" s="23" t="str">
        <f>"|MIDDLE:​"&amp;テーブル1[[#This Row],[なまえ]]</f>
        <v>|MIDDLE:​しょくへい さく</v>
      </c>
      <c r="W328" s="23" t="str">
        <f>"|MIDDLE:​"&amp;テーブル1[[#This Row],[Name]]</f>
        <v>|MIDDLE:​Syokuhei Saku</v>
      </c>
      <c r="X328" s="23" t="str">
        <f>"|MIDDLE:​&amp;link(配布所はこちら){​"&amp;テーブル1[[#This Row],[リンク]]&amp;"}|"</f>
        <v>|MIDDLE:​&amp;link(配布所はこちら){​https://maybeanglo0mochi.wixsite.com/mochiyanosouko}|</v>
      </c>
    </row>
    <row r="329" spans="2:24" ht="20.149999999999999" customHeight="1" x14ac:dyDescent="0.35">
      <c r="B329" s="23" t="str">
        <f>SUBSTITUTE(SUBSTITUTE(SUBSTITUTE(SUBSTITUTE(SUBSTITUTE(SUBSTITUTE(SUBSTITUTE(SUBSTITUTE(LOWER(テーブル1[[#This Row],[Name]])," ","-"),".","-"),"&amp;","-"),"_","-"),"・","-"),"=","-"),"--","-"),"--","-")</f>
        <v>syokuhei-fuwa</v>
      </c>
      <c r="C329" s="24" t="s">
        <v>1365</v>
      </c>
      <c r="D329" s="23" t="s">
        <v>1367</v>
      </c>
      <c r="E329" s="23" t="s">
        <v>1366</v>
      </c>
      <c r="F329" s="2" t="s">
        <v>1363</v>
      </c>
      <c r="G329" s="23" t="s">
        <v>1364</v>
      </c>
      <c r="O329" s="24" t="str">
        <f>テーブル1[[#This Row],[リンク]]&amp;テーブル1[[#This Row],[描画状況]]</f>
        <v>https://maybeanglo0mochi.wixsite.com/mochiyanosouko</v>
      </c>
      <c r="P329" s="17">
        <f>1-(COUNTIF(O:O,_xlfn.TEXTJOIN(",",TRUE,テーブル1[[#This Row],[リンク]],テーブル1[[#This Row],[描画状況]]))/COUNTIF(F:F,テーブル1[[#This Row],[リンク]]))</f>
        <v>0.125</v>
      </c>
      <c r="Q329" s="16">
        <f ca="1">IFERROR(IF(テーブル1[[#This Row],[描画状況]]="",RAND()+(テーブル1[[#This Row],[列2]]*100),""),RAND())</f>
        <v>13.344388095936171</v>
      </c>
      <c r="S329" s="24" t="str">
        <f ca="1">IF(AND(テーブル1[[#This Row],[描画状況]]="済",テーブル1[[#This Row],[投稿状況]]=""),RAND(),"")</f>
        <v/>
      </c>
      <c r="T329" s="23" t="str">
        <f>"|&amp;image("&amp;テーブル1[[#This Row],[画像]]&amp;".png,width=100,height=100)"</f>
        <v>|&amp;image(syokuhei-fuwa.png,width=100,height=100)</v>
      </c>
      <c r="U329" s="23" t="str">
        <f>"|MIDDLE:​"&amp;テーブル1[[#This Row],[名前]]</f>
        <v>|MIDDLE:​食并ふうわ</v>
      </c>
      <c r="V329" s="23" t="str">
        <f>"|MIDDLE:​"&amp;テーブル1[[#This Row],[なまえ]]</f>
        <v>|MIDDLE:​しょくへい ふうわ</v>
      </c>
      <c r="W329" s="23" t="str">
        <f>"|MIDDLE:​"&amp;テーブル1[[#This Row],[Name]]</f>
        <v>|MIDDLE:​Syokuhei Fuwa</v>
      </c>
      <c r="X329" s="23" t="str">
        <f>"|MIDDLE:​&amp;link(配布所はこちら){​"&amp;テーブル1[[#This Row],[リンク]]&amp;"}|"</f>
        <v>|MIDDLE:​&amp;link(配布所はこちら){​https://maybeanglo0mochi.wixsite.com/mochiyanosouko}|</v>
      </c>
    </row>
    <row r="330" spans="2:24" ht="20.149999999999999" customHeight="1" x14ac:dyDescent="0.35">
      <c r="B330" s="23" t="str">
        <f>SUBSTITUTE(SUBSTITUTE(SUBSTITUTE(SUBSTITUTE(SUBSTITUTE(SUBSTITUTE(SUBSTITUTE(SUBSTITUTE(LOWER(テーブル1[[#This Row],[Name]])," ","-"),".","-"),"&amp;","-"),"_","-"),"・","-"),"=","-"),"--","-"),"--","-")</f>
        <v>shirahari-akane</v>
      </c>
      <c r="C330" s="24" t="s">
        <v>616</v>
      </c>
      <c r="D330" s="23" t="s">
        <v>617</v>
      </c>
      <c r="E330" s="23" t="s">
        <v>618</v>
      </c>
      <c r="F330" s="2" t="s">
        <v>215</v>
      </c>
      <c r="G330" s="23" t="s">
        <v>216</v>
      </c>
      <c r="M330" s="1" t="s">
        <v>1517</v>
      </c>
      <c r="O330" s="24" t="str">
        <f>テーブル1[[#This Row],[リンク]]&amp;テーブル1[[#This Row],[描画状況]]</f>
        <v>https://mitoristu.wixsite.com/kousaibako</v>
      </c>
      <c r="P330" s="17">
        <f>1-(COUNTIF(O:O,_xlfn.TEXTJOIN(",",TRUE,テーブル1[[#This Row],[リンク]],テーブル1[[#This Row],[描画状況]]))/COUNTIF(F:F,テーブル1[[#This Row],[リンク]]))</f>
        <v>0.19999999999999996</v>
      </c>
      <c r="Q330" s="16">
        <f ca="1">IFERROR(IF(テーブル1[[#This Row],[描画状況]]="",RAND()+(テーブル1[[#This Row],[列2]]*100),""),RAND())</f>
        <v>20.020709321170614</v>
      </c>
      <c r="S330" s="24" t="str">
        <f ca="1">IF(AND(テーブル1[[#This Row],[描画状況]]="済",テーブル1[[#This Row],[投稿状況]]=""),RAND(),"")</f>
        <v/>
      </c>
      <c r="T330" s="23" t="str">
        <f>"|&amp;image("&amp;テーブル1[[#This Row],[画像]]&amp;".png,width=100,height=100)"</f>
        <v>|&amp;image(shirahari-akane.png,width=100,height=100)</v>
      </c>
      <c r="U330" s="23" t="str">
        <f>"|MIDDLE:​"&amp;テーブル1[[#This Row],[名前]]</f>
        <v>|MIDDLE:​白播茜</v>
      </c>
      <c r="V330" s="23" t="str">
        <f>"|MIDDLE:​"&amp;テーブル1[[#This Row],[なまえ]]</f>
        <v>|MIDDLE:​しらはり あかね</v>
      </c>
      <c r="W330" s="23" t="str">
        <f>"|MIDDLE:​"&amp;テーブル1[[#This Row],[Name]]</f>
        <v>|MIDDLE:​Shirahari Akane</v>
      </c>
      <c r="X330" s="23" t="str">
        <f>"|MIDDLE:​&amp;link(配布所はこちら){​"&amp;テーブル1[[#This Row],[リンク]]&amp;"}|"</f>
        <v>|MIDDLE:​&amp;link(配布所はこちら){​https://mitoristu.wixsite.com/kousaibako}|</v>
      </c>
    </row>
    <row r="331" spans="2:24" ht="20.149999999999999" customHeight="1" x14ac:dyDescent="0.35">
      <c r="B331" s="23" t="str">
        <f>SUBSTITUTE(SUBSTITUTE(SUBSTITUTE(SUBSTITUTE(SUBSTITUTE(SUBSTITUTE(SUBSTITUTE(SUBSTITUTE(LOWER(テーブル1[[#This Row],[Name]])," ","-"),".","-"),"&amp;","-"),"_","-"),"・","-"),"=","-"),"--","-"),"--","-")</f>
        <v>shirayuki</v>
      </c>
      <c r="C331" s="24" t="s">
        <v>1175</v>
      </c>
      <c r="D331" s="23" t="s">
        <v>1176</v>
      </c>
      <c r="E331" s="23" t="s">
        <v>1177</v>
      </c>
      <c r="F331" s="2" t="s">
        <v>100</v>
      </c>
      <c r="G331" s="23" t="s">
        <v>101</v>
      </c>
      <c r="M331" s="1" t="s">
        <v>1517</v>
      </c>
      <c r="O331" s="24" t="str">
        <f>テーブル1[[#This Row],[リンク]]&amp;テーブル1[[#This Row],[描画状況]]</f>
        <v>https://hinagitsune-utau.wixsite.com/utaukokorone</v>
      </c>
      <c r="P331" s="17">
        <f>1-(COUNTIF(O:O,_xlfn.TEXTJOIN(",",TRUE,テーブル1[[#This Row],[リンク]],テーブル1[[#This Row],[描画状況]]))/COUNTIF(F:F,テーブル1[[#This Row],[リンク]]))</f>
        <v>0.19999999999999996</v>
      </c>
      <c r="Q331" s="16">
        <f ca="1">IFERROR(IF(テーブル1[[#This Row],[描画状況]]="",RAND()+(テーブル1[[#This Row],[列2]]*100),""),RAND())</f>
        <v>20.772544578767441</v>
      </c>
      <c r="S331" s="24" t="str">
        <f ca="1">IF(AND(テーブル1[[#This Row],[描画状況]]="済",テーブル1[[#This Row],[投稿状況]]=""),RAND(),"")</f>
        <v/>
      </c>
      <c r="T331" s="23" t="str">
        <f>"|&amp;image("&amp;テーブル1[[#This Row],[画像]]&amp;".png,width=100,height=100)"</f>
        <v>|&amp;image(shirayuki.png,width=100,height=100)</v>
      </c>
      <c r="U331" s="23" t="str">
        <f>"|MIDDLE:​"&amp;テーブル1[[#This Row],[名前]]</f>
        <v>|MIDDLE:​シラユキ</v>
      </c>
      <c r="V331" s="23" t="str">
        <f>"|MIDDLE:​"&amp;テーブル1[[#This Row],[なまえ]]</f>
        <v>|MIDDLE:​しらゆき</v>
      </c>
      <c r="W331" s="23" t="str">
        <f>"|MIDDLE:​"&amp;テーブル1[[#This Row],[Name]]</f>
        <v>|MIDDLE:​Shirayuki</v>
      </c>
      <c r="X331" s="23" t="str">
        <f>"|MIDDLE:​&amp;link(配布所はこちら){​"&amp;テーブル1[[#This Row],[リンク]]&amp;"}|"</f>
        <v>|MIDDLE:​&amp;link(配布所はこちら){​https://hinagitsune-utau.wixsite.com/utaukokorone}|</v>
      </c>
    </row>
    <row r="332" spans="2:24" ht="20.149999999999999" customHeight="1" x14ac:dyDescent="0.35">
      <c r="B332" s="23" t="str">
        <f>SUBSTITUTE(SUBSTITUTE(SUBSTITUTE(SUBSTITUTE(SUBSTITUTE(SUBSTITUTE(SUBSTITUTE(SUBSTITUTE(LOWER(テーブル1[[#This Row],[Name]])," ","-"),".","-"),"&amp;","-"),"_","-"),"・","-"),"=","-"),"--","-"),"--","-")</f>
        <v>jinrui</v>
      </c>
      <c r="C332" s="24" t="s">
        <v>1056</v>
      </c>
      <c r="D332" s="23" t="s">
        <v>1056</v>
      </c>
      <c r="E332" s="23" t="s">
        <v>1057</v>
      </c>
      <c r="F332" s="15" t="s">
        <v>671</v>
      </c>
      <c r="G332" s="23" t="s">
        <v>672</v>
      </c>
      <c r="M332" s="1" t="s">
        <v>1517</v>
      </c>
      <c r="O332" s="24" t="str">
        <f>テーブル1[[#This Row],[リンク]]&amp;テーブル1[[#This Row],[描画状況]]</f>
        <v>https://flowerrocklove.wixsite.com/twilight-crisis</v>
      </c>
      <c r="P332" s="17">
        <f>1-(COUNTIF(O:O,_xlfn.TEXTJOIN(",",TRUE,テーブル1[[#This Row],[リンク]],テーブル1[[#This Row],[描画状況]]))/COUNTIF(F:F,テーブル1[[#This Row],[リンク]]))</f>
        <v>0.22222222222222221</v>
      </c>
      <c r="Q332" s="16">
        <f ca="1">IFERROR(IF(テーブル1[[#This Row],[描画状況]]="",RAND()+(テーブル1[[#This Row],[列2]]*100),""),RAND())</f>
        <v>22.237183006021294</v>
      </c>
      <c r="S332" s="24" t="str">
        <f ca="1">IF(AND(テーブル1[[#This Row],[描画状況]]="済",テーブル1[[#This Row],[投稿状況]]=""),RAND(),"")</f>
        <v/>
      </c>
      <c r="T332" s="23" t="str">
        <f>"|&amp;image("&amp;テーブル1[[#This Row],[画像]]&amp;".png,width=100,height=100)"</f>
        <v>|&amp;image(jinrui.png,width=100,height=100)</v>
      </c>
      <c r="U332" s="23" t="str">
        <f>"|MIDDLE:​"&amp;テーブル1[[#This Row],[名前]]</f>
        <v>|MIDDLE:​じんるい</v>
      </c>
      <c r="V332" s="23" t="str">
        <f>"|MIDDLE:​"&amp;テーブル1[[#This Row],[なまえ]]</f>
        <v>|MIDDLE:​じんるい</v>
      </c>
      <c r="W332" s="23" t="str">
        <f>"|MIDDLE:​"&amp;テーブル1[[#This Row],[Name]]</f>
        <v>|MIDDLE:​Jinrui</v>
      </c>
      <c r="X332" s="23" t="str">
        <f>"|MIDDLE:​&amp;link(配布所はこちら){​"&amp;テーブル1[[#This Row],[リンク]]&amp;"}|"</f>
        <v>|MIDDLE:​&amp;link(配布所はこちら){​https://flowerrocklove.wixsite.com/twilight-crisis}|</v>
      </c>
    </row>
    <row r="333" spans="2:24" ht="20.149999999999999" customHeight="1" x14ac:dyDescent="0.35">
      <c r="B333" s="23" t="str">
        <f>SUBSTITUTE(SUBSTITUTE(SUBSTITUTE(SUBSTITUTE(SUBSTITUTE(SUBSTITUTE(SUBSTITUTE(SUBSTITUTE(LOWER(テーブル1[[#This Row],[Name]])," ","-"),".","-"),"&amp;","-"),"_","-"),"・","-"),"=","-"),"--","-"),"--","-")</f>
        <v>suimei</v>
      </c>
      <c r="C333" s="24" t="s">
        <v>1031</v>
      </c>
      <c r="D333" s="23" t="s">
        <v>1032</v>
      </c>
      <c r="E333" s="23" t="s">
        <v>1033</v>
      </c>
      <c r="F333" s="27" t="s">
        <v>87</v>
      </c>
      <c r="G333" s="23" t="s">
        <v>88</v>
      </c>
      <c r="M333" s="1" t="s">
        <v>1518</v>
      </c>
      <c r="O333" s="24" t="str">
        <f>テーブル1[[#This Row],[リンク]]&amp;テーブル1[[#This Row],[描画状況]]</f>
        <v>https://chunyinhui021.wixsite.com/mutyuusaisei</v>
      </c>
      <c r="P333" s="17">
        <f>1-(COUNTIF(O:O,_xlfn.TEXTJOIN(",",TRUE,テーブル1[[#This Row],[リンク]],テーブル1[[#This Row],[描画状況]]))/COUNTIF(F:F,テーブル1[[#This Row],[リンク]]))</f>
        <v>0.33333333333333337</v>
      </c>
      <c r="Q333" s="16">
        <f ca="1">IFERROR(IF(テーブル1[[#This Row],[描画状況]]="",RAND()+(テーブル1[[#This Row],[列2]]*100),""),RAND())</f>
        <v>33.483478977487366</v>
      </c>
      <c r="S333" s="24" t="str">
        <f ca="1">IF(AND(テーブル1[[#This Row],[描画状況]]="済",テーブル1[[#This Row],[投稿状況]]=""),RAND(),"")</f>
        <v/>
      </c>
      <c r="T333" s="23" t="str">
        <f>"|&amp;image("&amp;テーブル1[[#This Row],[画像]]&amp;".png,width=100,height=100)"</f>
        <v>|&amp;image(suimei.png,width=100,height=100)</v>
      </c>
      <c r="U333" s="23" t="str">
        <f>"|MIDDLE:​"&amp;テーブル1[[#This Row],[名前]]</f>
        <v>|MIDDLE:​水明</v>
      </c>
      <c r="V333" s="23" t="str">
        <f>"|MIDDLE:​"&amp;テーブル1[[#This Row],[なまえ]]</f>
        <v>|MIDDLE:​すいめい</v>
      </c>
      <c r="W333" s="23" t="str">
        <f>"|MIDDLE:​"&amp;テーブル1[[#This Row],[Name]]</f>
        <v>|MIDDLE:​Suimei</v>
      </c>
      <c r="X333" s="23" t="str">
        <f>"|MIDDLE:​&amp;link(配布所はこちら){​"&amp;テーブル1[[#This Row],[リンク]]&amp;"}|"</f>
        <v>|MIDDLE:​&amp;link(配布所はこちら){​https://chunyinhui021.wixsite.com/mutyuusaisei}|</v>
      </c>
    </row>
    <row r="334" spans="2:24" ht="20.149999999999999" customHeight="1" x14ac:dyDescent="0.35">
      <c r="B334" s="23" t="str">
        <f>SUBSTITUTE(SUBSTITUTE(SUBSTITUTE(SUBSTITUTE(SUBSTITUTE(SUBSTITUTE(SUBSTITUTE(SUBSTITUTE(LOWER(テーブル1[[#This Row],[Name]])," ","-"),".","-"),"&amp;","-"),"_","-"),"・","-"),"=","-"),"--","-"),"--","-")</f>
        <v>sukii-ido</v>
      </c>
      <c r="C334" s="24" t="s">
        <v>889</v>
      </c>
      <c r="D334" s="23" t="s">
        <v>890</v>
      </c>
      <c r="E334" s="23" t="s">
        <v>891</v>
      </c>
      <c r="F334" s="15" t="s">
        <v>892</v>
      </c>
      <c r="G334" s="23" t="str">
        <f>テーブル1[[#This Row],[名前]]&amp;"(UTAU)"</f>
        <v>救井イド(UTAU)</v>
      </c>
      <c r="O334" s="24" t="str">
        <f>テーブル1[[#This Row],[リンク]]&amp;テーブル1[[#This Row],[描画状況]]</f>
        <v>https://bowlroll.net/user/999132</v>
      </c>
      <c r="P334" s="17">
        <f>1-(COUNTIF(O:O,_xlfn.TEXTJOIN(",",TRUE,テーブル1[[#This Row],[リンク]],テーブル1[[#This Row],[描画状況]]))/COUNTIF(F:F,テーブル1[[#This Row],[リンク]]))</f>
        <v>0</v>
      </c>
      <c r="Q334" s="16">
        <f ca="1">IFERROR(IF(テーブル1[[#This Row],[描画状況]]="",RAND()+(テーブル1[[#This Row],[列2]]*100),""),RAND())</f>
        <v>0.49558717203884184</v>
      </c>
      <c r="S334" s="24" t="str">
        <f ca="1">IF(AND(テーブル1[[#This Row],[描画状況]]="済",テーブル1[[#This Row],[投稿状況]]=""),RAND(),"")</f>
        <v/>
      </c>
      <c r="T334" s="23" t="str">
        <f>"|&amp;image("&amp;テーブル1[[#This Row],[画像]]&amp;".png,width=100,height=100)"</f>
        <v>|&amp;image(sukii-ido.png,width=100,height=100)</v>
      </c>
      <c r="U334" s="23" t="str">
        <f>"|MIDDLE:​"&amp;テーブル1[[#This Row],[名前]]</f>
        <v>|MIDDLE:​救井イド</v>
      </c>
      <c r="V334" s="23" t="str">
        <f>"|MIDDLE:​"&amp;テーブル1[[#This Row],[なまえ]]</f>
        <v>|MIDDLE:​すくい いど</v>
      </c>
      <c r="W334" s="23" t="str">
        <f>"|MIDDLE:​"&amp;テーブル1[[#This Row],[Name]]</f>
        <v>|MIDDLE:​Sukii Ido</v>
      </c>
      <c r="X334" s="23" t="str">
        <f>"|MIDDLE:​&amp;link(配布所はこちら){​"&amp;テーブル1[[#This Row],[リンク]]&amp;"}|"</f>
        <v>|MIDDLE:​&amp;link(配布所はこちら){​https://bowlroll.net/user/999132}|</v>
      </c>
    </row>
    <row r="335" spans="2:24" ht="20.149999999999999" customHeight="1" x14ac:dyDescent="0.35">
      <c r="B335" s="23" t="str">
        <f>SUBSTITUTE(SUBSTITUTE(SUBSTITUTE(SUBSTITUTE(SUBSTITUTE(SUBSTITUTE(SUBSTITUTE(SUBSTITUTE(LOWER(テーブル1[[#This Row],[Name]])," ","-"),".","-"),"&amp;","-"),"_","-"),"・","-"),"=","-"),"--","-"),"--","-")</f>
        <v>suzukaze-netsuko</v>
      </c>
      <c r="C335" s="24" t="s">
        <v>1197</v>
      </c>
      <c r="D335" s="23" t="s">
        <v>1198</v>
      </c>
      <c r="E335" s="23" t="s">
        <v>1199</v>
      </c>
      <c r="F335" s="15" t="s">
        <v>725</v>
      </c>
      <c r="G335" s="23" t="s">
        <v>1200</v>
      </c>
      <c r="M335" s="1" t="s">
        <v>1518</v>
      </c>
      <c r="O335" s="24" t="str">
        <f>テーブル1[[#This Row],[リンク]]&amp;テーブル1[[#This Row],[描画状況]]</f>
        <v>https://grskmot8.wixsite.com/kdarock</v>
      </c>
      <c r="P335" s="17">
        <f>1-(COUNTIF(O:O,_xlfn.TEXTJOIN(",",TRUE,テーブル1[[#This Row],[リンク]],テーブル1[[#This Row],[描画状況]]))/COUNTIF(F:F,テーブル1[[#This Row],[リンク]]))</f>
        <v>0.33333333333333337</v>
      </c>
      <c r="Q335" s="16">
        <f ca="1">IFERROR(IF(テーブル1[[#This Row],[描画状況]]="",RAND()+(テーブル1[[#This Row],[列2]]*100),""),RAND())</f>
        <v>34.001073763481116</v>
      </c>
      <c r="S335" s="24" t="str">
        <f ca="1">IF(AND(テーブル1[[#This Row],[描画状況]]="済",テーブル1[[#This Row],[投稿状況]]=""),RAND(),"")</f>
        <v/>
      </c>
      <c r="T335" s="23" t="str">
        <f>"|&amp;image("&amp;テーブル1[[#This Row],[画像]]&amp;".png,width=100,height=100)"</f>
        <v>|&amp;image(suzukaze-netsuko.png,width=100,height=100)</v>
      </c>
      <c r="U335" s="23" t="str">
        <f>"|MIDDLE:​"&amp;テーブル1[[#This Row],[名前]]</f>
        <v>|MIDDLE:​涼風熱子</v>
      </c>
      <c r="V335" s="23" t="str">
        <f>"|MIDDLE:​"&amp;テーブル1[[#This Row],[なまえ]]</f>
        <v>|MIDDLE:​すずかぜ ねつこ</v>
      </c>
      <c r="W335" s="23" t="str">
        <f>"|MIDDLE:​"&amp;テーブル1[[#This Row],[Name]]</f>
        <v>|MIDDLE:​Suzukaze Netsuko</v>
      </c>
      <c r="X335" s="23" t="str">
        <f>"|MIDDLE:​&amp;link(配布所はこちら){​"&amp;テーブル1[[#This Row],[リンク]]&amp;"}|"</f>
        <v>|MIDDLE:​&amp;link(配布所はこちら){​https://grskmot8.wixsite.com/kdarock}|</v>
      </c>
    </row>
    <row r="336" spans="2:24" ht="20.149999999999999" customHeight="1" x14ac:dyDescent="0.35">
      <c r="B336" s="23" t="str">
        <f>SUBSTITUTE(SUBSTITUTE(SUBSTITUTE(SUBSTITUTE(SUBSTITUTE(SUBSTITUTE(SUBSTITUTE(SUBSTITUTE(LOWER(テーブル1[[#This Row],[Name]])," ","-"),".","-"),"&amp;","-"),"_","-"),"・","-"),"=","-"),"--","-"),"--","-")</f>
        <v>stella</v>
      </c>
      <c r="C336" s="24" t="s">
        <v>631</v>
      </c>
      <c r="D336" s="23" t="s">
        <v>632</v>
      </c>
      <c r="E336" s="24" t="s">
        <v>631</v>
      </c>
      <c r="F336" s="2" t="s">
        <v>165</v>
      </c>
      <c r="G336" s="23" t="s">
        <v>166</v>
      </c>
      <c r="H336" s="23" t="s">
        <v>1626</v>
      </c>
      <c r="I336" s="23" t="s">
        <v>1636</v>
      </c>
      <c r="O336" s="24" t="str">
        <f>テーブル1[[#This Row],[リンク]]&amp;テーブル1[[#This Row],[描画状況]]</f>
        <v>https://kuroi9603.wixsite.com/delu-lab-south</v>
      </c>
      <c r="P336" s="17">
        <f>1-(COUNTIF(O:O,_xlfn.TEXTJOIN(",",TRUE,テーブル1[[#This Row],[リンク]],テーブル1[[#This Row],[描画状況]]))/COUNTIF(F:F,テーブル1[[#This Row],[リンク]]))</f>
        <v>0.66666666666666674</v>
      </c>
      <c r="Q336" s="16">
        <f ca="1">IFERROR(IF(テーブル1[[#This Row],[描画状況]]="",RAND()+(テーブル1[[#This Row],[列2]]*100),""),RAND())</f>
        <v>67.052825476303326</v>
      </c>
      <c r="S336" s="24" t="str">
        <f ca="1">IF(AND(テーブル1[[#This Row],[描画状況]]="済",テーブル1[[#This Row],[投稿状況]]=""),RAND(),"")</f>
        <v/>
      </c>
      <c r="T336" s="23" t="str">
        <f>"|&amp;image("&amp;テーブル1[[#This Row],[画像]]&amp;".png,width=100,height=100)"</f>
        <v>|&amp;image(stella.png,width=100,height=100)</v>
      </c>
      <c r="U336" s="23" t="str">
        <f>"|MIDDLE:​"&amp;テーブル1[[#This Row],[名前]]</f>
        <v>|MIDDLE:​Stella</v>
      </c>
      <c r="V336" s="23" t="str">
        <f>"|MIDDLE:​"&amp;テーブル1[[#This Row],[なまえ]]</f>
        <v>|MIDDLE:​すてら</v>
      </c>
      <c r="W336" s="23" t="str">
        <f>"|MIDDLE:​"&amp;テーブル1[[#This Row],[Name]]</f>
        <v>|MIDDLE:​Stella</v>
      </c>
      <c r="X336" s="23" t="str">
        <f>"|MIDDLE:​&amp;link(配布所はこちら){​"&amp;テーブル1[[#This Row],[リンク]]&amp;"}|"</f>
        <v>|MIDDLE:​&amp;link(配布所はこちら){​https://kuroi9603.wixsite.com/delu-lab-south}|</v>
      </c>
    </row>
    <row r="337" spans="2:24" ht="20.149999999999999" customHeight="1" x14ac:dyDescent="0.35">
      <c r="B337" s="23" t="str">
        <f>SUBSTITUTE(SUBSTITUTE(SUBSTITUTE(SUBSTITUTE(SUBSTITUTE(SUBSTITUTE(SUBSTITUTE(SUBSTITUTE(LOWER(テーブル1[[#This Row],[Name]])," ","-"),".","-"),"&amp;","-"),"_","-"),"・","-"),"=","-"),"--","-"),"--","-")</f>
        <v>sumomone-fueru</v>
      </c>
      <c r="C337" s="24" t="s">
        <v>901</v>
      </c>
      <c r="D337" s="23" t="s">
        <v>903</v>
      </c>
      <c r="E337" s="23" t="s">
        <v>902</v>
      </c>
      <c r="F337" s="15" t="s">
        <v>904</v>
      </c>
      <c r="G337" s="23" t="s">
        <v>917</v>
      </c>
      <c r="O337" s="24" t="str">
        <f>テーブル1[[#This Row],[リンク]]&amp;テーブル1[[#This Row],[描画状況]]</f>
        <v>https://suukedayo.wixsite.com/shiawasefairu</v>
      </c>
      <c r="P337" s="17">
        <f>1-(COUNTIF(O:O,_xlfn.TEXTJOIN(",",TRUE,テーブル1[[#This Row],[リンク]],テーブル1[[#This Row],[描画状況]]))/COUNTIF(F:F,テーブル1[[#This Row],[リンク]]))</f>
        <v>0</v>
      </c>
      <c r="Q337" s="16">
        <f ca="1">IFERROR(IF(テーブル1[[#This Row],[描画状況]]="",RAND()+(テーブル1[[#This Row],[列2]]*100),""),RAND())</f>
        <v>6.2995294242979005E-3</v>
      </c>
      <c r="S337" s="24" t="str">
        <f ca="1">IF(AND(テーブル1[[#This Row],[描画状況]]="済",テーブル1[[#This Row],[投稿状況]]=""),RAND(),"")</f>
        <v/>
      </c>
      <c r="T337" s="23" t="str">
        <f>"|&amp;image("&amp;テーブル1[[#This Row],[画像]]&amp;".png,width=100,height=100)"</f>
        <v>|&amp;image(sumomone-fueru.png,width=100,height=100)</v>
      </c>
      <c r="U337" s="23" t="str">
        <f>"|MIDDLE:​"&amp;テーブル1[[#This Row],[名前]]</f>
        <v>|MIDDLE:​李音フヱル</v>
      </c>
      <c r="V337" s="23" t="str">
        <f>"|MIDDLE:​"&amp;テーブル1[[#This Row],[なまえ]]</f>
        <v>|MIDDLE:​すももね ふえる</v>
      </c>
      <c r="W337" s="23" t="str">
        <f>"|MIDDLE:​"&amp;テーブル1[[#This Row],[Name]]</f>
        <v>|MIDDLE:​Sumomone Fueru</v>
      </c>
      <c r="X337" s="23" t="str">
        <f>"|MIDDLE:​&amp;link(配布所はこちら){​"&amp;テーブル1[[#This Row],[リンク]]&amp;"}|"</f>
        <v>|MIDDLE:​&amp;link(配布所はこちら){​https://suukedayo.wixsite.com/shiawasefairu}|</v>
      </c>
    </row>
    <row r="338" spans="2:24" ht="20.149999999999999" customHeight="1" x14ac:dyDescent="0.35">
      <c r="B338" s="23" t="str">
        <f>SUBSTITUTE(SUBSTITUTE(SUBSTITUTE(SUBSTITUTE(SUBSTITUTE(SUBSTITUTE(SUBSTITUTE(SUBSTITUTE(LOWER(テーブル1[[#This Row],[Name]])," ","-"),".","-"),"&amp;","-"),"_","-"),"・","-"),"=","-"),"--","-"),"--","-")</f>
        <v>sekise-lunami</v>
      </c>
      <c r="C338" s="24" t="s">
        <v>1089</v>
      </c>
      <c r="D338" s="23" t="s">
        <v>1090</v>
      </c>
      <c r="E338" s="23" t="s">
        <v>1091</v>
      </c>
      <c r="F338" s="15" t="s">
        <v>1066</v>
      </c>
      <c r="G338" s="23" t="s">
        <v>1067</v>
      </c>
      <c r="O338" s="24" t="str">
        <f>テーブル1[[#This Row],[リンク]]&amp;テーブル1[[#This Row],[描画状況]]</f>
        <v>https://yukimiyashimusho.jimdofree.com</v>
      </c>
      <c r="P338" s="17">
        <f>1-(COUNTIF(O:O,_xlfn.TEXTJOIN(",",TRUE,テーブル1[[#This Row],[リンク]],テーブル1[[#This Row],[描画状況]]))/COUNTIF(F:F,テーブル1[[#This Row],[リンク]]))</f>
        <v>7.1428571428571397E-2</v>
      </c>
      <c r="Q338" s="16">
        <f ca="1">IFERROR(IF(テーブル1[[#This Row],[描画状況]]="",RAND()+(テーブル1[[#This Row],[列2]]*100),""),RAND())</f>
        <v>7.776746853299632</v>
      </c>
      <c r="S338" s="24" t="str">
        <f ca="1">IF(AND(テーブル1[[#This Row],[描画状況]]="済",テーブル1[[#This Row],[投稿状況]]=""),RAND(),"")</f>
        <v/>
      </c>
      <c r="T338" s="23" t="str">
        <f>"|&amp;image("&amp;テーブル1[[#This Row],[画像]]&amp;".png,width=100,height=100)"</f>
        <v>|&amp;image(sekise-lunami.png,width=100,height=100)</v>
      </c>
      <c r="U338" s="23" t="str">
        <f>"|MIDDLE:​"&amp;テーブル1[[#This Row],[名前]]</f>
        <v>|MIDDLE:​汐声月海</v>
      </c>
      <c r="V338" s="23" t="str">
        <f>"|MIDDLE:​"&amp;テーブル1[[#This Row],[なまえ]]</f>
        <v>|MIDDLE:​せきせ るなみ</v>
      </c>
      <c r="W338" s="23" t="str">
        <f>"|MIDDLE:​"&amp;テーブル1[[#This Row],[Name]]</f>
        <v>|MIDDLE:​Sekise Lunami</v>
      </c>
      <c r="X338" s="23" t="str">
        <f>"|MIDDLE:​&amp;link(配布所はこちら){​"&amp;テーブル1[[#This Row],[リンク]]&amp;"}|"</f>
        <v>|MIDDLE:​&amp;link(配布所はこちら){​https://yukimiyashimusho.jimdofree.com}|</v>
      </c>
    </row>
    <row r="339" spans="2:24" ht="20.149999999999999" customHeight="1" x14ac:dyDescent="0.35">
      <c r="B339" s="23" t="str">
        <f>SUBSTITUTE(SUBSTITUTE(SUBSTITUTE(SUBSTITUTE(SUBSTITUTE(SUBSTITUTE(SUBSTITUTE(SUBSTITUTE(LOWER(テーブル1[[#This Row],[Name]])," ","-"),".","-"),"&amp;","-"),"_","-"),"・","-"),"=","-"),"--","-"),"--","-")</f>
        <v>setsuka-toku</v>
      </c>
      <c r="C339" s="24" t="s">
        <v>838</v>
      </c>
      <c r="D339" s="23" t="s">
        <v>839</v>
      </c>
      <c r="E339" s="23" t="s">
        <v>840</v>
      </c>
      <c r="F339" s="2" t="s">
        <v>833</v>
      </c>
      <c r="G339" s="23" t="s">
        <v>834</v>
      </c>
      <c r="O339" s="24" t="str">
        <f>テーブル1[[#This Row],[リンク]]&amp;テーブル1[[#This Row],[描画状況]]</f>
        <v>https://kaedekatusaki.wixsite.com/yanagiroutyou</v>
      </c>
      <c r="P339" s="17">
        <f>1-(COUNTIF(O:O,_xlfn.TEXTJOIN(",",TRUE,テーブル1[[#This Row],[リンク]],テーブル1[[#This Row],[描画状況]]))/COUNTIF(F:F,テーブル1[[#This Row],[リンク]]))</f>
        <v>0.125</v>
      </c>
      <c r="Q339" s="16">
        <f ca="1">IFERROR(IF(テーブル1[[#This Row],[描画状況]]="",RAND()+(テーブル1[[#This Row],[列2]]*100),""),RAND())</f>
        <v>13.46384085541</v>
      </c>
      <c r="S339" s="24" t="str">
        <f ca="1">IF(AND(テーブル1[[#This Row],[描画状況]]="済",テーブル1[[#This Row],[投稿状況]]=""),RAND(),"")</f>
        <v/>
      </c>
      <c r="T339" s="23" t="str">
        <f>"|&amp;image("&amp;テーブル1[[#This Row],[画像]]&amp;".png,width=100,height=100)"</f>
        <v>|&amp;image(setsuka-toku.png,width=100,height=100)</v>
      </c>
      <c r="U339" s="23" t="str">
        <f>"|MIDDLE:​"&amp;テーブル1[[#This Row],[名前]]</f>
        <v>|MIDDLE:​折歌トク</v>
      </c>
      <c r="V339" s="23" t="str">
        <f>"|MIDDLE:​"&amp;テーブル1[[#This Row],[なまえ]]</f>
        <v>|MIDDLE:​せつか とく</v>
      </c>
      <c r="W339" s="23" t="str">
        <f>"|MIDDLE:​"&amp;テーブル1[[#This Row],[Name]]</f>
        <v>|MIDDLE:​Setsuka Toku</v>
      </c>
      <c r="X339" s="23" t="str">
        <f>"|MIDDLE:​&amp;link(配布所はこちら){​"&amp;テーブル1[[#This Row],[リンク]]&amp;"}|"</f>
        <v>|MIDDLE:​&amp;link(配布所はこちら){​https://kaedekatusaki.wixsite.com/yanagiroutyou}|</v>
      </c>
    </row>
    <row r="340" spans="2:24" ht="20.149999999999999" customHeight="1" x14ac:dyDescent="0.35">
      <c r="B340" s="23" t="str">
        <f>SUBSTITUTE(SUBSTITUTE(SUBSTITUTE(SUBSTITUTE(SUBSTITUTE(SUBSTITUTE(SUBSTITUTE(SUBSTITUTE(LOWER(テーブル1[[#This Row],[Name]])," ","-"),".","-"),"&amp;","-"),"_","-"),"・","-"),"=","-"),"--","-"),"--","-")</f>
        <v>celestite</v>
      </c>
      <c r="C340" s="24" t="s">
        <v>796</v>
      </c>
      <c r="D340" s="23" t="s">
        <v>797</v>
      </c>
      <c r="E340" s="23" t="s">
        <v>801</v>
      </c>
      <c r="F340" s="15" t="s">
        <v>778</v>
      </c>
      <c r="G340" s="23" t="str">
        <f>テーブル1[[#This Row],[名前]]&amp;"(UTAU)"</f>
        <v>セレスタイト(UTAU)</v>
      </c>
      <c r="M340" s="1" t="s">
        <v>1517</v>
      </c>
      <c r="O340" s="24" t="str">
        <f>テーブル1[[#This Row],[リンク]]&amp;テーブル1[[#This Row],[描画状況]]</f>
        <v>https://cmamizki.wixsite.com/edelstein</v>
      </c>
      <c r="P340" s="17">
        <f>1-(COUNTIF(O:O,_xlfn.TEXTJOIN(",",TRUE,テーブル1[[#This Row],[リンク]],テーブル1[[#This Row],[描画状況]]))/COUNTIF(F:F,テーブル1[[#This Row],[リンク]]))</f>
        <v>9.0909090909090939E-2</v>
      </c>
      <c r="Q340" s="16">
        <f ca="1">IFERROR(IF(テーブル1[[#This Row],[描画状況]]="",RAND()+(テーブル1[[#This Row],[列2]]*100),""),RAND())</f>
        <v>9.6323924173647004</v>
      </c>
      <c r="S340" s="24" t="str">
        <f ca="1">IF(AND(テーブル1[[#This Row],[描画状況]]="済",テーブル1[[#This Row],[投稿状況]]=""),RAND(),"")</f>
        <v/>
      </c>
      <c r="T340" s="23" t="str">
        <f>"|&amp;image("&amp;テーブル1[[#This Row],[画像]]&amp;".png,width=100,height=100)"</f>
        <v>|&amp;image(celestite.png,width=100,height=100)</v>
      </c>
      <c r="U340" s="23" t="str">
        <f>"|MIDDLE:​"&amp;テーブル1[[#This Row],[名前]]</f>
        <v>|MIDDLE:​セレスタイト</v>
      </c>
      <c r="V340" s="23" t="str">
        <f>"|MIDDLE:​"&amp;テーブル1[[#This Row],[なまえ]]</f>
        <v>|MIDDLE:​せれすたいと</v>
      </c>
      <c r="W340" s="23" t="str">
        <f>"|MIDDLE:​"&amp;テーブル1[[#This Row],[Name]]</f>
        <v>|MIDDLE:​Celestite</v>
      </c>
      <c r="X340" s="23" t="str">
        <f>"|MIDDLE:​&amp;link(配布所はこちら){​"&amp;テーブル1[[#This Row],[リンク]]&amp;"}|"</f>
        <v>|MIDDLE:​&amp;link(配布所はこちら){​https://cmamizki.wixsite.com/edelstein}|</v>
      </c>
    </row>
    <row r="341" spans="2:24" ht="20.149999999999999" customHeight="1" x14ac:dyDescent="0.35">
      <c r="B341" s="23" t="str">
        <f>SUBSTITUTE(SUBSTITUTE(SUBSTITUTE(SUBSTITUTE(SUBSTITUTE(SUBSTITUTE(SUBSTITUTE(SUBSTITUTE(LOWER(テーブル1[[#This Row],[Name]])," ","-"),".","-"),"&amp;","-"),"_","-"),"・","-"),"=","-"),"--","-"),"--","-")</f>
        <v>senjo-tsurugi</v>
      </c>
      <c r="C341" s="24" t="s">
        <v>722</v>
      </c>
      <c r="D341" s="23" t="s">
        <v>723</v>
      </c>
      <c r="E341" s="23" t="s">
        <v>724</v>
      </c>
      <c r="F341" s="15" t="s">
        <v>725</v>
      </c>
      <c r="G341" s="23" t="s">
        <v>1200</v>
      </c>
      <c r="M341" s="1" t="s">
        <v>1518</v>
      </c>
      <c r="O341" s="24" t="str">
        <f>テーブル1[[#This Row],[リンク]]&amp;テーブル1[[#This Row],[描画状況]]</f>
        <v>https://grskmot8.wixsite.com/kdarock</v>
      </c>
      <c r="P341" s="17">
        <f>1-(COUNTIF(O:O,_xlfn.TEXTJOIN(",",TRUE,テーブル1[[#This Row],[リンク]],テーブル1[[#This Row],[描画状況]]))/COUNTIF(F:F,テーブル1[[#This Row],[リンク]]))</f>
        <v>0.33333333333333337</v>
      </c>
      <c r="Q341" s="16">
        <f ca="1">IFERROR(IF(テーブル1[[#This Row],[描画状況]]="",RAND()+(テーブル1[[#This Row],[列2]]*100),""),RAND())</f>
        <v>33.686083347877215</v>
      </c>
      <c r="S341" s="24" t="str">
        <f ca="1">IF(AND(テーブル1[[#This Row],[描画状況]]="済",テーブル1[[#This Row],[投稿状況]]=""),RAND(),"")</f>
        <v/>
      </c>
      <c r="T341" s="23" t="str">
        <f>"|&amp;image("&amp;テーブル1[[#This Row],[画像]]&amp;".png,width=100,height=100)"</f>
        <v>|&amp;image(senjo-tsurugi.png,width=100,height=100)</v>
      </c>
      <c r="U341" s="23" t="str">
        <f>"|MIDDLE:​"&amp;テーブル1[[#This Row],[名前]]</f>
        <v>|MIDDLE:​剪除鶴偽</v>
      </c>
      <c r="V341" s="23" t="str">
        <f>"|MIDDLE:​"&amp;テーブル1[[#This Row],[なまえ]]</f>
        <v>|MIDDLE:​せんじょ つるぎ</v>
      </c>
      <c r="W341" s="23" t="str">
        <f>"|MIDDLE:​"&amp;テーブル1[[#This Row],[Name]]</f>
        <v>|MIDDLE:​Senjo Tsurugi</v>
      </c>
      <c r="X341" s="23" t="str">
        <f>"|MIDDLE:​&amp;link(配布所はこちら){​"&amp;テーブル1[[#This Row],[リンク]]&amp;"}|"</f>
        <v>|MIDDLE:​&amp;link(配布所はこちら){​https://grskmot8.wixsite.com/kdarock}|</v>
      </c>
    </row>
    <row r="342" spans="2:24" ht="20.149999999999999" customHeight="1" x14ac:dyDescent="0.35">
      <c r="B342" s="23" t="str">
        <f>SUBSTITUTE(SUBSTITUTE(SUBSTITUTE(SUBSTITUTE(SUBSTITUTE(SUBSTITUTE(SUBSTITUTE(SUBSTITUTE(LOWER(テーブル1[[#This Row],[Name]])," ","-"),".","-"),"&amp;","-"),"_","-"),"・","-"),"=","-"),"--","-"),"--","-")</f>
        <v>senden-raika</v>
      </c>
      <c r="C342" s="24" t="s">
        <v>733</v>
      </c>
      <c r="D342" s="23" t="s">
        <v>734</v>
      </c>
      <c r="E342" s="23" t="s">
        <v>735</v>
      </c>
      <c r="F342" s="15" t="s">
        <v>736</v>
      </c>
      <c r="G342" s="23" t="s">
        <v>737</v>
      </c>
      <c r="O342" s="24" t="str">
        <f>テーブル1[[#This Row],[リンク]]&amp;テーブル1[[#This Row],[描画状況]]</f>
        <v>https://t7ttttttt.wixsite.com/t7-re</v>
      </c>
      <c r="P342" s="17">
        <f>1-(COUNTIF(O:O,_xlfn.TEXTJOIN(",",TRUE,テーブル1[[#This Row],[リンク]],テーブル1[[#This Row],[描画状況]]))/COUNTIF(F:F,テーブル1[[#This Row],[リンク]]))</f>
        <v>0</v>
      </c>
      <c r="Q342" s="16">
        <f ca="1">IFERROR(IF(テーブル1[[#This Row],[描画状況]]="",RAND()+(テーブル1[[#This Row],[列2]]*100),""),RAND())</f>
        <v>0.76024151355071568</v>
      </c>
      <c r="S342" s="24" t="str">
        <f ca="1">IF(AND(テーブル1[[#This Row],[描画状況]]="済",テーブル1[[#This Row],[投稿状況]]=""),RAND(),"")</f>
        <v/>
      </c>
      <c r="T342" s="23" t="str">
        <f>"|&amp;image("&amp;テーブル1[[#This Row],[画像]]&amp;".png,width=100,height=100)"</f>
        <v>|&amp;image(senden-raika.png,width=100,height=100)</v>
      </c>
      <c r="U342" s="23" t="str">
        <f>"|MIDDLE:​"&amp;テーブル1[[#This Row],[名前]]</f>
        <v>|MIDDLE:​閃電ライカ</v>
      </c>
      <c r="V342" s="23" t="str">
        <f>"|MIDDLE:​"&amp;テーブル1[[#This Row],[なまえ]]</f>
        <v>|MIDDLE:​せんでん らいか</v>
      </c>
      <c r="W342" s="23" t="str">
        <f>"|MIDDLE:​"&amp;テーブル1[[#This Row],[Name]]</f>
        <v>|MIDDLE:​Senden Raika</v>
      </c>
      <c r="X342" s="23" t="str">
        <f>"|MIDDLE:​&amp;link(配布所はこちら){​"&amp;テーブル1[[#This Row],[リンク]]&amp;"}|"</f>
        <v>|MIDDLE:​&amp;link(配布所はこちら){​https://t7ttttttt.wixsite.com/t7-re}|</v>
      </c>
    </row>
    <row r="343" spans="2:24" ht="20.149999999999999" customHeight="1" x14ac:dyDescent="0.35">
      <c r="B343" s="23" t="str">
        <f>SUBSTITUTE(SUBSTITUTE(SUBSTITUTE(SUBSTITUTE(SUBSTITUTE(SUBSTITUTE(SUBSTITUTE(SUBSTITUTE(LOWER(テーブル1[[#This Row],[Name]])," ","-"),".","-"),"&amp;","-"),"_","-"),"・","-"),"=","-"),"--","-"),"--","-")</f>
        <v>soboroppoino</v>
      </c>
      <c r="C343" s="24" t="s">
        <v>1221</v>
      </c>
      <c r="D343" s="23" t="s">
        <v>1244</v>
      </c>
      <c r="E343" s="23" t="s">
        <v>1243</v>
      </c>
      <c r="F343" s="15" t="s">
        <v>339</v>
      </c>
      <c r="G343" s="23" t="s">
        <v>340</v>
      </c>
      <c r="O343" s="24" t="str">
        <f>テーブル1[[#This Row],[リンク]]&amp;テーブル1[[#This Row],[描画状況]]</f>
        <v>https://torinosu-hikikomori.jimdofree.com</v>
      </c>
      <c r="P343" s="17">
        <f>1-(COUNTIF(O:O,_xlfn.TEXTJOIN(",",TRUE,テーブル1[[#This Row],[リンク]],テーブル1[[#This Row],[描画状況]]))/COUNTIF(F:F,テーブル1[[#This Row],[リンク]]))</f>
        <v>0.125</v>
      </c>
      <c r="Q343" s="16">
        <f ca="1">IFERROR(IF(テーブル1[[#This Row],[描画状況]]="",RAND()+(テーブル1[[#This Row],[列2]]*100),""),RAND())</f>
        <v>13.496328994354506</v>
      </c>
      <c r="S343" s="24" t="str">
        <f ca="1">IF(AND(テーブル1[[#This Row],[描画状況]]="済",テーブル1[[#This Row],[投稿状況]]=""),RAND(),"")</f>
        <v/>
      </c>
      <c r="T343" s="23" t="str">
        <f>"|&amp;image("&amp;テーブル1[[#This Row],[画像]]&amp;".png,width=100,height=100)"</f>
        <v>|&amp;image(soboroppoino.png,width=100,height=100)</v>
      </c>
      <c r="U343" s="23" t="str">
        <f>"|MIDDLE:​"&amp;テーブル1[[#This Row],[名前]]</f>
        <v>|MIDDLE:​ソボロっぽいの</v>
      </c>
      <c r="V343" s="23" t="str">
        <f>"|MIDDLE:​"&amp;テーブル1[[#This Row],[なまえ]]</f>
        <v>|MIDDLE:​そぼろっぽいの</v>
      </c>
      <c r="W343" s="23" t="str">
        <f>"|MIDDLE:​"&amp;テーブル1[[#This Row],[Name]]</f>
        <v>|MIDDLE:​Soboroppoino</v>
      </c>
      <c r="X343" s="23" t="str">
        <f>"|MIDDLE:​&amp;link(配布所はこちら){​"&amp;テーブル1[[#This Row],[リンク]]&amp;"}|"</f>
        <v>|MIDDLE:​&amp;link(配布所はこちら){​https://torinosu-hikikomori.jimdofree.com}|</v>
      </c>
    </row>
    <row r="344" spans="2:24" ht="20.149999999999999" customHeight="1" x14ac:dyDescent="0.35">
      <c r="B344" s="23" t="str">
        <f>SUBSTITUTE(SUBSTITUTE(SUBSTITUTE(SUBSTITUTE(SUBSTITUTE(SUBSTITUTE(SUBSTITUTE(SUBSTITUTE(LOWER(テーブル1[[#This Row],[Name]])," ","-"),".","-"),"&amp;","-"),"_","-"),"・","-"),"=","-"),"--","-"),"--","-")</f>
        <v>zonbisen</v>
      </c>
      <c r="C344" s="24" t="s">
        <v>958</v>
      </c>
      <c r="D344" s="23" t="s">
        <v>959</v>
      </c>
      <c r="E344" s="23" t="s">
        <v>960</v>
      </c>
      <c r="F344" s="2" t="s">
        <v>676</v>
      </c>
      <c r="G344" s="23" t="s">
        <v>677</v>
      </c>
      <c r="M344" s="1" t="s">
        <v>1517</v>
      </c>
      <c r="O344" s="24" t="str">
        <f>テーブル1[[#This Row],[リンク]]&amp;テーブル1[[#This Row],[描画状況]]</f>
        <v>https://ametro.jimdofree.com</v>
      </c>
      <c r="P344" s="17">
        <f>1-(COUNTIF(O:O,_xlfn.TEXTJOIN(",",TRUE,テーブル1[[#This Row],[リンク]],テーブル1[[#This Row],[描画状況]]))/COUNTIF(F:F,テーブル1[[#This Row],[リンク]]))</f>
        <v>0.19999999999999996</v>
      </c>
      <c r="Q344" s="16">
        <f ca="1">IFERROR(IF(テーブル1[[#This Row],[描画状況]]="",RAND()+(テーブル1[[#This Row],[列2]]*100),""),RAND())</f>
        <v>20.62000042035816</v>
      </c>
      <c r="S344" s="24" t="str">
        <f ca="1">IF(AND(テーブル1[[#This Row],[描画状況]]="済",テーブル1[[#This Row],[投稿状況]]=""),RAND(),"")</f>
        <v/>
      </c>
      <c r="T344" s="23" t="str">
        <f>"|&amp;image("&amp;テーブル1[[#This Row],[画像]]&amp;".png,width=100,height=100)"</f>
        <v>|&amp;image(zonbisen.png,width=100,height=100)</v>
      </c>
      <c r="U344" s="23" t="str">
        <f>"|MIDDLE:​"&amp;テーブル1[[#This Row],[名前]]</f>
        <v>|MIDDLE:​ぞんび線</v>
      </c>
      <c r="V344" s="23" t="str">
        <f>"|MIDDLE:​"&amp;テーブル1[[#This Row],[なまえ]]</f>
        <v>|MIDDLE:​ぞんびせん</v>
      </c>
      <c r="W344" s="23" t="str">
        <f>"|MIDDLE:​"&amp;テーブル1[[#This Row],[Name]]</f>
        <v>|MIDDLE:​Zonbisen</v>
      </c>
      <c r="X344" s="23" t="str">
        <f>"|MIDDLE:​&amp;link(配布所はこちら){​"&amp;テーブル1[[#This Row],[リンク]]&amp;"}|"</f>
        <v>|MIDDLE:​&amp;link(配布所はこちら){​https://ametro.jimdofree.com}|</v>
      </c>
    </row>
    <row r="345" spans="2:24" ht="20.149999999999999" customHeight="1" x14ac:dyDescent="0.35">
      <c r="B345" s="23" t="str">
        <f>SUBSTITUTE(SUBSTITUTE(SUBSTITUTE(SUBSTITUTE(SUBSTITUTE(SUBSTITUTE(SUBSTITUTE(SUBSTITUTE(LOWER(テーブル1[[#This Row],[Name]])," ","-"),".","-"),"&amp;","-"),"_","-"),"・","-"),"=","-"),"--","-"),"--","-")</f>
        <v>tamabami-zakuro</v>
      </c>
      <c r="C345" s="24" t="s">
        <v>1222</v>
      </c>
      <c r="D345" s="23" t="s">
        <v>1246</v>
      </c>
      <c r="E345" s="23" t="s">
        <v>1245</v>
      </c>
      <c r="F345" s="15" t="s">
        <v>339</v>
      </c>
      <c r="G345" s="23" t="s">
        <v>340</v>
      </c>
      <c r="O345" s="24" t="str">
        <f>テーブル1[[#This Row],[リンク]]&amp;テーブル1[[#This Row],[描画状況]]</f>
        <v>https://torinosu-hikikomori.jimdofree.com</v>
      </c>
      <c r="P345" s="17">
        <f>1-(COUNTIF(O:O,_xlfn.TEXTJOIN(",",TRUE,テーブル1[[#This Row],[リンク]],テーブル1[[#This Row],[描画状況]]))/COUNTIF(F:F,テーブル1[[#This Row],[リンク]]))</f>
        <v>0.125</v>
      </c>
      <c r="Q345" s="16">
        <f ca="1">IFERROR(IF(テーブル1[[#This Row],[描画状況]]="",RAND()+(テーブル1[[#This Row],[列2]]*100),""),RAND())</f>
        <v>12.57901714240192</v>
      </c>
      <c r="S345" s="24" t="str">
        <f ca="1">IF(AND(テーブル1[[#This Row],[描画状況]]="済",テーブル1[[#This Row],[投稿状況]]=""),RAND(),"")</f>
        <v/>
      </c>
      <c r="T345" s="23" t="str">
        <f>"|&amp;image("&amp;テーブル1[[#This Row],[画像]]&amp;".png,width=100,height=100)"</f>
        <v>|&amp;image(tamabami-zakuro.png,width=100,height=100)</v>
      </c>
      <c r="U345" s="23" t="str">
        <f>"|MIDDLE:​"&amp;テーブル1[[#This Row],[名前]]</f>
        <v>|MIDDLE:​霊喰ざくろ</v>
      </c>
      <c r="V345" s="23" t="str">
        <f>"|MIDDLE:​"&amp;テーブル1[[#This Row],[なまえ]]</f>
        <v>|MIDDLE:​たまばみ ざくろ</v>
      </c>
      <c r="W345" s="23" t="str">
        <f>"|MIDDLE:​"&amp;テーブル1[[#This Row],[Name]]</f>
        <v>|MIDDLE:​Tamabami Zakuro</v>
      </c>
      <c r="X345" s="23" t="str">
        <f>"|MIDDLE:​&amp;link(配布所はこちら){​"&amp;テーブル1[[#This Row],[リンク]]&amp;"}|"</f>
        <v>|MIDDLE:​&amp;link(配布所はこちら){​https://torinosu-hikikomori.jimdofree.com}|</v>
      </c>
    </row>
    <row r="346" spans="2:24" ht="20.149999999999999" customHeight="1" x14ac:dyDescent="0.35">
      <c r="B346" s="23" t="str">
        <f>SUBSTITUTE(SUBSTITUTE(SUBSTITUTE(SUBSTITUTE(SUBSTITUTE(SUBSTITUTE(SUBSTITUTE(SUBSTITUTE(LOWER(テーブル1[[#This Row],[Name]])," ","-"),".","-"),"&amp;","-"),"_","-"),"・","-"),"=","-"),"--","-"),"--","-")</f>
        <v>dante</v>
      </c>
      <c r="C346" s="24" t="s">
        <v>1323</v>
      </c>
      <c r="D346" s="23" t="s">
        <v>1325</v>
      </c>
      <c r="E346" s="23" t="s">
        <v>1324</v>
      </c>
      <c r="F346" s="15" t="s">
        <v>1321</v>
      </c>
      <c r="G346" s="23" t="s">
        <v>1326</v>
      </c>
      <c r="O346" s="24" t="str">
        <f>テーブル1[[#This Row],[リンク]]&amp;テーブル1[[#This Row],[描画状況]]</f>
        <v>https://jiwajiwakirinn.wixsite.com/sakurada</v>
      </c>
      <c r="P346" s="17">
        <f>1-(COUNTIF(O:O,_xlfn.TEXTJOIN(",",TRUE,テーブル1[[#This Row],[リンク]],テーブル1[[#This Row],[描画状況]]))/COUNTIF(F:F,テーブル1[[#This Row],[リンク]]))</f>
        <v>0.19999999999999996</v>
      </c>
      <c r="Q346" s="16">
        <f ca="1">IFERROR(IF(テーブル1[[#This Row],[描画状況]]="",RAND()+(テーブル1[[#This Row],[列2]]*100),""),RAND())</f>
        <v>20.479275004096777</v>
      </c>
      <c r="S346" s="24" t="str">
        <f ca="1">IF(AND(テーブル1[[#This Row],[描画状況]]="済",テーブル1[[#This Row],[投稿状況]]=""),RAND(),"")</f>
        <v/>
      </c>
      <c r="T346" s="23" t="str">
        <f>"|&amp;image("&amp;テーブル1[[#This Row],[画像]]&amp;".png,width=100,height=100)"</f>
        <v>|&amp;image(dante.png,width=100,height=100)</v>
      </c>
      <c r="U346" s="23" t="str">
        <f>"|MIDDLE:​"&amp;テーブル1[[#This Row],[名前]]</f>
        <v>|MIDDLE:​ダンテ</v>
      </c>
      <c r="V346" s="23" t="str">
        <f>"|MIDDLE:​"&amp;テーブル1[[#This Row],[なまえ]]</f>
        <v>|MIDDLE:​だんて</v>
      </c>
      <c r="W346" s="23" t="str">
        <f>"|MIDDLE:​"&amp;テーブル1[[#This Row],[Name]]</f>
        <v>|MIDDLE:​Dante</v>
      </c>
      <c r="X346" s="23" t="str">
        <f>"|MIDDLE:​&amp;link(配布所はこちら){​"&amp;テーブル1[[#This Row],[リンク]]&amp;"}|"</f>
        <v>|MIDDLE:​&amp;link(配布所はこちら){​https://jiwajiwakirinn.wixsite.com/sakurada}|</v>
      </c>
    </row>
    <row r="347" spans="2:24" ht="20.149999999999999" customHeight="1" x14ac:dyDescent="0.35">
      <c r="B347" s="23" t="str">
        <f>SUBSTITUTE(SUBSTITUTE(SUBSTITUTE(SUBSTITUTE(SUBSTITUTE(SUBSTITUTE(SUBSTITUTE(SUBSTITUTE(LOWER(テーブル1[[#This Row],[Name]])," ","-"),".","-"),"&amp;","-"),"_","-"),"・","-"),"=","-"),"--","-"),"--","-")</f>
        <v>chunne-shiroku</v>
      </c>
      <c r="C347" s="24" t="s">
        <v>1025</v>
      </c>
      <c r="D347" s="23" t="s">
        <v>1026</v>
      </c>
      <c r="E347" s="23" t="s">
        <v>1027</v>
      </c>
      <c r="F347" s="27" t="s">
        <v>87</v>
      </c>
      <c r="G347" s="23" t="s">
        <v>88</v>
      </c>
      <c r="M347" s="1" t="s">
        <v>1518</v>
      </c>
      <c r="O347" s="24" t="str">
        <f>テーブル1[[#This Row],[リンク]]&amp;テーブル1[[#This Row],[描画状況]]</f>
        <v>https://chunyinhui021.wixsite.com/mutyuusaisei</v>
      </c>
      <c r="P347" s="17">
        <f>1-(COUNTIF(O:O,_xlfn.TEXTJOIN(",",TRUE,テーブル1[[#This Row],[リンク]],テーブル1[[#This Row],[描画状況]]))/COUNTIF(F:F,テーブル1[[#This Row],[リンク]]))</f>
        <v>0.33333333333333337</v>
      </c>
      <c r="Q347" s="16">
        <f ca="1">IFERROR(IF(テーブル1[[#This Row],[描画状況]]="",RAND()+(テーブル1[[#This Row],[列2]]*100),""),RAND())</f>
        <v>33.535573901445083</v>
      </c>
      <c r="S347" s="24" t="str">
        <f ca="1">IF(AND(テーブル1[[#This Row],[描画状況]]="済",テーブル1[[#This Row],[投稿状況]]=""),RAND(),"")</f>
        <v/>
      </c>
      <c r="T347" s="23" t="str">
        <f>"|&amp;image("&amp;テーブル1[[#This Row],[画像]]&amp;".png,width=100,height=100)"</f>
        <v>|&amp;image(chunne-shiroku.png,width=100,height=100)</v>
      </c>
      <c r="U347" s="23" t="str">
        <f>"|MIDDLE:​"&amp;テーブル1[[#This Row],[名前]]</f>
        <v>|MIDDLE:​椿音屍緑</v>
      </c>
      <c r="V347" s="23" t="str">
        <f>"|MIDDLE:​"&amp;テーブル1[[#This Row],[なまえ]]</f>
        <v>|MIDDLE:​ちゅんね しろく</v>
      </c>
      <c r="W347" s="23" t="str">
        <f>"|MIDDLE:​"&amp;テーブル1[[#This Row],[Name]]</f>
        <v>|MIDDLE:​Chunne Shiroku</v>
      </c>
      <c r="X347" s="23" t="str">
        <f>"|MIDDLE:​&amp;link(配布所はこちら){​"&amp;テーブル1[[#This Row],[リンク]]&amp;"}|"</f>
        <v>|MIDDLE:​&amp;link(配布所はこちら){​https://chunyinhui021.wixsite.com/mutyuusaisei}|</v>
      </c>
    </row>
    <row r="348" spans="2:24" ht="20.149999999999999" customHeight="1" x14ac:dyDescent="0.35">
      <c r="B348" s="23" t="str">
        <f>SUBSTITUTE(SUBSTITUTE(SUBSTITUTE(SUBSTITUTE(SUBSTITUTE(SUBSTITUTE(SUBSTITUTE(SUBSTITUTE(LOWER(テーブル1[[#This Row],[Name]])," ","-"),".","-"),"&amp;","-"),"_","-"),"・","-"),"=","-"),"--","-"),"--","-")</f>
        <v>chorui</v>
      </c>
      <c r="C348" s="24" t="s">
        <v>1054</v>
      </c>
      <c r="D348" s="23" t="s">
        <v>1054</v>
      </c>
      <c r="E348" s="23" t="s">
        <v>1055</v>
      </c>
      <c r="F348" s="15" t="s">
        <v>671</v>
      </c>
      <c r="G348" s="23" t="s">
        <v>672</v>
      </c>
      <c r="M348" s="1" t="s">
        <v>1517</v>
      </c>
      <c r="O348" s="24" t="str">
        <f>テーブル1[[#This Row],[リンク]]&amp;テーブル1[[#This Row],[描画状況]]</f>
        <v>https://flowerrocklove.wixsite.com/twilight-crisis</v>
      </c>
      <c r="P348" s="17">
        <f>1-(COUNTIF(O:O,_xlfn.TEXTJOIN(",",TRUE,テーブル1[[#This Row],[リンク]],テーブル1[[#This Row],[描画状況]]))/COUNTIF(F:F,テーブル1[[#This Row],[リンク]]))</f>
        <v>0.22222222222222221</v>
      </c>
      <c r="Q348" s="16">
        <f ca="1">IFERROR(IF(テーブル1[[#This Row],[描画状況]]="",RAND()+(テーブル1[[#This Row],[列2]]*100),""),RAND())</f>
        <v>22.31906719141206</v>
      </c>
      <c r="S348" s="24" t="str">
        <f ca="1">IF(AND(テーブル1[[#This Row],[描画状況]]="済",テーブル1[[#This Row],[投稿状況]]=""),RAND(),"")</f>
        <v/>
      </c>
      <c r="T348" s="23" t="str">
        <f>"|&amp;image("&amp;テーブル1[[#This Row],[画像]]&amp;".png,width=100,height=100)"</f>
        <v>|&amp;image(chorui.png,width=100,height=100)</v>
      </c>
      <c r="U348" s="23" t="str">
        <f>"|MIDDLE:​"&amp;テーブル1[[#This Row],[名前]]</f>
        <v>|MIDDLE:​ちょうるい</v>
      </c>
      <c r="V348" s="23" t="str">
        <f>"|MIDDLE:​"&amp;テーブル1[[#This Row],[なまえ]]</f>
        <v>|MIDDLE:​ちょうるい</v>
      </c>
      <c r="W348" s="23" t="str">
        <f>"|MIDDLE:​"&amp;テーブル1[[#This Row],[Name]]</f>
        <v>|MIDDLE:​Chorui</v>
      </c>
      <c r="X348" s="23" t="str">
        <f>"|MIDDLE:​&amp;link(配布所はこちら){​"&amp;テーブル1[[#This Row],[リンク]]&amp;"}|"</f>
        <v>|MIDDLE:​&amp;link(配布所はこちら){​https://flowerrocklove.wixsite.com/twilight-crisis}|</v>
      </c>
    </row>
    <row r="349" spans="2:24" ht="20.149999999999999" customHeight="1" x14ac:dyDescent="0.35">
      <c r="B349" s="23" t="str">
        <f>SUBSTITUTE(SUBSTITUTE(SUBSTITUTE(SUBSTITUTE(SUBSTITUTE(SUBSTITUTE(SUBSTITUTE(SUBSTITUTE(LOWER(テーブル1[[#This Row],[Name]])," ","-"),".","-"),"&amp;","-"),"_","-"),"・","-"),"=","-"),"--","-"),"--","-")</f>
        <v>tsugunane-rui</v>
      </c>
      <c r="C349" s="24" t="s">
        <v>905</v>
      </c>
      <c r="D349" s="23" t="s">
        <v>907</v>
      </c>
      <c r="E349" s="23" t="s">
        <v>906</v>
      </c>
      <c r="F349" s="15" t="s">
        <v>904</v>
      </c>
      <c r="G349" s="23" t="s">
        <v>917</v>
      </c>
      <c r="O349" s="24" t="str">
        <f>テーブル1[[#This Row],[リンク]]&amp;テーブル1[[#This Row],[描画状況]]</f>
        <v>https://suukedayo.wixsite.com/shiawasefairu</v>
      </c>
      <c r="P349" s="17">
        <f>1-(COUNTIF(O:O,_xlfn.TEXTJOIN(",",TRUE,テーブル1[[#This Row],[リンク]],テーブル1[[#This Row],[描画状況]]))/COUNTIF(F:F,テーブル1[[#This Row],[リンク]]))</f>
        <v>0</v>
      </c>
      <c r="Q349" s="16">
        <f ca="1">IFERROR(IF(テーブル1[[#This Row],[描画状況]]="",RAND()+(テーブル1[[#This Row],[列2]]*100),""),RAND())</f>
        <v>0.32745910619514573</v>
      </c>
      <c r="S349" s="24" t="str">
        <f ca="1">IF(AND(テーブル1[[#This Row],[描画状況]]="済",テーブル1[[#This Row],[投稿状況]]=""),RAND(),"")</f>
        <v/>
      </c>
      <c r="T349" s="23" t="str">
        <f>"|&amp;image("&amp;テーブル1[[#This Row],[画像]]&amp;".png,width=100,height=100)"</f>
        <v>|&amp;image(tsugunane-rui.png,width=100,height=100)</v>
      </c>
      <c r="U349" s="23" t="str">
        <f>"|MIDDLE:​"&amp;テーブル1[[#This Row],[名前]]</f>
        <v>|MIDDLE:​亞永音ルヰ</v>
      </c>
      <c r="V349" s="23" t="str">
        <f>"|MIDDLE:​"&amp;テーブル1[[#This Row],[なまえ]]</f>
        <v>|MIDDLE:​つぐなね るい</v>
      </c>
      <c r="W349" s="23" t="str">
        <f>"|MIDDLE:​"&amp;テーブル1[[#This Row],[Name]]</f>
        <v>|MIDDLE:​Tsugunane Rui</v>
      </c>
      <c r="X349" s="23" t="str">
        <f>"|MIDDLE:​&amp;link(配布所はこちら){​"&amp;テーブル1[[#This Row],[リンク]]&amp;"}|"</f>
        <v>|MIDDLE:​&amp;link(配布所はこちら){​https://suukedayo.wixsite.com/shiawasefairu}|</v>
      </c>
    </row>
    <row r="350" spans="2:24" ht="20.149999999999999" customHeight="1" x14ac:dyDescent="0.35">
      <c r="B350" s="23" t="str">
        <f>SUBSTITUTE(SUBSTITUTE(SUBSTITUTE(SUBSTITUTE(SUBSTITUTE(SUBSTITUTE(SUBSTITUTE(SUBSTITUTE(LOWER(テーブル1[[#This Row],[Name]])," ","-"),".","-"),"&amp;","-"),"_","-"),"・","-"),"=","-"),"--","-"),"--","-")</f>
        <v>tsumugine-yato</v>
      </c>
      <c r="C350" s="24" t="s">
        <v>863</v>
      </c>
      <c r="D350" s="23" t="s">
        <v>865</v>
      </c>
      <c r="E350" s="23" t="s">
        <v>866</v>
      </c>
      <c r="F350" s="15" t="s">
        <v>864</v>
      </c>
      <c r="G350" s="23" t="s">
        <v>867</v>
      </c>
      <c r="O350" s="24" t="str">
        <f>テーブル1[[#This Row],[リンク]]&amp;テーブル1[[#This Row],[描画状況]]</f>
        <v>https://bowlroll.net/user/374679</v>
      </c>
      <c r="P350" s="17">
        <f>1-(COUNTIF(O:O,_xlfn.TEXTJOIN(",",TRUE,テーブル1[[#This Row],[リンク]],テーブル1[[#This Row],[描画状況]]))/COUNTIF(F:F,テーブル1[[#This Row],[リンク]]))</f>
        <v>0</v>
      </c>
      <c r="Q350" s="16">
        <f ca="1">IFERROR(IF(テーブル1[[#This Row],[描画状況]]="",RAND()+(テーブル1[[#This Row],[列2]]*100),""),RAND())</f>
        <v>0.70795097784774719</v>
      </c>
      <c r="S350" s="24" t="str">
        <f ca="1">IF(AND(テーブル1[[#This Row],[描画状況]]="済",テーブル1[[#This Row],[投稿状況]]=""),RAND(),"")</f>
        <v/>
      </c>
      <c r="T350" s="23" t="str">
        <f>"|&amp;image("&amp;テーブル1[[#This Row],[画像]]&amp;".png,width=100,height=100)"</f>
        <v>|&amp;image(tsumugine-yato.png,width=100,height=100)</v>
      </c>
      <c r="U350" s="23" t="str">
        <f>"|MIDDLE:​"&amp;テーブル1[[#This Row],[名前]]</f>
        <v>|MIDDLE:​紡音ヤト</v>
      </c>
      <c r="V350" s="23" t="str">
        <f>"|MIDDLE:​"&amp;テーブル1[[#This Row],[なまえ]]</f>
        <v>|MIDDLE:​つむぎね やと</v>
      </c>
      <c r="W350" s="23" t="str">
        <f>"|MIDDLE:​"&amp;テーブル1[[#This Row],[Name]]</f>
        <v>|MIDDLE:​Tsumugine Yato</v>
      </c>
      <c r="X350" s="23" t="str">
        <f>"|MIDDLE:​&amp;link(配布所はこちら){​"&amp;テーブル1[[#This Row],[リンク]]&amp;"}|"</f>
        <v>|MIDDLE:​&amp;link(配布所はこちら){​https://bowlroll.net/user/374679}|</v>
      </c>
    </row>
    <row r="351" spans="2:24" ht="20.149999999999999" customHeight="1" x14ac:dyDescent="0.35">
      <c r="B351" s="23" t="str">
        <f>SUBSTITUTE(SUBSTITUTE(SUBSTITUTE(SUBSTITUTE(SUBSTITUTE(SUBSTITUTE(SUBSTITUTE(SUBSTITUTE(LOWER(テーブル1[[#This Row],[Name]])," ","-"),".","-"),"&amp;","-"),"_","-"),"・","-"),"=","-"),"--","-"),"--","-")</f>
        <v>tsuruyumi-gen</v>
      </c>
      <c r="C351" s="24" t="s">
        <v>1134</v>
      </c>
      <c r="D351" s="23" t="s">
        <v>1136</v>
      </c>
      <c r="E351" s="23" t="s">
        <v>1135</v>
      </c>
      <c r="F351" s="15" t="s">
        <v>1143</v>
      </c>
      <c r="G351" s="23" t="str">
        <f>テーブル1[[#This Row],[名前]]&amp;"(UTAU)"</f>
        <v>弦弓ゲン(UTAU)</v>
      </c>
      <c r="O351" s="24" t="str">
        <f>テーブル1[[#This Row],[リンク]]&amp;テーブル1[[#This Row],[描画状況]]</f>
        <v>https://yautau.wixsite.com/0909</v>
      </c>
      <c r="P351" s="17">
        <f>1-(COUNTIF(O:O,_xlfn.TEXTJOIN(",",TRUE,テーブル1[[#This Row],[リンク]],テーブル1[[#This Row],[描画状況]]))/COUNTIF(F:F,テーブル1[[#This Row],[リンク]]))</f>
        <v>0.125</v>
      </c>
      <c r="Q351" s="16">
        <f ca="1">IFERROR(IF(テーブル1[[#This Row],[描画状況]]="",RAND()+(テーブル1[[#This Row],[列2]]*100),""),RAND())</f>
        <v>13.120424573747844</v>
      </c>
      <c r="S351" s="24" t="str">
        <f ca="1">IF(AND(テーブル1[[#This Row],[描画状況]]="済",テーブル1[[#This Row],[投稿状況]]=""),RAND(),"")</f>
        <v/>
      </c>
      <c r="T351" s="23" t="str">
        <f>"|&amp;image("&amp;テーブル1[[#This Row],[画像]]&amp;".png,width=100,height=100)"</f>
        <v>|&amp;image(tsuruyumi-gen.png,width=100,height=100)</v>
      </c>
      <c r="U351" s="23" t="str">
        <f>"|MIDDLE:​"&amp;テーブル1[[#This Row],[名前]]</f>
        <v>|MIDDLE:​弦弓ゲン</v>
      </c>
      <c r="V351" s="23" t="str">
        <f>"|MIDDLE:​"&amp;テーブル1[[#This Row],[なまえ]]</f>
        <v>|MIDDLE:​つるゆみ げん</v>
      </c>
      <c r="W351" s="23" t="str">
        <f>"|MIDDLE:​"&amp;テーブル1[[#This Row],[Name]]</f>
        <v>|MIDDLE:​Tsuruyumi Gen</v>
      </c>
      <c r="X351" s="23" t="str">
        <f>"|MIDDLE:​&amp;link(配布所はこちら){​"&amp;テーブル1[[#This Row],[リンク]]&amp;"}|"</f>
        <v>|MIDDLE:​&amp;link(配布所はこちら){​https://yautau.wixsite.com/0909}|</v>
      </c>
    </row>
    <row r="352" spans="2:24" ht="20.149999999999999" customHeight="1" x14ac:dyDescent="0.35">
      <c r="B352" s="23" t="str">
        <f>SUBSTITUTE(SUBSTITUTE(SUBSTITUTE(SUBSTITUTE(SUBSTITUTE(SUBSTITUTE(SUBSTITUTE(SUBSTITUTE(LOWER(テーブル1[[#This Row],[Name]])," ","-"),".","-"),"&amp;","-"),"_","-"),"・","-"),"=","-"),"--","-"),"--","-")</f>
        <v>toyteki-kazuichi</v>
      </c>
      <c r="C352" s="24" t="s">
        <v>1051</v>
      </c>
      <c r="D352" s="23" t="s">
        <v>1052</v>
      </c>
      <c r="E352" s="23" t="s">
        <v>1053</v>
      </c>
      <c r="F352" s="15" t="s">
        <v>671</v>
      </c>
      <c r="G352" s="23" t="s">
        <v>672</v>
      </c>
      <c r="M352" s="1" t="s">
        <v>1517</v>
      </c>
      <c r="O352" s="24" t="str">
        <f>テーブル1[[#This Row],[リンク]]&amp;テーブル1[[#This Row],[描画状況]]</f>
        <v>https://flowerrocklove.wixsite.com/twilight-crisis</v>
      </c>
      <c r="P352" s="17">
        <f>1-(COUNTIF(O:O,_xlfn.TEXTJOIN(",",TRUE,テーブル1[[#This Row],[リンク]],テーブル1[[#This Row],[描画状況]]))/COUNTIF(F:F,テーブル1[[#This Row],[リンク]]))</f>
        <v>0.22222222222222221</v>
      </c>
      <c r="Q352" s="16">
        <f ca="1">IFERROR(IF(テーブル1[[#This Row],[描画状況]]="",RAND()+(テーブル1[[#This Row],[列2]]*100),""),RAND())</f>
        <v>22.263675574051106</v>
      </c>
      <c r="S352" s="24" t="str">
        <f ca="1">IF(AND(テーブル1[[#This Row],[描画状況]]="済",テーブル1[[#This Row],[投稿状況]]=""),RAND(),"")</f>
        <v/>
      </c>
      <c r="T352" s="23" t="str">
        <f>"|&amp;image("&amp;テーブル1[[#This Row],[画像]]&amp;".png,width=100,height=100)"</f>
        <v>|&amp;image(toyteki-kazuichi.png,width=100,height=100)</v>
      </c>
      <c r="U352" s="23" t="str">
        <f>"|MIDDLE:​"&amp;テーブル1[[#This Row],[名前]]</f>
        <v>|MIDDLE:​問笛数一</v>
      </c>
      <c r="V352" s="23" t="str">
        <f>"|MIDDLE:​"&amp;テーブル1[[#This Row],[なまえ]]</f>
        <v>|MIDDLE:​といてき かずいち</v>
      </c>
      <c r="W352" s="23" t="str">
        <f>"|MIDDLE:​"&amp;テーブル1[[#This Row],[Name]]</f>
        <v>|MIDDLE:​Toyteki Kazuichi</v>
      </c>
      <c r="X352" s="23" t="str">
        <f>"|MIDDLE:​&amp;link(配布所はこちら){​"&amp;テーブル1[[#This Row],[リンク]]&amp;"}|"</f>
        <v>|MIDDLE:​&amp;link(配布所はこちら){​https://flowerrocklove.wixsite.com/twilight-crisis}|</v>
      </c>
    </row>
    <row r="353" spans="2:24" ht="20.149999999999999" customHeight="1" x14ac:dyDescent="0.35">
      <c r="B353" s="23" t="str">
        <f>SUBSTITUTE(SUBSTITUTE(SUBSTITUTE(SUBSTITUTE(SUBSTITUTE(SUBSTITUTE(SUBSTITUTE(SUBSTITUTE(LOWER(テーブル1[[#This Row],[Name]])," ","-"),".","-"),"&amp;","-"),"_","-"),"・","-"),"=","-"),"--","-"),"--","-")</f>
        <v>togano-kozue</v>
      </c>
      <c r="C353" s="24" t="s">
        <v>897</v>
      </c>
      <c r="D353" s="23" t="s">
        <v>899</v>
      </c>
      <c r="E353" s="23" t="s">
        <v>898</v>
      </c>
      <c r="F353" s="23" t="s">
        <v>421</v>
      </c>
      <c r="G353" s="23" t="s">
        <v>900</v>
      </c>
      <c r="O353" s="24" t="str">
        <f>テーブル1[[#This Row],[リンク]]&amp;テーブル1[[#This Row],[描画状況]]</f>
        <v>-</v>
      </c>
      <c r="P353" s="17">
        <f>1-(COUNTIF(O:O,_xlfn.TEXTJOIN(",",TRUE,テーブル1[[#This Row],[リンク]],テーブル1[[#This Row],[描画状況]]))/COUNTIF(F:F,テーブル1[[#This Row],[リンク]]))</f>
        <v>0.33333333333333337</v>
      </c>
      <c r="Q353" s="16">
        <f ca="1">IFERROR(IF(テーブル1[[#This Row],[描画状況]]="",RAND()+(テーブル1[[#This Row],[列2]]*100),""),RAND())</f>
        <v>34.016489705802655</v>
      </c>
      <c r="S353" s="24" t="str">
        <f ca="1">IF(AND(テーブル1[[#This Row],[描画状況]]="済",テーブル1[[#This Row],[投稿状況]]=""),RAND(),"")</f>
        <v/>
      </c>
      <c r="T353" s="23" t="str">
        <f>"|&amp;image("&amp;テーブル1[[#This Row],[画像]]&amp;".png,width=100,height=100)"</f>
        <v>|&amp;image(togano-kozue.png,width=100,height=100)</v>
      </c>
      <c r="U353" s="23" t="str">
        <f>"|MIDDLE:​"&amp;テーブル1[[#This Row],[名前]]</f>
        <v>|MIDDLE:​戸叶こずえ</v>
      </c>
      <c r="V353" s="23" t="str">
        <f>"|MIDDLE:​"&amp;テーブル1[[#This Row],[なまえ]]</f>
        <v>|MIDDLE:​とがの こずえ</v>
      </c>
      <c r="W353" s="23" t="str">
        <f>"|MIDDLE:​"&amp;テーブル1[[#This Row],[Name]]</f>
        <v>|MIDDLE:​Togano Kozue</v>
      </c>
      <c r="X353" s="23" t="str">
        <f>"|MIDDLE:​&amp;link(配布所はこちら){​"&amp;テーブル1[[#This Row],[リンク]]&amp;"}|"</f>
        <v>|MIDDLE:​&amp;link(配布所はこちら){​-}|</v>
      </c>
    </row>
    <row r="354" spans="2:24" ht="20.149999999999999" customHeight="1" x14ac:dyDescent="0.35">
      <c r="B354" s="23" t="str">
        <f>SUBSTITUTE(SUBSTITUTE(SUBSTITUTE(SUBSTITUTE(SUBSTITUTE(SUBSTITUTE(SUBSTITUTE(SUBSTITUTE(LOWER(テーブル1[[#This Row],[Name]])," ","-"),".","-"),"&amp;","-"),"_","-"),"・","-"),"=","-"),"--","-"),"--","-")</f>
        <v>tokina-shigure</v>
      </c>
      <c r="C354" s="24" t="s">
        <v>860</v>
      </c>
      <c r="D354" s="23" t="s">
        <v>861</v>
      </c>
      <c r="E354" s="23" t="s">
        <v>862</v>
      </c>
      <c r="F354" s="15" t="s">
        <v>859</v>
      </c>
      <c r="G354" s="23" t="s">
        <v>867</v>
      </c>
      <c r="O354" s="24" t="str">
        <f>テーブル1[[#This Row],[リンク]]&amp;テーブル1[[#This Row],[描画状況]]</f>
        <v>https://bindumechan.wixsite.com/shigure222</v>
      </c>
      <c r="P354" s="17">
        <f>1-(COUNTIF(O:O,_xlfn.TEXTJOIN(",",TRUE,テーブル1[[#This Row],[リンク]],テーブル1[[#This Row],[描画状況]]))/COUNTIF(F:F,テーブル1[[#This Row],[リンク]]))</f>
        <v>0</v>
      </c>
      <c r="Q354" s="16">
        <f ca="1">IFERROR(IF(テーブル1[[#This Row],[描画状況]]="",RAND()+(テーブル1[[#This Row],[列2]]*100),""),RAND())</f>
        <v>0.10173769916161723</v>
      </c>
      <c r="S354" s="24" t="str">
        <f ca="1">IF(AND(テーブル1[[#This Row],[描画状況]]="済",テーブル1[[#This Row],[投稿状況]]=""),RAND(),"")</f>
        <v/>
      </c>
      <c r="T354" s="23" t="str">
        <f>"|&amp;image("&amp;テーブル1[[#This Row],[画像]]&amp;".png,width=100,height=100)"</f>
        <v>|&amp;image(tokina-shigure.png,width=100,height=100)</v>
      </c>
      <c r="U354" s="23" t="str">
        <f>"|MIDDLE:​"&amp;テーブル1[[#This Row],[名前]]</f>
        <v>|MIDDLE:​刻鳴時雨</v>
      </c>
      <c r="V354" s="23" t="str">
        <f>"|MIDDLE:​"&amp;テーブル1[[#This Row],[なまえ]]</f>
        <v>|MIDDLE:​ときな しぐれ</v>
      </c>
      <c r="W354" s="23" t="str">
        <f>"|MIDDLE:​"&amp;テーブル1[[#This Row],[Name]]</f>
        <v>|MIDDLE:​Tokina Shigure</v>
      </c>
      <c r="X354" s="23" t="str">
        <f>"|MIDDLE:​&amp;link(配布所はこちら){​"&amp;テーブル1[[#This Row],[リンク]]&amp;"}|"</f>
        <v>|MIDDLE:​&amp;link(配布所はこちら){​https://bindumechan.wixsite.com/shigure222}|</v>
      </c>
    </row>
    <row r="355" spans="2:24" ht="20.149999999999999" customHeight="1" x14ac:dyDescent="0.35">
      <c r="B355" s="23" t="str">
        <f>SUBSTITUTE(SUBSTITUTE(SUBSTITUTE(SUBSTITUTE(SUBSTITUTE(SUBSTITUTE(SUBSTITUTE(SUBSTITUTE(LOWER(テーブル1[[#This Row],[Name]])," ","-"),".","-"),"&amp;","-"),"_","-"),"・","-"),"=","-"),"--","-"),"--","-")</f>
        <v>tokima-souna</v>
      </c>
      <c r="C355" s="24" t="s">
        <v>1005</v>
      </c>
      <c r="D355" s="23" t="s">
        <v>1010</v>
      </c>
      <c r="E355" s="23" t="s">
        <v>1011</v>
      </c>
      <c r="F355" s="2" t="s">
        <v>64</v>
      </c>
      <c r="G355" s="23" t="s">
        <v>65</v>
      </c>
      <c r="M355" s="1" t="s">
        <v>1517</v>
      </c>
      <c r="O355" s="24" t="str">
        <f>テーブル1[[#This Row],[リンク]]&amp;テーブル1[[#This Row],[描画状況]]</f>
        <v>https://bowlroll.net/user/852117/files</v>
      </c>
      <c r="P355" s="17">
        <f>1-(COUNTIF(O:O,_xlfn.TEXTJOIN(",",TRUE,テーブル1[[#This Row],[リンク]],テーブル1[[#This Row],[描画状況]]))/COUNTIF(F:F,テーブル1[[#This Row],[リンク]]))</f>
        <v>0.6</v>
      </c>
      <c r="Q355" s="16">
        <f ca="1">IFERROR(IF(テーブル1[[#This Row],[描画状況]]="",RAND()+(テーブル1[[#This Row],[列2]]*100),""),RAND())</f>
        <v>60.287861852063003</v>
      </c>
      <c r="S355" s="24" t="str">
        <f ca="1">IF(AND(テーブル1[[#This Row],[描画状況]]="済",テーブル1[[#This Row],[投稿状況]]=""),RAND(),"")</f>
        <v/>
      </c>
      <c r="T355" s="23" t="str">
        <f>"|&amp;image("&amp;テーブル1[[#This Row],[画像]]&amp;".png,width=100,height=100)"</f>
        <v>|&amp;image(tokima-souna.png,width=100,height=100)</v>
      </c>
      <c r="U355" s="23" t="str">
        <f>"|MIDDLE:​"&amp;テーブル1[[#This Row],[名前]]</f>
        <v>|MIDDLE:​時間そうな</v>
      </c>
      <c r="V355" s="23" t="str">
        <f>"|MIDDLE:​"&amp;テーブル1[[#This Row],[なまえ]]</f>
        <v>|MIDDLE:​ときま そうな</v>
      </c>
      <c r="W355" s="23" t="str">
        <f>"|MIDDLE:​"&amp;テーブル1[[#This Row],[Name]]</f>
        <v>|MIDDLE:​Tokima Souna</v>
      </c>
      <c r="X355" s="23" t="str">
        <f>"|MIDDLE:​&amp;link(配布所はこちら){​"&amp;テーブル1[[#This Row],[リンク]]&amp;"}|"</f>
        <v>|MIDDLE:​&amp;link(配布所はこちら){​https://bowlroll.net/user/852117/files}|</v>
      </c>
    </row>
    <row r="356" spans="2:24" ht="20.149999999999999" customHeight="1" x14ac:dyDescent="0.35">
      <c r="B356" s="23" t="str">
        <f>SUBSTITUTE(SUBSTITUTE(SUBSTITUTE(SUBSTITUTE(SUBSTITUTE(SUBSTITUTE(SUBSTITUTE(SUBSTITUTE(LOWER(テーブル1[[#This Row],[Name]])," ","-"),".","-"),"&amp;","-"),"_","-"),"・","-"),"=","-"),"--","-"),"--","-")</f>
        <v>dollce</v>
      </c>
      <c r="C356" s="24" t="s">
        <v>798</v>
      </c>
      <c r="D356" s="23" t="s">
        <v>799</v>
      </c>
      <c r="E356" s="23" t="s">
        <v>800</v>
      </c>
      <c r="F356" s="15" t="s">
        <v>778</v>
      </c>
      <c r="G356" s="23" t="str">
        <f>テーブル1[[#This Row],[名前]]&amp;"(UTAU)"</f>
        <v>ドルシェ(UTAU)</v>
      </c>
      <c r="M356" s="1" t="s">
        <v>1517</v>
      </c>
      <c r="O356" s="24" t="str">
        <f>テーブル1[[#This Row],[リンク]]&amp;テーブル1[[#This Row],[描画状況]]</f>
        <v>https://cmamizki.wixsite.com/edelstein</v>
      </c>
      <c r="P356" s="17">
        <f>1-(COUNTIF(O:O,_xlfn.TEXTJOIN(",",TRUE,テーブル1[[#This Row],[リンク]],テーブル1[[#This Row],[描画状況]]))/COUNTIF(F:F,テーブル1[[#This Row],[リンク]]))</f>
        <v>9.0909090909090939E-2</v>
      </c>
      <c r="Q356" s="16">
        <f ca="1">IFERROR(IF(テーブル1[[#This Row],[描画状況]]="",RAND()+(テーブル1[[#This Row],[列2]]*100),""),RAND())</f>
        <v>9.4281468624354332</v>
      </c>
      <c r="S356" s="24" t="str">
        <f ca="1">IF(AND(テーブル1[[#This Row],[描画状況]]="済",テーブル1[[#This Row],[投稿状況]]=""),RAND(),"")</f>
        <v/>
      </c>
      <c r="T356" s="23" t="str">
        <f>"|&amp;image("&amp;テーブル1[[#This Row],[画像]]&amp;".png,width=100,height=100)"</f>
        <v>|&amp;image(dollce.png,width=100,height=100)</v>
      </c>
      <c r="U356" s="23" t="str">
        <f>"|MIDDLE:​"&amp;テーブル1[[#This Row],[名前]]</f>
        <v>|MIDDLE:​ドルシェ</v>
      </c>
      <c r="V356" s="23" t="str">
        <f>"|MIDDLE:​"&amp;テーブル1[[#This Row],[なまえ]]</f>
        <v>|MIDDLE:​どるしぇ</v>
      </c>
      <c r="W356" s="23" t="str">
        <f>"|MIDDLE:​"&amp;テーブル1[[#This Row],[Name]]</f>
        <v>|MIDDLE:​Dollce</v>
      </c>
      <c r="X356" s="23" t="str">
        <f>"|MIDDLE:​&amp;link(配布所はこちら){​"&amp;テーブル1[[#This Row],[リンク]]&amp;"}|"</f>
        <v>|MIDDLE:​&amp;link(配布所はこちら){​https://cmamizki.wixsite.com/edelstein}|</v>
      </c>
    </row>
    <row r="357" spans="2:24" ht="20.149999999999999" customHeight="1" x14ac:dyDescent="0.35">
      <c r="B357" s="23" t="str">
        <f>SUBSTITUTE(SUBSTITUTE(SUBSTITUTE(SUBSTITUTE(SUBSTITUTE(SUBSTITUTE(SUBSTITUTE(SUBSTITUTE(LOWER(テーブル1[[#This Row],[Name]])," ","-"),".","-"),"&amp;","-"),"_","-"),"・","-"),"=","-"),"--","-"),"--","-")</f>
        <v>torone</v>
      </c>
      <c r="C357" s="24" t="s">
        <v>1201</v>
      </c>
      <c r="D357" s="23" t="s">
        <v>1202</v>
      </c>
      <c r="E357" s="23" t="s">
        <v>1203</v>
      </c>
      <c r="F357" s="15" t="s">
        <v>684</v>
      </c>
      <c r="G357" s="23" t="str">
        <f>テーブル1[[#This Row],[名前]]&amp;"(UTAU)"</f>
        <v>トロネ(UTAU)</v>
      </c>
      <c r="O357" s="24" t="str">
        <f>テーブル1[[#This Row],[リンク]]&amp;テーブル1[[#This Row],[描画状況]]</f>
        <v>https://okome32500.wixsite.com/onekomochi</v>
      </c>
      <c r="P357" s="17">
        <f>1-(COUNTIF(O:O,_xlfn.TEXTJOIN(",",TRUE,テーブル1[[#This Row],[リンク]],テーブル1[[#This Row],[描画状況]]))/COUNTIF(F:F,テーブル1[[#This Row],[リンク]]))</f>
        <v>0.33333333333333337</v>
      </c>
      <c r="Q357" s="16">
        <f ca="1">IFERROR(IF(テーブル1[[#This Row],[描画状況]]="",RAND()+(テーブル1[[#This Row],[列2]]*100),""),RAND())</f>
        <v>33.684931912666926</v>
      </c>
      <c r="S357" s="24" t="str">
        <f ca="1">IF(AND(テーブル1[[#This Row],[描画状況]]="済",テーブル1[[#This Row],[投稿状況]]=""),RAND(),"")</f>
        <v/>
      </c>
      <c r="T357" s="23" t="str">
        <f>"|&amp;image("&amp;テーブル1[[#This Row],[画像]]&amp;".png,width=100,height=100)"</f>
        <v>|&amp;image(torone.png,width=100,height=100)</v>
      </c>
      <c r="U357" s="23" t="str">
        <f>"|MIDDLE:​"&amp;テーブル1[[#This Row],[名前]]</f>
        <v>|MIDDLE:​トロネ</v>
      </c>
      <c r="V357" s="23" t="str">
        <f>"|MIDDLE:​"&amp;テーブル1[[#This Row],[なまえ]]</f>
        <v>|MIDDLE:​とろね</v>
      </c>
      <c r="W357" s="23" t="str">
        <f>"|MIDDLE:​"&amp;テーブル1[[#This Row],[Name]]</f>
        <v>|MIDDLE:​Torone</v>
      </c>
      <c r="X357" s="23" t="str">
        <f>"|MIDDLE:​&amp;link(配布所はこちら){​"&amp;テーブル1[[#This Row],[リンク]]&amp;"}|"</f>
        <v>|MIDDLE:​&amp;link(配布所はこちら){​https://okome32500.wixsite.com/onekomochi}|</v>
      </c>
    </row>
    <row r="358" spans="2:24" ht="20.149999999999999" customHeight="1" x14ac:dyDescent="0.35">
      <c r="B358" s="23" t="str">
        <f>SUBSTITUTE(SUBSTITUTE(SUBSTITUTE(SUBSTITUTE(SUBSTITUTE(SUBSTITUTE(SUBSTITUTE(SUBSTITUTE(LOWER(テーブル1[[#This Row],[Name]])," ","-"),".","-"),"&amp;","-"),"_","-"),"・","-"),"=","-"),"--","-"),"--","-")</f>
        <v>nasora-angle</v>
      </c>
      <c r="C358" s="24" t="s">
        <v>1217</v>
      </c>
      <c r="D358" s="23" t="s">
        <v>1236</v>
      </c>
      <c r="E358" s="23" t="s">
        <v>1235</v>
      </c>
      <c r="F358" s="15" t="s">
        <v>339</v>
      </c>
      <c r="G358" s="23" t="s">
        <v>340</v>
      </c>
      <c r="O358" s="24" t="str">
        <f>テーブル1[[#This Row],[リンク]]&amp;テーブル1[[#This Row],[描画状況]]</f>
        <v>https://torinosu-hikikomori.jimdofree.com</v>
      </c>
      <c r="P358" s="17">
        <f>1-(COUNTIF(O:O,_xlfn.TEXTJOIN(",",TRUE,テーブル1[[#This Row],[リンク]],テーブル1[[#This Row],[描画状況]]))/COUNTIF(F:F,テーブル1[[#This Row],[リンク]]))</f>
        <v>0.125</v>
      </c>
      <c r="Q358" s="16">
        <f ca="1">IFERROR(IF(テーブル1[[#This Row],[描画状況]]="",RAND()+(テーブル1[[#This Row],[列2]]*100),""),RAND())</f>
        <v>12.752815270556036</v>
      </c>
      <c r="S358" s="24" t="str">
        <f ca="1">IF(AND(テーブル1[[#This Row],[描画状況]]="済",テーブル1[[#This Row],[投稿状況]]=""),RAND(),"")</f>
        <v/>
      </c>
      <c r="T358" s="23" t="str">
        <f>"|&amp;image("&amp;テーブル1[[#This Row],[画像]]&amp;".png,width=100,height=100)"</f>
        <v>|&amp;image(nasora-angle.png,width=100,height=100)</v>
      </c>
      <c r="U358" s="23" t="str">
        <f>"|MIDDLE:​"&amp;テーブル1[[#This Row],[名前]]</f>
        <v>|MIDDLE:​ナソラ・アングル</v>
      </c>
      <c r="V358" s="23" t="str">
        <f>"|MIDDLE:​"&amp;テーブル1[[#This Row],[なまえ]]</f>
        <v>|MIDDLE:​なそら あんぐる</v>
      </c>
      <c r="W358" s="23" t="str">
        <f>"|MIDDLE:​"&amp;テーブル1[[#This Row],[Name]]</f>
        <v>|MIDDLE:​Nasora Angle</v>
      </c>
      <c r="X358" s="23" t="str">
        <f>"|MIDDLE:​&amp;link(配布所はこちら){​"&amp;テーブル1[[#This Row],[リンク]]&amp;"}|"</f>
        <v>|MIDDLE:​&amp;link(配布所はこちら){​https://torinosu-hikikomori.jimdofree.com}|</v>
      </c>
    </row>
    <row r="359" spans="2:24" ht="20.149999999999999" customHeight="1" x14ac:dyDescent="0.35">
      <c r="B359" s="23" t="str">
        <f>SUBSTITUTE(SUBSTITUTE(SUBSTITUTE(SUBSTITUTE(SUBSTITUTE(SUBSTITUTE(SUBSTITUTE(SUBSTITUTE(LOWER(テーブル1[[#This Row],[Name]])," ","-"),".","-"),"&amp;","-"),"_","-"),"・","-"),"=","-"),"--","-"),"--","-")</f>
        <v>natsuki-ama</v>
      </c>
      <c r="C359" s="24" t="s">
        <v>819</v>
      </c>
      <c r="D359" s="23" t="s">
        <v>821</v>
      </c>
      <c r="E359" s="23" t="s">
        <v>820</v>
      </c>
      <c r="F359" s="2" t="s">
        <v>814</v>
      </c>
      <c r="G359" s="23" t="s">
        <v>815</v>
      </c>
      <c r="O359" s="24" t="str">
        <f>テーブル1[[#This Row],[リンク]]&amp;テーブル1[[#This Row],[描画状況]]</f>
        <v>https://makurakue.wixsite.com/kemononokemono</v>
      </c>
      <c r="P359" s="17">
        <f>1-(COUNTIF(O:O,_xlfn.TEXTJOIN(",",TRUE,テーブル1[[#This Row],[リンク]],テーブル1[[#This Row],[描画状況]]))/COUNTIF(F:F,テーブル1[[#This Row],[リンク]]))</f>
        <v>0.4</v>
      </c>
      <c r="Q359" s="16">
        <f ca="1">IFERROR(IF(テーブル1[[#This Row],[描画状況]]="",RAND()+(テーブル1[[#This Row],[列2]]*100),""),RAND())</f>
        <v>40.519777029448953</v>
      </c>
      <c r="S359" s="24" t="str">
        <f ca="1">IF(AND(テーブル1[[#This Row],[描画状況]]="済",テーブル1[[#This Row],[投稿状況]]=""),RAND(),"")</f>
        <v/>
      </c>
      <c r="T359" s="23" t="str">
        <f>"|&amp;image("&amp;テーブル1[[#This Row],[画像]]&amp;".png,width=100,height=100)"</f>
        <v>|&amp;image(natsuki-ama.png,width=100,height=100)</v>
      </c>
      <c r="U359" s="23" t="str">
        <f>"|MIDDLE:​"&amp;テーブル1[[#This Row],[名前]]</f>
        <v>|MIDDLE:​鳴月アマ</v>
      </c>
      <c r="V359" s="23" t="str">
        <f>"|MIDDLE:​"&amp;テーブル1[[#This Row],[なまえ]]</f>
        <v>|MIDDLE:​なつき あま</v>
      </c>
      <c r="W359" s="23" t="str">
        <f>"|MIDDLE:​"&amp;テーブル1[[#This Row],[Name]]</f>
        <v>|MIDDLE:​Natsuki Ama</v>
      </c>
      <c r="X359" s="23" t="str">
        <f>"|MIDDLE:​&amp;link(配布所はこちら){​"&amp;テーブル1[[#This Row],[リンク]]&amp;"}|"</f>
        <v>|MIDDLE:​&amp;link(配布所はこちら){​https://makurakue.wixsite.com/kemononokemono}|</v>
      </c>
    </row>
    <row r="360" spans="2:24" ht="20.149999999999999" customHeight="1" x14ac:dyDescent="0.35">
      <c r="B360" s="23" t="str">
        <f>SUBSTITUTE(SUBSTITUTE(SUBSTITUTE(SUBSTITUTE(SUBSTITUTE(SUBSTITUTE(SUBSTITUTE(SUBSTITUTE(LOWER(テーブル1[[#This Row],[Name]])," ","-"),".","-"),"&amp;","-"),"_","-"),"・","-"),"=","-"),"--","-"),"--","-")</f>
        <v>natsushimo</v>
      </c>
      <c r="C360" s="24" t="s">
        <v>1111</v>
      </c>
      <c r="D360" s="23" t="s">
        <v>1112</v>
      </c>
      <c r="E360" s="23" t="s">
        <v>1113</v>
      </c>
      <c r="F360" s="15" t="s">
        <v>1104</v>
      </c>
      <c r="G360" s="23" t="str">
        <f>テーブル1[[#This Row],[名前]]&amp;"(UTAU)"</f>
        <v>夏霜(UTAU)</v>
      </c>
      <c r="O360" s="24" t="str">
        <f>テーブル1[[#This Row],[リンク]]&amp;テーブル1[[#This Row],[描画状況]]</f>
        <v>https://harujpg.wixsite.com/sanshoku</v>
      </c>
      <c r="P360" s="17">
        <f>1-(COUNTIF(O:O,_xlfn.TEXTJOIN(",",TRUE,テーブル1[[#This Row],[リンク]],テーブル1[[#This Row],[描画状況]]))/COUNTIF(F:F,テーブル1[[#This Row],[リンク]]))</f>
        <v>0</v>
      </c>
      <c r="Q360" s="16">
        <f ca="1">IFERROR(IF(テーブル1[[#This Row],[描画状況]]="",RAND()+(テーブル1[[#This Row],[列2]]*100),""),RAND())</f>
        <v>0.96332732777603847</v>
      </c>
      <c r="S360" s="24" t="str">
        <f ca="1">IF(AND(テーブル1[[#This Row],[描画状況]]="済",テーブル1[[#This Row],[投稿状況]]=""),RAND(),"")</f>
        <v/>
      </c>
      <c r="T360" s="23" t="str">
        <f>"|&amp;image("&amp;テーブル1[[#This Row],[画像]]&amp;".png,width=100,height=100)"</f>
        <v>|&amp;image(natsushimo.png,width=100,height=100)</v>
      </c>
      <c r="U360" s="23" t="str">
        <f>"|MIDDLE:​"&amp;テーブル1[[#This Row],[名前]]</f>
        <v>|MIDDLE:​夏霜</v>
      </c>
      <c r="V360" s="23" t="str">
        <f>"|MIDDLE:​"&amp;テーブル1[[#This Row],[なまえ]]</f>
        <v>|MIDDLE:​なつしも</v>
      </c>
      <c r="W360" s="23" t="str">
        <f>"|MIDDLE:​"&amp;テーブル1[[#This Row],[Name]]</f>
        <v>|MIDDLE:​Natsushimo</v>
      </c>
      <c r="X360" s="23" t="str">
        <f>"|MIDDLE:​&amp;link(配布所はこちら){​"&amp;テーブル1[[#This Row],[リンク]]&amp;"}|"</f>
        <v>|MIDDLE:​&amp;link(配布所はこちら){​https://harujpg.wixsite.com/sanshoku}|</v>
      </c>
    </row>
    <row r="361" spans="2:24" ht="20.149999999999999" customHeight="1" x14ac:dyDescent="0.35">
      <c r="B361" s="23" t="str">
        <f>SUBSTITUTE(SUBSTITUTE(SUBSTITUTE(SUBSTITUTE(SUBSTITUTE(SUBSTITUTE(SUBSTITUTE(SUBSTITUTE(LOWER(テーブル1[[#This Row],[Name]])," ","-"),".","-"),"&amp;","-"),"_","-"),"・","-"),"=","-"),"--","-"),"--","-")</f>
        <v>natsudoke</v>
      </c>
      <c r="C361" s="24" t="s">
        <v>1454</v>
      </c>
      <c r="D361" s="23" t="s">
        <v>1454</v>
      </c>
      <c r="E361" s="23" t="s">
        <v>1455</v>
      </c>
      <c r="F361" s="15" t="s">
        <v>1447</v>
      </c>
      <c r="G361" s="23" t="s">
        <v>1448</v>
      </c>
      <c r="O361" s="24" t="str">
        <f>テーブル1[[#This Row],[リンク]]&amp;テーブル1[[#This Row],[描画状況]]</f>
        <v>https://bowlroll.net/user/992955</v>
      </c>
      <c r="P361" s="17">
        <f>1-(COUNTIF(O:O,_xlfn.TEXTJOIN(",",TRUE,テーブル1[[#This Row],[リンク]],テーブル1[[#This Row],[描画状況]]))/COUNTIF(F:F,テーブル1[[#This Row],[リンク]]))</f>
        <v>0</v>
      </c>
      <c r="Q361" s="16">
        <f ca="1">IFERROR(IF(テーブル1[[#This Row],[描画状況]]="",RAND()+(テーブル1[[#This Row],[列2]]*100),""),RAND())</f>
        <v>8.7911803540870581E-2</v>
      </c>
      <c r="S361" s="24" t="str">
        <f ca="1">IF(AND(テーブル1[[#This Row],[描画状況]]="済",テーブル1[[#This Row],[投稿状況]]=""),RAND(),"")</f>
        <v/>
      </c>
      <c r="T361" s="23" t="str">
        <f>"|&amp;image("&amp;テーブル1[[#This Row],[画像]]&amp;".png,width=100,height=100)"</f>
        <v>|&amp;image(natsudoke.png,width=100,height=100)</v>
      </c>
      <c r="U361" s="23" t="str">
        <f>"|MIDDLE:​"&amp;テーブル1[[#This Row],[名前]]</f>
        <v>|MIDDLE:​なつどけ</v>
      </c>
      <c r="V361" s="23" t="str">
        <f>"|MIDDLE:​"&amp;テーブル1[[#This Row],[なまえ]]</f>
        <v>|MIDDLE:​なつどけ</v>
      </c>
      <c r="W361" s="23" t="str">
        <f>"|MIDDLE:​"&amp;テーブル1[[#This Row],[Name]]</f>
        <v>|MIDDLE:​Natsudoke</v>
      </c>
      <c r="X361" s="23" t="str">
        <f>"|MIDDLE:​&amp;link(配布所はこちら){​"&amp;テーブル1[[#This Row],[リンク]]&amp;"}|"</f>
        <v>|MIDDLE:​&amp;link(配布所はこちら){​https://bowlroll.net/user/992955}|</v>
      </c>
    </row>
    <row r="362" spans="2:24" ht="20.149999999999999" customHeight="1" x14ac:dyDescent="0.35">
      <c r="B362" s="23" t="str">
        <f>SUBSTITUTE(SUBSTITUTE(SUBSTITUTE(SUBSTITUTE(SUBSTITUTE(SUBSTITUTE(SUBSTITUTE(SUBSTITUTE(LOWER(テーブル1[[#This Row],[Name]])," ","-"),".","-"),"&amp;","-"),"_","-"),"・","-"),"=","-"),"--","-"),"--","-")</f>
        <v>nanakiri-louis</v>
      </c>
      <c r="C362" s="24" t="s">
        <v>1383</v>
      </c>
      <c r="D362" s="23" t="s">
        <v>1385</v>
      </c>
      <c r="E362" s="23" t="s">
        <v>1384</v>
      </c>
      <c r="F362" s="2" t="s">
        <v>1363</v>
      </c>
      <c r="G362" s="23" t="s">
        <v>1364</v>
      </c>
      <c r="O362" s="24" t="str">
        <f>テーブル1[[#This Row],[リンク]]&amp;テーブル1[[#This Row],[描画状況]]</f>
        <v>https://maybeanglo0mochi.wixsite.com/mochiyanosouko</v>
      </c>
      <c r="P362" s="17">
        <f>1-(COUNTIF(O:O,_xlfn.TEXTJOIN(",",TRUE,テーブル1[[#This Row],[リンク]],テーブル1[[#This Row],[描画状況]]))/COUNTIF(F:F,テーブル1[[#This Row],[リンク]]))</f>
        <v>0.125</v>
      </c>
      <c r="Q362" s="16">
        <f ca="1">IFERROR(IF(テーブル1[[#This Row],[描画状況]]="",RAND()+(テーブル1[[#This Row],[列2]]*100),""),RAND())</f>
        <v>12.787392690917372</v>
      </c>
      <c r="S362" s="24" t="str">
        <f ca="1">IF(AND(テーブル1[[#This Row],[描画状況]]="済",テーブル1[[#This Row],[投稿状況]]=""),RAND(),"")</f>
        <v/>
      </c>
      <c r="T362" s="23" t="str">
        <f>"|&amp;image("&amp;テーブル1[[#This Row],[画像]]&amp;".png,width=100,height=100)"</f>
        <v>|&amp;image(nanakiri-louis.png,width=100,height=100)</v>
      </c>
      <c r="U362" s="23" t="str">
        <f>"|MIDDLE:​"&amp;テーブル1[[#This Row],[名前]]</f>
        <v>|MIDDLE:​七霧ルイ</v>
      </c>
      <c r="V362" s="23" t="str">
        <f>"|MIDDLE:​"&amp;テーブル1[[#This Row],[なまえ]]</f>
        <v>|MIDDLE:​ななきり るい</v>
      </c>
      <c r="W362" s="23" t="str">
        <f>"|MIDDLE:​"&amp;テーブル1[[#This Row],[Name]]</f>
        <v>|MIDDLE:​Nanakiri Louis</v>
      </c>
      <c r="X362" s="23" t="str">
        <f>"|MIDDLE:​&amp;link(配布所はこちら){​"&amp;テーブル1[[#This Row],[リンク]]&amp;"}|"</f>
        <v>|MIDDLE:​&amp;link(配布所はこちら){​https://maybeanglo0mochi.wixsite.com/mochiyanosouko}|</v>
      </c>
    </row>
    <row r="363" spans="2:24" ht="20.149999999999999" customHeight="1" x14ac:dyDescent="0.35">
      <c r="B363" s="23" t="str">
        <f>SUBSTITUTE(SUBSTITUTE(SUBSTITUTE(SUBSTITUTE(SUBSTITUTE(SUBSTITUTE(SUBSTITUTE(SUBSTITUTE(LOWER(テーブル1[[#This Row],[Name]])," ","-"),".","-"),"&amp;","-"),"_","-"),"・","-"),"=","-"),"--","-"),"--","-")</f>
        <v>namitsu-baku</v>
      </c>
      <c r="C363" s="24" t="s">
        <v>997</v>
      </c>
      <c r="D363" s="23" t="s">
        <v>998</v>
      </c>
      <c r="E363" s="23" t="s">
        <v>999</v>
      </c>
      <c r="F363" s="2" t="s">
        <v>572</v>
      </c>
      <c r="G363" s="23" t="s">
        <v>573</v>
      </c>
      <c r="M363" s="1" t="s">
        <v>1517</v>
      </c>
      <c r="O363" s="24" t="str">
        <f>テーブル1[[#This Row],[リンク]]&amp;テーブル1[[#This Row],[描画状況]]</f>
        <v>https://askdance.wixsite.com/monitor-room/monitor-room</v>
      </c>
      <c r="P363" s="17">
        <f>1-(COUNTIF(O:O,_xlfn.TEXTJOIN(",",TRUE,テーブル1[[#This Row],[リンク]],テーブル1[[#This Row],[描画状況]]))/COUNTIF(F:F,テーブル1[[#This Row],[リンク]]))</f>
        <v>9.9999999999999978E-2</v>
      </c>
      <c r="Q363" s="16">
        <f ca="1">IFERROR(IF(テーブル1[[#This Row],[描画状況]]="",RAND()+(テーブル1[[#This Row],[列2]]*100),""),RAND())</f>
        <v>10.122554879717827</v>
      </c>
      <c r="S363" s="24" t="str">
        <f ca="1">IF(AND(テーブル1[[#This Row],[描画状況]]="済",テーブル1[[#This Row],[投稿状況]]=""),RAND(),"")</f>
        <v/>
      </c>
      <c r="T363" s="23" t="str">
        <f>"|&amp;image("&amp;テーブル1[[#This Row],[画像]]&amp;".png,width=100,height=100)"</f>
        <v>|&amp;image(namitsu-baku.png,width=100,height=100)</v>
      </c>
      <c r="U363" s="23" t="str">
        <f>"|MIDDLE:​"&amp;テーブル1[[#This Row],[名前]]</f>
        <v>|MIDDLE:​波津獏</v>
      </c>
      <c r="V363" s="23" t="str">
        <f>"|MIDDLE:​"&amp;テーブル1[[#This Row],[なまえ]]</f>
        <v>|MIDDLE:​なみつ ばく</v>
      </c>
      <c r="W363" s="23" t="str">
        <f>"|MIDDLE:​"&amp;テーブル1[[#This Row],[Name]]</f>
        <v>|MIDDLE:​Namitsu Baku</v>
      </c>
      <c r="X363" s="23" t="str">
        <f>"|MIDDLE:​&amp;link(配布所はこちら){​"&amp;テーブル1[[#This Row],[リンク]]&amp;"}|"</f>
        <v>|MIDDLE:​&amp;link(配布所はこちら){​https://askdance.wixsite.com/monitor-room/monitor-room}|</v>
      </c>
    </row>
    <row r="364" spans="2:24" ht="20.149999999999999" customHeight="1" x14ac:dyDescent="0.35">
      <c r="B364" s="23" t="str">
        <f>SUBSTITUTE(SUBSTITUTE(SUBSTITUTE(SUBSTITUTE(SUBSTITUTE(SUBSTITUTE(SUBSTITUTE(SUBSTITUTE(LOWER(テーブル1[[#This Row],[Name]])," ","-"),".","-"),"&amp;","-"),"_","-"),"・","-"),"=","-"),"--","-"),"--","-")</f>
        <v>nishiren-gard</v>
      </c>
      <c r="C364" s="24" t="s">
        <v>1296</v>
      </c>
      <c r="D364" s="23" t="s">
        <v>1297</v>
      </c>
      <c r="E364" s="23" t="s">
        <v>1298</v>
      </c>
      <c r="F364" s="15" t="s">
        <v>1299</v>
      </c>
      <c r="G364" s="23" t="s">
        <v>1300</v>
      </c>
      <c r="O364" s="24" t="str">
        <f>テーブル1[[#This Row],[リンク]]&amp;テーブル1[[#This Row],[描画状況]]</f>
        <v>https://gardanana.neocities.org</v>
      </c>
      <c r="P364" s="17">
        <f>1-(COUNTIF(O:O,_xlfn.TEXTJOIN(",",TRUE,テーブル1[[#This Row],[リンク]],テーブル1[[#This Row],[描画状況]]))/COUNTIF(F:F,テーブル1[[#This Row],[リンク]]))</f>
        <v>0</v>
      </c>
      <c r="Q364" s="16">
        <f ca="1">IFERROR(IF(テーブル1[[#This Row],[描画状況]]="",RAND()+(テーブル1[[#This Row],[列2]]*100),""),RAND())</f>
        <v>0.32355833866704853</v>
      </c>
      <c r="S364" s="24" t="str">
        <f ca="1">IF(AND(テーブル1[[#This Row],[描画状況]]="済",テーブル1[[#This Row],[投稿状況]]=""),RAND(),"")</f>
        <v/>
      </c>
      <c r="T364" s="23" t="str">
        <f>"|&amp;image("&amp;テーブル1[[#This Row],[画像]]&amp;".png,width=100,height=100)"</f>
        <v>|&amp;image(nishiren-gard.png,width=100,height=100)</v>
      </c>
      <c r="U364" s="23" t="str">
        <f>"|MIDDLE:​"&amp;テーブル1[[#This Row],[名前]]</f>
        <v>|MIDDLE:​西蓮ガルド</v>
      </c>
      <c r="V364" s="23" t="str">
        <f>"|MIDDLE:​"&amp;テーブル1[[#This Row],[なまえ]]</f>
        <v>|MIDDLE:​にしれん がるど</v>
      </c>
      <c r="W364" s="23" t="str">
        <f>"|MIDDLE:​"&amp;テーブル1[[#This Row],[Name]]</f>
        <v>|MIDDLE:​Nishiren Gard</v>
      </c>
      <c r="X364" s="23" t="str">
        <f>"|MIDDLE:​&amp;link(配布所はこちら){​"&amp;テーブル1[[#This Row],[リンク]]&amp;"}|"</f>
        <v>|MIDDLE:​&amp;link(配布所はこちら){​https://gardanana.neocities.org}|</v>
      </c>
    </row>
    <row r="365" spans="2:24" ht="20.149999999999999" customHeight="1" x14ac:dyDescent="0.35">
      <c r="B365" s="23" t="str">
        <f>SUBSTITUTE(SUBSTITUTE(SUBSTITUTE(SUBSTITUTE(SUBSTITUTE(SUBSTITUTE(SUBSTITUTE(SUBSTITUTE(LOWER(テーブル1[[#This Row],[Name]])," ","-"),".","-"),"&amp;","-"),"_","-"),"・","-"),"=","-"),"--","-"),"--","-")</f>
        <v>ninomae-madoka</v>
      </c>
      <c r="C365" s="24" t="s">
        <v>1371</v>
      </c>
      <c r="D365" s="23" t="s">
        <v>1373</v>
      </c>
      <c r="E365" s="23" t="s">
        <v>1372</v>
      </c>
      <c r="F365" s="2" t="s">
        <v>1363</v>
      </c>
      <c r="G365" s="23" t="s">
        <v>1364</v>
      </c>
      <c r="O365" s="24" t="str">
        <f>テーブル1[[#This Row],[リンク]]&amp;テーブル1[[#This Row],[描画状況]]</f>
        <v>https://maybeanglo0mochi.wixsite.com/mochiyanosouko</v>
      </c>
      <c r="P365" s="17">
        <f>1-(COUNTIF(O:O,_xlfn.TEXTJOIN(",",TRUE,テーブル1[[#This Row],[リンク]],テーブル1[[#This Row],[描画状況]]))/COUNTIF(F:F,テーブル1[[#This Row],[リンク]]))</f>
        <v>0.125</v>
      </c>
      <c r="Q365" s="16">
        <f ca="1">IFERROR(IF(テーブル1[[#This Row],[描画状況]]="",RAND()+(テーブル1[[#This Row],[列2]]*100),""),RAND())</f>
        <v>13.444291500540093</v>
      </c>
      <c r="S365" s="24" t="str">
        <f ca="1">IF(AND(テーブル1[[#This Row],[描画状況]]="済",テーブル1[[#This Row],[投稿状況]]=""),RAND(),"")</f>
        <v/>
      </c>
      <c r="T365" s="23" t="str">
        <f>"|&amp;image("&amp;テーブル1[[#This Row],[画像]]&amp;".png,width=100,height=100)"</f>
        <v>|&amp;image(ninomae-madoka.png,width=100,height=100)</v>
      </c>
      <c r="U365" s="23" t="str">
        <f>"|MIDDLE:​"&amp;テーブル1[[#This Row],[名前]]</f>
        <v>|MIDDLE:​一円</v>
      </c>
      <c r="V365" s="23" t="str">
        <f>"|MIDDLE:​"&amp;テーブル1[[#This Row],[なまえ]]</f>
        <v>|MIDDLE:​にのまえ まどか</v>
      </c>
      <c r="W365" s="23" t="str">
        <f>"|MIDDLE:​"&amp;テーブル1[[#This Row],[Name]]</f>
        <v>|MIDDLE:​Ninomae Madoka</v>
      </c>
      <c r="X365" s="23" t="str">
        <f>"|MIDDLE:​&amp;link(配布所はこちら){​"&amp;テーブル1[[#This Row],[リンク]]&amp;"}|"</f>
        <v>|MIDDLE:​&amp;link(配布所はこちら){​https://maybeanglo0mochi.wixsite.com/mochiyanosouko}|</v>
      </c>
    </row>
    <row r="366" spans="2:24" ht="20.149999999999999" customHeight="1" x14ac:dyDescent="0.35">
      <c r="B366" s="23" t="str">
        <f>SUBSTITUTE(SUBSTITUTE(SUBSTITUTE(SUBSTITUTE(SUBSTITUTE(SUBSTITUTE(SUBSTITUTE(SUBSTITUTE(LOWER(テーブル1[[#This Row],[Name]])," ","-"),".","-"),"&amp;","-"),"_","-"),"・","-"),"=","-"),"--","-"),"--","-")</f>
        <v>nono-nonon</v>
      </c>
      <c r="C366" s="24" t="s">
        <v>622</v>
      </c>
      <c r="D366" s="23" t="s">
        <v>623</v>
      </c>
      <c r="E366" s="23" t="s">
        <v>624</v>
      </c>
      <c r="F366" s="2" t="s">
        <v>110</v>
      </c>
      <c r="G366" s="23" t="s">
        <v>625</v>
      </c>
      <c r="M366" s="1" t="s">
        <v>1517</v>
      </c>
      <c r="O366" s="24" t="str">
        <f>テーブル1[[#This Row],[リンク]]&amp;テーブル1[[#This Row],[描画状況]]</f>
        <v>https://hznonoka.wixsite.com/utau</v>
      </c>
      <c r="P366" s="17">
        <f>1-(COUNTIF(O:O,_xlfn.TEXTJOIN(",",TRUE,テーブル1[[#This Row],[リンク]],テーブル1[[#This Row],[描画状況]]))/COUNTIF(F:F,テーブル1[[#This Row],[リンク]]))</f>
        <v>0.33333333333333337</v>
      </c>
      <c r="Q366" s="16">
        <f ca="1">IFERROR(IF(テーブル1[[#This Row],[描画状況]]="",RAND()+(テーブル1[[#This Row],[列2]]*100),""),RAND())</f>
        <v>33.769931286300299</v>
      </c>
      <c r="S366" s="24" t="str">
        <f ca="1">IF(AND(テーブル1[[#This Row],[描画状況]]="済",テーブル1[[#This Row],[投稿状況]]=""),RAND(),"")</f>
        <v/>
      </c>
      <c r="T366" s="23" t="str">
        <f>"|&amp;image("&amp;テーブル1[[#This Row],[画像]]&amp;".png,width=100,height=100)"</f>
        <v>|&amp;image(nono-nonon.png,width=100,height=100)</v>
      </c>
      <c r="U366" s="23" t="str">
        <f>"|MIDDLE:​"&amp;テーブル1[[#This Row],[名前]]</f>
        <v>|MIDDLE:​音暖ののん</v>
      </c>
      <c r="V366" s="23" t="str">
        <f>"|MIDDLE:​"&amp;テーブル1[[#This Row],[なまえ]]</f>
        <v>|MIDDLE:​のの ののん</v>
      </c>
      <c r="W366" s="23" t="str">
        <f>"|MIDDLE:​"&amp;テーブル1[[#This Row],[Name]]</f>
        <v>|MIDDLE:​Nono Nonon</v>
      </c>
      <c r="X366" s="23" t="str">
        <f>"|MIDDLE:​&amp;link(配布所はこちら){​"&amp;テーブル1[[#This Row],[リンク]]&amp;"}|"</f>
        <v>|MIDDLE:​&amp;link(配布所はこちら){​https://hznonoka.wixsite.com/utau}|</v>
      </c>
    </row>
    <row r="367" spans="2:24" ht="20.149999999999999" customHeight="1" x14ac:dyDescent="0.35">
      <c r="B367" s="23" t="str">
        <f>SUBSTITUTE(SUBSTITUTE(SUBSTITUTE(SUBSTITUTE(SUBSTITUTE(SUBSTITUTE(SUBSTITUTE(SUBSTITUTE(LOWER(テーブル1[[#This Row],[Name]])," ","-"),".","-"),"&amp;","-"),"_","-"),"・","-"),"=","-"),"--","-"),"--","-")</f>
        <v>haizaki-sho</v>
      </c>
      <c r="C367" s="24" t="s">
        <v>1274</v>
      </c>
      <c r="D367" s="23" t="s">
        <v>1276</v>
      </c>
      <c r="E367" s="23" t="s">
        <v>1275</v>
      </c>
      <c r="F367" s="15" t="s">
        <v>177</v>
      </c>
      <c r="G367" s="24" t="s">
        <v>1291</v>
      </c>
      <c r="H367" s="24"/>
      <c r="I367" s="24"/>
      <c r="J367" s="24"/>
      <c r="K367" s="24"/>
      <c r="L367" s="24"/>
      <c r="O367" s="24" t="str">
        <f>テーブル1[[#This Row],[リンク]]&amp;テーブル1[[#This Row],[描画状況]]</f>
        <v>https://lenskkpb.wixsite.com/len-sakaki-official</v>
      </c>
      <c r="P367" s="17">
        <f>1-(COUNTIF(O:O,_xlfn.TEXTJOIN(",",TRUE,テーブル1[[#This Row],[リンク]],テーブル1[[#This Row],[描画状況]]))/COUNTIF(F:F,テーブル1[[#This Row],[リンク]]))</f>
        <v>0.125</v>
      </c>
      <c r="Q367" s="16">
        <f ca="1">IFERROR(IF(テーブル1[[#This Row],[描画状況]]="",RAND()+(テーブル1[[#This Row],[列2]]*100),""),RAND())</f>
        <v>12.870020151034</v>
      </c>
      <c r="S367" s="24" t="str">
        <f ca="1">IF(AND(テーブル1[[#This Row],[描画状況]]="済",テーブル1[[#This Row],[投稿状況]]=""),RAND(),"")</f>
        <v/>
      </c>
      <c r="T367" s="23" t="str">
        <f>"|&amp;image("&amp;テーブル1[[#This Row],[画像]]&amp;".png,width=100,height=100)"</f>
        <v>|&amp;image(haizaki-sho.png,width=100,height=100)</v>
      </c>
      <c r="U367" s="23" t="str">
        <f>"|MIDDLE:​"&amp;テーブル1[[#This Row],[名前]]</f>
        <v>|MIDDLE:​灰崎囁</v>
      </c>
      <c r="V367" s="23" t="str">
        <f>"|MIDDLE:​"&amp;テーブル1[[#This Row],[なまえ]]</f>
        <v>|MIDDLE:​はいざき しょう</v>
      </c>
      <c r="W367" s="23" t="str">
        <f>"|MIDDLE:​"&amp;テーブル1[[#This Row],[Name]]</f>
        <v>|MIDDLE:​Haizaki Sho</v>
      </c>
      <c r="X367" s="23" t="str">
        <f>"|MIDDLE:​&amp;link(配布所はこちら){​"&amp;テーブル1[[#This Row],[リンク]]&amp;"}|"</f>
        <v>|MIDDLE:​&amp;link(配布所はこちら){​https://lenskkpb.wixsite.com/len-sakaki-official}|</v>
      </c>
    </row>
    <row r="368" spans="2:24" ht="20.149999999999999" customHeight="1" x14ac:dyDescent="0.35">
      <c r="B368" s="23" t="str">
        <f>SUBSTITUTE(SUBSTITUTE(SUBSTITUTE(SUBSTITUTE(SUBSTITUTE(SUBSTITUTE(SUBSTITUTE(SUBSTITUTE(LOWER(テーブル1[[#This Row],[Name]])," ","-"),".","-"),"&amp;","-"),"_","-"),"・","-"),"=","-"),"--","-"),"--","-")</f>
        <v>hakuchumu</v>
      </c>
      <c r="C368" s="24" t="s">
        <v>1280</v>
      </c>
      <c r="D368" s="23" t="s">
        <v>1282</v>
      </c>
      <c r="E368" s="23" t="s">
        <v>1281</v>
      </c>
      <c r="F368" s="15" t="s">
        <v>177</v>
      </c>
      <c r="G368" s="24" t="s">
        <v>1293</v>
      </c>
      <c r="H368" s="24"/>
      <c r="I368" s="24"/>
      <c r="J368" s="24"/>
      <c r="K368" s="24"/>
      <c r="L368" s="24"/>
      <c r="O368" s="24" t="str">
        <f>テーブル1[[#This Row],[リンク]]&amp;テーブル1[[#This Row],[描画状況]]</f>
        <v>https://lenskkpb.wixsite.com/len-sakaki-official</v>
      </c>
      <c r="P368" s="17">
        <f>1-(COUNTIF(O:O,_xlfn.TEXTJOIN(",",TRUE,テーブル1[[#This Row],[リンク]],テーブル1[[#This Row],[描画状況]]))/COUNTIF(F:F,テーブル1[[#This Row],[リンク]]))</f>
        <v>0.125</v>
      </c>
      <c r="Q368" s="16">
        <f ca="1">IFERROR(IF(テーブル1[[#This Row],[描画状況]]="",RAND()+(テーブル1[[#This Row],[列2]]*100),""),RAND())</f>
        <v>13.364056846012563</v>
      </c>
      <c r="S368" s="24" t="str">
        <f ca="1">IF(AND(テーブル1[[#This Row],[描画状況]]="済",テーブル1[[#This Row],[投稿状況]]=""),RAND(),"")</f>
        <v/>
      </c>
      <c r="T368" s="23" t="str">
        <f>"|&amp;image("&amp;テーブル1[[#This Row],[画像]]&amp;".png,width=100,height=100)"</f>
        <v>|&amp;image(hakuchumu.png,width=100,height=100)</v>
      </c>
      <c r="U368" s="23" t="str">
        <f>"|MIDDLE:​"&amp;テーブル1[[#This Row],[名前]]</f>
        <v>|MIDDLE:​白躊夢</v>
      </c>
      <c r="V368" s="23" t="str">
        <f>"|MIDDLE:​"&amp;テーブル1[[#This Row],[なまえ]]</f>
        <v>|MIDDLE:​はくちゅうむ</v>
      </c>
      <c r="W368" s="23" t="str">
        <f>"|MIDDLE:​"&amp;テーブル1[[#This Row],[Name]]</f>
        <v>|MIDDLE:​Hakuchumu</v>
      </c>
      <c r="X368" s="23" t="str">
        <f>"|MIDDLE:​&amp;link(配布所はこちら){​"&amp;テーブル1[[#This Row],[リンク]]&amp;"}|"</f>
        <v>|MIDDLE:​&amp;link(配布所はこちら){​https://lenskkpb.wixsite.com/len-sakaki-official}|</v>
      </c>
    </row>
    <row r="369" spans="2:24" ht="20.149999999999999" customHeight="1" x14ac:dyDescent="0.35">
      <c r="B369" s="23" t="str">
        <f>SUBSTITUTE(SUBSTITUTE(SUBSTITUTE(SUBSTITUTE(SUBSTITUTE(SUBSTITUTE(SUBSTITUTE(SUBSTITUTE(LOWER(テーブル1[[#This Row],[Name]])," ","-"),".","-"),"&amp;","-"),"_","-"),"・","-"),"=","-"),"--","-"),"--","-")</f>
        <v>hakuma</v>
      </c>
      <c r="C369" s="24" t="s">
        <v>1022</v>
      </c>
      <c r="D369" s="23" t="s">
        <v>1023</v>
      </c>
      <c r="E369" s="23" t="s">
        <v>1024</v>
      </c>
      <c r="F369" s="27" t="s">
        <v>87</v>
      </c>
      <c r="G369" s="23" t="s">
        <v>88</v>
      </c>
      <c r="M369" s="1" t="s">
        <v>1518</v>
      </c>
      <c r="O369" s="24" t="str">
        <f>テーブル1[[#This Row],[リンク]]&amp;テーブル1[[#This Row],[描画状況]]</f>
        <v>https://chunyinhui021.wixsite.com/mutyuusaisei</v>
      </c>
      <c r="P369" s="17">
        <f>1-(COUNTIF(O:O,_xlfn.TEXTJOIN(",",TRUE,テーブル1[[#This Row],[リンク]],テーブル1[[#This Row],[描画状況]]))/COUNTIF(F:F,テーブル1[[#This Row],[リンク]]))</f>
        <v>0.33333333333333337</v>
      </c>
      <c r="Q369" s="16">
        <f ca="1">IFERROR(IF(テーブル1[[#This Row],[描画状況]]="",RAND()+(テーブル1[[#This Row],[列2]]*100),""),RAND())</f>
        <v>33.492761970289322</v>
      </c>
      <c r="S369" s="24" t="str">
        <f ca="1">IF(AND(テーブル1[[#This Row],[描画状況]]="済",テーブル1[[#This Row],[投稿状況]]=""),RAND(),"")</f>
        <v/>
      </c>
      <c r="T369" s="23" t="str">
        <f>"|&amp;image("&amp;テーブル1[[#This Row],[画像]]&amp;".png,width=100,height=100)"</f>
        <v>|&amp;image(hakuma.png,width=100,height=100)</v>
      </c>
      <c r="U369" s="23" t="str">
        <f>"|MIDDLE:​"&amp;テーブル1[[#This Row],[名前]]</f>
        <v>|MIDDLE:​白魔</v>
      </c>
      <c r="V369" s="23" t="str">
        <f>"|MIDDLE:​"&amp;テーブル1[[#This Row],[なまえ]]</f>
        <v>|MIDDLE:​はくま</v>
      </c>
      <c r="W369" s="23" t="str">
        <f>"|MIDDLE:​"&amp;テーブル1[[#This Row],[Name]]</f>
        <v>|MIDDLE:​Hakuma</v>
      </c>
      <c r="X369" s="23" t="str">
        <f>"|MIDDLE:​&amp;link(配布所はこちら){​"&amp;テーブル1[[#This Row],[リンク]]&amp;"}|"</f>
        <v>|MIDDLE:​&amp;link(配布所はこちら){​https://chunyinhui021.wixsite.com/mutyuusaisei}|</v>
      </c>
    </row>
    <row r="370" spans="2:24" ht="20.149999999999999" customHeight="1" x14ac:dyDescent="0.35">
      <c r="B370" s="23" t="str">
        <f>SUBSTITUTE(SUBSTITUTE(SUBSTITUTE(SUBSTITUTE(SUBSTITUTE(SUBSTITUTE(SUBSTITUTE(SUBSTITUTE(LOWER(テーブル1[[#This Row],[Name]])," ","-"),".","-"),"&amp;","-"),"_","-"),"・","-"),"=","-"),"--","-"),"--","-")</f>
        <v>hachurui</v>
      </c>
      <c r="C370" s="24" t="s">
        <v>1058</v>
      </c>
      <c r="D370" s="23" t="s">
        <v>1058</v>
      </c>
      <c r="E370" s="23" t="s">
        <v>1059</v>
      </c>
      <c r="F370" s="15" t="s">
        <v>671</v>
      </c>
      <c r="G370" s="23" t="s">
        <v>672</v>
      </c>
      <c r="M370" s="1" t="s">
        <v>1517</v>
      </c>
      <c r="O370" s="24" t="str">
        <f>テーブル1[[#This Row],[リンク]]&amp;テーブル1[[#This Row],[描画状況]]</f>
        <v>https://flowerrocklove.wixsite.com/twilight-crisis</v>
      </c>
      <c r="P370" s="17">
        <f>1-(COUNTIF(O:O,_xlfn.TEXTJOIN(",",TRUE,テーブル1[[#This Row],[リンク]],テーブル1[[#This Row],[描画状況]]))/COUNTIF(F:F,テーブル1[[#This Row],[リンク]]))</f>
        <v>0.22222222222222221</v>
      </c>
      <c r="Q370" s="16">
        <f ca="1">IFERROR(IF(テーブル1[[#This Row],[描画状況]]="",RAND()+(テーブル1[[#This Row],[列2]]*100),""),RAND())</f>
        <v>22.793707566610824</v>
      </c>
      <c r="S370" s="24" t="str">
        <f ca="1">IF(AND(テーブル1[[#This Row],[描画状況]]="済",テーブル1[[#This Row],[投稿状況]]=""),RAND(),"")</f>
        <v/>
      </c>
      <c r="T370" s="23" t="str">
        <f>"|&amp;image("&amp;テーブル1[[#This Row],[画像]]&amp;".png,width=100,height=100)"</f>
        <v>|&amp;image(hachurui.png,width=100,height=100)</v>
      </c>
      <c r="U370" s="23" t="str">
        <f>"|MIDDLE:​"&amp;テーブル1[[#This Row],[名前]]</f>
        <v>|MIDDLE:​はちゅうるい</v>
      </c>
      <c r="V370" s="23" t="str">
        <f>"|MIDDLE:​"&amp;テーブル1[[#This Row],[なまえ]]</f>
        <v>|MIDDLE:​はちゅうるい</v>
      </c>
      <c r="W370" s="23" t="str">
        <f>"|MIDDLE:​"&amp;テーブル1[[#This Row],[Name]]</f>
        <v>|MIDDLE:​Hachurui</v>
      </c>
      <c r="X370" s="23" t="str">
        <f>"|MIDDLE:​&amp;link(配布所はこちら){​"&amp;テーブル1[[#This Row],[リンク]]&amp;"}|"</f>
        <v>|MIDDLE:​&amp;link(配布所はこちら){​https://flowerrocklove.wixsite.com/twilight-crisis}|</v>
      </c>
    </row>
    <row r="371" spans="2:24" ht="20.149999999999999" customHeight="1" x14ac:dyDescent="0.35">
      <c r="B371" s="23" t="str">
        <f>SUBSTITUTE(SUBSTITUTE(SUBSTITUTE(SUBSTITUTE(SUBSTITUTE(SUBSTITUTE(SUBSTITUTE(SUBSTITUTE(LOWER(テーブル1[[#This Row],[Name]])," ","-"),".","-"),"&amp;","-"),"_","-"),"・","-"),"=","-"),"--","-"),"--","-")</f>
        <v>hazuki-iori</v>
      </c>
      <c r="C371" s="24" t="s">
        <v>1374</v>
      </c>
      <c r="D371" s="23" t="s">
        <v>1376</v>
      </c>
      <c r="E371" s="23" t="s">
        <v>1375</v>
      </c>
      <c r="F371" s="2" t="s">
        <v>1363</v>
      </c>
      <c r="G371" s="23" t="s">
        <v>1364</v>
      </c>
      <c r="O371" s="24" t="str">
        <f>テーブル1[[#This Row],[リンク]]&amp;テーブル1[[#This Row],[描画状況]]</f>
        <v>https://maybeanglo0mochi.wixsite.com/mochiyanosouko</v>
      </c>
      <c r="P371" s="17">
        <f>1-(COUNTIF(O:O,_xlfn.TEXTJOIN(",",TRUE,テーブル1[[#This Row],[リンク]],テーブル1[[#This Row],[描画状況]]))/COUNTIF(F:F,テーブル1[[#This Row],[リンク]]))</f>
        <v>0.125</v>
      </c>
      <c r="Q371" s="16">
        <f ca="1">IFERROR(IF(テーブル1[[#This Row],[描画状況]]="",RAND()+(テーブル1[[#This Row],[列2]]*100),""),RAND())</f>
        <v>13.054458152411986</v>
      </c>
      <c r="S371" s="24" t="str">
        <f ca="1">IF(AND(テーブル1[[#This Row],[描画状況]]="済",テーブル1[[#This Row],[投稿状況]]=""),RAND(),"")</f>
        <v/>
      </c>
      <c r="T371" s="23" t="str">
        <f>"|&amp;image("&amp;テーブル1[[#This Row],[画像]]&amp;".png,width=100,height=100)"</f>
        <v>|&amp;image(hazuki-iori.png,width=100,height=100)</v>
      </c>
      <c r="U371" s="23" t="str">
        <f>"|MIDDLE:​"&amp;テーブル1[[#This Row],[名前]]</f>
        <v>|MIDDLE:​綺月イオリ</v>
      </c>
      <c r="V371" s="23" t="str">
        <f>"|MIDDLE:​"&amp;テーブル1[[#This Row],[なまえ]]</f>
        <v>|MIDDLE:​はづき いおり</v>
      </c>
      <c r="W371" s="23" t="str">
        <f>"|MIDDLE:​"&amp;テーブル1[[#This Row],[Name]]</f>
        <v>|MIDDLE:​Hazuki Iori</v>
      </c>
      <c r="X371" s="23" t="str">
        <f>"|MIDDLE:​&amp;link(配布所はこちら){​"&amp;テーブル1[[#This Row],[リンク]]&amp;"}|"</f>
        <v>|MIDDLE:​&amp;link(配布所はこちら){​https://maybeanglo0mochi.wixsite.com/mochiyanosouko}|</v>
      </c>
    </row>
    <row r="372" spans="2:24" ht="20.149999999999999" customHeight="1" x14ac:dyDescent="0.35">
      <c r="B372" s="23" t="str">
        <f>SUBSTITUTE(SUBSTITUTE(SUBSTITUTE(SUBSTITUTE(SUBSTITUTE(SUBSTITUTE(SUBSTITUTE(SUBSTITUTE(LOWER(テーブル1[[#This Row],[Name]])," ","-"),".","-"),"&amp;","-"),"_","-"),"・","-"),"=","-"),"--","-"),"--","-")</f>
        <v>battu-roland</v>
      </c>
      <c r="C372" s="24" t="s">
        <v>1226</v>
      </c>
      <c r="D372" s="23" t="s">
        <v>1250</v>
      </c>
      <c r="E372" s="23" t="s">
        <v>1249</v>
      </c>
      <c r="F372" s="15" t="s">
        <v>339</v>
      </c>
      <c r="G372" s="23" t="s">
        <v>340</v>
      </c>
      <c r="O372" s="24" t="str">
        <f>テーブル1[[#This Row],[リンク]]&amp;テーブル1[[#This Row],[描画状況]]</f>
        <v>https://torinosu-hikikomori.jimdofree.com</v>
      </c>
      <c r="P372" s="17">
        <f>1-(COUNTIF(O:O,_xlfn.TEXTJOIN(",",TRUE,テーブル1[[#This Row],[リンク]],テーブル1[[#This Row],[描画状況]]))/COUNTIF(F:F,テーブル1[[#This Row],[リンク]]))</f>
        <v>0.125</v>
      </c>
      <c r="Q372" s="16">
        <f ca="1">IFERROR(IF(テーブル1[[#This Row],[描画状況]]="",RAND()+(テーブル1[[#This Row],[列2]]*100),""),RAND())</f>
        <v>13.478412050149709</v>
      </c>
      <c r="S372" s="24" t="str">
        <f ca="1">IF(AND(テーブル1[[#This Row],[描画状況]]="済",テーブル1[[#This Row],[投稿状況]]=""),RAND(),"")</f>
        <v/>
      </c>
      <c r="T372" s="23" t="str">
        <f>"|&amp;image("&amp;テーブル1[[#This Row],[画像]]&amp;".png,width=100,height=100)"</f>
        <v>|&amp;image(battu-roland.png,width=100,height=100)</v>
      </c>
      <c r="U372" s="23" t="str">
        <f>"|MIDDLE:​"&amp;テーブル1[[#This Row],[名前]]</f>
        <v>|MIDDLE:​バッツ・ローランド</v>
      </c>
      <c r="V372" s="23" t="str">
        <f>"|MIDDLE:​"&amp;テーブル1[[#This Row],[なまえ]]</f>
        <v>|MIDDLE:​ばっつ ろーらんど</v>
      </c>
      <c r="W372" s="23" t="str">
        <f>"|MIDDLE:​"&amp;テーブル1[[#This Row],[Name]]</f>
        <v>|MIDDLE:​Battu Roland</v>
      </c>
      <c r="X372" s="23" t="str">
        <f>"|MIDDLE:​&amp;link(配布所はこちら){​"&amp;テーブル1[[#This Row],[リンク]]&amp;"}|"</f>
        <v>|MIDDLE:​&amp;link(配布所はこちら){​https://torinosu-hikikomori.jimdofree.com}|</v>
      </c>
    </row>
    <row r="373" spans="2:24" ht="20.149999999999999" customHeight="1" x14ac:dyDescent="0.35">
      <c r="B373" s="23" t="str">
        <f>SUBSTITUTE(SUBSTITUTE(SUBSTITUTE(SUBSTITUTE(SUBSTITUTE(SUBSTITUTE(SUBSTITUTE(SUBSTITUTE(LOWER(テーブル1[[#This Row],[Name]])," ","-"),".","-"),"&amp;","-"),"_","-"),"・","-"),"=","-"),"--","-"),"--","-")</f>
        <v>hatene-noa</v>
      </c>
      <c r="C373" s="24" t="s">
        <v>868</v>
      </c>
      <c r="D373" s="23" t="s">
        <v>869</v>
      </c>
      <c r="E373" s="23" t="s">
        <v>870</v>
      </c>
      <c r="F373" s="15" t="s">
        <v>864</v>
      </c>
      <c r="G373" s="23" t="s">
        <v>867</v>
      </c>
      <c r="O373" s="24" t="str">
        <f>テーブル1[[#This Row],[リンク]]&amp;テーブル1[[#This Row],[描画状況]]</f>
        <v>https://bowlroll.net/user/374679</v>
      </c>
      <c r="P373" s="17">
        <f>1-(COUNTIF(O:O,_xlfn.TEXTJOIN(",",TRUE,テーブル1[[#This Row],[リンク]],テーブル1[[#This Row],[描画状況]]))/COUNTIF(F:F,テーブル1[[#This Row],[リンク]]))</f>
        <v>0</v>
      </c>
      <c r="Q373" s="16">
        <f ca="1">IFERROR(IF(テーブル1[[#This Row],[描画状況]]="",RAND()+(テーブル1[[#This Row],[列2]]*100),""),RAND())</f>
        <v>0.22267862300616148</v>
      </c>
      <c r="S373" s="24" t="str">
        <f ca="1">IF(AND(テーブル1[[#This Row],[描画状況]]="済",テーブル1[[#This Row],[投稿状況]]=""),RAND(),"")</f>
        <v/>
      </c>
      <c r="T373" s="23" t="str">
        <f>"|&amp;image("&amp;テーブル1[[#This Row],[画像]]&amp;".png,width=100,height=100)"</f>
        <v>|&amp;image(hatene-noa.png,width=100,height=100)</v>
      </c>
      <c r="U373" s="23" t="str">
        <f>"|MIDDLE:​"&amp;テーブル1[[#This Row],[名前]]</f>
        <v>|MIDDLE:​果音ノア</v>
      </c>
      <c r="V373" s="23" t="str">
        <f>"|MIDDLE:​"&amp;テーブル1[[#This Row],[なまえ]]</f>
        <v>|MIDDLE:​はてね のあ</v>
      </c>
      <c r="W373" s="23" t="str">
        <f>"|MIDDLE:​"&amp;テーブル1[[#This Row],[Name]]</f>
        <v>|MIDDLE:​Hatene Noa</v>
      </c>
      <c r="X373" s="23" t="str">
        <f>"|MIDDLE:​&amp;link(配布所はこちら){​"&amp;テーブル1[[#This Row],[リンク]]&amp;"}|"</f>
        <v>|MIDDLE:​&amp;link(配布所はこちら){​https://bowlroll.net/user/374679}|</v>
      </c>
    </row>
    <row r="374" spans="2:24" ht="20.149999999999999" customHeight="1" x14ac:dyDescent="0.35">
      <c r="B374" s="23" t="str">
        <f>SUBSTITUTE(SUBSTITUTE(SUBSTITUTE(SUBSTITUTE(SUBSTITUTE(SUBSTITUTE(SUBSTITUTE(SUBSTITUTE(LOWER(テーブル1[[#This Row],[Name]])," ","-"),".","-"),"&amp;","-"),"_","-"),"・","-"),"=","-"),"--","-"),"--","-")</f>
        <v>hanabata-haru</v>
      </c>
      <c r="C374" s="24" t="s">
        <v>695</v>
      </c>
      <c r="D374" s="23" t="s">
        <v>697</v>
      </c>
      <c r="E374" s="23" t="s">
        <v>696</v>
      </c>
      <c r="F374" s="2" t="s">
        <v>698</v>
      </c>
      <c r="G374" s="23" t="s">
        <v>699</v>
      </c>
      <c r="O374" s="24" t="str">
        <f>テーブル1[[#This Row],[リンク]]&amp;テーブル1[[#This Row],[描画状況]]</f>
        <v>https://jnsea010.wixsite.com/kkamchoutau</v>
      </c>
      <c r="P374" s="17">
        <f>1-(COUNTIF(O:O,_xlfn.TEXTJOIN(",",TRUE,テーブル1[[#This Row],[リンク]],テーブル1[[#This Row],[描画状況]]))/COUNTIF(F:F,テーブル1[[#This Row],[リンク]]))</f>
        <v>0</v>
      </c>
      <c r="Q374" s="16">
        <f ca="1">IFERROR(IF(テーブル1[[#This Row],[描画状況]]="",RAND()+(テーブル1[[#This Row],[列2]]*100),""),RAND())</f>
        <v>0.87638254478323807</v>
      </c>
      <c r="S374" s="24" t="str">
        <f ca="1">IF(AND(テーブル1[[#This Row],[描画状況]]="済",テーブル1[[#This Row],[投稿状況]]=""),RAND(),"")</f>
        <v/>
      </c>
      <c r="T374" s="23" t="str">
        <f>"|&amp;image("&amp;テーブル1[[#This Row],[画像]]&amp;".png,width=100,height=100)"</f>
        <v>|&amp;image(hanabata-haru.png,width=100,height=100)</v>
      </c>
      <c r="U374" s="23" t="str">
        <f>"|MIDDLE:​"&amp;テーブル1[[#This Row],[名前]]</f>
        <v>|MIDDLE:​花畑ハル</v>
      </c>
      <c r="V374" s="23" t="str">
        <f>"|MIDDLE:​"&amp;テーブル1[[#This Row],[なまえ]]</f>
        <v>|MIDDLE:​はなばた はる</v>
      </c>
      <c r="W374" s="23" t="str">
        <f>"|MIDDLE:​"&amp;テーブル1[[#This Row],[Name]]</f>
        <v>|MIDDLE:​Hanabata Haru</v>
      </c>
      <c r="X374" s="23" t="str">
        <f>"|MIDDLE:​&amp;link(配布所はこちら){​"&amp;テーブル1[[#This Row],[リンク]]&amp;"}|"</f>
        <v>|MIDDLE:​&amp;link(配布所はこちら){​https://jnsea010.wixsite.com/kkamchoutau}|</v>
      </c>
    </row>
    <row r="375" spans="2:24" ht="20.149999999999999" customHeight="1" x14ac:dyDescent="0.35">
      <c r="B375" s="23" t="str">
        <f>SUBSTITUTE(SUBSTITUTE(SUBSTITUTE(SUBSTITUTE(SUBSTITUTE(SUBSTITUTE(SUBSTITUTE(SUBSTITUTE(LOWER(テーブル1[[#This Row],[Name]])," ","-"),".","-"),"&amp;","-"),"_","-"),"・","-"),"=","-"),"--","-"),"--","-")</f>
        <v>hanne-taka</v>
      </c>
      <c r="C375" s="24" t="s">
        <v>1077</v>
      </c>
      <c r="D375" s="23" t="s">
        <v>1078</v>
      </c>
      <c r="E375" s="23" t="s">
        <v>1079</v>
      </c>
      <c r="F375" s="15" t="s">
        <v>1066</v>
      </c>
      <c r="G375" s="23" t="s">
        <v>1067</v>
      </c>
      <c r="O375" s="24" t="str">
        <f>テーブル1[[#This Row],[リンク]]&amp;テーブル1[[#This Row],[描画状況]]</f>
        <v>https://yukimiyashimusho.jimdofree.com</v>
      </c>
      <c r="P375" s="17">
        <f>1-(COUNTIF(O:O,_xlfn.TEXTJOIN(",",TRUE,テーブル1[[#This Row],[リンク]],テーブル1[[#This Row],[描画状況]]))/COUNTIF(F:F,テーブル1[[#This Row],[リンク]]))</f>
        <v>7.1428571428571397E-2</v>
      </c>
      <c r="Q375" s="16">
        <f ca="1">IFERROR(IF(テーブル1[[#This Row],[描画状況]]="",RAND()+(テーブル1[[#This Row],[列2]]*100),""),RAND())</f>
        <v>7.897327863688286</v>
      </c>
      <c r="S375" s="24" t="str">
        <f ca="1">IF(AND(テーブル1[[#This Row],[描画状況]]="済",テーブル1[[#This Row],[投稿状況]]=""),RAND(),"")</f>
        <v/>
      </c>
      <c r="T375" s="23" t="str">
        <f>"|&amp;image("&amp;テーブル1[[#This Row],[画像]]&amp;".png,width=100,height=100)"</f>
        <v>|&amp;image(hanne-taka.png,width=100,height=100)</v>
      </c>
      <c r="U375" s="23" t="str">
        <f>"|MIDDLE:​"&amp;テーブル1[[#This Row],[名前]]</f>
        <v>|MIDDLE:​半音タカ</v>
      </c>
      <c r="V375" s="23" t="str">
        <f>"|MIDDLE:​"&amp;テーブル1[[#This Row],[なまえ]]</f>
        <v>|MIDDLE:​はんね たか</v>
      </c>
      <c r="W375" s="23" t="str">
        <f>"|MIDDLE:​"&amp;テーブル1[[#This Row],[Name]]</f>
        <v>|MIDDLE:​Hanne Taka</v>
      </c>
      <c r="X375" s="23" t="str">
        <f>"|MIDDLE:​&amp;link(配布所はこちら){​"&amp;テーブル1[[#This Row],[リンク]]&amp;"}|"</f>
        <v>|MIDDLE:​&amp;link(配布所はこちら){​https://yukimiyashimusho.jimdofree.com}|</v>
      </c>
    </row>
    <row r="376" spans="2:24" ht="20.149999999999999" customHeight="1" x14ac:dyDescent="0.35">
      <c r="B376" s="23" t="str">
        <f>SUBSTITUTE(SUBSTITUTE(SUBSTITUTE(SUBSTITUTE(SUBSTITUTE(SUBSTITUTE(SUBSTITUTE(SUBSTITUTE(LOWER(テーブル1[[#This Row],[Name]])," ","-"),".","-"),"&amp;","-"),"_","-"),"・","-"),"=","-"),"--","-"),"--","-")</f>
        <v>hye</v>
      </c>
      <c r="C376" s="24" t="s">
        <v>1094</v>
      </c>
      <c r="D376" s="23" t="s">
        <v>1095</v>
      </c>
      <c r="E376" s="23" t="s">
        <v>1094</v>
      </c>
      <c r="F376" s="15" t="s">
        <v>1066</v>
      </c>
      <c r="G376" s="23" t="s">
        <v>1067</v>
      </c>
      <c r="O376" s="24" t="str">
        <f>テーブル1[[#This Row],[リンク]]&amp;テーブル1[[#This Row],[描画状況]]</f>
        <v>https://yukimiyashimusho.jimdofree.com</v>
      </c>
      <c r="P376" s="17">
        <f>1-(COUNTIF(O:O,_xlfn.TEXTJOIN(",",TRUE,テーブル1[[#This Row],[リンク]],テーブル1[[#This Row],[描画状況]]))/COUNTIF(F:F,テーブル1[[#This Row],[リンク]]))</f>
        <v>7.1428571428571397E-2</v>
      </c>
      <c r="Q376" s="16">
        <f ca="1">IFERROR(IF(テーブル1[[#This Row],[描画状況]]="",RAND()+(テーブル1[[#This Row],[列2]]*100),""),RAND())</f>
        <v>8.0387063433961412</v>
      </c>
      <c r="S376" s="24" t="str">
        <f ca="1">IF(AND(テーブル1[[#This Row],[描画状況]]="済",テーブル1[[#This Row],[投稿状況]]=""),RAND(),"")</f>
        <v/>
      </c>
      <c r="T376" s="23" t="str">
        <f>"|&amp;image("&amp;テーブル1[[#This Row],[画像]]&amp;".png,width=100,height=100)"</f>
        <v>|&amp;image(hye.png,width=100,height=100)</v>
      </c>
      <c r="U376" s="23" t="str">
        <f>"|MIDDLE:​"&amp;テーブル1[[#This Row],[名前]]</f>
        <v>|MIDDLE:​Hye</v>
      </c>
      <c r="V376" s="23" t="str">
        <f>"|MIDDLE:​"&amp;テーブル1[[#This Row],[なまえ]]</f>
        <v>|MIDDLE:​ひえ</v>
      </c>
      <c r="W376" s="23" t="str">
        <f>"|MIDDLE:​"&amp;テーブル1[[#This Row],[Name]]</f>
        <v>|MIDDLE:​Hye</v>
      </c>
      <c r="X376" s="23" t="str">
        <f>"|MIDDLE:​&amp;link(配布所はこちら){​"&amp;テーブル1[[#This Row],[リンク]]&amp;"}|"</f>
        <v>|MIDDLE:​&amp;link(配布所はこちら){​https://yukimiyashimusho.jimdofree.com}|</v>
      </c>
    </row>
    <row r="377" spans="2:24" ht="20.149999999999999" customHeight="1" x14ac:dyDescent="0.35">
      <c r="B377" s="23" t="str">
        <f>SUBSTITUTE(SUBSTITUTE(SUBSTITUTE(SUBSTITUTE(SUBSTITUTE(SUBSTITUTE(SUBSTITUTE(SUBSTITUTE(LOWER(テーブル1[[#This Row],[Name]])," ","-"),".","-"),"&amp;","-"),"_","-"),"・","-"),"=","-"),"--","-"),"--","-")</f>
        <v>higagoto-toi</v>
      </c>
      <c r="C377" s="24" t="s">
        <v>569</v>
      </c>
      <c r="D377" s="23" t="s">
        <v>570</v>
      </c>
      <c r="E377" s="23" t="s">
        <v>571</v>
      </c>
      <c r="F377" s="2" t="s">
        <v>572</v>
      </c>
      <c r="G377" s="23" t="s">
        <v>573</v>
      </c>
      <c r="M377" s="1" t="s">
        <v>1517</v>
      </c>
      <c r="O377" s="24" t="str">
        <f>テーブル1[[#This Row],[リンク]]&amp;テーブル1[[#This Row],[描画状況]]</f>
        <v>https://askdance.wixsite.com/monitor-room/monitor-room</v>
      </c>
      <c r="P377" s="17">
        <f>1-(COUNTIF(O:O,_xlfn.TEXTJOIN(",",TRUE,テーブル1[[#This Row],[リンク]],テーブル1[[#This Row],[描画状況]]))/COUNTIF(F:F,テーブル1[[#This Row],[リンク]]))</f>
        <v>9.9999999999999978E-2</v>
      </c>
      <c r="Q377" s="16">
        <f ca="1">IFERROR(IF(テーブル1[[#This Row],[描画状況]]="",RAND()+(テーブル1[[#This Row],[列2]]*100),""),RAND())</f>
        <v>10.23341164346289</v>
      </c>
      <c r="S377" s="24" t="str">
        <f ca="1">IF(AND(テーブル1[[#This Row],[描画状況]]="済",テーブル1[[#This Row],[投稿状況]]=""),RAND(),"")</f>
        <v/>
      </c>
      <c r="T377" s="23" t="str">
        <f>"|&amp;image("&amp;テーブル1[[#This Row],[画像]]&amp;".png,width=100,height=100)"</f>
        <v>|&amp;image(higagoto-toi.png,width=100,height=100)</v>
      </c>
      <c r="U377" s="23" t="str">
        <f>"|MIDDLE:​"&amp;テーブル1[[#This Row],[名前]]</f>
        <v>|MIDDLE:​僻事問</v>
      </c>
      <c r="V377" s="23" t="str">
        <f>"|MIDDLE:​"&amp;テーブル1[[#This Row],[なまえ]]</f>
        <v>|MIDDLE:​ひがごと とい</v>
      </c>
      <c r="W377" s="23" t="str">
        <f>"|MIDDLE:​"&amp;テーブル1[[#This Row],[Name]]</f>
        <v>|MIDDLE:​Higagoto Toi</v>
      </c>
      <c r="X377" s="23" t="str">
        <f>"|MIDDLE:​&amp;link(配布所はこちら){​"&amp;テーブル1[[#This Row],[リンク]]&amp;"}|"</f>
        <v>|MIDDLE:​&amp;link(配布所はこちら){​https://askdance.wixsite.com/monitor-room/monitor-room}|</v>
      </c>
    </row>
    <row r="378" spans="2:24" ht="20.149999999999999" customHeight="1" x14ac:dyDescent="0.35">
      <c r="B378" s="23" t="str">
        <f>SUBSTITUTE(SUBSTITUTE(SUBSTITUTE(SUBSTITUTE(SUBSTITUTE(SUBSTITUTE(SUBSTITUTE(SUBSTITUTE(LOWER(テーブル1[[#This Row],[Name]])," ","-"),".","-"),"&amp;","-"),"_","-"),"・","-"),"=","-"),"--","-"),"--","-")</f>
        <v>hinaki</v>
      </c>
      <c r="C378" s="24" t="s">
        <v>1172</v>
      </c>
      <c r="D378" s="23" t="s">
        <v>1173</v>
      </c>
      <c r="E378" s="23" t="s">
        <v>1174</v>
      </c>
      <c r="F378" s="2" t="s">
        <v>100</v>
      </c>
      <c r="G378" s="23" t="s">
        <v>101</v>
      </c>
      <c r="M378" s="1" t="s">
        <v>1517</v>
      </c>
      <c r="O378" s="24" t="str">
        <f>テーブル1[[#This Row],[リンク]]&amp;テーブル1[[#This Row],[描画状況]]</f>
        <v>https://hinagitsune-utau.wixsite.com/utaukokorone</v>
      </c>
      <c r="P378" s="17">
        <f>1-(COUNTIF(O:O,_xlfn.TEXTJOIN(",",TRUE,テーブル1[[#This Row],[リンク]],テーブル1[[#This Row],[描画状況]]))/COUNTIF(F:F,テーブル1[[#This Row],[リンク]]))</f>
        <v>0.19999999999999996</v>
      </c>
      <c r="Q378" s="16">
        <f ca="1">IFERROR(IF(テーブル1[[#This Row],[描画状況]]="",RAND()+(テーブル1[[#This Row],[列2]]*100),""),RAND())</f>
        <v>20.139067055176817</v>
      </c>
      <c r="S378" s="24" t="str">
        <f ca="1">IF(AND(テーブル1[[#This Row],[描画状況]]="済",テーブル1[[#This Row],[投稿状況]]=""),RAND(),"")</f>
        <v/>
      </c>
      <c r="T378" s="23" t="str">
        <f>"|&amp;image("&amp;テーブル1[[#This Row],[画像]]&amp;".png,width=100,height=100)"</f>
        <v>|&amp;image(hinaki.png,width=100,height=100)</v>
      </c>
      <c r="U378" s="23" t="str">
        <f>"|MIDDLE:​"&amp;テーブル1[[#This Row],[名前]]</f>
        <v>|MIDDLE:​ヒナキ</v>
      </c>
      <c r="V378" s="23" t="str">
        <f>"|MIDDLE:​"&amp;テーブル1[[#This Row],[なまえ]]</f>
        <v>|MIDDLE:​ひなき</v>
      </c>
      <c r="W378" s="23" t="str">
        <f>"|MIDDLE:​"&amp;テーブル1[[#This Row],[Name]]</f>
        <v>|MIDDLE:​Hinaki</v>
      </c>
      <c r="X378" s="23" t="str">
        <f>"|MIDDLE:​&amp;link(配布所はこちら){​"&amp;テーブル1[[#This Row],[リンク]]&amp;"}|"</f>
        <v>|MIDDLE:​&amp;link(配布所はこちら){​https://hinagitsune-utau.wixsite.com/utaukokorone}|</v>
      </c>
    </row>
    <row r="379" spans="2:24" ht="20.149999999999999" customHeight="1" x14ac:dyDescent="0.35">
      <c r="B379" s="23" t="str">
        <f>SUBSTITUTE(SUBSTITUTE(SUBSTITUTE(SUBSTITUTE(SUBSTITUTE(SUBSTITUTE(SUBSTITUTE(SUBSTITUTE(LOWER(テーブル1[[#This Row],[Name]])," ","-"),".","-"),"&amp;","-"),"_","-"),"・","-"),"=","-"),"--","-"),"--","-")</f>
        <v>hibiki-hiruya</v>
      </c>
      <c r="C379" s="24" t="s">
        <v>626</v>
      </c>
      <c r="D379" s="23" t="s">
        <v>627</v>
      </c>
      <c r="E379" s="23" t="s">
        <v>628</v>
      </c>
      <c r="F379" s="2" t="s">
        <v>110</v>
      </c>
      <c r="G379" s="23" t="s">
        <v>625</v>
      </c>
      <c r="M379" s="1" t="s">
        <v>1517</v>
      </c>
      <c r="O379" s="24" t="str">
        <f>テーブル1[[#This Row],[リンク]]&amp;テーブル1[[#This Row],[描画状況]]</f>
        <v>https://hznonoka.wixsite.com/utau</v>
      </c>
      <c r="P379" s="17">
        <f>1-(COUNTIF(O:O,_xlfn.TEXTJOIN(",",TRUE,テーブル1[[#This Row],[リンク]],テーブル1[[#This Row],[描画状況]]))/COUNTIF(F:F,テーブル1[[#This Row],[リンク]]))</f>
        <v>0.33333333333333337</v>
      </c>
      <c r="Q379" s="16">
        <f ca="1">IFERROR(IF(テーブル1[[#This Row],[描画状況]]="",RAND()+(テーブル1[[#This Row],[列2]]*100),""),RAND())</f>
        <v>33.750504937087662</v>
      </c>
      <c r="S379" s="24" t="str">
        <f ca="1">IF(AND(テーブル1[[#This Row],[描画状況]]="済",テーブル1[[#This Row],[投稿状況]]=""),RAND(),"")</f>
        <v/>
      </c>
      <c r="T379" s="23" t="str">
        <f>"|&amp;image("&amp;テーブル1[[#This Row],[画像]]&amp;".png,width=100,height=100)"</f>
        <v>|&amp;image(hibiki-hiruya.png,width=100,height=100)</v>
      </c>
      <c r="U379" s="23" t="str">
        <f>"|MIDDLE:​"&amp;テーブル1[[#This Row],[名前]]</f>
        <v>|MIDDLE:​響姫ひるや</v>
      </c>
      <c r="V379" s="23" t="str">
        <f>"|MIDDLE:​"&amp;テーブル1[[#This Row],[なまえ]]</f>
        <v>|MIDDLE:​ひびき ひるや</v>
      </c>
      <c r="W379" s="23" t="str">
        <f>"|MIDDLE:​"&amp;テーブル1[[#This Row],[Name]]</f>
        <v>|MIDDLE:​Hibiki Hiruya</v>
      </c>
      <c r="X379" s="23" t="str">
        <f>"|MIDDLE:​&amp;link(配布所はこちら){​"&amp;テーブル1[[#This Row],[リンク]]&amp;"}|"</f>
        <v>|MIDDLE:​&amp;link(配布所はこちら){​https://hznonoka.wixsite.com/utau}|</v>
      </c>
    </row>
    <row r="380" spans="2:24" ht="20.149999999999999" customHeight="1" x14ac:dyDescent="0.35">
      <c r="B380" s="23" t="str">
        <f>SUBSTITUTE(SUBSTITUTE(SUBSTITUTE(SUBSTITUTE(SUBSTITUTE(SUBSTITUTE(SUBSTITUTE(SUBSTITUTE(LOWER(テーブル1[[#This Row],[Name]])," ","-"),".","-"),"&amp;","-"),"_","-"),"・","-"),"=","-"),"--","-"),"--","-")</f>
        <v>pipine-pio</v>
      </c>
      <c r="C380" s="24" t="s">
        <v>1137</v>
      </c>
      <c r="D380" s="23" t="s">
        <v>1140</v>
      </c>
      <c r="E380" s="23" t="s">
        <v>1138</v>
      </c>
      <c r="F380" s="15" t="s">
        <v>1143</v>
      </c>
      <c r="G380" s="23" t="str">
        <f>テーブル1[[#This Row],[名前]]&amp;"(UTAU)"</f>
        <v>ピピ音ピオ(UTAU)</v>
      </c>
      <c r="O380" s="24" t="str">
        <f>テーブル1[[#This Row],[リンク]]&amp;テーブル1[[#This Row],[描画状況]]</f>
        <v>https://yautau.wixsite.com/0909</v>
      </c>
      <c r="P380" s="17">
        <f>1-(COUNTIF(O:O,_xlfn.TEXTJOIN(",",TRUE,テーブル1[[#This Row],[リンク]],テーブル1[[#This Row],[描画状況]]))/COUNTIF(F:F,テーブル1[[#This Row],[リンク]]))</f>
        <v>0.125</v>
      </c>
      <c r="Q380" s="16">
        <f ca="1">IFERROR(IF(テーブル1[[#This Row],[描画状況]]="",RAND()+(テーブル1[[#This Row],[列2]]*100),""),RAND())</f>
        <v>13.167167318802802</v>
      </c>
      <c r="S380" s="24" t="str">
        <f ca="1">IF(AND(テーブル1[[#This Row],[描画状況]]="済",テーブル1[[#This Row],[投稿状況]]=""),RAND(),"")</f>
        <v/>
      </c>
      <c r="T380" s="23" t="str">
        <f>"|&amp;image("&amp;テーブル1[[#This Row],[画像]]&amp;".png,width=100,height=100)"</f>
        <v>|&amp;image(pipine-pio.png,width=100,height=100)</v>
      </c>
      <c r="U380" s="23" t="str">
        <f>"|MIDDLE:​"&amp;テーブル1[[#This Row],[名前]]</f>
        <v>|MIDDLE:​ピピ音ピオ</v>
      </c>
      <c r="V380" s="23" t="str">
        <f>"|MIDDLE:​"&amp;テーブル1[[#This Row],[なまえ]]</f>
        <v>|MIDDLE:​ぴぴね ぴお</v>
      </c>
      <c r="W380" s="23" t="str">
        <f>"|MIDDLE:​"&amp;テーブル1[[#This Row],[Name]]</f>
        <v>|MIDDLE:​Pipine Pio</v>
      </c>
      <c r="X380" s="23" t="str">
        <f>"|MIDDLE:​&amp;link(配布所はこちら){​"&amp;テーブル1[[#This Row],[リンク]]&amp;"}|"</f>
        <v>|MIDDLE:​&amp;link(配布所はこちら){​https://yautau.wixsite.com/0909}|</v>
      </c>
    </row>
    <row r="381" spans="2:24" ht="20.149999999999999" customHeight="1" x14ac:dyDescent="0.35">
      <c r="B381" s="23" t="str">
        <f>SUBSTITUTE(SUBSTITUTE(SUBSTITUTE(SUBSTITUTE(SUBSTITUTE(SUBSTITUTE(SUBSTITUTE(SUBSTITUTE(LOWER(テーブル1[[#This Row],[Name]])," ","-"),".","-"),"&amp;","-"),"_","-"),"・","-"),"=","-"),"--","-"),"--","-")</f>
        <v>finalkamenppoino</v>
      </c>
      <c r="C381" s="24" t="s">
        <v>1223</v>
      </c>
      <c r="D381" s="23" t="s">
        <v>1252</v>
      </c>
      <c r="E381" s="23" t="s">
        <v>1251</v>
      </c>
      <c r="F381" s="15" t="s">
        <v>339</v>
      </c>
      <c r="G381" s="23" t="s">
        <v>340</v>
      </c>
      <c r="O381" s="24" t="str">
        <f>テーブル1[[#This Row],[リンク]]&amp;テーブル1[[#This Row],[描画状況]]</f>
        <v>https://torinosu-hikikomori.jimdofree.com</v>
      </c>
      <c r="P381" s="17">
        <f>1-(COUNTIF(O:O,_xlfn.TEXTJOIN(",",TRUE,テーブル1[[#This Row],[リンク]],テーブル1[[#This Row],[描画状況]]))/COUNTIF(F:F,テーブル1[[#This Row],[リンク]]))</f>
        <v>0.125</v>
      </c>
      <c r="Q381" s="16">
        <f ca="1">IFERROR(IF(テーブル1[[#This Row],[描画状況]]="",RAND()+(テーブル1[[#This Row],[列2]]*100),""),RAND())</f>
        <v>13.069696460292102</v>
      </c>
      <c r="S381" s="24" t="str">
        <f ca="1">IF(AND(テーブル1[[#This Row],[描画状況]]="済",テーブル1[[#This Row],[投稿状況]]=""),RAND(),"")</f>
        <v/>
      </c>
      <c r="T381" s="23" t="str">
        <f>"|&amp;image("&amp;テーブル1[[#This Row],[画像]]&amp;".png,width=100,height=100)"</f>
        <v>|&amp;image(finalkamenppoino.png,width=100,height=100)</v>
      </c>
      <c r="U381" s="23" t="str">
        <f>"|MIDDLE:​"&amp;テーブル1[[#This Row],[名前]]</f>
        <v>|MIDDLE:​ファイナル仮面っぽいの</v>
      </c>
      <c r="V381" s="23" t="str">
        <f>"|MIDDLE:​"&amp;テーブル1[[#This Row],[なまえ]]</f>
        <v>|MIDDLE:​ふぁいなるかめんっぽいの</v>
      </c>
      <c r="W381" s="23" t="str">
        <f>"|MIDDLE:​"&amp;テーブル1[[#This Row],[Name]]</f>
        <v>|MIDDLE:​Finalkamenppoino</v>
      </c>
      <c r="X381" s="23" t="str">
        <f>"|MIDDLE:​&amp;link(配布所はこちら){​"&amp;テーブル1[[#This Row],[リンク]]&amp;"}|"</f>
        <v>|MIDDLE:​&amp;link(配布所はこちら){​https://torinosu-hikikomori.jimdofree.com}|</v>
      </c>
    </row>
    <row r="382" spans="2:24" ht="20.149999999999999" customHeight="1" x14ac:dyDescent="0.35">
      <c r="B382" s="23" t="str">
        <f>SUBSTITUTE(SUBSTITUTE(SUBSTITUTE(SUBSTITUTE(SUBSTITUTE(SUBSTITUTE(SUBSTITUTE(SUBSTITUTE(LOWER(テーブル1[[#This Row],[Name]])," ","-"),".","-"),"&amp;","-"),"_","-"),"・","-"),"=","-"),"--","-"),"--","-")</f>
        <v>hukagyaku</v>
      </c>
      <c r="C382" s="24" t="s">
        <v>1283</v>
      </c>
      <c r="D382" s="23" t="s">
        <v>1285</v>
      </c>
      <c r="E382" s="23" t="s">
        <v>1284</v>
      </c>
      <c r="F382" s="15" t="s">
        <v>177</v>
      </c>
      <c r="G382" s="24" t="s">
        <v>1294</v>
      </c>
      <c r="H382" s="24"/>
      <c r="I382" s="24"/>
      <c r="J382" s="24"/>
      <c r="K382" s="24"/>
      <c r="L382" s="24"/>
      <c r="O382" s="24" t="str">
        <f>テーブル1[[#This Row],[リンク]]&amp;テーブル1[[#This Row],[描画状況]]</f>
        <v>https://lenskkpb.wixsite.com/len-sakaki-official</v>
      </c>
      <c r="P382" s="17">
        <f>1-(COUNTIF(O:O,_xlfn.TEXTJOIN(",",TRUE,テーブル1[[#This Row],[リンク]],テーブル1[[#This Row],[描画状況]]))/COUNTIF(F:F,テーブル1[[#This Row],[リンク]]))</f>
        <v>0.125</v>
      </c>
      <c r="Q382" s="16">
        <f ca="1">IFERROR(IF(テーブル1[[#This Row],[描画状況]]="",RAND()+(テーブル1[[#This Row],[列2]]*100),""),RAND())</f>
        <v>12.573076638168873</v>
      </c>
      <c r="S382" s="24" t="str">
        <f ca="1">IF(AND(テーブル1[[#This Row],[描画状況]]="済",テーブル1[[#This Row],[投稿状況]]=""),RAND(),"")</f>
        <v/>
      </c>
      <c r="T382" s="23" t="str">
        <f>"|&amp;image("&amp;テーブル1[[#This Row],[画像]]&amp;".png,width=100,height=100)"</f>
        <v>|&amp;image(hukagyaku.png,width=100,height=100)</v>
      </c>
      <c r="U382" s="23" t="str">
        <f>"|MIDDLE:​"&amp;テーブル1[[#This Row],[名前]]</f>
        <v>|MIDDLE:​不彁逆</v>
      </c>
      <c r="V382" s="23" t="str">
        <f>"|MIDDLE:​"&amp;テーブル1[[#This Row],[なまえ]]</f>
        <v>|MIDDLE:​ふかぎゃく</v>
      </c>
      <c r="W382" s="23" t="str">
        <f>"|MIDDLE:​"&amp;テーブル1[[#This Row],[Name]]</f>
        <v>|MIDDLE:​Hukagyaku</v>
      </c>
      <c r="X382" s="23" t="str">
        <f>"|MIDDLE:​&amp;link(配布所はこちら){​"&amp;テーブル1[[#This Row],[リンク]]&amp;"}|"</f>
        <v>|MIDDLE:​&amp;link(配布所はこちら){​https://lenskkpb.wixsite.com/len-sakaki-official}|</v>
      </c>
    </row>
    <row r="383" spans="2:24" ht="20.149999999999999" customHeight="1" x14ac:dyDescent="0.35">
      <c r="B383" s="23" t="str">
        <f>SUBSTITUTE(SUBSTITUTE(SUBSTITUTE(SUBSTITUTE(SUBSTITUTE(SUBSTITUTE(SUBSTITUTE(SUBSTITUTE(LOWER(テーブル1[[#This Row],[Name]])," ","-"),".","-"),"&amp;","-"),"_","-"),"・","-"),"=","-"),"--","-"),"--","-")</f>
        <v>fujigasaki-karin</v>
      </c>
      <c r="C383" s="24" t="s">
        <v>1327</v>
      </c>
      <c r="D383" s="23" t="s">
        <v>1329</v>
      </c>
      <c r="E383" s="23" t="s">
        <v>1328</v>
      </c>
      <c r="F383" s="15" t="s">
        <v>1321</v>
      </c>
      <c r="G383" s="23" t="str">
        <f>テーブル1[[#This Row],[名前]]&amp;"(UTAU)"</f>
        <v>藤ヶ崎華凜(UTAU)</v>
      </c>
      <c r="O383" s="24" t="str">
        <f>テーブル1[[#This Row],[リンク]]&amp;テーブル1[[#This Row],[描画状況]]</f>
        <v>https://jiwajiwakirinn.wixsite.com/sakurada</v>
      </c>
      <c r="P383" s="17">
        <f>1-(COUNTIF(O:O,_xlfn.TEXTJOIN(",",TRUE,テーブル1[[#This Row],[リンク]],テーブル1[[#This Row],[描画状況]]))/COUNTIF(F:F,テーブル1[[#This Row],[リンク]]))</f>
        <v>0.19999999999999996</v>
      </c>
      <c r="Q383" s="16">
        <f ca="1">IFERROR(IF(テーブル1[[#This Row],[描画状況]]="",RAND()+(テーブル1[[#This Row],[列2]]*100),""),RAND())</f>
        <v>20.684184553954641</v>
      </c>
      <c r="S383" s="24" t="str">
        <f ca="1">IF(AND(テーブル1[[#This Row],[描画状況]]="済",テーブル1[[#This Row],[投稿状況]]=""),RAND(),"")</f>
        <v/>
      </c>
      <c r="T383" s="23" t="str">
        <f>"|&amp;image("&amp;テーブル1[[#This Row],[画像]]&amp;".png,width=100,height=100)"</f>
        <v>|&amp;image(fujigasaki-karin.png,width=100,height=100)</v>
      </c>
      <c r="U383" s="23" t="str">
        <f>"|MIDDLE:​"&amp;テーブル1[[#This Row],[名前]]</f>
        <v>|MIDDLE:​藤ヶ崎華凜</v>
      </c>
      <c r="V383" s="23" t="str">
        <f>"|MIDDLE:​"&amp;テーブル1[[#This Row],[なまえ]]</f>
        <v>|MIDDLE:​ふじがさき かりん</v>
      </c>
      <c r="W383" s="23" t="str">
        <f>"|MIDDLE:​"&amp;テーブル1[[#This Row],[Name]]</f>
        <v>|MIDDLE:​Fujigasaki Karin</v>
      </c>
      <c r="X383" s="23" t="str">
        <f>"|MIDDLE:​&amp;link(配布所はこちら){​"&amp;テーブル1[[#This Row],[リンク]]&amp;"}|"</f>
        <v>|MIDDLE:​&amp;link(配布所はこちら){​https://jiwajiwakirinn.wixsite.com/sakurada}|</v>
      </c>
    </row>
    <row r="384" spans="2:24" ht="20.149999999999999" customHeight="1" x14ac:dyDescent="0.35">
      <c r="B384" s="23" t="str">
        <f>SUBSTITUTE(SUBSTITUTE(SUBSTITUTE(SUBSTITUTE(SUBSTITUTE(SUBSTITUTE(SUBSTITUTE(SUBSTITUTE(LOWER(テーブル1[[#This Row],[Name]])," ","-"),".","-"),"&amp;","-"),"_","-"),"・","-"),"=","-"),"--","-"),"--","-")</f>
        <v>flowery</v>
      </c>
      <c r="C384" s="24" t="s">
        <v>577</v>
      </c>
      <c r="D384" s="23" t="s">
        <v>578</v>
      </c>
      <c r="E384" s="23" t="s">
        <v>579</v>
      </c>
      <c r="F384" s="2" t="s">
        <v>580</v>
      </c>
      <c r="G384" s="23" t="s">
        <v>581</v>
      </c>
      <c r="O384" s="24" t="str">
        <f>テーブル1[[#This Row],[リンク]]&amp;テーブル1[[#This Row],[描画状況]]</f>
        <v>https://lit.link/lilyHaruzion</v>
      </c>
      <c r="P384" s="17">
        <f>1-(COUNTIF(O:O,_xlfn.TEXTJOIN(",",TRUE,テーブル1[[#This Row],[リンク]],テーブル1[[#This Row],[描画状況]]))/COUNTIF(F:F,テーブル1[[#This Row],[リンク]]))</f>
        <v>0</v>
      </c>
      <c r="Q384" s="16">
        <f ca="1">IFERROR(IF(テーブル1[[#This Row],[描画状況]]="",RAND()+(テーブル1[[#This Row],[列2]]*100),""),RAND())</f>
        <v>0.53052163295537413</v>
      </c>
      <c r="S384" s="24" t="str">
        <f ca="1">IF(AND(テーブル1[[#This Row],[描画状況]]="済",テーブル1[[#This Row],[投稿状況]]=""),RAND(),"")</f>
        <v/>
      </c>
      <c r="T384" s="23" t="str">
        <f>"|&amp;image("&amp;テーブル1[[#This Row],[画像]]&amp;".png,width=100,height=100)"</f>
        <v>|&amp;image(flowery.png,width=100,height=100)</v>
      </c>
      <c r="U384" s="23" t="str">
        <f>"|MIDDLE:​"&amp;テーブル1[[#This Row],[名前]]</f>
        <v>|MIDDLE:​フローリィ</v>
      </c>
      <c r="V384" s="23" t="str">
        <f>"|MIDDLE:​"&amp;テーブル1[[#This Row],[なまえ]]</f>
        <v>|MIDDLE:​ふろーりぃ</v>
      </c>
      <c r="W384" s="23" t="str">
        <f>"|MIDDLE:​"&amp;テーブル1[[#This Row],[Name]]</f>
        <v>|MIDDLE:​Flowery</v>
      </c>
      <c r="X384" s="23" t="str">
        <f>"|MIDDLE:​&amp;link(配布所はこちら){​"&amp;テーブル1[[#This Row],[リンク]]&amp;"}|"</f>
        <v>|MIDDLE:​&amp;link(配布所はこちら){​https://lit.link/lilyHaruzion}|</v>
      </c>
    </row>
    <row r="385" spans="2:24" ht="20.149999999999999" customHeight="1" x14ac:dyDescent="0.35">
      <c r="B385" s="23" t="str">
        <f>SUBSTITUTE(SUBSTITUTE(SUBSTITUTE(SUBSTITUTE(SUBSTITUTE(SUBSTITUTE(SUBSTITUTE(SUBSTITUTE(LOWER(テーブル1[[#This Row],[Name]])," ","-"),".","-"),"&amp;","-"),"_","-"),"・","-"),"=","-"),"--","-"),"--","-")</f>
        <v>fuwane-fasora</v>
      </c>
      <c r="C385" s="24" t="s">
        <v>1204</v>
      </c>
      <c r="D385" s="23" t="s">
        <v>1205</v>
      </c>
      <c r="E385" s="23" t="s">
        <v>1206</v>
      </c>
      <c r="F385" s="15" t="s">
        <v>684</v>
      </c>
      <c r="G385" s="23" t="s">
        <v>1207</v>
      </c>
      <c r="O385" s="24" t="str">
        <f>テーブル1[[#This Row],[リンク]]&amp;テーブル1[[#This Row],[描画状況]]</f>
        <v>https://okome32500.wixsite.com/onekomochi</v>
      </c>
      <c r="P385" s="17">
        <f>1-(COUNTIF(O:O,_xlfn.TEXTJOIN(",",TRUE,テーブル1[[#This Row],[リンク]],テーブル1[[#This Row],[描画状況]]))/COUNTIF(F:F,テーブル1[[#This Row],[リンク]]))</f>
        <v>0.33333333333333337</v>
      </c>
      <c r="Q385" s="16">
        <f ca="1">IFERROR(IF(テーブル1[[#This Row],[描画状況]]="",RAND()+(テーブル1[[#This Row],[列2]]*100),""),RAND())</f>
        <v>33.693320227307673</v>
      </c>
      <c r="S385" s="24" t="str">
        <f ca="1">IF(AND(テーブル1[[#This Row],[描画状況]]="済",テーブル1[[#This Row],[投稿状況]]=""),RAND(),"")</f>
        <v/>
      </c>
      <c r="T385" s="23" t="str">
        <f>"|&amp;image("&amp;テーブル1[[#This Row],[画像]]&amp;".png,width=100,height=100)"</f>
        <v>|&amp;image(fuwane-fasora.png,width=100,height=100)</v>
      </c>
      <c r="U385" s="23" t="str">
        <f>"|MIDDLE:​"&amp;テーブル1[[#This Row],[名前]]</f>
        <v>|MIDDLE:​不和音ファソラ</v>
      </c>
      <c r="V385" s="23" t="str">
        <f>"|MIDDLE:​"&amp;テーブル1[[#This Row],[なまえ]]</f>
        <v>|MIDDLE:​ふわね ふぁそら</v>
      </c>
      <c r="W385" s="23" t="str">
        <f>"|MIDDLE:​"&amp;テーブル1[[#This Row],[Name]]</f>
        <v>|MIDDLE:​Fuwane Fasora</v>
      </c>
      <c r="X385" s="23" t="str">
        <f>"|MIDDLE:​&amp;link(配布所はこちら){​"&amp;テーブル1[[#This Row],[リンク]]&amp;"}|"</f>
        <v>|MIDDLE:​&amp;link(配布所はこちら){​https://okome32500.wixsite.com/onekomochi}|</v>
      </c>
    </row>
    <row r="386" spans="2:24" ht="20.149999999999999" customHeight="1" x14ac:dyDescent="0.35">
      <c r="B386" s="23" t="str">
        <f>SUBSTITUTE(SUBSTITUTE(SUBSTITUTE(SUBSTITUTE(SUBSTITUTE(SUBSTITUTE(SUBSTITUTE(SUBSTITUTE(LOWER(テーブル1[[#This Row],[Name]])," ","-"),".","-"),"&amp;","-"),"_","-"),"・","-"),"=","-"),"--","-"),"--","-")</f>
        <v>hoeura-mou</v>
      </c>
      <c r="C386" s="24" t="s">
        <v>987</v>
      </c>
      <c r="D386" s="23" t="s">
        <v>989</v>
      </c>
      <c r="E386" s="23" t="s">
        <v>988</v>
      </c>
      <c r="F386" s="2" t="s">
        <v>572</v>
      </c>
      <c r="G386" s="23" t="s">
        <v>573</v>
      </c>
      <c r="M386" s="1" t="s">
        <v>1517</v>
      </c>
      <c r="O386" s="24" t="str">
        <f>テーブル1[[#This Row],[リンク]]&amp;テーブル1[[#This Row],[描画状況]]</f>
        <v>https://askdance.wixsite.com/monitor-room/monitor-room</v>
      </c>
      <c r="P386" s="17">
        <f>1-(COUNTIF(O:O,_xlfn.TEXTJOIN(",",TRUE,テーブル1[[#This Row],[リンク]],テーブル1[[#This Row],[描画状況]]))/COUNTIF(F:F,テーブル1[[#This Row],[リンク]]))</f>
        <v>9.9999999999999978E-2</v>
      </c>
      <c r="Q386" s="16">
        <f ca="1">IFERROR(IF(テーブル1[[#This Row],[描画状況]]="",RAND()+(テーブル1[[#This Row],[列2]]*100),""),RAND())</f>
        <v>10.059769669089683</v>
      </c>
      <c r="S386" s="24" t="str">
        <f ca="1">IF(AND(テーブル1[[#This Row],[描画状況]]="済",テーブル1[[#This Row],[投稿状況]]=""),RAND(),"")</f>
        <v/>
      </c>
      <c r="T386" s="23" t="str">
        <f>"|&amp;image("&amp;テーブル1[[#This Row],[画像]]&amp;".png,width=100,height=100)"</f>
        <v>|&amp;image(hoeura-mou.png,width=100,height=100)</v>
      </c>
      <c r="U386" s="23" t="str">
        <f>"|MIDDLE:​"&amp;テーブル1[[#This Row],[名前]]</f>
        <v>|MIDDLE:​​吠浦モウ</v>
      </c>
      <c r="V386" s="23" t="str">
        <f>"|MIDDLE:​"&amp;テーブル1[[#This Row],[なまえ]]</f>
        <v>|MIDDLE:​ほえうら もう</v>
      </c>
      <c r="W386" s="23" t="str">
        <f>"|MIDDLE:​"&amp;テーブル1[[#This Row],[Name]]</f>
        <v>|MIDDLE:​Hoeura Mou</v>
      </c>
      <c r="X386" s="23" t="str">
        <f>"|MIDDLE:​&amp;link(配布所はこちら){​"&amp;テーブル1[[#This Row],[リンク]]&amp;"}|"</f>
        <v>|MIDDLE:​&amp;link(配布所はこちら){​https://askdance.wixsite.com/monitor-room/monitor-room}|</v>
      </c>
    </row>
    <row r="387" spans="2:24" ht="20.149999999999999" customHeight="1" x14ac:dyDescent="0.35">
      <c r="B387" s="23" t="str">
        <f>SUBSTITUTE(SUBSTITUTE(SUBSTITUTE(SUBSTITUTE(SUBSTITUTE(SUBSTITUTE(SUBSTITUTE(SUBSTITUTE(LOWER(テーブル1[[#This Row],[Name]])," ","-"),".","-"),"&amp;","-"),"_","-"),"・","-"),"=","-"),"--","-"),"--","-")</f>
        <v>houloid</v>
      </c>
      <c r="C387" s="24" t="s">
        <v>1248</v>
      </c>
      <c r="D387" s="23" t="s">
        <v>1248</v>
      </c>
      <c r="E387" s="23" t="s">
        <v>1247</v>
      </c>
      <c r="F387" s="15" t="s">
        <v>339</v>
      </c>
      <c r="G387" s="23" t="s">
        <v>340</v>
      </c>
      <c r="O387" s="24" t="str">
        <f>テーブル1[[#This Row],[リンク]]&amp;テーブル1[[#This Row],[描画状況]]</f>
        <v>https://torinosu-hikikomori.jimdofree.com</v>
      </c>
      <c r="P387" s="17">
        <f>1-(COUNTIF(O:O,_xlfn.TEXTJOIN(",",TRUE,テーブル1[[#This Row],[リンク]],テーブル1[[#This Row],[描画状況]]))/COUNTIF(F:F,テーブル1[[#This Row],[リンク]]))</f>
        <v>0.125</v>
      </c>
      <c r="Q387" s="16">
        <f ca="1">IFERROR(IF(テーブル1[[#This Row],[描画状況]]="",RAND()+(テーブル1[[#This Row],[列2]]*100),""),RAND())</f>
        <v>12.573429958353818</v>
      </c>
      <c r="S387" s="24" t="str">
        <f ca="1">IF(AND(テーブル1[[#This Row],[描画状況]]="済",テーブル1[[#This Row],[投稿状況]]=""),RAND(),"")</f>
        <v/>
      </c>
      <c r="T387" s="23" t="str">
        <f>"|&amp;image("&amp;テーブル1[[#This Row],[画像]]&amp;".png,width=100,height=100)"</f>
        <v>|&amp;image(houloid.png,width=100,height=100)</v>
      </c>
      <c r="U387" s="23" t="str">
        <f>"|MIDDLE:​"&amp;テーブル1[[#This Row],[名前]]</f>
        <v>|MIDDLE:​ほーろいど</v>
      </c>
      <c r="V387" s="23" t="str">
        <f>"|MIDDLE:​"&amp;テーブル1[[#This Row],[なまえ]]</f>
        <v>|MIDDLE:​ほーろいど</v>
      </c>
      <c r="W387" s="23" t="str">
        <f>"|MIDDLE:​"&amp;テーブル1[[#This Row],[Name]]</f>
        <v>|MIDDLE:​Houloid</v>
      </c>
      <c r="X387" s="23" t="str">
        <f>"|MIDDLE:​&amp;link(配布所はこちら){​"&amp;テーブル1[[#This Row],[リンク]]&amp;"}|"</f>
        <v>|MIDDLE:​&amp;link(配布所はこちら){​https://torinosu-hikikomori.jimdofree.com}|</v>
      </c>
    </row>
    <row r="388" spans="2:24" ht="20.149999999999999" customHeight="1" x14ac:dyDescent="0.35">
      <c r="B388" s="23" t="str">
        <f>SUBSTITUTE(SUBSTITUTE(SUBSTITUTE(SUBSTITUTE(SUBSTITUTE(SUBSTITUTE(SUBSTITUTE(SUBSTITUTE(LOWER(テーブル1[[#This Row],[Name]])," ","-"),".","-"),"&amp;","-"),"_","-"),"・","-"),"=","-"),"--","-"),"--","-")</f>
        <v>honomura-azumi</v>
      </c>
      <c r="C388" s="24" t="s">
        <v>1330</v>
      </c>
      <c r="D388" s="23" t="s">
        <v>1332</v>
      </c>
      <c r="E388" s="23" t="s">
        <v>1331</v>
      </c>
      <c r="F388" s="15" t="s">
        <v>1321</v>
      </c>
      <c r="G388" s="23" t="str">
        <f>テーブル1[[#This Row],[名前]]&amp;"(UTAU)"</f>
        <v>火ノ叢杏実(UTAU)</v>
      </c>
      <c r="O388" s="24" t="str">
        <f>テーブル1[[#This Row],[リンク]]&amp;テーブル1[[#This Row],[描画状況]]</f>
        <v>https://jiwajiwakirinn.wixsite.com/sakurada</v>
      </c>
      <c r="P388" s="17">
        <f>1-(COUNTIF(O:O,_xlfn.TEXTJOIN(",",TRUE,テーブル1[[#This Row],[リンク]],テーブル1[[#This Row],[描画状況]]))/COUNTIF(F:F,テーブル1[[#This Row],[リンク]]))</f>
        <v>0.19999999999999996</v>
      </c>
      <c r="Q388" s="16">
        <f ca="1">IFERROR(IF(テーブル1[[#This Row],[描画状況]]="",RAND()+(テーブル1[[#This Row],[列2]]*100),""),RAND())</f>
        <v>20.090077090735477</v>
      </c>
      <c r="S388" s="24" t="str">
        <f ca="1">IF(AND(テーブル1[[#This Row],[描画状況]]="済",テーブル1[[#This Row],[投稿状況]]=""),RAND(),"")</f>
        <v/>
      </c>
      <c r="T388" s="23" t="str">
        <f>"|&amp;image("&amp;テーブル1[[#This Row],[画像]]&amp;".png,width=100,height=100)"</f>
        <v>|&amp;image(honomura-azumi.png,width=100,height=100)</v>
      </c>
      <c r="U388" s="23" t="str">
        <f>"|MIDDLE:​"&amp;テーブル1[[#This Row],[名前]]</f>
        <v>|MIDDLE:​火ノ叢杏実</v>
      </c>
      <c r="V388" s="23" t="str">
        <f>"|MIDDLE:​"&amp;テーブル1[[#This Row],[なまえ]]</f>
        <v>|MIDDLE:​ほのむら あずみ</v>
      </c>
      <c r="W388" s="23" t="str">
        <f>"|MIDDLE:​"&amp;テーブル1[[#This Row],[Name]]</f>
        <v>|MIDDLE:​Honomura Azumi</v>
      </c>
      <c r="X388" s="23" t="str">
        <f>"|MIDDLE:​&amp;link(配布所はこちら){​"&amp;テーブル1[[#This Row],[リンク]]&amp;"}|"</f>
        <v>|MIDDLE:​&amp;link(配布所はこちら){​https://jiwajiwakirinn.wixsite.com/sakurada}|</v>
      </c>
    </row>
    <row r="389" spans="2:24" ht="20.149999999999999" customHeight="1" x14ac:dyDescent="0.35">
      <c r="B389" s="23" t="str">
        <f>SUBSTITUTE(SUBSTITUTE(SUBSTITUTE(SUBSTITUTE(SUBSTITUTE(SUBSTITUTE(SUBSTITUTE(SUBSTITUTE(LOWER(テーブル1[[#This Row],[Name]])," ","-"),".","-"),"&amp;","-"),"_","-"),"・","-"),"=","-"),"--","-"),"--","-")</f>
        <v>maetsuki-kumo</v>
      </c>
      <c r="C389" s="24" t="s">
        <v>700</v>
      </c>
      <c r="D389" s="23" t="s">
        <v>702</v>
      </c>
      <c r="E389" s="23" t="s">
        <v>701</v>
      </c>
      <c r="F389" s="2" t="s">
        <v>698</v>
      </c>
      <c r="G389" s="23" t="s">
        <v>699</v>
      </c>
      <c r="O389" s="24" t="str">
        <f>テーブル1[[#This Row],[リンク]]&amp;テーブル1[[#This Row],[描画状況]]</f>
        <v>https://jnsea010.wixsite.com/kkamchoutau</v>
      </c>
      <c r="P389" s="17">
        <f>1-(COUNTIF(O:O,_xlfn.TEXTJOIN(",",TRUE,テーブル1[[#This Row],[リンク]],テーブル1[[#This Row],[描画状況]]))/COUNTIF(F:F,テーブル1[[#This Row],[リンク]]))</f>
        <v>0</v>
      </c>
      <c r="Q389" s="16">
        <f ca="1">IFERROR(IF(テーブル1[[#This Row],[描画状況]]="",RAND()+(テーブル1[[#This Row],[列2]]*100),""),RAND())</f>
        <v>0.20994690550876316</v>
      </c>
      <c r="S389" s="24" t="str">
        <f ca="1">IF(AND(テーブル1[[#This Row],[描画状況]]="済",テーブル1[[#This Row],[投稿状況]]=""),RAND(),"")</f>
        <v/>
      </c>
      <c r="T389" s="23" t="str">
        <f>"|&amp;image("&amp;テーブル1[[#This Row],[画像]]&amp;".png,width=100,height=100)"</f>
        <v>|&amp;image(maetsuki-kumo.png,width=100,height=100)</v>
      </c>
      <c r="U389" s="23" t="str">
        <f>"|MIDDLE:​"&amp;テーブル1[[#This Row],[名前]]</f>
        <v>|MIDDLE:​前月クモ</v>
      </c>
      <c r="V389" s="23" t="str">
        <f>"|MIDDLE:​"&amp;テーブル1[[#This Row],[なまえ]]</f>
        <v>|MIDDLE:​まえつき くも</v>
      </c>
      <c r="W389" s="23" t="str">
        <f>"|MIDDLE:​"&amp;テーブル1[[#This Row],[Name]]</f>
        <v>|MIDDLE:​Maetsuki Kumo</v>
      </c>
      <c r="X389" s="23" t="str">
        <f>"|MIDDLE:​&amp;link(配布所はこちら){​"&amp;テーブル1[[#This Row],[リンク]]&amp;"}|"</f>
        <v>|MIDDLE:​&amp;link(配布所はこちら){​https://jnsea010.wixsite.com/kkamchoutau}|</v>
      </c>
    </row>
    <row r="390" spans="2:24" ht="20.149999999999999" customHeight="1" x14ac:dyDescent="0.35">
      <c r="B390" s="23" t="str">
        <f>SUBSTITUTE(SUBSTITUTE(SUBSTITUTE(SUBSTITUTE(SUBSTITUTE(SUBSTITUTE(SUBSTITUTE(SUBSTITUTE(LOWER(テーブル1[[#This Row],[Name]])," ","-"),".","-"),"&amp;","-"),"_","-"),"・","-"),"=","-"),"--","-"),"--","-")</f>
        <v>mazane-nono</v>
      </c>
      <c r="C390" s="24" t="s">
        <v>1071</v>
      </c>
      <c r="D390" s="23" t="s">
        <v>1072</v>
      </c>
      <c r="E390" s="23" t="s">
        <v>1073</v>
      </c>
      <c r="F390" s="15" t="s">
        <v>1066</v>
      </c>
      <c r="G390" s="23" t="s">
        <v>1067</v>
      </c>
      <c r="O390" s="24" t="str">
        <f>テーブル1[[#This Row],[リンク]]&amp;テーブル1[[#This Row],[描画状況]]</f>
        <v>https://yukimiyashimusho.jimdofree.com</v>
      </c>
      <c r="P390" s="17">
        <f>1-(COUNTIF(O:O,_xlfn.TEXTJOIN(",",TRUE,テーブル1[[#This Row],[リンク]],テーブル1[[#This Row],[描画状況]]))/COUNTIF(F:F,テーブル1[[#This Row],[リンク]]))</f>
        <v>7.1428571428571397E-2</v>
      </c>
      <c r="Q390" s="16">
        <f ca="1">IFERROR(IF(テーブル1[[#This Row],[描画状況]]="",RAND()+(テーブル1[[#This Row],[列2]]*100),""),RAND())</f>
        <v>7.1761166456120389</v>
      </c>
      <c r="S390" s="24" t="str">
        <f ca="1">IF(AND(テーブル1[[#This Row],[描画状況]]="済",テーブル1[[#This Row],[投稿状況]]=""),RAND(),"")</f>
        <v/>
      </c>
      <c r="T390" s="23" t="str">
        <f>"|&amp;image("&amp;テーブル1[[#This Row],[画像]]&amp;".png,width=100,height=100)"</f>
        <v>|&amp;image(mazane-nono.png,width=100,height=100)</v>
      </c>
      <c r="U390" s="23" t="str">
        <f>"|MIDDLE:​"&amp;テーブル1[[#This Row],[名前]]</f>
        <v>|MIDDLE:​混音ノノ</v>
      </c>
      <c r="V390" s="23" t="str">
        <f>"|MIDDLE:​"&amp;テーブル1[[#This Row],[なまえ]]</f>
        <v>|MIDDLE:​まざね のの</v>
      </c>
      <c r="W390" s="23" t="str">
        <f>"|MIDDLE:​"&amp;テーブル1[[#This Row],[Name]]</f>
        <v>|MIDDLE:​Mazane Nono</v>
      </c>
      <c r="X390" s="23" t="str">
        <f>"|MIDDLE:​&amp;link(配布所はこちら){​"&amp;テーブル1[[#This Row],[リンク]]&amp;"}|"</f>
        <v>|MIDDLE:​&amp;link(配布所はこちら){​https://yukimiyashimusho.jimdofree.com}|</v>
      </c>
    </row>
    <row r="391" spans="2:24" ht="20.149999999999999" customHeight="1" x14ac:dyDescent="0.35">
      <c r="B391" s="23" t="str">
        <f>SUBSTITUTE(SUBSTITUTE(SUBSTITUTE(SUBSTITUTE(SUBSTITUTE(SUBSTITUTE(SUBSTITUTE(SUBSTITUTE(LOWER(テーブル1[[#This Row],[Name]])," ","-"),".","-"),"&amp;","-"),"_","-"),"・","-"),"=","-"),"--","-"),"--","-")</f>
        <v>madowaku</v>
      </c>
      <c r="C391" s="24" t="s">
        <v>1449</v>
      </c>
      <c r="D391" s="23" t="s">
        <v>1450</v>
      </c>
      <c r="E391" s="23" t="s">
        <v>1451</v>
      </c>
      <c r="F391" s="15" t="s">
        <v>1447</v>
      </c>
      <c r="G391" s="23" t="s">
        <v>1448</v>
      </c>
      <c r="O391" s="24" t="str">
        <f>テーブル1[[#This Row],[リンク]]&amp;テーブル1[[#This Row],[描画状況]]</f>
        <v>https://bowlroll.net/user/992955</v>
      </c>
      <c r="P391" s="17">
        <f>1-(COUNTIF(O:O,_xlfn.TEXTJOIN(",",TRUE,テーブル1[[#This Row],[リンク]],テーブル1[[#This Row],[描画状況]]))/COUNTIF(F:F,テーブル1[[#This Row],[リンク]]))</f>
        <v>0</v>
      </c>
      <c r="Q391" s="16">
        <f ca="1">IFERROR(IF(テーブル1[[#This Row],[描画状況]]="",RAND()+(テーブル1[[#This Row],[列2]]*100),""),RAND())</f>
        <v>0.97767700306256333</v>
      </c>
      <c r="S391" s="24" t="str">
        <f ca="1">IF(AND(テーブル1[[#This Row],[描画状況]]="済",テーブル1[[#This Row],[投稿状況]]=""),RAND(),"")</f>
        <v/>
      </c>
      <c r="T391" s="23" t="str">
        <f>"|&amp;image("&amp;テーブル1[[#This Row],[画像]]&amp;".png,width=100,height=100)"</f>
        <v>|&amp;image(madowaku.png,width=100,height=100)</v>
      </c>
      <c r="U391" s="23" t="str">
        <f>"|MIDDLE:​"&amp;テーブル1[[#This Row],[名前]]</f>
        <v>|MIDDLE:​窓惑</v>
      </c>
      <c r="V391" s="23" t="str">
        <f>"|MIDDLE:​"&amp;テーブル1[[#This Row],[なまえ]]</f>
        <v>|MIDDLE:​まどわく</v>
      </c>
      <c r="W391" s="23" t="str">
        <f>"|MIDDLE:​"&amp;テーブル1[[#This Row],[Name]]</f>
        <v>|MIDDLE:​Madowaku</v>
      </c>
      <c r="X391" s="23" t="str">
        <f>"|MIDDLE:​&amp;link(配布所はこちら){​"&amp;テーブル1[[#This Row],[リンク]]&amp;"}|"</f>
        <v>|MIDDLE:​&amp;link(配布所はこちら){​https://bowlroll.net/user/992955}|</v>
      </c>
    </row>
    <row r="392" spans="2:24" ht="20.149999999999999" customHeight="1" x14ac:dyDescent="0.35">
      <c r="B392" s="23" t="str">
        <f>SUBSTITUTE(SUBSTITUTE(SUBSTITUTE(SUBSTITUTE(SUBSTITUTE(SUBSTITUTE(SUBSTITUTE(SUBSTITUTE(LOWER(テーブル1[[#This Row],[Name]])," ","-"),".","-"),"&amp;","-"),"_","-"),"・","-"),"=","-"),"--","-"),"--","-")</f>
        <v>manenari</v>
      </c>
      <c r="C392" s="24" t="s">
        <v>1139</v>
      </c>
      <c r="D392" s="23" t="s">
        <v>1141</v>
      </c>
      <c r="E392" s="23" t="s">
        <v>1142</v>
      </c>
      <c r="F392" s="15" t="s">
        <v>1143</v>
      </c>
      <c r="G392" s="23" t="str">
        <f>テーブル1[[#This Row],[名前]]&amp;"(UTAU)"</f>
        <v>マネナリ(UTAU)</v>
      </c>
      <c r="O392" s="24" t="str">
        <f>テーブル1[[#This Row],[リンク]]&amp;テーブル1[[#This Row],[描画状況]]</f>
        <v>https://yautau.wixsite.com/0909</v>
      </c>
      <c r="P392" s="17">
        <f>1-(COUNTIF(O:O,_xlfn.TEXTJOIN(",",TRUE,テーブル1[[#This Row],[リンク]],テーブル1[[#This Row],[描画状況]]))/COUNTIF(F:F,テーブル1[[#This Row],[リンク]]))</f>
        <v>0.125</v>
      </c>
      <c r="Q392" s="16">
        <f ca="1">IFERROR(IF(テーブル1[[#This Row],[描画状況]]="",RAND()+(テーブル1[[#This Row],[列2]]*100),""),RAND())</f>
        <v>13.285275396653244</v>
      </c>
      <c r="S392" s="24" t="str">
        <f ca="1">IF(AND(テーブル1[[#This Row],[描画状況]]="済",テーブル1[[#This Row],[投稿状況]]=""),RAND(),"")</f>
        <v/>
      </c>
      <c r="T392" s="23" t="str">
        <f>"|&amp;image("&amp;テーブル1[[#This Row],[画像]]&amp;".png,width=100,height=100)"</f>
        <v>|&amp;image(manenari.png,width=100,height=100)</v>
      </c>
      <c r="U392" s="23" t="str">
        <f>"|MIDDLE:​"&amp;テーブル1[[#This Row],[名前]]</f>
        <v>|MIDDLE:​マネナリ</v>
      </c>
      <c r="V392" s="23" t="str">
        <f>"|MIDDLE:​"&amp;テーブル1[[#This Row],[なまえ]]</f>
        <v>|MIDDLE:​まねなり</v>
      </c>
      <c r="W392" s="23" t="str">
        <f>"|MIDDLE:​"&amp;テーブル1[[#This Row],[Name]]</f>
        <v>|MIDDLE:​Manenari</v>
      </c>
      <c r="X392" s="23" t="str">
        <f>"|MIDDLE:​&amp;link(配布所はこちら){​"&amp;テーブル1[[#This Row],[リンク]]&amp;"}|"</f>
        <v>|MIDDLE:​&amp;link(配布所はこちら){​https://yautau.wixsite.com/0909}|</v>
      </c>
    </row>
    <row r="393" spans="2:24" ht="20.149999999999999" customHeight="1" x14ac:dyDescent="0.35">
      <c r="B393" s="23" t="str">
        <f>SUBSTITUTE(SUBSTITUTE(SUBSTITUTE(SUBSTITUTE(SUBSTITUTE(SUBSTITUTE(SUBSTITUTE(SUBSTITUTE(LOWER(テーブル1[[#This Row],[Name]])," ","-"),".","-"),"&amp;","-"),"_","-"),"・","-"),"=","-"),"--","-"),"--","-")</f>
        <v>mamine-fair</v>
      </c>
      <c r="C393" s="24" t="s">
        <v>1068</v>
      </c>
      <c r="D393" s="23" t="s">
        <v>1069</v>
      </c>
      <c r="E393" s="23" t="s">
        <v>1070</v>
      </c>
      <c r="F393" s="15" t="s">
        <v>1066</v>
      </c>
      <c r="G393" s="23" t="s">
        <v>1067</v>
      </c>
      <c r="O393" s="24" t="str">
        <f>テーブル1[[#This Row],[リンク]]&amp;テーブル1[[#This Row],[描画状況]]</f>
        <v>https://yukimiyashimusho.jimdofree.com</v>
      </c>
      <c r="P393" s="17">
        <f>1-(COUNTIF(O:O,_xlfn.TEXTJOIN(",",TRUE,テーブル1[[#This Row],[リンク]],テーブル1[[#This Row],[描画状況]]))/COUNTIF(F:F,テーブル1[[#This Row],[リンク]]))</f>
        <v>7.1428571428571397E-2</v>
      </c>
      <c r="Q393" s="16">
        <f ca="1">IFERROR(IF(テーブル1[[#This Row],[描画状況]]="",RAND()+(テーブル1[[#This Row],[列2]]*100),""),RAND())</f>
        <v>7.3189573452034553</v>
      </c>
      <c r="S393" s="24" t="str">
        <f ca="1">IF(AND(テーブル1[[#This Row],[描画状況]]="済",テーブル1[[#This Row],[投稿状況]]=""),RAND(),"")</f>
        <v/>
      </c>
      <c r="T393" s="23" t="str">
        <f>"|&amp;image("&amp;テーブル1[[#This Row],[画像]]&amp;".png,width=100,height=100)"</f>
        <v>|&amp;image(mamine-fair.png,width=100,height=100)</v>
      </c>
      <c r="U393" s="23" t="str">
        <f>"|MIDDLE:​"&amp;テーブル1[[#This Row],[名前]]</f>
        <v>|MIDDLE:​真実音フェイア</v>
      </c>
      <c r="V393" s="23" t="str">
        <f>"|MIDDLE:​"&amp;テーブル1[[#This Row],[なまえ]]</f>
        <v>|MIDDLE:​まみね ふぇいあ</v>
      </c>
      <c r="W393" s="23" t="str">
        <f>"|MIDDLE:​"&amp;テーブル1[[#This Row],[Name]]</f>
        <v>|MIDDLE:​Mamine Fair</v>
      </c>
      <c r="X393" s="23" t="str">
        <f>"|MIDDLE:​&amp;link(配布所はこちら){​"&amp;テーブル1[[#This Row],[リンク]]&amp;"}|"</f>
        <v>|MIDDLE:​&amp;link(配布所はこちら){​https://yukimiyashimusho.jimdofree.com}|</v>
      </c>
    </row>
    <row r="394" spans="2:24" ht="20.149999999999999" customHeight="1" x14ac:dyDescent="0.35">
      <c r="B394" s="23" t="str">
        <f>SUBSTITUTE(SUBSTITUTE(SUBSTITUTE(SUBSTITUTE(SUBSTITUTE(SUBSTITUTE(SUBSTITUTE(SUBSTITUTE(LOWER(テーブル1[[#This Row],[Name]])," ","-"),".","-"),"&amp;","-"),"_","-"),"・","-"),"=","-"),"--","-"),"--","-")</f>
        <v>myo</v>
      </c>
      <c r="C394" s="24" t="s">
        <v>1096</v>
      </c>
      <c r="D394" s="23" t="s">
        <v>1097</v>
      </c>
      <c r="E394" s="23" t="s">
        <v>1096</v>
      </c>
      <c r="F394" s="15" t="s">
        <v>1066</v>
      </c>
      <c r="G394" s="23" t="s">
        <v>1067</v>
      </c>
      <c r="O394" s="24" t="str">
        <f>テーブル1[[#This Row],[リンク]]&amp;テーブル1[[#This Row],[描画状況]]</f>
        <v>https://yukimiyashimusho.jimdofree.com</v>
      </c>
      <c r="P394" s="17">
        <f>1-(COUNTIF(O:O,_xlfn.TEXTJOIN(",",TRUE,テーブル1[[#This Row],[リンク]],テーブル1[[#This Row],[描画状況]]))/COUNTIF(F:F,テーブル1[[#This Row],[リンク]]))</f>
        <v>7.1428571428571397E-2</v>
      </c>
      <c r="Q394" s="16">
        <f ca="1">IFERROR(IF(テーブル1[[#This Row],[描画状況]]="",RAND()+(テーブル1[[#This Row],[列2]]*100),""),RAND())</f>
        <v>7.6130747651719171</v>
      </c>
      <c r="S394" s="24" t="str">
        <f ca="1">IF(AND(テーブル1[[#This Row],[描画状況]]="済",テーブル1[[#This Row],[投稿状況]]=""),RAND(),"")</f>
        <v/>
      </c>
      <c r="T394" s="23" t="str">
        <f>"|&amp;image("&amp;テーブル1[[#This Row],[画像]]&amp;".png,width=100,height=100)"</f>
        <v>|&amp;image(myo.png,width=100,height=100)</v>
      </c>
      <c r="U394" s="23" t="str">
        <f>"|MIDDLE:​"&amp;テーブル1[[#This Row],[名前]]</f>
        <v>|MIDDLE:​Myo</v>
      </c>
      <c r="V394" s="23" t="str">
        <f>"|MIDDLE:​"&amp;テーブル1[[#This Row],[なまえ]]</f>
        <v>|MIDDLE:​みお</v>
      </c>
      <c r="W394" s="23" t="str">
        <f>"|MIDDLE:​"&amp;テーブル1[[#This Row],[Name]]</f>
        <v>|MIDDLE:​Myo</v>
      </c>
      <c r="X394" s="23" t="str">
        <f>"|MIDDLE:​&amp;link(配布所はこちら){​"&amp;テーブル1[[#This Row],[リンク]]&amp;"}|"</f>
        <v>|MIDDLE:​&amp;link(配布所はこちら){​https://yukimiyashimusho.jimdofree.com}|</v>
      </c>
    </row>
    <row r="395" spans="2:24" ht="20.149999999999999" customHeight="1" x14ac:dyDescent="0.35">
      <c r="B395" s="23" t="str">
        <f>SUBSTITUTE(SUBSTITUTE(SUBSTITUTE(SUBSTITUTE(SUBSTITUTE(SUBSTITUTE(SUBSTITUTE(SUBSTITUTE(LOWER(テーブル1[[#This Row],[Name]])," ","-"),".","-"),"&amp;","-"),"_","-"),"・","-"),"=","-"),"--","-"),"--","-")</f>
        <v>mizou</v>
      </c>
      <c r="C395" s="24" t="s">
        <v>1286</v>
      </c>
      <c r="D395" s="23" t="s">
        <v>1288</v>
      </c>
      <c r="E395" s="23" t="s">
        <v>1287</v>
      </c>
      <c r="F395" s="15" t="s">
        <v>177</v>
      </c>
      <c r="G395" s="24" t="s">
        <v>1295</v>
      </c>
      <c r="H395" s="24"/>
      <c r="I395" s="24"/>
      <c r="J395" s="24"/>
      <c r="K395" s="24"/>
      <c r="L395" s="24"/>
      <c r="O395" s="24" t="str">
        <f>テーブル1[[#This Row],[リンク]]&amp;テーブル1[[#This Row],[描画状況]]</f>
        <v>https://lenskkpb.wixsite.com/len-sakaki-official</v>
      </c>
      <c r="P395" s="17">
        <f>1-(COUNTIF(O:O,_xlfn.TEXTJOIN(",",TRUE,テーブル1[[#This Row],[リンク]],テーブル1[[#This Row],[描画状況]]))/COUNTIF(F:F,テーブル1[[#This Row],[リンク]]))</f>
        <v>0.125</v>
      </c>
      <c r="Q395" s="16">
        <f ca="1">IFERROR(IF(テーブル1[[#This Row],[描画状況]]="",RAND()+(テーブル1[[#This Row],[列2]]*100),""),RAND())</f>
        <v>12.732221704283345</v>
      </c>
      <c r="S395" s="24" t="str">
        <f ca="1">IF(AND(テーブル1[[#This Row],[描画状況]]="済",テーブル1[[#This Row],[投稿状況]]=""),RAND(),"")</f>
        <v/>
      </c>
      <c r="T395" s="23" t="str">
        <f>"|&amp;image("&amp;テーブル1[[#This Row],[画像]]&amp;".png,width=100,height=100)"</f>
        <v>|&amp;image(mizou.png,width=100,height=100)</v>
      </c>
      <c r="U395" s="23" t="str">
        <f>"|MIDDLE:​"&amp;テーブル1[[#This Row],[名前]]</f>
        <v>|MIDDLE:​未曾鬱</v>
      </c>
      <c r="V395" s="23" t="str">
        <f>"|MIDDLE:​"&amp;テーブル1[[#This Row],[なまえ]]</f>
        <v>|MIDDLE:​みぞう</v>
      </c>
      <c r="W395" s="23" t="str">
        <f>"|MIDDLE:​"&amp;テーブル1[[#This Row],[Name]]</f>
        <v>|MIDDLE:​Mizou</v>
      </c>
      <c r="X395" s="23" t="str">
        <f>"|MIDDLE:​&amp;link(配布所はこちら){​"&amp;テーブル1[[#This Row],[リンク]]&amp;"}|"</f>
        <v>|MIDDLE:​&amp;link(配布所はこちら){​https://lenskkpb.wixsite.com/len-sakaki-official}|</v>
      </c>
    </row>
    <row r="396" spans="2:24" ht="20.149999999999999" customHeight="1" x14ac:dyDescent="0.35">
      <c r="B396" s="23" t="str">
        <f>SUBSTITUTE(SUBSTITUTE(SUBSTITUTE(SUBSTITUTE(SUBSTITUTE(SUBSTITUTE(SUBSTITUTE(SUBSTITUTE(LOWER(テーブル1[[#This Row],[Name]])," ","-"),".","-"),"&amp;","-"),"_","-"),"・","-"),"=","-"),"--","-"),"--","-")</f>
        <v>mima</v>
      </c>
      <c r="C396" s="24" t="s">
        <v>1456</v>
      </c>
      <c r="D396" s="23" t="s">
        <v>1457</v>
      </c>
      <c r="E396" s="23" t="s">
        <v>1458</v>
      </c>
      <c r="F396" s="15" t="s">
        <v>1447</v>
      </c>
      <c r="G396" s="23" t="s">
        <v>1448</v>
      </c>
      <c r="O396" s="24" t="str">
        <f>テーブル1[[#This Row],[リンク]]&amp;テーブル1[[#This Row],[描画状況]]</f>
        <v>https://bowlroll.net/user/992955</v>
      </c>
      <c r="P396" s="17">
        <f>1-(COUNTIF(O:O,_xlfn.TEXTJOIN(",",TRUE,テーブル1[[#This Row],[リンク]],テーブル1[[#This Row],[描画状況]]))/COUNTIF(F:F,テーブル1[[#This Row],[リンク]]))</f>
        <v>0</v>
      </c>
      <c r="Q396" s="16">
        <f ca="1">IFERROR(IF(テーブル1[[#This Row],[描画状況]]="",RAND()+(テーブル1[[#This Row],[列2]]*100),""),RAND())</f>
        <v>0.11695890245182772</v>
      </c>
      <c r="S396" s="24" t="str">
        <f ca="1">IF(AND(テーブル1[[#This Row],[描画状況]]="済",テーブル1[[#This Row],[投稿状況]]=""),RAND(),"")</f>
        <v/>
      </c>
      <c r="T396" s="23" t="str">
        <f>"|&amp;image("&amp;テーブル1[[#This Row],[画像]]&amp;".png,width=100,height=100)"</f>
        <v>|&amp;image(mima.png,width=100,height=100)</v>
      </c>
      <c r="U396" s="23" t="str">
        <f>"|MIDDLE:​"&amp;テーブル1[[#This Row],[名前]]</f>
        <v>|MIDDLE:​深真</v>
      </c>
      <c r="V396" s="23" t="str">
        <f>"|MIDDLE:​"&amp;テーブル1[[#This Row],[なまえ]]</f>
        <v>|MIDDLE:​みま</v>
      </c>
      <c r="W396" s="23" t="str">
        <f>"|MIDDLE:​"&amp;テーブル1[[#This Row],[Name]]</f>
        <v>|MIDDLE:​Mima</v>
      </c>
      <c r="X396" s="23" t="str">
        <f>"|MIDDLE:​&amp;link(配布所はこちら){​"&amp;テーブル1[[#This Row],[リンク]]&amp;"}|"</f>
        <v>|MIDDLE:​&amp;link(配布所はこちら){​https://bowlroll.net/user/992955}|</v>
      </c>
    </row>
    <row r="397" spans="2:24" ht="20.149999999999999" customHeight="1" x14ac:dyDescent="0.35">
      <c r="B397" s="23" t="str">
        <f>SUBSTITUTE(SUBSTITUTE(SUBSTITUTE(SUBSTITUTE(SUBSTITUTE(SUBSTITUTE(SUBSTITUTE(SUBSTITUTE(LOWER(テーブル1[[#This Row],[Name]])," ","-"),".","-"),"&amp;","-"),"_","-"),"・","-"),"=","-"),"--","-"),"--","-")</f>
        <v>mugen-elec</v>
      </c>
      <c r="C397" s="24" t="s">
        <v>1277</v>
      </c>
      <c r="D397" s="23" t="s">
        <v>1279</v>
      </c>
      <c r="E397" s="23" t="s">
        <v>1278</v>
      </c>
      <c r="F397" s="15" t="s">
        <v>177</v>
      </c>
      <c r="G397" s="24" t="s">
        <v>1292</v>
      </c>
      <c r="H397" s="24"/>
      <c r="I397" s="24"/>
      <c r="J397" s="24"/>
      <c r="K397" s="24"/>
      <c r="L397" s="24"/>
      <c r="O397" s="24" t="str">
        <f>テーブル1[[#This Row],[リンク]]&amp;テーブル1[[#This Row],[描画状況]]</f>
        <v>https://lenskkpb.wixsite.com/len-sakaki-official</v>
      </c>
      <c r="P397" s="17">
        <f>1-(COUNTIF(O:O,_xlfn.TEXTJOIN(",",TRUE,テーブル1[[#This Row],[リンク]],テーブル1[[#This Row],[描画状況]]))/COUNTIF(F:F,テーブル1[[#This Row],[リンク]]))</f>
        <v>0.125</v>
      </c>
      <c r="Q397" s="16">
        <f ca="1">IFERROR(IF(テーブル1[[#This Row],[描画状況]]="",RAND()+(テーブル1[[#This Row],[列2]]*100),""),RAND())</f>
        <v>12.741579211512938</v>
      </c>
      <c r="S397" s="24" t="str">
        <f ca="1">IF(AND(テーブル1[[#This Row],[描画状況]]="済",テーブル1[[#This Row],[投稿状況]]=""),RAND(),"")</f>
        <v/>
      </c>
      <c r="T397" s="23" t="str">
        <f>"|&amp;image("&amp;テーブル1[[#This Row],[画像]]&amp;".png,width=100,height=100)"</f>
        <v>|&amp;image(mugen-elec.png,width=100,height=100)</v>
      </c>
      <c r="U397" s="23" t="str">
        <f>"|MIDDLE:​"&amp;テーブル1[[#This Row],[名前]]</f>
        <v>|MIDDLE:​六弦エレキ</v>
      </c>
      <c r="V397" s="23" t="str">
        <f>"|MIDDLE:​"&amp;テーブル1[[#This Row],[なまえ]]</f>
        <v>|MIDDLE:​むげん えれき</v>
      </c>
      <c r="W397" s="23" t="str">
        <f>"|MIDDLE:​"&amp;テーブル1[[#This Row],[Name]]</f>
        <v>|MIDDLE:​Mugen Elec</v>
      </c>
      <c r="X397" s="23" t="str">
        <f>"|MIDDLE:​&amp;link(配布所はこちら){​"&amp;テーブル1[[#This Row],[リンク]]&amp;"}|"</f>
        <v>|MIDDLE:​&amp;link(配布所はこちら){​https://lenskkpb.wixsite.com/len-sakaki-official}|</v>
      </c>
    </row>
    <row r="398" spans="2:24" ht="20.149999999999999" customHeight="1" x14ac:dyDescent="0.35">
      <c r="B398" s="23" t="str">
        <f>SUBSTITUTE(SUBSTITUTE(SUBSTITUTE(SUBSTITUTE(SUBSTITUTE(SUBSTITUTE(SUBSTITUTE(SUBSTITUTE(LOWER(テーブル1[[#This Row],[Name]])," ","-"),".","-"),"&amp;","-"),"_","-"),"・","-"),"=","-"),"--","-"),"--","-")</f>
        <v>mushiki-sai</v>
      </c>
      <c r="C398" s="24" t="s">
        <v>1377</v>
      </c>
      <c r="D398" s="23" t="s">
        <v>1379</v>
      </c>
      <c r="E398" s="23" t="s">
        <v>1378</v>
      </c>
      <c r="F398" s="2" t="s">
        <v>1363</v>
      </c>
      <c r="G398" s="23" t="s">
        <v>1364</v>
      </c>
      <c r="O398" s="24" t="str">
        <f>テーブル1[[#This Row],[リンク]]&amp;テーブル1[[#This Row],[描画状況]]</f>
        <v>https://maybeanglo0mochi.wixsite.com/mochiyanosouko</v>
      </c>
      <c r="P398" s="17">
        <f>1-(COUNTIF(O:O,_xlfn.TEXTJOIN(",",TRUE,テーブル1[[#This Row],[リンク]],テーブル1[[#This Row],[描画状況]]))/COUNTIF(F:F,テーブル1[[#This Row],[リンク]]))</f>
        <v>0.125</v>
      </c>
      <c r="Q398" s="16">
        <f ca="1">IFERROR(IF(テーブル1[[#This Row],[描画状況]]="",RAND()+(テーブル1[[#This Row],[列2]]*100),""),RAND())</f>
        <v>12.877256705707538</v>
      </c>
      <c r="S398" s="24" t="str">
        <f ca="1">IF(AND(テーブル1[[#This Row],[描画状況]]="済",テーブル1[[#This Row],[投稿状況]]=""),RAND(),"")</f>
        <v/>
      </c>
      <c r="T398" s="23" t="str">
        <f>"|&amp;image("&amp;テーブル1[[#This Row],[画像]]&amp;".png,width=100,height=100)"</f>
        <v>|&amp;image(mushiki-sai.png,width=100,height=100)</v>
      </c>
      <c r="U398" s="23" t="str">
        <f>"|MIDDLE:​"&amp;テーブル1[[#This Row],[名前]]</f>
        <v>|MIDDLE:​夢識塞</v>
      </c>
      <c r="V398" s="23" t="str">
        <f>"|MIDDLE:​"&amp;テーブル1[[#This Row],[なまえ]]</f>
        <v>|MIDDLE:​むしき さい</v>
      </c>
      <c r="W398" s="23" t="str">
        <f>"|MIDDLE:​"&amp;テーブル1[[#This Row],[Name]]</f>
        <v>|MIDDLE:​Mushiki Sai</v>
      </c>
      <c r="X398" s="23" t="str">
        <f>"|MIDDLE:​&amp;link(配布所はこちら){​"&amp;テーブル1[[#This Row],[リンク]]&amp;"}|"</f>
        <v>|MIDDLE:​&amp;link(配布所はこちら){​https://maybeanglo0mochi.wixsite.com/mochiyanosouko}|</v>
      </c>
    </row>
    <row r="399" spans="2:24" ht="20.149999999999999" customHeight="1" x14ac:dyDescent="0.35">
      <c r="B399" s="23" t="str">
        <f>SUBSTITUTE(SUBSTITUTE(SUBSTITUTE(SUBSTITUTE(SUBSTITUTE(SUBSTITUTE(SUBSTITUTE(SUBSTITUTE(LOWER(テーブル1[[#This Row],[Name]])," ","-"),".","-"),"&amp;","-"),"_","-"),"・","-"),"=","-"),"--","-"),"--","-")</f>
        <v>mejiro-meihua</v>
      </c>
      <c r="C399" s="24" t="s">
        <v>961</v>
      </c>
      <c r="D399" s="23" t="s">
        <v>962</v>
      </c>
      <c r="E399" s="23" t="s">
        <v>963</v>
      </c>
      <c r="F399" s="2" t="s">
        <v>1703</v>
      </c>
      <c r="G399" s="23" t="str">
        <f>テーブル1[[#This Row],[名前]]&amp;"(UTAU)"</f>
        <v>メジロ・メイホァ(UTAU)</v>
      </c>
      <c r="H399" s="23" t="s">
        <v>1627</v>
      </c>
      <c r="K399" s="23" t="s">
        <v>1637</v>
      </c>
      <c r="M399" s="1" t="s">
        <v>1518</v>
      </c>
      <c r="O399" s="24" t="str">
        <f>テーブル1[[#This Row],[リンク]]&amp;テーブル1[[#This Row],[描画状況]]</f>
        <v>https://ameutaulii.wixsite.com/telepathycapsule</v>
      </c>
      <c r="P399" s="17">
        <f>1-(COUNTIF(O:O,_xlfn.TEXTJOIN(",",TRUE,テーブル1[[#This Row],[リンク]],テーブル1[[#This Row],[描画状況]]))/COUNTIF(F:F,テーブル1[[#This Row],[リンク]]))</f>
        <v>0.16666666666666663</v>
      </c>
      <c r="Q399" s="16">
        <f ca="1">IFERROR(IF(テーブル1[[#This Row],[描画状況]]="",RAND()+(テーブル1[[#This Row],[列2]]*100),""),RAND())</f>
        <v>17.463089746907666</v>
      </c>
      <c r="S399" s="24" t="str">
        <f ca="1">IF(AND(テーブル1[[#This Row],[描画状況]]="済",テーブル1[[#This Row],[投稿状況]]=""),RAND(),"")</f>
        <v/>
      </c>
      <c r="T399" s="23" t="str">
        <f>"|&amp;image("&amp;テーブル1[[#This Row],[画像]]&amp;".png,width=100,height=100)"</f>
        <v>|&amp;image(mejiro-meihua.png,width=100,height=100)</v>
      </c>
      <c r="U399" s="23" t="str">
        <f>"|MIDDLE:​"&amp;テーブル1[[#This Row],[名前]]</f>
        <v>|MIDDLE:​メジロ・メイホァ</v>
      </c>
      <c r="V399" s="23" t="str">
        <f>"|MIDDLE:​"&amp;テーブル1[[#This Row],[なまえ]]</f>
        <v>|MIDDLE:​めじろ めいほぁ</v>
      </c>
      <c r="W399" s="23" t="str">
        <f>"|MIDDLE:​"&amp;テーブル1[[#This Row],[Name]]</f>
        <v>|MIDDLE:​Mejiro Meihua</v>
      </c>
      <c r="X399" s="23" t="str">
        <f>"|MIDDLE:​&amp;link(配布所はこちら){​"&amp;テーブル1[[#This Row],[リンク]]&amp;"}|"</f>
        <v>|MIDDLE:​&amp;link(配布所はこちら){​https://ameutaulii.wixsite.com/telepathycapsule}|</v>
      </c>
    </row>
    <row r="400" spans="2:24" ht="20.149999999999999" customHeight="1" x14ac:dyDescent="0.35">
      <c r="B400" s="23" t="str">
        <f>SUBSTITUTE(SUBSTITUTE(SUBSTITUTE(SUBSTITUTE(SUBSTITUTE(SUBSTITUTE(SUBSTITUTE(SUBSTITUTE(LOWER(テーブル1[[#This Row],[Name]])," ","-"),".","-"),"&amp;","-"),"_","-"),"・","-"),"=","-"),"--","-"),"--","-")</f>
        <v>meso-maga</v>
      </c>
      <c r="C400" s="24" t="s">
        <v>595</v>
      </c>
      <c r="D400" s="23" t="s">
        <v>596</v>
      </c>
      <c r="E400" s="23" t="s">
        <v>597</v>
      </c>
      <c r="F400" s="2" t="s">
        <v>594</v>
      </c>
      <c r="G400" s="23" t="str">
        <f>テーブル1[[#This Row],[名前]]&amp;"(UTAU)"</f>
        <v>雌奏マガ(UTAU)</v>
      </c>
      <c r="O400" s="24" t="str">
        <f>テーブル1[[#This Row],[リンク]]&amp;テーブル1[[#This Row],[描画状況]]</f>
        <v>https://tomatoshop.studio.site</v>
      </c>
      <c r="P400" s="17">
        <f>1-(COUNTIF(O:O,_xlfn.TEXTJOIN(",",TRUE,テーブル1[[#This Row],[リンク]],テーブル1[[#This Row],[描画状況]]))/COUNTIF(F:F,テーブル1[[#This Row],[リンク]]))</f>
        <v>0</v>
      </c>
      <c r="Q400" s="16">
        <f ca="1">IFERROR(IF(テーブル1[[#This Row],[描画状況]]="",RAND()+(テーブル1[[#This Row],[列2]]*100),""),RAND())</f>
        <v>0.30797810039138407</v>
      </c>
      <c r="S400" s="24" t="str">
        <f ca="1">IF(AND(テーブル1[[#This Row],[描画状況]]="済",テーブル1[[#This Row],[投稿状況]]=""),RAND(),"")</f>
        <v/>
      </c>
      <c r="T400" s="23" t="str">
        <f>"|&amp;image("&amp;テーブル1[[#This Row],[画像]]&amp;".png,width=100,height=100)"</f>
        <v>|&amp;image(meso-maga.png,width=100,height=100)</v>
      </c>
      <c r="U400" s="23" t="str">
        <f>"|MIDDLE:​"&amp;テーブル1[[#This Row],[名前]]</f>
        <v>|MIDDLE:​雌奏マガ</v>
      </c>
      <c r="V400" s="23" t="str">
        <f>"|MIDDLE:​"&amp;テーブル1[[#This Row],[なまえ]]</f>
        <v>|MIDDLE:​めそう まが</v>
      </c>
      <c r="W400" s="23" t="str">
        <f>"|MIDDLE:​"&amp;テーブル1[[#This Row],[Name]]</f>
        <v>|MIDDLE:​Meso Maga</v>
      </c>
      <c r="X400" s="23" t="str">
        <f>"|MIDDLE:​&amp;link(配布所はこちら){​"&amp;テーブル1[[#This Row],[リンク]]&amp;"}|"</f>
        <v>|MIDDLE:​&amp;link(配布所はこちら){​https://tomatoshop.studio.site}|</v>
      </c>
    </row>
    <row r="401" spans="2:24" ht="20.149999999999999" customHeight="1" x14ac:dyDescent="0.35">
      <c r="B401" s="23" t="str">
        <f>SUBSTITUTE(SUBSTITUTE(SUBSTITUTE(SUBSTITUTE(SUBSTITUTE(SUBSTITUTE(SUBSTITUTE(SUBSTITUTE(LOWER(テーブル1[[#This Row],[Name]])," ","-"),".","-"),"&amp;","-"),"_","-"),"・","-"),"=","-"),"--","-"),"--","-")</f>
        <v>meta-kuadora</v>
      </c>
      <c r="C401" s="24" t="s">
        <v>966</v>
      </c>
      <c r="D401" s="23" t="s">
        <v>967</v>
      </c>
      <c r="E401" s="23" t="s">
        <v>968</v>
      </c>
      <c r="F401" s="2" t="s">
        <v>1703</v>
      </c>
      <c r="G401" s="23" t="str">
        <f>テーブル1[[#This Row],[名前]]&amp;"(UTAU)"</f>
        <v>メタ・クアドラ(UTAU)</v>
      </c>
      <c r="H401" s="23" t="s">
        <v>1626</v>
      </c>
      <c r="I401" s="23" t="s">
        <v>1705</v>
      </c>
      <c r="L401" s="23" t="s">
        <v>1672</v>
      </c>
      <c r="M401" s="1" t="s">
        <v>1518</v>
      </c>
      <c r="O401" s="24" t="str">
        <f>テーブル1[[#This Row],[リンク]]&amp;テーブル1[[#This Row],[描画状況]]</f>
        <v>https://ameutaulii.wixsite.com/telepathycapsule</v>
      </c>
      <c r="P401" s="17">
        <f>1-(COUNTIF(O:O,_xlfn.TEXTJOIN(",",TRUE,テーブル1[[#This Row],[リンク]],テーブル1[[#This Row],[描画状況]]))/COUNTIF(F:F,テーブル1[[#This Row],[リンク]]))</f>
        <v>0.16666666666666663</v>
      </c>
      <c r="Q401" s="16">
        <f ca="1">IFERROR(IF(テーブル1[[#This Row],[描画状況]]="",RAND()+(テーブル1[[#This Row],[列2]]*100),""),RAND())</f>
        <v>17.602061427256128</v>
      </c>
      <c r="S401" s="24" t="str">
        <f ca="1">IF(AND(テーブル1[[#This Row],[描画状況]]="済",テーブル1[[#This Row],[投稿状況]]=""),RAND(),"")</f>
        <v/>
      </c>
      <c r="T401" s="23" t="str">
        <f>"|&amp;image("&amp;テーブル1[[#This Row],[画像]]&amp;".png,width=100,height=100)"</f>
        <v>|&amp;image(meta-kuadora.png,width=100,height=100)</v>
      </c>
      <c r="U401" s="23" t="str">
        <f>"|MIDDLE:​"&amp;テーブル1[[#This Row],[名前]]</f>
        <v>|MIDDLE:​メタ・クアドラ</v>
      </c>
      <c r="V401" s="23" t="str">
        <f>"|MIDDLE:​"&amp;テーブル1[[#This Row],[なまえ]]</f>
        <v>|MIDDLE:​めた くあどら</v>
      </c>
      <c r="W401" s="23" t="str">
        <f>"|MIDDLE:​"&amp;テーブル1[[#This Row],[Name]]</f>
        <v>|MIDDLE:​Meta Kuadora</v>
      </c>
      <c r="X401" s="23" t="str">
        <f>"|MIDDLE:​&amp;link(配布所はこちら){​"&amp;テーブル1[[#This Row],[リンク]]&amp;"}|"</f>
        <v>|MIDDLE:​&amp;link(配布所はこちら){​https://ameutaulii.wixsite.com/telepathycapsule}|</v>
      </c>
    </row>
    <row r="402" spans="2:24" ht="20.149999999999999" customHeight="1" x14ac:dyDescent="0.35">
      <c r="B402" s="23" t="str">
        <f>SUBSTITUTE(SUBSTITUTE(SUBSTITUTE(SUBSTITUTE(SUBSTITUTE(SUBSTITUTE(SUBSTITUTE(SUBSTITUTE(LOWER(テーブル1[[#This Row],[Name]])," ","-"),".","-"),"&amp;","-"),"_","-"),"・","-"),"=","-"),"--","-"),"--","-")</f>
        <v>memeta-asei</v>
      </c>
      <c r="C402" s="24" t="s">
        <v>1216</v>
      </c>
      <c r="D402" s="23" t="s">
        <v>1234</v>
      </c>
      <c r="E402" s="23" t="s">
        <v>1233</v>
      </c>
      <c r="F402" s="15" t="s">
        <v>339</v>
      </c>
      <c r="G402" s="23" t="s">
        <v>340</v>
      </c>
      <c r="O402" s="24" t="str">
        <f>テーブル1[[#This Row],[リンク]]&amp;テーブル1[[#This Row],[描画状況]]</f>
        <v>https://torinosu-hikikomori.jimdofree.com</v>
      </c>
      <c r="P402" s="17">
        <f>1-(COUNTIF(O:O,_xlfn.TEXTJOIN(",",TRUE,テーブル1[[#This Row],[リンク]],テーブル1[[#This Row],[描画状況]]))/COUNTIF(F:F,テーブル1[[#This Row],[リンク]]))</f>
        <v>0.125</v>
      </c>
      <c r="Q402" s="16">
        <f ca="1">IFERROR(IF(テーブル1[[#This Row],[描画状況]]="",RAND()+(テーブル1[[#This Row],[列2]]*100),""),RAND())</f>
        <v>12.965174763732158</v>
      </c>
      <c r="S402" s="24" t="str">
        <f ca="1">IF(AND(テーブル1[[#This Row],[描画状況]]="済",テーブル1[[#This Row],[投稿状況]]=""),RAND(),"")</f>
        <v/>
      </c>
      <c r="T402" s="23" t="str">
        <f>"|&amp;image("&amp;テーブル1[[#This Row],[画像]]&amp;".png,width=100,height=100)"</f>
        <v>|&amp;image(memeta-asei.png,width=100,height=100)</v>
      </c>
      <c r="U402" s="23" t="str">
        <f>"|MIDDLE:​"&amp;テーブル1[[#This Row],[名前]]</f>
        <v>|MIDDLE:​芽々田蛙声</v>
      </c>
      <c r="V402" s="23" t="str">
        <f>"|MIDDLE:​"&amp;テーブル1[[#This Row],[なまえ]]</f>
        <v>|MIDDLE:​めめた あせい</v>
      </c>
      <c r="W402" s="23" t="str">
        <f>"|MIDDLE:​"&amp;テーブル1[[#This Row],[Name]]</f>
        <v>|MIDDLE:​Memeta Asei</v>
      </c>
      <c r="X402" s="23" t="str">
        <f>"|MIDDLE:​&amp;link(配布所はこちら){​"&amp;テーブル1[[#This Row],[リンク]]&amp;"}|"</f>
        <v>|MIDDLE:​&amp;link(配布所はこちら){​https://torinosu-hikikomori.jimdofree.com}|</v>
      </c>
    </row>
    <row r="403" spans="2:24" ht="20.149999999999999" customHeight="1" x14ac:dyDescent="0.35">
      <c r="B403" s="23" t="str">
        <f>SUBSTITUTE(SUBSTITUTE(SUBSTITUTE(SUBSTITUTE(SUBSTITUTE(SUBSTITUTE(SUBSTITUTE(SUBSTITUTE(LOWER(テーブル1[[#This Row],[Name]])," ","-"),".","-"),"&amp;","-"),"_","-"),"・","-"),"=","-"),"--","-"),"--","-")</f>
        <v>meruji-hakua</v>
      </c>
      <c r="C403" s="24" t="s">
        <v>973</v>
      </c>
      <c r="D403" s="23" t="s">
        <v>974</v>
      </c>
      <c r="E403" s="23" t="s">
        <v>975</v>
      </c>
      <c r="F403" s="2" t="s">
        <v>1703</v>
      </c>
      <c r="G403" s="23" t="str">
        <f>テーブル1[[#This Row],[名前]]&amp;"(UTAU)"</f>
        <v>メルジ・ハクア(UTAU)</v>
      </c>
      <c r="H403" s="23" t="s">
        <v>1627</v>
      </c>
      <c r="M403" s="1" t="s">
        <v>1518</v>
      </c>
      <c r="O403" s="24" t="str">
        <f>テーブル1[[#This Row],[リンク]]&amp;テーブル1[[#This Row],[描画状況]]</f>
        <v>https://ameutaulii.wixsite.com/telepathycapsule</v>
      </c>
      <c r="P403" s="17">
        <f>1-(COUNTIF(O:O,_xlfn.TEXTJOIN(",",TRUE,テーブル1[[#This Row],[リンク]],テーブル1[[#This Row],[描画状況]]))/COUNTIF(F:F,テーブル1[[#This Row],[リンク]]))</f>
        <v>0.16666666666666663</v>
      </c>
      <c r="Q403" s="16">
        <f ca="1">IFERROR(IF(テーブル1[[#This Row],[描画状況]]="",RAND()+(テーブル1[[#This Row],[列2]]*100),""),RAND())</f>
        <v>17.569232423089812</v>
      </c>
      <c r="S403" s="24" t="str">
        <f ca="1">IF(AND(テーブル1[[#This Row],[描画状況]]="済",テーブル1[[#This Row],[投稿状況]]=""),RAND(),"")</f>
        <v/>
      </c>
      <c r="T403" s="23" t="str">
        <f>"|&amp;image("&amp;テーブル1[[#This Row],[画像]]&amp;".png,width=100,height=100)"</f>
        <v>|&amp;image(meruji-hakua.png,width=100,height=100)</v>
      </c>
      <c r="U403" s="23" t="str">
        <f>"|MIDDLE:​"&amp;テーブル1[[#This Row],[名前]]</f>
        <v>|MIDDLE:​メルジ・ハクア</v>
      </c>
      <c r="V403" s="23" t="str">
        <f>"|MIDDLE:​"&amp;テーブル1[[#This Row],[なまえ]]</f>
        <v>|MIDDLE:​めるじ はくあ</v>
      </c>
      <c r="W403" s="23" t="str">
        <f>"|MIDDLE:​"&amp;テーブル1[[#This Row],[Name]]</f>
        <v>|MIDDLE:​Meruji Hakua</v>
      </c>
      <c r="X403" s="23" t="str">
        <f>"|MIDDLE:​&amp;link(配布所はこちら){​"&amp;テーブル1[[#This Row],[リンク]]&amp;"}|"</f>
        <v>|MIDDLE:​&amp;link(配布所はこちら){​https://ameutaulii.wixsite.com/telepathycapsule}|</v>
      </c>
    </row>
    <row r="404" spans="2:24" ht="20.149999999999999" customHeight="1" x14ac:dyDescent="0.35">
      <c r="B404" s="23" t="str">
        <f>SUBSTITUTE(SUBSTITUTE(SUBSTITUTE(SUBSTITUTE(SUBSTITUTE(SUBSTITUTE(SUBSTITUTE(SUBSTITUTE(LOWER(テーブル1[[#This Row],[Name]])," ","-"),".","-"),"&amp;","-"),"_","-"),"・","-"),"=","-"),"--","-"),"--","-")</f>
        <v>morino-urusu</v>
      </c>
      <c r="C404" s="24" t="s">
        <v>1154</v>
      </c>
      <c r="D404" s="23" t="s">
        <v>1155</v>
      </c>
      <c r="E404" s="23" t="s">
        <v>1156</v>
      </c>
      <c r="F404" s="15" t="s">
        <v>1144</v>
      </c>
      <c r="G404" s="23" t="s">
        <v>1157</v>
      </c>
      <c r="O404" s="24" t="str">
        <f>テーブル1[[#This Row],[リンク]]&amp;テーブル1[[#This Row],[描画状況]]</f>
        <v>https://sites.google.com/view/report1023</v>
      </c>
      <c r="P404" s="17">
        <f>1-(COUNTIF(O:O,_xlfn.TEXTJOIN(",",TRUE,テーブル1[[#This Row],[リンク]],テーブル1[[#This Row],[描画状況]]))/COUNTIF(F:F,テーブル1[[#This Row],[リンク]]))</f>
        <v>0</v>
      </c>
      <c r="Q404" s="16">
        <f ca="1">IFERROR(IF(テーブル1[[#This Row],[描画状況]]="",RAND()+(テーブル1[[#This Row],[列2]]*100),""),RAND())</f>
        <v>0.77536987280797742</v>
      </c>
      <c r="S404" s="24" t="str">
        <f ca="1">IF(AND(テーブル1[[#This Row],[描画状況]]="済",テーブル1[[#This Row],[投稿状況]]=""),RAND(),"")</f>
        <v/>
      </c>
      <c r="T404" s="23" t="str">
        <f>"|&amp;image("&amp;テーブル1[[#This Row],[画像]]&amp;".png,width=100,height=100)"</f>
        <v>|&amp;image(morino-urusu.png,width=100,height=100)</v>
      </c>
      <c r="U404" s="23" t="str">
        <f>"|MIDDLE:​"&amp;テーブル1[[#This Row],[名前]]</f>
        <v>|MIDDLE:​森埜ウルス</v>
      </c>
      <c r="V404" s="23" t="str">
        <f>"|MIDDLE:​"&amp;テーブル1[[#This Row],[なまえ]]</f>
        <v>|MIDDLE:​もりの うるす</v>
      </c>
      <c r="W404" s="23" t="str">
        <f>"|MIDDLE:​"&amp;テーブル1[[#This Row],[Name]]</f>
        <v>|MIDDLE:​Morino Urusu</v>
      </c>
      <c r="X404" s="23" t="str">
        <f>"|MIDDLE:​&amp;link(配布所はこちら){​"&amp;テーブル1[[#This Row],[リンク]]&amp;"}|"</f>
        <v>|MIDDLE:​&amp;link(配布所はこちら){​https://sites.google.com/view/report1023}|</v>
      </c>
    </row>
    <row r="405" spans="2:24" ht="20.149999999999999" customHeight="1" x14ac:dyDescent="0.35">
      <c r="B405" s="23" t="str">
        <f>SUBSTITUTE(SUBSTITUTE(SUBSTITUTE(SUBSTITUTE(SUBSTITUTE(SUBSTITUTE(SUBSTITUTE(SUBSTITUTE(LOWER(テーブル1[[#This Row],[Name]])," ","-"),".","-"),"&amp;","-"),"_","-"),"・","-"),"=","-"),"--","-"),"--","-")</f>
        <v>yasane-mofu</v>
      </c>
      <c r="C405" s="24" t="s">
        <v>1148</v>
      </c>
      <c r="D405" s="23" t="s">
        <v>1149</v>
      </c>
      <c r="E405" s="23" t="s">
        <v>1150</v>
      </c>
      <c r="F405" s="15" t="s">
        <v>1144</v>
      </c>
      <c r="G405" s="23" t="s">
        <v>1157</v>
      </c>
      <c r="O405" s="24" t="str">
        <f>テーブル1[[#This Row],[リンク]]&amp;テーブル1[[#This Row],[描画状況]]</f>
        <v>https://sites.google.com/view/report1023</v>
      </c>
      <c r="P405" s="17">
        <f>1-(COUNTIF(O:O,_xlfn.TEXTJOIN(",",TRUE,テーブル1[[#This Row],[リンク]],テーブル1[[#This Row],[描画状況]]))/COUNTIF(F:F,テーブル1[[#This Row],[リンク]]))</f>
        <v>0</v>
      </c>
      <c r="Q405" s="16">
        <f ca="1">IFERROR(IF(テーブル1[[#This Row],[描画状況]]="",RAND()+(テーブル1[[#This Row],[列2]]*100),""),RAND())</f>
        <v>0.65028217691730184</v>
      </c>
      <c r="S405" s="24" t="str">
        <f ca="1">IF(AND(テーブル1[[#This Row],[描画状況]]="済",テーブル1[[#This Row],[投稿状況]]=""),RAND(),"")</f>
        <v/>
      </c>
      <c r="T405" s="23" t="str">
        <f>"|&amp;image("&amp;テーブル1[[#This Row],[画像]]&amp;".png,width=100,height=100)"</f>
        <v>|&amp;image(yasane-mofu.png,width=100,height=100)</v>
      </c>
      <c r="U405" s="23" t="str">
        <f>"|MIDDLE:​"&amp;テーブル1[[#This Row],[名前]]</f>
        <v>|MIDDLE:​優音モフ</v>
      </c>
      <c r="V405" s="23" t="str">
        <f>"|MIDDLE:​"&amp;テーブル1[[#This Row],[なまえ]]</f>
        <v>|MIDDLE:​やさね もふ</v>
      </c>
      <c r="W405" s="23" t="str">
        <f>"|MIDDLE:​"&amp;テーブル1[[#This Row],[Name]]</f>
        <v>|MIDDLE:​Yasane Mofu</v>
      </c>
      <c r="X405" s="23" t="str">
        <f>"|MIDDLE:​&amp;link(配布所はこちら){​"&amp;テーブル1[[#This Row],[リンク]]&amp;"}|"</f>
        <v>|MIDDLE:​&amp;link(配布所はこちら){​https://sites.google.com/view/report1023}|</v>
      </c>
    </row>
    <row r="406" spans="2:24" ht="20.149999999999999" customHeight="1" x14ac:dyDescent="0.35">
      <c r="B406" s="23" t="str">
        <f>SUBSTITUTE(SUBSTITUTE(SUBSTITUTE(SUBSTITUTE(SUBSTITUTE(SUBSTITUTE(SUBSTITUTE(SUBSTITUTE(LOWER(テーブル1[[#This Row],[Name]])," ","-"),".","-"),"&amp;","-"),"_","-"),"・","-"),"=","-"),"--","-"),"--","-")</f>
        <v>yamine-rennri</v>
      </c>
      <c r="C406" s="24" t="s">
        <v>1351</v>
      </c>
      <c r="D406" s="23" t="s">
        <v>1353</v>
      </c>
      <c r="E406" s="23" t="s">
        <v>1354</v>
      </c>
      <c r="F406" s="15" t="s">
        <v>1352</v>
      </c>
      <c r="G406" s="23" t="s">
        <v>1355</v>
      </c>
      <c r="O406" s="24" t="str">
        <f>テーブル1[[#This Row],[リンク]]&amp;テーブル1[[#This Row],[描画状況]]</f>
        <v>https://renrivoice.wixsite.com/renri-voice</v>
      </c>
      <c r="P406" s="17">
        <f>1-(COUNTIF(O:O,_xlfn.TEXTJOIN(",",TRUE,テーブル1[[#This Row],[リンク]],テーブル1[[#This Row],[描画状況]]))/COUNTIF(F:F,テーブル1[[#This Row],[リンク]]))</f>
        <v>0</v>
      </c>
      <c r="Q406" s="16">
        <f ca="1">IFERROR(IF(テーブル1[[#This Row],[描画状況]]="",RAND()+(テーブル1[[#This Row],[列2]]*100),""),RAND())</f>
        <v>0.47774432824591884</v>
      </c>
      <c r="S406" s="24" t="str">
        <f ca="1">IF(AND(テーブル1[[#This Row],[描画状況]]="済",テーブル1[[#This Row],[投稿状況]]=""),RAND(),"")</f>
        <v/>
      </c>
      <c r="T406" s="23" t="str">
        <f>"|&amp;image("&amp;テーブル1[[#This Row],[画像]]&amp;".png,width=100,height=100)"</f>
        <v>|&amp;image(yamine-rennri.png,width=100,height=100)</v>
      </c>
      <c r="U406" s="23" t="str">
        <f>"|MIDDLE:​"&amp;テーブル1[[#This Row],[名前]]</f>
        <v>|MIDDLE:​闇音レンリ</v>
      </c>
      <c r="V406" s="23" t="str">
        <f>"|MIDDLE:​"&amp;テーブル1[[#This Row],[なまえ]]</f>
        <v>|MIDDLE:​やみね れんり</v>
      </c>
      <c r="W406" s="23" t="str">
        <f>"|MIDDLE:​"&amp;テーブル1[[#This Row],[Name]]</f>
        <v>|MIDDLE:​Yamine Rennri</v>
      </c>
      <c r="X406" s="23" t="str">
        <f>"|MIDDLE:​&amp;link(配布所はこちら){​"&amp;テーブル1[[#This Row],[リンク]]&amp;"}|"</f>
        <v>|MIDDLE:​&amp;link(配布所はこちら){​https://renrivoice.wixsite.com/renri-voice}|</v>
      </c>
    </row>
    <row r="407" spans="2:24" ht="20.149999999999999" customHeight="1" x14ac:dyDescent="0.35">
      <c r="B407" s="23" t="str">
        <f>SUBSTITUTE(SUBSTITUTE(SUBSTITUTE(SUBSTITUTE(SUBSTITUTE(SUBSTITUTE(SUBSTITUTE(SUBSTITUTE(LOWER(テーブル1[[#This Row],[Name]])," ","-"),".","-"),"&amp;","-"),"_","-"),"・","-"),"=","-"),"--","-"),"--","-")</f>
        <v>you-me</v>
      </c>
      <c r="C407" s="24" t="s">
        <v>914</v>
      </c>
      <c r="D407" s="23" t="s">
        <v>916</v>
      </c>
      <c r="E407" s="23" t="s">
        <v>915</v>
      </c>
      <c r="F407" s="15" t="s">
        <v>904</v>
      </c>
      <c r="G407" s="23" t="s">
        <v>917</v>
      </c>
      <c r="O407" s="24" t="str">
        <f>テーブル1[[#This Row],[リンク]]&amp;テーブル1[[#This Row],[描画状況]]</f>
        <v>https://suukedayo.wixsite.com/shiawasefairu</v>
      </c>
      <c r="P407" s="17">
        <f>1-(COUNTIF(O:O,_xlfn.TEXTJOIN(",",TRUE,テーブル1[[#This Row],[リンク]],テーブル1[[#This Row],[描画状況]]))/COUNTIF(F:F,テーブル1[[#This Row],[リンク]]))</f>
        <v>0</v>
      </c>
      <c r="Q407" s="16">
        <f ca="1">IFERROR(IF(テーブル1[[#This Row],[描画状況]]="",RAND()+(テーブル1[[#This Row],[列2]]*100),""),RAND())</f>
        <v>0.6565238283337782</v>
      </c>
      <c r="S407" s="24" t="str">
        <f ca="1">IF(AND(テーブル1[[#This Row],[描画状況]]="済",テーブル1[[#This Row],[投稿状況]]=""),RAND(),"")</f>
        <v/>
      </c>
      <c r="T407" s="23" t="str">
        <f>"|&amp;image("&amp;テーブル1[[#This Row],[画像]]&amp;".png,width=100,height=100)"</f>
        <v>|&amp;image(you-me.png,width=100,height=100)</v>
      </c>
      <c r="U407" s="23" t="str">
        <f>"|MIDDLE:​"&amp;テーブル1[[#This Row],[名前]]</f>
        <v>|MIDDLE:​ユウミィ</v>
      </c>
      <c r="V407" s="23" t="str">
        <f>"|MIDDLE:​"&amp;テーブル1[[#This Row],[なまえ]]</f>
        <v>|MIDDLE:​ゆう みい</v>
      </c>
      <c r="W407" s="23" t="str">
        <f>"|MIDDLE:​"&amp;テーブル1[[#This Row],[Name]]</f>
        <v>|MIDDLE:​You Me</v>
      </c>
      <c r="X407" s="23" t="str">
        <f>"|MIDDLE:​&amp;link(配布所はこちら){​"&amp;テーブル1[[#This Row],[リンク]]&amp;"}|"</f>
        <v>|MIDDLE:​&amp;link(配布所はこちら){​https://suukedayo.wixsite.com/shiawasefairu}|</v>
      </c>
    </row>
    <row r="408" spans="2:24" ht="20.149999999999999" customHeight="1" x14ac:dyDescent="0.35">
      <c r="B408" s="23" t="str">
        <f>SUBSTITUTE(SUBSTITUTE(SUBSTITUTE(SUBSTITUTE(SUBSTITUTE(SUBSTITUTE(SUBSTITUTE(SUBSTITUTE(LOWER(テーブル1[[#This Row],[Name]])," ","-"),".","-"),"&amp;","-"),"_","-"),"・","-"),"=","-"),"--","-"),"--","-")</f>
        <v>yuune-suzu</v>
      </c>
      <c r="C408" s="24" t="s">
        <v>908</v>
      </c>
      <c r="D408" s="23" t="s">
        <v>910</v>
      </c>
      <c r="E408" s="23" t="s">
        <v>909</v>
      </c>
      <c r="F408" s="15" t="s">
        <v>904</v>
      </c>
      <c r="G408" s="23" t="s">
        <v>917</v>
      </c>
      <c r="O408" s="24" t="str">
        <f>テーブル1[[#This Row],[リンク]]&amp;テーブル1[[#This Row],[描画状況]]</f>
        <v>https://suukedayo.wixsite.com/shiawasefairu</v>
      </c>
      <c r="P408" s="17">
        <f>1-(COUNTIF(O:O,_xlfn.TEXTJOIN(",",TRUE,テーブル1[[#This Row],[リンク]],テーブル1[[#This Row],[描画状況]]))/COUNTIF(F:F,テーブル1[[#This Row],[リンク]]))</f>
        <v>0</v>
      </c>
      <c r="Q408" s="16">
        <f ca="1">IFERROR(IF(テーブル1[[#This Row],[描画状況]]="",RAND()+(テーブル1[[#This Row],[列2]]*100),""),RAND())</f>
        <v>2.4310433615703508E-2</v>
      </c>
      <c r="S408" s="24" t="str">
        <f ca="1">IF(AND(テーブル1[[#This Row],[描画状況]]="済",テーブル1[[#This Row],[投稿状況]]=""),RAND(),"")</f>
        <v/>
      </c>
      <c r="T408" s="23" t="str">
        <f>"|&amp;image("&amp;テーブル1[[#This Row],[画像]]&amp;".png,width=100,height=100)"</f>
        <v>|&amp;image(yuune-suzu.png,width=100,height=100)</v>
      </c>
      <c r="U408" s="23" t="str">
        <f>"|MIDDLE:​"&amp;テーブル1[[#This Row],[名前]]</f>
        <v>|MIDDLE:​融音スゞ</v>
      </c>
      <c r="V408" s="23" t="str">
        <f>"|MIDDLE:​"&amp;テーブル1[[#This Row],[なまえ]]</f>
        <v>|MIDDLE:​ゆうね すず</v>
      </c>
      <c r="W408" s="23" t="str">
        <f>"|MIDDLE:​"&amp;テーブル1[[#This Row],[Name]]</f>
        <v>|MIDDLE:​Yuune Suzu</v>
      </c>
      <c r="X408" s="23" t="str">
        <f>"|MIDDLE:​&amp;link(配布所はこちら){​"&amp;テーブル1[[#This Row],[リンク]]&amp;"}|"</f>
        <v>|MIDDLE:​&amp;link(配布所はこちら){​https://suukedayo.wixsite.com/shiawasefairu}|</v>
      </c>
    </row>
    <row r="409" spans="2:24" ht="20.149999999999999" customHeight="1" x14ac:dyDescent="0.35">
      <c r="B409" s="23" t="str">
        <f>SUBSTITUTE(SUBSTITUTE(SUBSTITUTE(SUBSTITUTE(SUBSTITUTE(SUBSTITUTE(SUBSTITUTE(SUBSTITUTE(LOWER(テーブル1[[#This Row],[Name]])," ","-"),".","-"),"&amp;","-"),"_","-"),"・","-"),"=","-"),"--","-"),"--","-")</f>
        <v>yukina-kon</v>
      </c>
      <c r="C409" s="24" t="s">
        <v>1131</v>
      </c>
      <c r="D409" s="23" t="s">
        <v>1133</v>
      </c>
      <c r="E409" s="23" t="s">
        <v>1132</v>
      </c>
      <c r="F409" s="15" t="s">
        <v>1143</v>
      </c>
      <c r="G409" s="23" t="str">
        <f>テーブル1[[#This Row],[名前]]&amp;"(UTAU)"</f>
        <v>雪鳴こん(UTAU)</v>
      </c>
      <c r="O409" s="24" t="str">
        <f>テーブル1[[#This Row],[リンク]]&amp;テーブル1[[#This Row],[描画状況]]</f>
        <v>https://yautau.wixsite.com/0909</v>
      </c>
      <c r="P409" s="17">
        <f>1-(COUNTIF(O:O,_xlfn.TEXTJOIN(",",TRUE,テーブル1[[#This Row],[リンク]],テーブル1[[#This Row],[描画状況]]))/COUNTIF(F:F,テーブル1[[#This Row],[リンク]]))</f>
        <v>0.125</v>
      </c>
      <c r="Q409" s="16">
        <f ca="1">IFERROR(IF(テーブル1[[#This Row],[描画状況]]="",RAND()+(テーブル1[[#This Row],[列2]]*100),""),RAND())</f>
        <v>13.251301467548004</v>
      </c>
      <c r="S409" s="24" t="str">
        <f ca="1">IF(AND(テーブル1[[#This Row],[描画状況]]="済",テーブル1[[#This Row],[投稿状況]]=""),RAND(),"")</f>
        <v/>
      </c>
      <c r="T409" s="23" t="str">
        <f>"|&amp;image("&amp;テーブル1[[#This Row],[画像]]&amp;".png,width=100,height=100)"</f>
        <v>|&amp;image(yukina-kon.png,width=100,height=100)</v>
      </c>
      <c r="U409" s="23" t="str">
        <f>"|MIDDLE:​"&amp;テーブル1[[#This Row],[名前]]</f>
        <v>|MIDDLE:​雪鳴こん</v>
      </c>
      <c r="V409" s="23" t="str">
        <f>"|MIDDLE:​"&amp;テーブル1[[#This Row],[なまえ]]</f>
        <v>|MIDDLE:​ゆきな こん</v>
      </c>
      <c r="W409" s="23" t="str">
        <f>"|MIDDLE:​"&amp;テーブル1[[#This Row],[Name]]</f>
        <v>|MIDDLE:​Yukina Kon</v>
      </c>
      <c r="X409" s="23" t="str">
        <f>"|MIDDLE:​&amp;link(配布所はこちら){​"&amp;テーブル1[[#This Row],[リンク]]&amp;"}|"</f>
        <v>|MIDDLE:​&amp;link(配布所はこちら){​https://yautau.wixsite.com/0909}|</v>
      </c>
    </row>
    <row r="410" spans="2:24" ht="20.149999999999999" customHeight="1" x14ac:dyDescent="0.35">
      <c r="B410" s="23" t="str">
        <f>SUBSTITUTE(SUBSTITUTE(SUBSTITUTE(SUBSTITUTE(SUBSTITUTE(SUBSTITUTE(SUBSTITUTE(SUBSTITUTE(LOWER(テーブル1[[#This Row],[Name]])," ","-"),".","-"),"&amp;","-"),"_","-"),"・","-"),"=","-"),"--","-"),"--","-")</f>
        <v>yukinoshita-suikazura</v>
      </c>
      <c r="C410" s="24" t="s">
        <v>1037</v>
      </c>
      <c r="D410" s="23" t="s">
        <v>1038</v>
      </c>
      <c r="E410" s="23" t="s">
        <v>1039</v>
      </c>
      <c r="F410" s="2" t="s">
        <v>520</v>
      </c>
      <c r="G410" s="23" t="s">
        <v>521</v>
      </c>
      <c r="M410" s="1" t="s">
        <v>1517</v>
      </c>
      <c r="O410" s="24" t="str">
        <f>テーブル1[[#This Row],[リンク]]&amp;テーブル1[[#This Row],[描画状況]]</f>
        <v>https://coyukimachi.wixsite.com/my-site</v>
      </c>
      <c r="P410" s="17">
        <f>1-(COUNTIF(O:O,_xlfn.TEXTJOIN(",",TRUE,テーブル1[[#This Row],[リンク]],テーブル1[[#This Row],[描画状況]]))/COUNTIF(F:F,テーブル1[[#This Row],[リンク]]))</f>
        <v>0</v>
      </c>
      <c r="Q410" s="16">
        <f ca="1">IFERROR(IF(テーブル1[[#This Row],[描画状況]]="",RAND()+(テーブル1[[#This Row],[列2]]*100),""),RAND())</f>
        <v>0.8789840822474817</v>
      </c>
      <c r="S410" s="24" t="str">
        <f ca="1">IF(AND(テーブル1[[#This Row],[描画状況]]="済",テーブル1[[#This Row],[投稿状況]]=""),RAND(),"")</f>
        <v/>
      </c>
      <c r="T410" s="23" t="str">
        <f>"|&amp;image("&amp;テーブル1[[#This Row],[画像]]&amp;".png,width=100,height=100)"</f>
        <v>|&amp;image(yukinoshita-suikazura.png,width=100,height=100)</v>
      </c>
      <c r="U410" s="23" t="str">
        <f>"|MIDDLE:​"&amp;テーブル1[[#This Row],[名前]]</f>
        <v>|MIDDLE:​​雪ノ下忍冬</v>
      </c>
      <c r="V410" s="23" t="str">
        <f>"|MIDDLE:​"&amp;テーブル1[[#This Row],[なまえ]]</f>
        <v>|MIDDLE:​ゆきのした すいかずら</v>
      </c>
      <c r="W410" s="23" t="str">
        <f>"|MIDDLE:​"&amp;テーブル1[[#This Row],[Name]]</f>
        <v>|MIDDLE:​Yukinoshita Suikazura</v>
      </c>
      <c r="X410" s="23" t="str">
        <f>"|MIDDLE:​&amp;link(配布所はこちら){​"&amp;テーブル1[[#This Row],[リンク]]&amp;"}|"</f>
        <v>|MIDDLE:​&amp;link(配布所はこちら){​https://coyukimachi.wixsite.com/my-site}|</v>
      </c>
    </row>
    <row r="411" spans="2:24" ht="20.149999999999999" customHeight="1" x14ac:dyDescent="0.35">
      <c r="B411" s="23" t="str">
        <f>SUBSTITUTE(SUBSTITUTE(SUBSTITUTE(SUBSTITUTE(SUBSTITUTE(SUBSTITUTE(SUBSTITUTE(SUBSTITUTE(LOWER(テーブル1[[#This Row],[Name]])," ","-"),".","-"),"&amp;","-"),"_","-"),"・","-"),"=","-"),"--","-"),"--","-")</f>
        <v>yukiyama-miruka</v>
      </c>
      <c r="C411" s="24" t="s">
        <v>748</v>
      </c>
      <c r="D411" s="23" t="s">
        <v>750</v>
      </c>
      <c r="E411" s="23" t="s">
        <v>751</v>
      </c>
      <c r="F411" s="15" t="s">
        <v>752</v>
      </c>
      <c r="G411" s="23" t="s">
        <v>749</v>
      </c>
      <c r="O411" s="24" t="str">
        <f>テーブル1[[#This Row],[リンク]]&amp;テーブル1[[#This Row],[描画状況]]</f>
        <v>https://bowlroll.net/user/964602</v>
      </c>
      <c r="P411" s="17">
        <f>1-(COUNTIF(O:O,_xlfn.TEXTJOIN(",",TRUE,テーブル1[[#This Row],[リンク]],テーブル1[[#This Row],[描画状況]]))/COUNTIF(F:F,テーブル1[[#This Row],[リンク]]))</f>
        <v>0</v>
      </c>
      <c r="Q411" s="16">
        <f ca="1">IFERROR(IF(テーブル1[[#This Row],[描画状況]]="",RAND()+(テーブル1[[#This Row],[列2]]*100),""),RAND())</f>
        <v>0.1817218905089234</v>
      </c>
      <c r="S411" s="24" t="str">
        <f ca="1">IF(AND(テーブル1[[#This Row],[描画状況]]="済",テーブル1[[#This Row],[投稿状況]]=""),RAND(),"")</f>
        <v/>
      </c>
      <c r="T411" s="23" t="str">
        <f>"|&amp;image("&amp;テーブル1[[#This Row],[画像]]&amp;".png,width=100,height=100)"</f>
        <v>|&amp;image(yukiyama-miruka.png,width=100,height=100)</v>
      </c>
      <c r="U411" s="23" t="str">
        <f>"|MIDDLE:​"&amp;テーブル1[[#This Row],[名前]]</f>
        <v>|MIDDLE:​雪山ミルカ</v>
      </c>
      <c r="V411" s="23" t="str">
        <f>"|MIDDLE:​"&amp;テーブル1[[#This Row],[なまえ]]</f>
        <v>|MIDDLE:​ゆきやま みるか</v>
      </c>
      <c r="W411" s="23" t="str">
        <f>"|MIDDLE:​"&amp;テーブル1[[#This Row],[Name]]</f>
        <v>|MIDDLE:​Yukiyama Miruka</v>
      </c>
      <c r="X411" s="23" t="str">
        <f>"|MIDDLE:​&amp;link(配布所はこちら){​"&amp;テーブル1[[#This Row],[リンク]]&amp;"}|"</f>
        <v>|MIDDLE:​&amp;link(配布所はこちら){​https://bowlroll.net/user/964602}|</v>
      </c>
    </row>
    <row r="412" spans="2:24" ht="20.149999999999999" customHeight="1" x14ac:dyDescent="0.35">
      <c r="B412" s="23" t="str">
        <f>SUBSTITUTE(SUBSTITUTE(SUBSTITUTE(SUBSTITUTE(SUBSTITUTE(SUBSTITUTE(SUBSTITUTE(SUBSTITUTE(LOWER(テーブル1[[#This Row],[Name]])," ","-"),".","-"),"&amp;","-"),"_","-"),"・","-"),"=","-"),"--","-"),"--","-")</f>
        <v>yumezumi</v>
      </c>
      <c r="C412" s="24" t="s">
        <v>816</v>
      </c>
      <c r="D412" s="23" t="s">
        <v>818</v>
      </c>
      <c r="E412" s="23" t="s">
        <v>817</v>
      </c>
      <c r="F412" s="2" t="s">
        <v>814</v>
      </c>
      <c r="G412" s="23" t="s">
        <v>815</v>
      </c>
      <c r="O412" s="24" t="str">
        <f>テーブル1[[#This Row],[リンク]]&amp;テーブル1[[#This Row],[描画状況]]</f>
        <v>https://makurakue.wixsite.com/kemononokemono</v>
      </c>
      <c r="P412" s="17">
        <f>1-(COUNTIF(O:O,_xlfn.TEXTJOIN(",",TRUE,テーブル1[[#This Row],[リンク]],テーブル1[[#This Row],[描画状況]]))/COUNTIF(F:F,テーブル1[[#This Row],[リンク]]))</f>
        <v>0.4</v>
      </c>
      <c r="Q412" s="16">
        <f ca="1">IFERROR(IF(テーブル1[[#This Row],[描画状況]]="",RAND()+(テーブル1[[#This Row],[列2]]*100),""),RAND())</f>
        <v>40.560529425920073</v>
      </c>
      <c r="S412" s="24" t="str">
        <f ca="1">IF(AND(テーブル1[[#This Row],[描画状況]]="済",テーブル1[[#This Row],[投稿状況]]=""),RAND(),"")</f>
        <v/>
      </c>
      <c r="T412" s="23" t="str">
        <f>"|&amp;image("&amp;テーブル1[[#This Row],[画像]]&amp;".png,width=100,height=100)"</f>
        <v>|&amp;image(yumezumi.png,width=100,height=100)</v>
      </c>
      <c r="U412" s="23" t="str">
        <f>"|MIDDLE:​"&amp;テーブル1[[#This Row],[名前]]</f>
        <v>|MIDDLE:​​夢住</v>
      </c>
      <c r="V412" s="23" t="str">
        <f>"|MIDDLE:​"&amp;テーブル1[[#This Row],[なまえ]]</f>
        <v>|MIDDLE:​ゆめずみ</v>
      </c>
      <c r="W412" s="23" t="str">
        <f>"|MIDDLE:​"&amp;テーブル1[[#This Row],[Name]]</f>
        <v>|MIDDLE:​Yumezumi</v>
      </c>
      <c r="X412" s="23" t="str">
        <f>"|MIDDLE:​&amp;link(配布所はこちら){​"&amp;テーブル1[[#This Row],[リンク]]&amp;"}|"</f>
        <v>|MIDDLE:​&amp;link(配布所はこちら){​https://makurakue.wixsite.com/kemononokemono}|</v>
      </c>
    </row>
    <row r="413" spans="2:24" ht="20.149999999999999" customHeight="1" x14ac:dyDescent="0.35">
      <c r="B413" s="23" t="str">
        <f>SUBSTITUTE(SUBSTITUTE(SUBSTITUTE(SUBSTITUTE(SUBSTITUTE(SUBSTITUTE(SUBSTITUTE(SUBSTITUTE(LOWER(テーブル1[[#This Row],[Name]])," ","-"),".","-"),"&amp;","-"),"_","-"),"・","-"),"=","-"),"--","-"),"--","-")</f>
        <v>yoakene-yori</v>
      </c>
      <c r="C413" s="24" t="s">
        <v>1098</v>
      </c>
      <c r="D413" s="23" t="s">
        <v>1099</v>
      </c>
      <c r="E413" s="23" t="s">
        <v>1100</v>
      </c>
      <c r="F413" s="15" t="s">
        <v>1066</v>
      </c>
      <c r="G413" s="23" t="s">
        <v>1067</v>
      </c>
      <c r="O413" s="24" t="str">
        <f>テーブル1[[#This Row],[リンク]]&amp;テーブル1[[#This Row],[描画状況]]</f>
        <v>https://yukimiyashimusho.jimdofree.com</v>
      </c>
      <c r="P413" s="17">
        <f>1-(COUNTIF(O:O,_xlfn.TEXTJOIN(",",TRUE,テーブル1[[#This Row],[リンク]],テーブル1[[#This Row],[描画状況]]))/COUNTIF(F:F,テーブル1[[#This Row],[リンク]]))</f>
        <v>7.1428571428571397E-2</v>
      </c>
      <c r="Q413" s="16">
        <f ca="1">IFERROR(IF(テーブル1[[#This Row],[描画状況]]="",RAND()+(テーブル1[[#This Row],[列2]]*100),""),RAND())</f>
        <v>7.322549113192701</v>
      </c>
      <c r="S413" s="24" t="str">
        <f ca="1">IF(AND(テーブル1[[#This Row],[描画状況]]="済",テーブル1[[#This Row],[投稿状況]]=""),RAND(),"")</f>
        <v/>
      </c>
      <c r="T413" s="23" t="str">
        <f>"|&amp;image("&amp;テーブル1[[#This Row],[画像]]&amp;".png,width=100,height=100)"</f>
        <v>|&amp;image(yoakene-yori.png,width=100,height=100)</v>
      </c>
      <c r="U413" s="23" t="str">
        <f>"|MIDDLE:​"&amp;テーブル1[[#This Row],[名前]]</f>
        <v>|MIDDLE:​夜明音ヨリ</v>
      </c>
      <c r="V413" s="23" t="str">
        <f>"|MIDDLE:​"&amp;テーブル1[[#This Row],[なまえ]]</f>
        <v>|MIDDLE:​よあけね より</v>
      </c>
      <c r="W413" s="23" t="str">
        <f>"|MIDDLE:​"&amp;テーブル1[[#This Row],[Name]]</f>
        <v>|MIDDLE:​Yoakene Yori</v>
      </c>
      <c r="X413" s="23" t="str">
        <f>"|MIDDLE:​&amp;link(配布所はこちら){​"&amp;テーブル1[[#This Row],[リンク]]&amp;"}|"</f>
        <v>|MIDDLE:​&amp;link(配布所はこちら){​https://yukimiyashimusho.jimdofree.com}|</v>
      </c>
    </row>
    <row r="414" spans="2:24" ht="20.149999999999999" customHeight="1" x14ac:dyDescent="0.35">
      <c r="B414" s="23" t="str">
        <f>SUBSTITUTE(SUBSTITUTE(SUBSTITUTE(SUBSTITUTE(SUBSTITUTE(SUBSTITUTE(SUBSTITUTE(SUBSTITUTE(LOWER(テーブル1[[#This Row],[Name]])," ","-"),".","-"),"&amp;","-"),"_","-"),"・","-"),"=","-"),"--","-"),"--","-")</f>
        <v>yoyaku-asuku</v>
      </c>
      <c r="C414" s="24" t="s">
        <v>979</v>
      </c>
      <c r="D414" s="23" t="s">
        <v>980</v>
      </c>
      <c r="E414" s="23" t="s">
        <v>992</v>
      </c>
      <c r="F414" s="2" t="s">
        <v>572</v>
      </c>
      <c r="G414" s="23" t="s">
        <v>573</v>
      </c>
      <c r="M414" s="1" t="s">
        <v>1517</v>
      </c>
      <c r="O414" s="24" t="str">
        <f>テーブル1[[#This Row],[リンク]]&amp;テーブル1[[#This Row],[描画状況]]</f>
        <v>https://askdance.wixsite.com/monitor-room/monitor-room</v>
      </c>
      <c r="P414" s="17">
        <f>1-(COUNTIF(O:O,_xlfn.TEXTJOIN(",",TRUE,テーブル1[[#This Row],[リンク]],テーブル1[[#This Row],[描画状況]]))/COUNTIF(F:F,テーブル1[[#This Row],[リンク]]))</f>
        <v>9.9999999999999978E-2</v>
      </c>
      <c r="Q414" s="16">
        <f ca="1">IFERROR(IF(テーブル1[[#This Row],[描画状況]]="",RAND()+(テーブル1[[#This Row],[列2]]*100),""),RAND())</f>
        <v>10.200294407773754</v>
      </c>
      <c r="S414" s="24" t="str">
        <f ca="1">IF(AND(テーブル1[[#This Row],[描画状況]]="済",テーブル1[[#This Row],[投稿状況]]=""),RAND(),"")</f>
        <v/>
      </c>
      <c r="T414" s="23" t="str">
        <f>"|&amp;image("&amp;テーブル1[[#This Row],[画像]]&amp;".png,width=100,height=100)"</f>
        <v>|&amp;image(yoyaku-asuku.png,width=100,height=100)</v>
      </c>
      <c r="U414" s="23" t="str">
        <f>"|MIDDLE:​"&amp;テーブル1[[#This Row],[名前]]</f>
        <v>|MIDDLE:​踊躍あすく</v>
      </c>
      <c r="V414" s="23" t="str">
        <f>"|MIDDLE:​"&amp;テーブル1[[#This Row],[なまえ]]</f>
        <v>|MIDDLE:​ようやく あすく</v>
      </c>
      <c r="W414" s="23" t="str">
        <f>"|MIDDLE:​"&amp;テーブル1[[#This Row],[Name]]</f>
        <v>|MIDDLE:​Yoyaku Asuku</v>
      </c>
      <c r="X414" s="23" t="str">
        <f>"|MIDDLE:​&amp;link(配布所はこちら){​"&amp;テーブル1[[#This Row],[リンク]]&amp;"}|"</f>
        <v>|MIDDLE:​&amp;link(配布所はこちら){​https://askdance.wixsite.com/monitor-room/monitor-room}|</v>
      </c>
    </row>
    <row r="415" spans="2:24" ht="20.149999999999999" customHeight="1" x14ac:dyDescent="0.35">
      <c r="B415" s="23" t="str">
        <f>SUBSTITUTE(SUBSTITUTE(SUBSTITUTE(SUBSTITUTE(SUBSTITUTE(SUBSTITUTE(SUBSTITUTE(SUBSTITUTE(LOWER(テーブル1[[#This Row],[Name]])," ","-"),".","-"),"&amp;","-"),"_","-"),"・","-"),"=","-"),"--","-"),"--","-")</f>
        <v>yoruda-kibo</v>
      </c>
      <c r="C415" s="24" t="s">
        <v>633</v>
      </c>
      <c r="D415" s="23" t="s">
        <v>634</v>
      </c>
      <c r="E415" s="23" t="s">
        <v>635</v>
      </c>
      <c r="F415" s="2" t="s">
        <v>636</v>
      </c>
      <c r="G415" s="23" t="s">
        <v>637</v>
      </c>
      <c r="O415" s="24" t="str">
        <f>テーブル1[[#This Row],[リンク]]&amp;テーブル1[[#This Row],[描画状況]]</f>
        <v>https://alceaakaza.wixsite.com/artkashic-uni-verse</v>
      </c>
      <c r="P415" s="17">
        <f>1-(COUNTIF(O:O,_xlfn.TEXTJOIN(",",TRUE,テーブル1[[#This Row],[リンク]],テーブル1[[#This Row],[描画状況]]))/COUNTIF(F:F,テーブル1[[#This Row],[リンク]]))</f>
        <v>0</v>
      </c>
      <c r="Q415" s="16">
        <f ca="1">IFERROR(IF(テーブル1[[#This Row],[描画状況]]="",RAND()+(テーブル1[[#This Row],[列2]]*100),""),RAND())</f>
        <v>0.17603568641558498</v>
      </c>
      <c r="S415" s="24" t="str">
        <f ca="1">IF(AND(テーブル1[[#This Row],[描画状況]]="済",テーブル1[[#This Row],[投稿状況]]=""),RAND(),"")</f>
        <v/>
      </c>
      <c r="T415" s="23" t="str">
        <f>"|&amp;image("&amp;テーブル1[[#This Row],[画像]]&amp;".png,width=100,height=100)"</f>
        <v>|&amp;image(yoruda-kibo.png,width=100,height=100)</v>
      </c>
      <c r="U415" s="23" t="str">
        <f>"|MIDDLE:​"&amp;テーブル1[[#This Row],[名前]]</f>
        <v>|MIDDLE:​夜打キーボ</v>
      </c>
      <c r="V415" s="23" t="str">
        <f>"|MIDDLE:​"&amp;テーブル1[[#This Row],[なまえ]]</f>
        <v>|MIDDLE:​よるだ きーぼ</v>
      </c>
      <c r="W415" s="23" t="str">
        <f>"|MIDDLE:​"&amp;テーブル1[[#This Row],[Name]]</f>
        <v>|MIDDLE:​Yoruda Kibo</v>
      </c>
      <c r="X415" s="23" t="str">
        <f>"|MIDDLE:​&amp;link(配布所はこちら){​"&amp;テーブル1[[#This Row],[リンク]]&amp;"}|"</f>
        <v>|MIDDLE:​&amp;link(配布所はこちら){​https://alceaakaza.wixsite.com/artkashic-uni-verse}|</v>
      </c>
    </row>
    <row r="416" spans="2:24" ht="20.149999999999999" customHeight="1" x14ac:dyDescent="0.35">
      <c r="B416" s="23" t="str">
        <f>SUBSTITUTE(SUBSTITUTE(SUBSTITUTE(SUBSTITUTE(SUBSTITUTE(SUBSTITUTE(SUBSTITUTE(SUBSTITUTE(LOWER(テーブル1[[#This Row],[Name]])," ","-"),".","-"),"&amp;","-"),"_","-"),"・","-"),"=","-"),"--","-"),"--","-")</f>
        <v>lava</v>
      </c>
      <c r="C416" s="24" t="s">
        <v>779</v>
      </c>
      <c r="D416" s="23" t="s">
        <v>780</v>
      </c>
      <c r="E416" s="23" t="s">
        <v>781</v>
      </c>
      <c r="F416" s="15" t="s">
        <v>778</v>
      </c>
      <c r="G416" s="23" t="str">
        <f>テーブル1[[#This Row],[名前]]&amp;"(UTAU)"</f>
        <v>螺婆(UTAU)</v>
      </c>
      <c r="M416" s="1" t="s">
        <v>1517</v>
      </c>
      <c r="O416" s="24" t="str">
        <f>テーブル1[[#This Row],[リンク]]&amp;テーブル1[[#This Row],[描画状況]]</f>
        <v>https://cmamizki.wixsite.com/edelstein</v>
      </c>
      <c r="P416" s="17">
        <f>1-(COUNTIF(O:O,_xlfn.TEXTJOIN(",",TRUE,テーブル1[[#This Row],[リンク]],テーブル1[[#This Row],[描画状況]]))/COUNTIF(F:F,テーブル1[[#This Row],[リンク]]))</f>
        <v>9.0909090909090939E-2</v>
      </c>
      <c r="Q416" s="16">
        <f ca="1">IFERROR(IF(テーブル1[[#This Row],[描画状況]]="",RAND()+(テーブル1[[#This Row],[列2]]*100),""),RAND())</f>
        <v>9.5061322661467322</v>
      </c>
      <c r="S416" s="24" t="str">
        <f ca="1">IF(AND(テーブル1[[#This Row],[描画状況]]="済",テーブル1[[#This Row],[投稿状況]]=""),RAND(),"")</f>
        <v/>
      </c>
      <c r="T416" s="23" t="str">
        <f>"|&amp;image("&amp;テーブル1[[#This Row],[画像]]&amp;".png,width=100,height=100)"</f>
        <v>|&amp;image(lava.png,width=100,height=100)</v>
      </c>
      <c r="U416" s="23" t="str">
        <f>"|MIDDLE:​"&amp;テーブル1[[#This Row],[名前]]</f>
        <v>|MIDDLE:​螺婆</v>
      </c>
      <c r="V416" s="23" t="str">
        <f>"|MIDDLE:​"&amp;テーブル1[[#This Row],[なまえ]]</f>
        <v>|MIDDLE:​らーば</v>
      </c>
      <c r="W416" s="23" t="str">
        <f>"|MIDDLE:​"&amp;テーブル1[[#This Row],[Name]]</f>
        <v>|MIDDLE:​Lava</v>
      </c>
      <c r="X416" s="23" t="str">
        <f>"|MIDDLE:​&amp;link(配布所はこちら){​"&amp;テーブル1[[#This Row],[リンク]]&amp;"}|"</f>
        <v>|MIDDLE:​&amp;link(配布所はこちら){​https://cmamizki.wixsite.com/edelstein}|</v>
      </c>
    </row>
    <row r="417" spans="2:24" ht="20.149999999999999" customHeight="1" x14ac:dyDescent="0.35">
      <c r="B417" s="23" t="str">
        <f>SUBSTITUTE(SUBSTITUTE(SUBSTITUTE(SUBSTITUTE(SUBSTITUTE(SUBSTITUTE(SUBSTITUTE(SUBSTITUTE(LOWER(テーブル1[[#This Row],[Name]])," ","-"),".","-"),"&amp;","-"),"_","-"),"・","-"),"=","-"),"--","-"),"--","-")</f>
        <v>larimar</v>
      </c>
      <c r="C417" s="24" t="s">
        <v>791</v>
      </c>
      <c r="D417" s="23" t="s">
        <v>792</v>
      </c>
      <c r="E417" s="23" t="s">
        <v>793</v>
      </c>
      <c r="F417" s="15" t="s">
        <v>778</v>
      </c>
      <c r="G417" s="23" t="str">
        <f>テーブル1[[#This Row],[名前]]&amp;"(UTAU)"</f>
        <v>ラリマー(UTAU)</v>
      </c>
      <c r="M417" s="1" t="s">
        <v>1517</v>
      </c>
      <c r="O417" s="24" t="str">
        <f>テーブル1[[#This Row],[リンク]]&amp;テーブル1[[#This Row],[描画状況]]</f>
        <v>https://cmamizki.wixsite.com/edelstein</v>
      </c>
      <c r="P417" s="17">
        <f>1-(COUNTIF(O:O,_xlfn.TEXTJOIN(",",TRUE,テーブル1[[#This Row],[リンク]],テーブル1[[#This Row],[描画状況]]))/COUNTIF(F:F,テーブル1[[#This Row],[リンク]]))</f>
        <v>9.0909090909090939E-2</v>
      </c>
      <c r="Q417" s="16">
        <f ca="1">IFERROR(IF(テーブル1[[#This Row],[描画状況]]="",RAND()+(テーブル1[[#This Row],[列2]]*100),""),RAND())</f>
        <v>9.4439251441798522</v>
      </c>
      <c r="S417" s="24" t="str">
        <f ca="1">IF(AND(テーブル1[[#This Row],[描画状況]]="済",テーブル1[[#This Row],[投稿状況]]=""),RAND(),"")</f>
        <v/>
      </c>
      <c r="T417" s="23" t="str">
        <f>"|&amp;image("&amp;テーブル1[[#This Row],[画像]]&amp;".png,width=100,height=100)"</f>
        <v>|&amp;image(larimar.png,width=100,height=100)</v>
      </c>
      <c r="U417" s="23" t="str">
        <f>"|MIDDLE:​"&amp;テーブル1[[#This Row],[名前]]</f>
        <v>|MIDDLE:​ラリマー</v>
      </c>
      <c r="V417" s="23" t="str">
        <f>"|MIDDLE:​"&amp;テーブル1[[#This Row],[なまえ]]</f>
        <v>|MIDDLE:​らりまー</v>
      </c>
      <c r="W417" s="23" t="str">
        <f>"|MIDDLE:​"&amp;テーブル1[[#This Row],[Name]]</f>
        <v>|MIDDLE:​Larimar</v>
      </c>
      <c r="X417" s="23" t="str">
        <f>"|MIDDLE:​&amp;link(配布所はこちら){​"&amp;テーブル1[[#This Row],[リンク]]&amp;"}|"</f>
        <v>|MIDDLE:​&amp;link(配布所はこちら){​https://cmamizki.wixsite.com/edelstein}|</v>
      </c>
    </row>
    <row r="418" spans="2:24" ht="20.149999999999999" customHeight="1" x14ac:dyDescent="0.35">
      <c r="B418" s="23" t="str">
        <f>SUBSTITUTE(SUBSTITUTE(SUBSTITUTE(SUBSTITUTE(SUBSTITUTE(SUBSTITUTE(SUBSTITUTE(SUBSTITUTE(LOWER(テーブル1[[#This Row],[Name]])," ","-"),".","-"),"&amp;","-"),"_","-"),"・","-"),"=","-"),"--","-"),"--","-")</f>
        <v>rya</v>
      </c>
      <c r="C418" s="24" t="s">
        <v>1092</v>
      </c>
      <c r="D418" s="23" t="s">
        <v>1093</v>
      </c>
      <c r="E418" s="23" t="s">
        <v>1092</v>
      </c>
      <c r="F418" s="15" t="s">
        <v>1066</v>
      </c>
      <c r="G418" s="23" t="s">
        <v>1067</v>
      </c>
      <c r="O418" s="24" t="str">
        <f>テーブル1[[#This Row],[リンク]]&amp;テーブル1[[#This Row],[描画状況]]</f>
        <v>https://yukimiyashimusho.jimdofree.com</v>
      </c>
      <c r="P418" s="17">
        <f>1-(COUNTIF(O:O,_xlfn.TEXTJOIN(",",TRUE,テーブル1[[#This Row],[リンク]],テーブル1[[#This Row],[描画状況]]))/COUNTIF(F:F,テーブル1[[#This Row],[リンク]]))</f>
        <v>7.1428571428571397E-2</v>
      </c>
      <c r="Q418" s="16">
        <f ca="1">IFERROR(IF(テーブル1[[#This Row],[描画状況]]="",RAND()+(テーブル1[[#This Row],[列2]]*100),""),RAND())</f>
        <v>8.0469346165204971</v>
      </c>
      <c r="S418" s="24" t="str">
        <f ca="1">IF(AND(テーブル1[[#This Row],[描画状況]]="済",テーブル1[[#This Row],[投稿状況]]=""),RAND(),"")</f>
        <v/>
      </c>
      <c r="T418" s="23" t="str">
        <f>"|&amp;image("&amp;テーブル1[[#This Row],[画像]]&amp;".png,width=100,height=100)"</f>
        <v>|&amp;image(rya.png,width=100,height=100)</v>
      </c>
      <c r="U418" s="23" t="str">
        <f>"|MIDDLE:​"&amp;テーブル1[[#This Row],[名前]]</f>
        <v>|MIDDLE:​Rya</v>
      </c>
      <c r="V418" s="23" t="str">
        <f>"|MIDDLE:​"&amp;テーブル1[[#This Row],[なまえ]]</f>
        <v>|MIDDLE:​りあ</v>
      </c>
      <c r="W418" s="23" t="str">
        <f>"|MIDDLE:​"&amp;テーブル1[[#This Row],[Name]]</f>
        <v>|MIDDLE:​Rya</v>
      </c>
      <c r="X418" s="23" t="str">
        <f>"|MIDDLE:​&amp;link(配布所はこちら){​"&amp;テーブル1[[#This Row],[リンク]]&amp;"}|"</f>
        <v>|MIDDLE:​&amp;link(配布所はこちら){​https://yukimiyashimusho.jimdofree.com}|</v>
      </c>
    </row>
    <row r="419" spans="2:24" ht="20.149999999999999" customHeight="1" x14ac:dyDescent="0.35">
      <c r="B419" s="23" t="str">
        <f>SUBSTITUTE(SUBSTITUTE(SUBSTITUTE(SUBSTITUTE(SUBSTITUTE(SUBSTITUTE(SUBSTITUTE(SUBSTITUTE(LOWER(テーブル1[[#This Row],[Name]])," ","-"),".","-"),"&amp;","-"),"_","-"),"・","-"),"=","-"),"--","-"),"--","-")</f>
        <v>riei-haiko</v>
      </c>
      <c r="C419" s="24" t="s">
        <v>1083</v>
      </c>
      <c r="D419" s="23" t="s">
        <v>1084</v>
      </c>
      <c r="E419" s="23" t="s">
        <v>1085</v>
      </c>
      <c r="F419" s="15" t="s">
        <v>1066</v>
      </c>
      <c r="G419" s="23" t="s">
        <v>1067</v>
      </c>
      <c r="O419" s="24" t="str">
        <f>テーブル1[[#This Row],[リンク]]&amp;テーブル1[[#This Row],[描画状況]]</f>
        <v>https://yukimiyashimusho.jimdofree.com</v>
      </c>
      <c r="P419" s="17">
        <f>1-(COUNTIF(O:O,_xlfn.TEXTJOIN(",",TRUE,テーブル1[[#This Row],[リンク]],テーブル1[[#This Row],[描画状況]]))/COUNTIF(F:F,テーブル1[[#This Row],[リンク]]))</f>
        <v>7.1428571428571397E-2</v>
      </c>
      <c r="Q419" s="16">
        <f ca="1">IFERROR(IF(テーブル1[[#This Row],[描画状況]]="",RAND()+(テーブル1[[#This Row],[列2]]*100),""),RAND())</f>
        <v>7.818584100858005</v>
      </c>
      <c r="S419" s="24" t="str">
        <f ca="1">IF(AND(テーブル1[[#This Row],[描画状況]]="済",テーブル1[[#This Row],[投稿状況]]=""),RAND(),"")</f>
        <v/>
      </c>
      <c r="T419" s="23" t="str">
        <f>"|&amp;image("&amp;テーブル1[[#This Row],[画像]]&amp;".png,width=100,height=100)"</f>
        <v>|&amp;image(riei-haiko.png,width=100,height=100)</v>
      </c>
      <c r="U419" s="23" t="str">
        <f>"|MIDDLE:​"&amp;テーブル1[[#This Row],[名前]]</f>
        <v>|MIDDLE:​理詠灰子</v>
      </c>
      <c r="V419" s="23" t="str">
        <f>"|MIDDLE:​"&amp;テーブル1[[#This Row],[なまえ]]</f>
        <v>|MIDDLE:​りえい はいこ</v>
      </c>
      <c r="W419" s="23" t="str">
        <f>"|MIDDLE:​"&amp;テーブル1[[#This Row],[Name]]</f>
        <v>|MIDDLE:​Riei Haiko</v>
      </c>
      <c r="X419" s="23" t="str">
        <f>"|MIDDLE:​&amp;link(配布所はこちら){​"&amp;テーブル1[[#This Row],[リンク]]&amp;"}|"</f>
        <v>|MIDDLE:​&amp;link(配布所はこちら){​https://yukimiyashimusho.jimdofree.com}|</v>
      </c>
    </row>
    <row r="420" spans="2:24" ht="20.149999999999999" customHeight="1" x14ac:dyDescent="0.35">
      <c r="B420" s="23" t="str">
        <f>SUBSTITUTE(SUBSTITUTE(SUBSTITUTE(SUBSTITUTE(SUBSTITUTE(SUBSTITUTE(SUBSTITUTE(SUBSTITUTE(LOWER(テーブル1[[#This Row],[Name]])," ","-"),".","-"),"&amp;","-"),"_","-"),"・","-"),"=","-"),"--","-"),"--","-")</f>
        <v>rion-nyui</v>
      </c>
      <c r="C420" s="24" t="s">
        <v>841</v>
      </c>
      <c r="D420" s="23" t="s">
        <v>842</v>
      </c>
      <c r="E420" s="23" t="s">
        <v>843</v>
      </c>
      <c r="F420" s="2" t="s">
        <v>833</v>
      </c>
      <c r="G420" s="23" t="s">
        <v>834</v>
      </c>
      <c r="O420" s="24" t="str">
        <f>テーブル1[[#This Row],[リンク]]&amp;テーブル1[[#This Row],[描画状況]]</f>
        <v>https://kaedekatusaki.wixsite.com/yanagiroutyou</v>
      </c>
      <c r="P420" s="17">
        <f>1-(COUNTIF(O:O,_xlfn.TEXTJOIN(",",TRUE,テーブル1[[#This Row],[リンク]],テーブル1[[#This Row],[描画状況]]))/COUNTIF(F:F,テーブル1[[#This Row],[リンク]]))</f>
        <v>0.125</v>
      </c>
      <c r="Q420" s="16">
        <f ca="1">IFERROR(IF(テーブル1[[#This Row],[描画状況]]="",RAND()+(テーブル1[[#This Row],[列2]]*100),""),RAND())</f>
        <v>12.888938245796567</v>
      </c>
      <c r="S420" s="24" t="str">
        <f ca="1">IF(AND(テーブル1[[#This Row],[描画状況]]="済",テーブル1[[#This Row],[投稿状況]]=""),RAND(),"")</f>
        <v/>
      </c>
      <c r="T420" s="23" t="str">
        <f>"|&amp;image("&amp;テーブル1[[#This Row],[画像]]&amp;".png,width=100,height=100)"</f>
        <v>|&amp;image(rion-nyui.png,width=100,height=100)</v>
      </c>
      <c r="U420" s="23" t="str">
        <f>"|MIDDLE:​"&amp;テーブル1[[#This Row],[名前]]</f>
        <v>|MIDDLE:​理音ニュイ</v>
      </c>
      <c r="V420" s="23" t="str">
        <f>"|MIDDLE:​"&amp;テーブル1[[#This Row],[なまえ]]</f>
        <v>|MIDDLE:​りおん にゅい</v>
      </c>
      <c r="W420" s="23" t="str">
        <f>"|MIDDLE:​"&amp;テーブル1[[#This Row],[Name]]</f>
        <v>|MIDDLE:​Rion Nyui</v>
      </c>
      <c r="X420" s="23" t="str">
        <f>"|MIDDLE:​&amp;link(配布所はこちら){​"&amp;テーブル1[[#This Row],[リンク]]&amp;"}|"</f>
        <v>|MIDDLE:​&amp;link(配布所はこちら){​https://kaedekatusaki.wixsite.com/yanagiroutyou}|</v>
      </c>
    </row>
    <row r="421" spans="2:24" ht="20.149999999999999" customHeight="1" x14ac:dyDescent="0.35">
      <c r="B421" s="23" t="str">
        <f>SUBSTITUTE(SUBSTITUTE(SUBSTITUTE(SUBSTITUTE(SUBSTITUTE(SUBSTITUTE(SUBSTITUTE(SUBSTITUTE(LOWER(テーブル1[[#This Row],[Name]])," ","-"),".","-"),"&amp;","-"),"_","-"),"・","-"),"=","-"),"--","-"),"--","-")</f>
        <v>rizuka</v>
      </c>
      <c r="C421" s="24" t="s">
        <v>610</v>
      </c>
      <c r="D421" s="23" t="s">
        <v>611</v>
      </c>
      <c r="E421" s="23" t="s">
        <v>612</v>
      </c>
      <c r="F421" s="2" t="s">
        <v>202</v>
      </c>
      <c r="G421" s="23" t="s">
        <v>203</v>
      </c>
      <c r="O421" s="24" t="str">
        <f>テーブル1[[#This Row],[リンク]]&amp;テーブル1[[#This Row],[描画状況]]</f>
        <v>https://mareffys.wixsite.com/lalo</v>
      </c>
      <c r="P421" s="17">
        <f>1-(COUNTIF(O:O,_xlfn.TEXTJOIN(",",TRUE,テーブル1[[#This Row],[リンク]],テーブル1[[#This Row],[描画状況]]))/COUNTIF(F:F,テーブル1[[#This Row],[リンク]]))</f>
        <v>0.66666666666666674</v>
      </c>
      <c r="Q421" s="16">
        <f ca="1">IFERROR(IF(テーブル1[[#This Row],[描画状況]]="",RAND()+(テーブル1[[#This Row],[列2]]*100),""),RAND())</f>
        <v>67.134063026509182</v>
      </c>
      <c r="S421" s="24" t="str">
        <f ca="1">IF(AND(テーブル1[[#This Row],[描画状況]]="済",テーブル1[[#This Row],[投稿状況]]=""),RAND(),"")</f>
        <v/>
      </c>
      <c r="T421" s="23" t="str">
        <f>"|&amp;image("&amp;テーブル1[[#This Row],[画像]]&amp;".png,width=100,height=100)"</f>
        <v>|&amp;image(rizuka.png,width=100,height=100)</v>
      </c>
      <c r="U421" s="23" t="str">
        <f>"|MIDDLE:​"&amp;テーブル1[[#This Row],[名前]]</f>
        <v>|MIDDLE:​リズカ</v>
      </c>
      <c r="V421" s="23" t="str">
        <f>"|MIDDLE:​"&amp;テーブル1[[#This Row],[なまえ]]</f>
        <v>|MIDDLE:​りずか</v>
      </c>
      <c r="W421" s="23" t="str">
        <f>"|MIDDLE:​"&amp;テーブル1[[#This Row],[Name]]</f>
        <v>|MIDDLE:​Rizuka</v>
      </c>
      <c r="X421" s="23" t="str">
        <f>"|MIDDLE:​&amp;link(配布所はこちら){​"&amp;テーブル1[[#This Row],[リンク]]&amp;"}|"</f>
        <v>|MIDDLE:​&amp;link(配布所はこちら){​https://mareffys.wixsite.com/lalo}|</v>
      </c>
    </row>
    <row r="422" spans="2:24" ht="20.149999999999999" customHeight="1" x14ac:dyDescent="0.35">
      <c r="B422" s="23" t="str">
        <f>SUBSTITUTE(SUBSTITUTE(SUBSTITUTE(SUBSTITUTE(SUBSTITUTE(SUBSTITUTE(SUBSTITUTE(SUBSTITUTE(LOWER(テーブル1[[#This Row],[Name]])," ","-"),".","-"),"&amp;","-"),"_","-"),"・","-"),"=","-"),"--","-"),"--","-")</f>
        <v>risetotan</v>
      </c>
      <c r="C422" s="24" t="s">
        <v>786</v>
      </c>
      <c r="D422" s="24" t="s">
        <v>786</v>
      </c>
      <c r="E422" s="23" t="s">
        <v>787</v>
      </c>
      <c r="F422" s="15" t="s">
        <v>778</v>
      </c>
      <c r="G422" s="23" t="str">
        <f>テーブル1[[#This Row],[名前]]&amp;"(UTAU)"</f>
        <v>りせとたん(UTAU)</v>
      </c>
      <c r="M422" s="1" t="s">
        <v>1517</v>
      </c>
      <c r="O422" s="24" t="str">
        <f>テーブル1[[#This Row],[リンク]]&amp;テーブル1[[#This Row],[描画状況]]</f>
        <v>https://cmamizki.wixsite.com/edelstein</v>
      </c>
      <c r="P422" s="17">
        <f>1-(COUNTIF(O:O,_xlfn.TEXTJOIN(",",TRUE,テーブル1[[#This Row],[リンク]],テーブル1[[#This Row],[描画状況]]))/COUNTIF(F:F,テーブル1[[#This Row],[リンク]]))</f>
        <v>9.0909090909090939E-2</v>
      </c>
      <c r="Q422" s="16">
        <f ca="1">IFERROR(IF(テーブル1[[#This Row],[描画状況]]="",RAND()+(テーブル1[[#This Row],[列2]]*100),""),RAND())</f>
        <v>9.3605175938024647</v>
      </c>
      <c r="S422" s="24" t="str">
        <f ca="1">IF(AND(テーブル1[[#This Row],[描画状況]]="済",テーブル1[[#This Row],[投稿状況]]=""),RAND(),"")</f>
        <v/>
      </c>
      <c r="T422" s="23" t="str">
        <f>"|&amp;image("&amp;テーブル1[[#This Row],[画像]]&amp;".png,width=100,height=100)"</f>
        <v>|&amp;image(risetotan.png,width=100,height=100)</v>
      </c>
      <c r="U422" s="23" t="str">
        <f>"|MIDDLE:​"&amp;テーブル1[[#This Row],[名前]]</f>
        <v>|MIDDLE:​りせとたん</v>
      </c>
      <c r="V422" s="23" t="str">
        <f>"|MIDDLE:​"&amp;テーブル1[[#This Row],[なまえ]]</f>
        <v>|MIDDLE:​りせとたん</v>
      </c>
      <c r="W422" s="23" t="str">
        <f>"|MIDDLE:​"&amp;テーブル1[[#This Row],[Name]]</f>
        <v>|MIDDLE:​Risetotan</v>
      </c>
      <c r="X422" s="23" t="str">
        <f>"|MIDDLE:​&amp;link(配布所はこちら){​"&amp;テーブル1[[#This Row],[リンク]]&amp;"}|"</f>
        <v>|MIDDLE:​&amp;link(配布所はこちら){​https://cmamizki.wixsite.com/edelstein}|</v>
      </c>
    </row>
    <row r="423" spans="2:24" ht="20.149999999999999" customHeight="1" x14ac:dyDescent="0.35">
      <c r="B423" s="23" t="str">
        <f>SUBSTITUTE(SUBSTITUTE(SUBSTITUTE(SUBSTITUTE(SUBSTITUTE(SUBSTITUTE(SUBSTITUTE(SUBSTITUTE(LOWER(テーブル1[[#This Row],[Name]])," ","-"),".","-"),"&amp;","-"),"_","-"),"・","-"),"=","-"),"--","-"),"--","-")</f>
        <v>liluppoid</v>
      </c>
      <c r="C423" s="24" t="s">
        <v>1123</v>
      </c>
      <c r="D423" s="24" t="s">
        <v>1123</v>
      </c>
      <c r="E423" s="23" t="s">
        <v>1124</v>
      </c>
      <c r="F423" s="15" t="s">
        <v>1143</v>
      </c>
      <c r="G423" s="23" t="str">
        <f>テーブル1[[#This Row],[名前]]&amp;"(UTAU)"</f>
        <v>りるっぽいど(UTAU)</v>
      </c>
      <c r="O423" s="24" t="str">
        <f>テーブル1[[#This Row],[リンク]]&amp;テーブル1[[#This Row],[描画状況]]</f>
        <v>https://yautau.wixsite.com/0909</v>
      </c>
      <c r="P423" s="17">
        <f>1-(COUNTIF(O:O,_xlfn.TEXTJOIN(",",TRUE,テーブル1[[#This Row],[リンク]],テーブル1[[#This Row],[描画状況]]))/COUNTIF(F:F,テーブル1[[#This Row],[リンク]]))</f>
        <v>0.125</v>
      </c>
      <c r="Q423" s="16">
        <f ca="1">IFERROR(IF(テーブル1[[#This Row],[描画状況]]="",RAND()+(テーブル1[[#This Row],[列2]]*100),""),RAND())</f>
        <v>12.75100654730101</v>
      </c>
      <c r="S423" s="24" t="str">
        <f ca="1">IF(AND(テーブル1[[#This Row],[描画状況]]="済",テーブル1[[#This Row],[投稿状況]]=""),RAND(),"")</f>
        <v/>
      </c>
      <c r="T423" s="23" t="str">
        <f>"|&amp;image("&amp;テーブル1[[#This Row],[画像]]&amp;".png,width=100,height=100)"</f>
        <v>|&amp;image(liluppoid.png,width=100,height=100)</v>
      </c>
      <c r="U423" s="23" t="str">
        <f>"|MIDDLE:​"&amp;テーブル1[[#This Row],[名前]]</f>
        <v>|MIDDLE:​りるっぽいど</v>
      </c>
      <c r="V423" s="23" t="str">
        <f>"|MIDDLE:​"&amp;テーブル1[[#This Row],[なまえ]]</f>
        <v>|MIDDLE:​りるっぽいど</v>
      </c>
      <c r="W423" s="23" t="str">
        <f>"|MIDDLE:​"&amp;テーブル1[[#This Row],[Name]]</f>
        <v>|MIDDLE:​Liluppoid</v>
      </c>
      <c r="X423" s="23" t="str">
        <f>"|MIDDLE:​&amp;link(配布所はこちら){​"&amp;テーブル1[[#This Row],[リンク]]&amp;"}|"</f>
        <v>|MIDDLE:​&amp;link(配布所はこちら){​https://yautau.wixsite.com/0909}|</v>
      </c>
    </row>
    <row r="424" spans="2:24" ht="20.149999999999999" customHeight="1" x14ac:dyDescent="0.35">
      <c r="B424" s="23" t="str">
        <f>SUBSTITUTE(SUBSTITUTE(SUBSTITUTE(SUBSTITUTE(SUBSTITUTE(SUBSTITUTE(SUBSTITUTE(SUBSTITUTE(LOWER(テーブル1[[#This Row],[Name]])," ","-"),".","-"),"&amp;","-"),"_","-"),"・","-"),"=","-"),"--","-"),"--","-")</f>
        <v>rook</v>
      </c>
      <c r="C424" s="24" t="s">
        <v>1338</v>
      </c>
      <c r="D424" s="23" t="s">
        <v>1341</v>
      </c>
      <c r="E424" s="23" t="s">
        <v>1340</v>
      </c>
      <c r="F424" s="15" t="s">
        <v>1339</v>
      </c>
      <c r="G424" s="23" t="str">
        <f>テーブル1[[#This Row],[名前]]&amp;"(UTAU)"</f>
        <v>ルーク(UTAU)</v>
      </c>
      <c r="O424" s="24" t="str">
        <f>テーブル1[[#This Row],[リンク]]&amp;テーブル1[[#This Row],[描画状況]]</f>
        <v>https://rook-utau.jimdosite.com</v>
      </c>
      <c r="P424" s="17">
        <f>1-(COUNTIF(O:O,_xlfn.TEXTJOIN(",",TRUE,テーブル1[[#This Row],[リンク]],テーブル1[[#This Row],[描画状況]]))/COUNTIF(F:F,テーブル1[[#This Row],[リンク]]))</f>
        <v>0</v>
      </c>
      <c r="Q424" s="16">
        <f ca="1">IFERROR(IF(テーブル1[[#This Row],[描画状況]]="",RAND()+(テーブル1[[#This Row],[列2]]*100),""),RAND())</f>
        <v>0.39848279773181761</v>
      </c>
      <c r="S424" s="24" t="str">
        <f ca="1">IF(AND(テーブル1[[#This Row],[描画状況]]="済",テーブル1[[#This Row],[投稿状況]]=""),RAND(),"")</f>
        <v/>
      </c>
      <c r="T424" s="23" t="str">
        <f>"|&amp;image("&amp;テーブル1[[#This Row],[画像]]&amp;".png,width=100,height=100)"</f>
        <v>|&amp;image(rook.png,width=100,height=100)</v>
      </c>
      <c r="U424" s="23" t="str">
        <f>"|MIDDLE:​"&amp;テーブル1[[#This Row],[名前]]</f>
        <v>|MIDDLE:​ルーク</v>
      </c>
      <c r="V424" s="23" t="str">
        <f>"|MIDDLE:​"&amp;テーブル1[[#This Row],[なまえ]]</f>
        <v>|MIDDLE:​るーく</v>
      </c>
      <c r="W424" s="23" t="str">
        <f>"|MIDDLE:​"&amp;テーブル1[[#This Row],[Name]]</f>
        <v>|MIDDLE:​Rook</v>
      </c>
      <c r="X424" s="23" t="str">
        <f>"|MIDDLE:​&amp;link(配布所はこちら){​"&amp;テーブル1[[#This Row],[リンク]]&amp;"}|"</f>
        <v>|MIDDLE:​&amp;link(配布所はこちら){​https://rook-utau.jimdosite.com}|</v>
      </c>
    </row>
    <row r="425" spans="2:24" ht="20.149999999999999" customHeight="1" x14ac:dyDescent="0.35">
      <c r="B425" s="23" t="str">
        <f>SUBSTITUTE(SUBSTITUTE(SUBSTITUTE(SUBSTITUTE(SUBSTITUTE(SUBSTITUTE(SUBSTITUTE(SUBSTITUTE(LOWER(テーブル1[[#This Row],[Name]])," ","-"),".","-"),"&amp;","-"),"_","-"),"・","-"),"=","-"),"--","-"),"--","-")</f>
        <v>root</v>
      </c>
      <c r="C425" s="24" t="s">
        <v>788</v>
      </c>
      <c r="D425" s="23" t="s">
        <v>789</v>
      </c>
      <c r="E425" s="23" t="s">
        <v>790</v>
      </c>
      <c r="F425" s="15" t="s">
        <v>778</v>
      </c>
      <c r="G425" s="23" t="str">
        <f>テーブル1[[#This Row],[名前]]&amp;"(UTAU)"</f>
        <v>ルート(UTAU)</v>
      </c>
      <c r="M425" s="1" t="s">
        <v>1517</v>
      </c>
      <c r="O425" s="24" t="str">
        <f>テーブル1[[#This Row],[リンク]]&amp;テーブル1[[#This Row],[描画状況]]</f>
        <v>https://cmamizki.wixsite.com/edelstein</v>
      </c>
      <c r="P425" s="17">
        <f>1-(COUNTIF(O:O,_xlfn.TEXTJOIN(",",TRUE,テーブル1[[#This Row],[リンク]],テーブル1[[#This Row],[描画状況]]))/COUNTIF(F:F,テーブル1[[#This Row],[リンク]]))</f>
        <v>9.0909090909090939E-2</v>
      </c>
      <c r="Q425" s="16">
        <f ca="1">IFERROR(IF(テーブル1[[#This Row],[描画状況]]="",RAND()+(テーブル1[[#This Row],[列2]]*100),""),RAND())</f>
        <v>9.1151454131011427</v>
      </c>
      <c r="S425" s="24" t="str">
        <f ca="1">IF(AND(テーブル1[[#This Row],[描画状況]]="済",テーブル1[[#This Row],[投稿状況]]=""),RAND(),"")</f>
        <v/>
      </c>
      <c r="T425" s="23" t="str">
        <f>"|&amp;image("&amp;テーブル1[[#This Row],[画像]]&amp;".png,width=100,height=100)"</f>
        <v>|&amp;image(root.png,width=100,height=100)</v>
      </c>
      <c r="U425" s="23" t="str">
        <f>"|MIDDLE:​"&amp;テーブル1[[#This Row],[名前]]</f>
        <v>|MIDDLE:​ルート</v>
      </c>
      <c r="V425" s="23" t="str">
        <f>"|MIDDLE:​"&amp;テーブル1[[#This Row],[なまえ]]</f>
        <v>|MIDDLE:​るーと</v>
      </c>
      <c r="W425" s="23" t="str">
        <f>"|MIDDLE:​"&amp;テーブル1[[#This Row],[Name]]</f>
        <v>|MIDDLE:​Root</v>
      </c>
      <c r="X425" s="23" t="str">
        <f>"|MIDDLE:​&amp;link(配布所はこちら){​"&amp;テーブル1[[#This Row],[リンク]]&amp;"}|"</f>
        <v>|MIDDLE:​&amp;link(配布所はこちら){​https://cmamizki.wixsite.com/edelstein}|</v>
      </c>
    </row>
    <row r="426" spans="2:24" ht="20.149999999999999" customHeight="1" x14ac:dyDescent="0.35">
      <c r="B426" s="23" t="str">
        <f>SUBSTITUTE(SUBSTITUTE(SUBSTITUTE(SUBSTITUTE(SUBSTITUTE(SUBSTITUTE(SUBSTITUTE(SUBSTITUTE(LOWER(テーブル1[[#This Row],[Name]])," ","-"),".","-"),"&amp;","-"),"_","-"),"・","-"),"=","-"),"--","-"),"--","-")</f>
        <v>wraith</v>
      </c>
      <c r="C426" s="24" t="s">
        <v>803</v>
      </c>
      <c r="D426" s="23" t="s">
        <v>804</v>
      </c>
      <c r="E426" s="23" t="s">
        <v>803</v>
      </c>
      <c r="F426" s="15" t="s">
        <v>778</v>
      </c>
      <c r="G426" s="23" t="str">
        <f>テーブル1[[#This Row],[名前]]&amp;"(UTAU)"</f>
        <v>Wraith(UTAU)</v>
      </c>
      <c r="M426" s="1" t="s">
        <v>1517</v>
      </c>
      <c r="O426" s="24" t="str">
        <f>テーブル1[[#This Row],[リンク]]&amp;テーブル1[[#This Row],[描画状況]]</f>
        <v>https://cmamizki.wixsite.com/edelstein</v>
      </c>
      <c r="P426" s="17">
        <f>1-(COUNTIF(O:O,_xlfn.TEXTJOIN(",",TRUE,テーブル1[[#This Row],[リンク]],テーブル1[[#This Row],[描画状況]]))/COUNTIF(F:F,テーブル1[[#This Row],[リンク]]))</f>
        <v>9.0909090909090939E-2</v>
      </c>
      <c r="Q426" s="16">
        <f ca="1">IFERROR(IF(テーブル1[[#This Row],[描画状況]]="",RAND()+(テーブル1[[#This Row],[列2]]*100),""),RAND())</f>
        <v>9.7804539678056486</v>
      </c>
      <c r="S426" s="24" t="str">
        <f ca="1">IF(AND(テーブル1[[#This Row],[描画状況]]="済",テーブル1[[#This Row],[投稿状況]]=""),RAND(),"")</f>
        <v/>
      </c>
      <c r="T426" s="23" t="str">
        <f>"|&amp;image("&amp;テーブル1[[#This Row],[画像]]&amp;".png,width=100,height=100)"</f>
        <v>|&amp;image(wraith.png,width=100,height=100)</v>
      </c>
      <c r="U426" s="23" t="str">
        <f>"|MIDDLE:​"&amp;テーブル1[[#This Row],[名前]]</f>
        <v>|MIDDLE:​Wraith</v>
      </c>
      <c r="V426" s="23" t="str">
        <f>"|MIDDLE:​"&amp;テーブル1[[#This Row],[なまえ]]</f>
        <v>|MIDDLE:​れいす</v>
      </c>
      <c r="W426" s="23" t="str">
        <f>"|MIDDLE:​"&amp;テーブル1[[#This Row],[Name]]</f>
        <v>|MIDDLE:​Wraith</v>
      </c>
      <c r="X426" s="23" t="str">
        <f>"|MIDDLE:​&amp;link(配布所はこちら){​"&amp;テーブル1[[#This Row],[リンク]]&amp;"}|"</f>
        <v>|MIDDLE:​&amp;link(配布所はこちら){​https://cmamizki.wixsite.com/edelstein}|</v>
      </c>
    </row>
    <row r="427" spans="2:24" ht="20.149999999999999" customHeight="1" x14ac:dyDescent="0.35">
      <c r="B427" s="23" t="str">
        <f>SUBSTITUTE(SUBSTITUTE(SUBSTITUTE(SUBSTITUTE(SUBSTITUTE(SUBSTITUTE(SUBSTITUTE(SUBSTITUTE(LOWER(テーブル1[[#This Row],[Name]])," ","-"),".","-"),"&amp;","-"),"_","-"),"・","-"),"=","-"),"--","-"),"--","-")</f>
        <v>recu</v>
      </c>
      <c r="C427" s="24" t="s">
        <v>1120</v>
      </c>
      <c r="D427" s="23" t="s">
        <v>1121</v>
      </c>
      <c r="E427" s="23" t="s">
        <v>1122</v>
      </c>
      <c r="F427" s="15" t="s">
        <v>1143</v>
      </c>
      <c r="G427" s="23" t="str">
        <f>テーブル1[[#This Row],[名前]]&amp;"(UTAU)"</f>
        <v>RECU(UTAU)</v>
      </c>
      <c r="O427" s="24" t="str">
        <f>テーブル1[[#This Row],[リンク]]&amp;テーブル1[[#This Row],[描画状況]]</f>
        <v>https://yautau.wixsite.com/0909</v>
      </c>
      <c r="P427" s="17">
        <f>1-(COUNTIF(O:O,_xlfn.TEXTJOIN(",",TRUE,テーブル1[[#This Row],[リンク]],テーブル1[[#This Row],[描画状況]]))/COUNTIF(F:F,テーブル1[[#This Row],[リンク]]))</f>
        <v>0.125</v>
      </c>
      <c r="Q427" s="16">
        <f ca="1">IFERROR(IF(テーブル1[[#This Row],[描画状況]]="",RAND()+(テーブル1[[#This Row],[列2]]*100),""),RAND())</f>
        <v>12.992475781186728</v>
      </c>
      <c r="S427" s="24" t="str">
        <f ca="1">IF(AND(テーブル1[[#This Row],[描画状況]]="済",テーブル1[[#This Row],[投稿状況]]=""),RAND(),"")</f>
        <v/>
      </c>
      <c r="T427" s="23" t="str">
        <f>"|&amp;image("&amp;テーブル1[[#This Row],[画像]]&amp;".png,width=100,height=100)"</f>
        <v>|&amp;image(recu.png,width=100,height=100)</v>
      </c>
      <c r="U427" s="23" t="str">
        <f>"|MIDDLE:​"&amp;テーブル1[[#This Row],[名前]]</f>
        <v>|MIDDLE:​RECU</v>
      </c>
      <c r="V427" s="23" t="str">
        <f>"|MIDDLE:​"&amp;テーブル1[[#This Row],[なまえ]]</f>
        <v>|MIDDLE:​れく</v>
      </c>
      <c r="W427" s="23" t="str">
        <f>"|MIDDLE:​"&amp;テーブル1[[#This Row],[Name]]</f>
        <v>|MIDDLE:​Recu</v>
      </c>
      <c r="X427" s="23" t="str">
        <f>"|MIDDLE:​&amp;link(配布所はこちら){​"&amp;テーブル1[[#This Row],[リンク]]&amp;"}|"</f>
        <v>|MIDDLE:​&amp;link(配布所はこちら){​https://yautau.wixsite.com/0909}|</v>
      </c>
    </row>
    <row r="428" spans="2:24" ht="20.149999999999999" customHeight="1" x14ac:dyDescent="0.35">
      <c r="B428" s="23" t="str">
        <f>SUBSTITUTE(SUBSTITUTE(SUBSTITUTE(SUBSTITUTE(SUBSTITUTE(SUBSTITUTE(SUBSTITUTE(SUBSTITUTE(LOWER(テーブル1[[#This Row],[Name]])," ","-"),".","-"),"&amp;","-"),"_","-"),"・","-"),"=","-"),"--","-"),"--","-")</f>
        <v>refua-apapane</v>
      </c>
      <c r="C428" s="24" t="s">
        <v>964</v>
      </c>
      <c r="D428" s="23" t="s">
        <v>965</v>
      </c>
      <c r="E428" s="23" t="s">
        <v>969</v>
      </c>
      <c r="F428" s="2" t="s">
        <v>1703</v>
      </c>
      <c r="G428" s="23" t="str">
        <f>テーブル1[[#This Row],[名前]]&amp;"(UTAU)"</f>
        <v>レフア・アパパネ(UTAU)</v>
      </c>
      <c r="H428" s="23" t="s">
        <v>1626</v>
      </c>
      <c r="I428" s="23" t="s">
        <v>1706</v>
      </c>
      <c r="L428" s="23" t="s">
        <v>1707</v>
      </c>
      <c r="M428" s="1" t="s">
        <v>1518</v>
      </c>
      <c r="O428" s="24" t="str">
        <f>テーブル1[[#This Row],[リンク]]&amp;テーブル1[[#This Row],[描画状況]]</f>
        <v>https://ameutaulii.wixsite.com/telepathycapsule</v>
      </c>
      <c r="P428" s="17">
        <f>1-(COUNTIF(O:O,_xlfn.TEXTJOIN(",",TRUE,テーブル1[[#This Row],[リンク]],テーブル1[[#This Row],[描画状況]]))/COUNTIF(F:F,テーブル1[[#This Row],[リンク]]))</f>
        <v>0.16666666666666663</v>
      </c>
      <c r="Q428" s="16">
        <f ca="1">IFERROR(IF(テーブル1[[#This Row],[描画状況]]="",RAND()+(テーブル1[[#This Row],[列2]]*100),""),RAND())</f>
        <v>17.139842833053201</v>
      </c>
      <c r="S428" s="24" t="str">
        <f ca="1">IF(AND(テーブル1[[#This Row],[描画状況]]="済",テーブル1[[#This Row],[投稿状況]]=""),RAND(),"")</f>
        <v/>
      </c>
      <c r="T428" s="23" t="str">
        <f>"|&amp;image("&amp;テーブル1[[#This Row],[画像]]&amp;".png,width=100,height=100)"</f>
        <v>|&amp;image(refua-apapane.png,width=100,height=100)</v>
      </c>
      <c r="U428" s="23" t="str">
        <f>"|MIDDLE:​"&amp;テーブル1[[#This Row],[名前]]</f>
        <v>|MIDDLE:​レフア・アパパネ</v>
      </c>
      <c r="V428" s="23" t="str">
        <f>"|MIDDLE:​"&amp;テーブル1[[#This Row],[なまえ]]</f>
        <v>|MIDDLE:​れふあ あぱぱね</v>
      </c>
      <c r="W428" s="23" t="str">
        <f>"|MIDDLE:​"&amp;テーブル1[[#This Row],[Name]]</f>
        <v>|MIDDLE:​Refua Apapane</v>
      </c>
      <c r="X428" s="23" t="str">
        <f>"|MIDDLE:​&amp;link(配布所はこちら){​"&amp;テーブル1[[#This Row],[リンク]]&amp;"}|"</f>
        <v>|MIDDLE:​&amp;link(配布所はこちら){​https://ameutaulii.wixsite.com/telepathycapsule}|</v>
      </c>
    </row>
    <row r="429" spans="2:24" ht="20.149999999999999" customHeight="1" x14ac:dyDescent="0.35">
      <c r="B429" s="23" t="str">
        <f>SUBSTITUTE(SUBSTITUTE(SUBSTITUTE(SUBSTITUTE(SUBSTITUTE(SUBSTITUTE(SUBSTITUTE(SUBSTITUTE(LOWER(テーブル1[[#This Row],[Name]])," ","-"),".","-"),"&amp;","-"),"_","-"),"・","-"),"=","-"),"--","-"),"--","-")</f>
        <v>rokushichi-juzou</v>
      </c>
      <c r="C429" s="24" t="s">
        <v>1000</v>
      </c>
      <c r="D429" s="23" t="s">
        <v>1002</v>
      </c>
      <c r="E429" s="23" t="s">
        <v>1001</v>
      </c>
      <c r="F429" s="2" t="s">
        <v>572</v>
      </c>
      <c r="G429" s="23" t="s">
        <v>573</v>
      </c>
      <c r="M429" s="1" t="s">
        <v>1517</v>
      </c>
      <c r="O429" s="24" t="str">
        <f>テーブル1[[#This Row],[リンク]]&amp;テーブル1[[#This Row],[描画状況]]</f>
        <v>https://askdance.wixsite.com/monitor-room/monitor-room</v>
      </c>
      <c r="P429" s="17">
        <f>1-(COUNTIF(O:O,_xlfn.TEXTJOIN(",",TRUE,テーブル1[[#This Row],[リンク]],テーブル1[[#This Row],[描画状況]]))/COUNTIF(F:F,テーブル1[[#This Row],[リンク]]))</f>
        <v>9.9999999999999978E-2</v>
      </c>
      <c r="Q429" s="16">
        <f ca="1">IFERROR(IF(テーブル1[[#This Row],[描画状況]]="",RAND()+(テーブル1[[#This Row],[列2]]*100),""),RAND())</f>
        <v>10.165449056193138</v>
      </c>
      <c r="S429" s="24" t="str">
        <f ca="1">IF(AND(テーブル1[[#This Row],[描画状況]]="済",テーブル1[[#This Row],[投稿状況]]=""),RAND(),"")</f>
        <v/>
      </c>
      <c r="T429" s="23" t="str">
        <f>"|&amp;image("&amp;テーブル1[[#This Row],[画像]]&amp;".png,width=100,height=100)"</f>
        <v>|&amp;image(rokushichi-juzou.png,width=100,height=100)</v>
      </c>
      <c r="U429" s="23" t="str">
        <f>"|MIDDLE:​"&amp;テーブル1[[#This Row],[名前]]</f>
        <v>|MIDDLE:​六七十三</v>
      </c>
      <c r="V429" s="23" t="str">
        <f>"|MIDDLE:​"&amp;テーブル1[[#This Row],[なまえ]]</f>
        <v>|MIDDLE:​ろくしち じゅうぞう</v>
      </c>
      <c r="W429" s="23" t="str">
        <f>"|MIDDLE:​"&amp;テーブル1[[#This Row],[Name]]</f>
        <v>|MIDDLE:​Rokushichi Juzou</v>
      </c>
      <c r="X429" s="23" t="str">
        <f>"|MIDDLE:​&amp;link(配布所はこちら){​"&amp;テーブル1[[#This Row],[リンク]]&amp;"}|"</f>
        <v>|MIDDLE:​&amp;link(配布所はこちら){​https://askdance.wixsite.com/monitor-room/monitor-room}|</v>
      </c>
    </row>
    <row r="430" spans="2:24" ht="20.149999999999999" customHeight="1" x14ac:dyDescent="0.35">
      <c r="B430" s="23" t="str">
        <f>SUBSTITUTE(SUBSTITUTE(SUBSTITUTE(SUBSTITUTE(SUBSTITUTE(SUBSTITUTE(SUBSTITUTE(SUBSTITUTE(LOWER(テーブル1[[#This Row],[Name]])," ","-"),".","-"),"&amp;","-"),"_","-"),"・","-"),"=","-"),"--","-"),"--","-")</f>
        <v>rokune-zon</v>
      </c>
      <c r="C430" s="24" t="s">
        <v>884</v>
      </c>
      <c r="D430" s="23" t="s">
        <v>885</v>
      </c>
      <c r="E430" s="23" t="s">
        <v>886</v>
      </c>
      <c r="F430" s="2" t="s">
        <v>887</v>
      </c>
      <c r="G430" s="23" t="s">
        <v>888</v>
      </c>
      <c r="O430" s="24" t="str">
        <f>テーブル1[[#This Row],[リンク]]&amp;テーブル1[[#This Row],[描画状況]]</f>
        <v>https://rokune.blogspot.com/2012/07/blog-post.html</v>
      </c>
      <c r="P430" s="17">
        <f>1-(COUNTIF(O:O,_xlfn.TEXTJOIN(",",TRUE,テーブル1[[#This Row],[リンク]],テーブル1[[#This Row],[描画状況]]))/COUNTIF(F:F,テーブル1[[#This Row],[リンク]]))</f>
        <v>0</v>
      </c>
      <c r="Q430" s="16">
        <f ca="1">IFERROR(IF(テーブル1[[#This Row],[描画状況]]="",RAND()+(テーブル1[[#This Row],[列2]]*100),""),RAND())</f>
        <v>0.69406252852126149</v>
      </c>
      <c r="S430" s="24" t="str">
        <f ca="1">IF(AND(テーブル1[[#This Row],[描画状況]]="済",テーブル1[[#This Row],[投稿状況]]=""),RAND(),"")</f>
        <v/>
      </c>
      <c r="T430" s="23" t="str">
        <f>"|&amp;image("&amp;テーブル1[[#This Row],[画像]]&amp;".png,width=100,height=100)"</f>
        <v>|&amp;image(rokune-zon.png,width=100,height=100)</v>
      </c>
      <c r="U430" s="23" t="str">
        <f>"|MIDDLE:​"&amp;テーブル1[[#This Row],[名前]]</f>
        <v>|MIDDLE:​鹿音ゾン</v>
      </c>
      <c r="V430" s="23" t="str">
        <f>"|MIDDLE:​"&amp;テーブル1[[#This Row],[なまえ]]</f>
        <v>|MIDDLE:​ろくね ぞん</v>
      </c>
      <c r="W430" s="23" t="str">
        <f>"|MIDDLE:​"&amp;テーブル1[[#This Row],[Name]]</f>
        <v>|MIDDLE:​Rokune Zon</v>
      </c>
      <c r="X430" s="23" t="str">
        <f>"|MIDDLE:​&amp;link(配布所はこちら){​"&amp;テーブル1[[#This Row],[リンク]]&amp;"}|"</f>
        <v>|MIDDLE:​&amp;link(配布所はこちら){​https://rokune.blogspot.com/2012/07/blog-post.html}|</v>
      </c>
    </row>
    <row r="431" spans="2:24" ht="20.149999999999999" customHeight="1" x14ac:dyDescent="0.35">
      <c r="B431" s="23" t="str">
        <f>SUBSTITUTE(SUBSTITUTE(SUBSTITUTE(SUBSTITUTE(SUBSTITUTE(SUBSTITUTE(SUBSTITUTE(SUBSTITUTE(LOWER(テーブル1[[#This Row],[Name]])," ","-"),".","-"),"&amp;","-"),"_","-"),"・","-"),"=","-"),"--","-"),"--","-")</f>
        <v>rote-dokuho</v>
      </c>
      <c r="C431" s="24" t="s">
        <v>1220</v>
      </c>
      <c r="D431" s="23" t="s">
        <v>1242</v>
      </c>
      <c r="E431" s="23" t="s">
        <v>1241</v>
      </c>
      <c r="F431" s="15" t="s">
        <v>339</v>
      </c>
      <c r="G431" s="23" t="s">
        <v>340</v>
      </c>
      <c r="O431" s="24" t="str">
        <f>テーブル1[[#This Row],[リンク]]&amp;テーブル1[[#This Row],[描画状況]]</f>
        <v>https://torinosu-hikikomori.jimdofree.com</v>
      </c>
      <c r="P431" s="17">
        <f>1-(COUNTIF(O:O,_xlfn.TEXTJOIN(",",TRUE,テーブル1[[#This Row],[リンク]],テーブル1[[#This Row],[描画状況]]))/COUNTIF(F:F,テーブル1[[#This Row],[リンク]]))</f>
        <v>0.125</v>
      </c>
      <c r="Q431" s="16">
        <f ca="1">IFERROR(IF(テーブル1[[#This Row],[描画状況]]="",RAND()+(テーブル1[[#This Row],[列2]]*100),""),RAND())</f>
        <v>12.746202471209727</v>
      </c>
      <c r="S431" s="24" t="str">
        <f ca="1">IF(AND(テーブル1[[#This Row],[描画状況]]="済",テーブル1[[#This Row],[投稿状況]]=""),RAND(),"")</f>
        <v/>
      </c>
      <c r="T431" s="23" t="str">
        <f>"|&amp;image("&amp;テーブル1[[#This Row],[画像]]&amp;".png,width=100,height=100)"</f>
        <v>|&amp;image(rote-dokuho.png,width=100,height=100)</v>
      </c>
      <c r="U431" s="23" t="str">
        <f>"|MIDDLE:​"&amp;テーブル1[[#This Row],[名前]]</f>
        <v>|MIDDLE:​炉手独歩</v>
      </c>
      <c r="V431" s="23" t="str">
        <f>"|MIDDLE:​"&amp;テーブル1[[#This Row],[なまえ]]</f>
        <v>|MIDDLE:​ろて どくほ</v>
      </c>
      <c r="W431" s="23" t="str">
        <f>"|MIDDLE:​"&amp;テーブル1[[#This Row],[Name]]</f>
        <v>|MIDDLE:​Rote dokuho</v>
      </c>
      <c r="X431" s="23" t="str">
        <f>"|MIDDLE:​&amp;link(配布所はこちら){​"&amp;テーブル1[[#This Row],[リンク]]&amp;"}|"</f>
        <v>|MIDDLE:​&amp;link(配布所はこちら){​https://torinosu-hikikomori.jimdofree.com}|</v>
      </c>
    </row>
    <row r="432" spans="2:24" ht="20.149999999999999" customHeight="1" x14ac:dyDescent="0.35">
      <c r="B432" s="23" t="str">
        <f>SUBSTITUTE(SUBSTITUTE(SUBSTITUTE(SUBSTITUTE(SUBSTITUTE(SUBSTITUTE(SUBSTITUTE(SUBSTITUTE(LOWER(テーブル1[[#This Row],[Name]])," ","-"),".","-"),"&amp;","-"),"_","-"),"・","-"),"=","-"),"--","-"),"--","-")</f>
        <v>y-r</v>
      </c>
      <c r="C432" s="24" t="s">
        <v>876</v>
      </c>
      <c r="D432" s="23" t="s">
        <v>877</v>
      </c>
      <c r="E432" s="23" t="s">
        <v>876</v>
      </c>
      <c r="F432" s="2" t="s">
        <v>878</v>
      </c>
      <c r="G432" s="23" t="s">
        <v>879</v>
      </c>
      <c r="O432" s="24" t="str">
        <f>テーブル1[[#This Row],[リンク]]&amp;テーブル1[[#This Row],[描画状況]]</f>
        <v>https://1996waishatu1002.wixsite.com/y-to-r-to-w-to</v>
      </c>
      <c r="P432" s="17">
        <f>1-(COUNTIF(O:O,_xlfn.TEXTJOIN(",",TRUE,テーブル1[[#This Row],[リンク]],テーブル1[[#This Row],[描画状況]]))/COUNTIF(F:F,テーブル1[[#This Row],[リンク]]))</f>
        <v>0</v>
      </c>
      <c r="Q432" s="16">
        <f ca="1">IFERROR(IF(テーブル1[[#This Row],[描画状況]]="",RAND()+(テーブル1[[#This Row],[列2]]*100),""),RAND())</f>
        <v>0.99395147553233654</v>
      </c>
      <c r="S432" s="24" t="str">
        <f ca="1">IF(AND(テーブル1[[#This Row],[描画状況]]="済",テーブル1[[#This Row],[投稿状況]]=""),RAND(),"")</f>
        <v/>
      </c>
      <c r="T432" s="23" t="str">
        <f>"|&amp;image("&amp;テーブル1[[#This Row],[画像]]&amp;".png,width=100,height=100)"</f>
        <v>|&amp;image(y-r.png,width=100,height=100)</v>
      </c>
      <c r="U432" s="23" t="str">
        <f>"|MIDDLE:​"&amp;テーブル1[[#This Row],[名前]]</f>
        <v>|MIDDLE:​Y-R</v>
      </c>
      <c r="V432" s="23" t="str">
        <f>"|MIDDLE:​"&amp;テーブル1[[#This Row],[なまえ]]</f>
        <v>|MIDDLE:​わいあーる</v>
      </c>
      <c r="W432" s="23" t="str">
        <f>"|MIDDLE:​"&amp;テーブル1[[#This Row],[Name]]</f>
        <v>|MIDDLE:​Y-R</v>
      </c>
      <c r="X432" s="23" t="str">
        <f>"|MIDDLE:​&amp;link(配布所はこちら){​"&amp;テーブル1[[#This Row],[リンク]]&amp;"}|"</f>
        <v>|MIDDLE:​&amp;link(配布所はこちら){​https://1996waishatu1002.wixsite.com/y-to-r-to-w-to}|</v>
      </c>
    </row>
    <row r="433" spans="2:24" ht="20.149999999999999" customHeight="1" x14ac:dyDescent="0.35">
      <c r="B433" s="23" t="str">
        <f>SUBSTITUTE(SUBSTITUTE(SUBSTITUTE(SUBSTITUTE(SUBSTITUTE(SUBSTITUTE(SUBSTITUTE(SUBSTITUTE(LOWER(テーブル1[[#This Row],[Name]])," ","-"),".","-"),"&amp;","-"),"_","-"),"・","-"),"=","-"),"--","-"),"--","-")</f>
        <v>wakusei</v>
      </c>
      <c r="C433" s="24" t="s">
        <v>881</v>
      </c>
      <c r="D433" s="23" t="s">
        <v>882</v>
      </c>
      <c r="E433" s="23" t="s">
        <v>883</v>
      </c>
      <c r="F433" s="2" t="s">
        <v>880</v>
      </c>
      <c r="G433" s="23" t="str">
        <f>テーブル1[[#This Row],[名前]]&amp;"(UTAU)"</f>
        <v>惑星(UTAU)</v>
      </c>
      <c r="O433" s="24" t="str">
        <f>テーブル1[[#This Row],[リンク]]&amp;テーブル1[[#This Row],[描画状況]]</f>
        <v>https://mouzhize.wixsite.com/utauwakusei?lang=ja</v>
      </c>
      <c r="P433" s="17">
        <f>1-(COUNTIF(O:O,_xlfn.TEXTJOIN(",",TRUE,テーブル1[[#This Row],[リンク]],テーブル1[[#This Row],[描画状況]]))/COUNTIF(F:F,テーブル1[[#This Row],[リンク]]))</f>
        <v>0</v>
      </c>
      <c r="Q433" s="16">
        <f ca="1">IFERROR(IF(テーブル1[[#This Row],[描画状況]]="",RAND()+(テーブル1[[#This Row],[列2]]*100),""),RAND())</f>
        <v>0.92199831923200759</v>
      </c>
      <c r="S433" s="24" t="str">
        <f ca="1">IF(AND(テーブル1[[#This Row],[描画状況]]="済",テーブル1[[#This Row],[投稿状況]]=""),RAND(),"")</f>
        <v/>
      </c>
      <c r="T433" s="23" t="str">
        <f>"|&amp;image("&amp;テーブル1[[#This Row],[画像]]&amp;".png,width=100,height=100)"</f>
        <v>|&amp;image(wakusei.png,width=100,height=100)</v>
      </c>
      <c r="U433" s="23" t="str">
        <f>"|MIDDLE:​"&amp;テーブル1[[#This Row],[名前]]</f>
        <v>|MIDDLE:​惑星</v>
      </c>
      <c r="V433" s="23" t="str">
        <f>"|MIDDLE:​"&amp;テーブル1[[#This Row],[なまえ]]</f>
        <v>|MIDDLE:​わくせい</v>
      </c>
      <c r="W433" s="23" t="str">
        <f>"|MIDDLE:​"&amp;テーブル1[[#This Row],[Name]]</f>
        <v>|MIDDLE:​Wakusei</v>
      </c>
      <c r="X433" s="23" t="str">
        <f>"|MIDDLE:​&amp;link(配布所はこちら){​"&amp;テーブル1[[#This Row],[リンク]]&amp;"}|"</f>
        <v>|MIDDLE:​&amp;link(配布所はこちら){​https://mouzhize.wixsite.com/utauwakusei?lang=ja}|</v>
      </c>
    </row>
    <row r="434" spans="2:24" ht="20.149999999999999" customHeight="1" x14ac:dyDescent="0.35">
      <c r="B434" s="23" t="str">
        <f>SUBSTITUTE(SUBSTITUTE(SUBSTITUTE(SUBSTITUTE(SUBSTITUTE(SUBSTITUTE(SUBSTITUTE(SUBSTITUTE(LOWER(テーブル1[[#This Row],[Name]])," ","-"),".","-"),"&amp;","-"),"_","-"),"・","-"),"=","-"),"--","-"),"--","-")</f>
        <v>seido-ao</v>
      </c>
      <c r="C434" s="24" t="s">
        <v>1555</v>
      </c>
      <c r="D434" s="23" t="s">
        <v>1556</v>
      </c>
      <c r="E434" s="23" t="s">
        <v>1557</v>
      </c>
      <c r="F434" s="2" t="s">
        <v>215</v>
      </c>
      <c r="G434" s="23" t="s">
        <v>216</v>
      </c>
      <c r="M434" s="1" t="s">
        <v>1517</v>
      </c>
      <c r="O434" s="24" t="str">
        <f>テーブル1[[#This Row],[リンク]]&amp;テーブル1[[#This Row],[描画状況]]</f>
        <v>https://mitoristu.wixsite.com/kousaibako</v>
      </c>
      <c r="P434" s="17">
        <f>1-(COUNTIF(O:O,_xlfn.TEXTJOIN(",",TRUE,テーブル1[[#This Row],[リンク]],テーブル1[[#This Row],[描画状況]]))/COUNTIF(F:F,テーブル1[[#This Row],[リンク]]))</f>
        <v>0.19999999999999996</v>
      </c>
      <c r="Q434" s="16">
        <f ca="1">IFERROR(IF(テーブル1[[#This Row],[描画状況]]="",RAND()+(テーブル1[[#This Row],[列2]]*100),""),RAND())</f>
        <v>20.759234704183147</v>
      </c>
      <c r="S434" s="24" t="str">
        <f ca="1">IF(AND(テーブル1[[#This Row],[描画状況]]="済",テーブル1[[#This Row],[投稿状況]]=""),RAND(),"")</f>
        <v/>
      </c>
      <c r="T434" s="23" t="str">
        <f>"|&amp;image("&amp;テーブル1[[#This Row],[画像]]&amp;".png,width=100,height=100)"</f>
        <v>|&amp;image(seido-ao.png,width=100,height=100)</v>
      </c>
      <c r="U434" s="23" t="str">
        <f>"|MIDDLE:​"&amp;テーブル1[[#This Row],[名前]]</f>
        <v>|MIDDLE:​青銅蒼</v>
      </c>
      <c r="V434" s="23" t="str">
        <f>"|MIDDLE:​"&amp;テーブル1[[#This Row],[なまえ]]</f>
        <v>|MIDDLE:​せいどう あお</v>
      </c>
      <c r="W434" s="23" t="str">
        <f>"|MIDDLE:​"&amp;テーブル1[[#This Row],[Name]]</f>
        <v>|MIDDLE:​Seido Ao</v>
      </c>
      <c r="X434" s="23" t="str">
        <f>"|MIDDLE:​&amp;link(配布所はこちら){​"&amp;テーブル1[[#This Row],[リンク]]&amp;"}|"</f>
        <v>|MIDDLE:​&amp;link(配布所はこちら){​https://mitoristu.wixsite.com/kousaibako}|</v>
      </c>
    </row>
    <row r="435" spans="2:24" ht="20.149999999999999" customHeight="1" x14ac:dyDescent="0.35">
      <c r="B435" s="23" t="str">
        <f>SUBSTITUTE(SUBSTITUTE(SUBSTITUTE(SUBSTITUTE(SUBSTITUTE(SUBSTITUTE(SUBSTITUTE(SUBSTITUTE(LOWER(テーブル1[[#This Row],[Name]])," ","-"),".","-"),"&amp;","-"),"_","-"),"・","-"),"=","-"),"--","-"),"--","-")</f>
        <v>uraha</v>
      </c>
      <c r="C435" s="24" t="s">
        <v>1558</v>
      </c>
      <c r="D435" s="23" t="s">
        <v>1559</v>
      </c>
      <c r="E435" s="23" t="s">
        <v>1560</v>
      </c>
      <c r="F435" s="2" t="s">
        <v>215</v>
      </c>
      <c r="G435" s="23" t="s">
        <v>216</v>
      </c>
      <c r="M435" s="1" t="s">
        <v>1517</v>
      </c>
      <c r="O435" s="24" t="str">
        <f>テーブル1[[#This Row],[リンク]]&amp;テーブル1[[#This Row],[描画状況]]</f>
        <v>https://mitoristu.wixsite.com/kousaibako</v>
      </c>
      <c r="P435" s="17">
        <f>1-(COUNTIF(O:O,_xlfn.TEXTJOIN(",",TRUE,テーブル1[[#This Row],[リンク]],テーブル1[[#This Row],[描画状況]]))/COUNTIF(F:F,テーブル1[[#This Row],[リンク]]))</f>
        <v>0.19999999999999996</v>
      </c>
      <c r="Q435" s="16">
        <f ca="1">IFERROR(IF(テーブル1[[#This Row],[描画状況]]="",RAND()+(テーブル1[[#This Row],[列2]]*100),""),RAND())</f>
        <v>20.76959333780745</v>
      </c>
      <c r="S435" s="24" t="str">
        <f ca="1">IF(AND(テーブル1[[#This Row],[描画状況]]="済",テーブル1[[#This Row],[投稿状況]]=""),RAND(),"")</f>
        <v/>
      </c>
      <c r="T435" s="23" t="str">
        <f>"|&amp;image("&amp;テーブル1[[#This Row],[画像]]&amp;".png,width=100,height=100)"</f>
        <v>|&amp;image(uraha.png,width=100,height=100)</v>
      </c>
      <c r="U435" s="23" t="str">
        <f>"|MIDDLE:​"&amp;テーブル1[[#This Row],[名前]]</f>
        <v>|MIDDLE:​裏葉</v>
      </c>
      <c r="V435" s="23" t="str">
        <f>"|MIDDLE:​"&amp;テーブル1[[#This Row],[なまえ]]</f>
        <v>|MIDDLE:​うらは</v>
      </c>
      <c r="W435" s="23" t="str">
        <f>"|MIDDLE:​"&amp;テーブル1[[#This Row],[Name]]</f>
        <v>|MIDDLE:​Uraha</v>
      </c>
      <c r="X435" s="23" t="str">
        <f>"|MIDDLE:​&amp;link(配布所はこちら){​"&amp;テーブル1[[#This Row],[リンク]]&amp;"}|"</f>
        <v>|MIDDLE:​&amp;link(配布所はこちら){​https://mitoristu.wixsite.com/kousaibako}|</v>
      </c>
    </row>
    <row r="436" spans="2:24" ht="20.149999999999999" customHeight="1" x14ac:dyDescent="0.35">
      <c r="B436" s="23" t="str">
        <f>SUBSTITUTE(SUBSTITUTE(SUBSTITUTE(SUBSTITUTE(SUBSTITUTE(SUBSTITUTE(SUBSTITUTE(SUBSTITUTE(LOWER(テーブル1[[#This Row],[Name]])," ","-"),".","-"),"&amp;","-"),"_","-"),"・","-"),"=","-"),"--","-"),"--","-")</f>
        <v>koga-hizuki</v>
      </c>
      <c r="C436" s="24" t="s">
        <v>1561</v>
      </c>
      <c r="D436" s="23" t="s">
        <v>1562</v>
      </c>
      <c r="E436" s="23" t="s">
        <v>1563</v>
      </c>
      <c r="F436" s="2" t="s">
        <v>215</v>
      </c>
      <c r="G436" s="23" t="s">
        <v>216</v>
      </c>
      <c r="M436" s="1" t="s">
        <v>1517</v>
      </c>
      <c r="O436" s="24" t="str">
        <f>テーブル1[[#This Row],[リンク]]&amp;テーブル1[[#This Row],[描画状況]]</f>
        <v>https://mitoristu.wixsite.com/kousaibako</v>
      </c>
      <c r="P436" s="17">
        <f>1-(COUNTIF(O:O,_xlfn.TEXTJOIN(",",TRUE,テーブル1[[#This Row],[リンク]],テーブル1[[#This Row],[描画状況]]))/COUNTIF(F:F,テーブル1[[#This Row],[リンク]]))</f>
        <v>0.19999999999999996</v>
      </c>
      <c r="Q436" s="16">
        <f ca="1">IFERROR(IF(テーブル1[[#This Row],[描画状況]]="",RAND()+(テーブル1[[#This Row],[列2]]*100),""),RAND())</f>
        <v>20.984606543431848</v>
      </c>
      <c r="S436" s="24" t="str">
        <f ca="1">IF(AND(テーブル1[[#This Row],[描画状況]]="済",テーブル1[[#This Row],[投稿状況]]=""),RAND(),"")</f>
        <v/>
      </c>
      <c r="T436" s="23" t="str">
        <f>"|&amp;image("&amp;テーブル1[[#This Row],[画像]]&amp;".png,width=100,height=100)"</f>
        <v>|&amp;image(koga-hizuki.png,width=100,height=100)</v>
      </c>
      <c r="U436" s="23" t="str">
        <f>"|MIDDLE:​"&amp;テーブル1[[#This Row],[名前]]</f>
        <v>|MIDDLE:​紅牙緋月</v>
      </c>
      <c r="V436" s="23" t="str">
        <f>"|MIDDLE:​"&amp;テーブル1[[#This Row],[なまえ]]</f>
        <v>|MIDDLE:​こうが ひづき</v>
      </c>
      <c r="W436" s="23" t="str">
        <f>"|MIDDLE:​"&amp;テーブル1[[#This Row],[Name]]</f>
        <v>|MIDDLE:​Koga Hizuki</v>
      </c>
      <c r="X436" s="23" t="str">
        <f>"|MIDDLE:​&amp;link(配布所はこちら){​"&amp;テーブル1[[#This Row],[リンク]]&amp;"}|"</f>
        <v>|MIDDLE:​&amp;link(配布所はこちら){​https://mitoristu.wixsite.com/kousaibako}|</v>
      </c>
    </row>
    <row r="437" spans="2:24" ht="20.149999999999999" customHeight="1" x14ac:dyDescent="0.35">
      <c r="B437" s="23" t="str">
        <f>SUBSTITUTE(SUBSTITUTE(SUBSTITUTE(SUBSTITUTE(SUBSTITUTE(SUBSTITUTE(SUBSTITUTE(SUBSTITUTE(LOWER(テーブル1[[#This Row],[Name]])," ","-"),".","-"),"&amp;","-"),"_","-"),"・","-"),"=","-"),"--","-"),"--","-")</f>
        <v>anima</v>
      </c>
      <c r="C437" s="24" t="s">
        <v>1567</v>
      </c>
      <c r="D437" s="23" t="s">
        <v>1569</v>
      </c>
      <c r="E437" s="23" t="s">
        <v>1568</v>
      </c>
      <c r="F437" s="2" t="s">
        <v>215</v>
      </c>
      <c r="G437" s="23" t="s">
        <v>216</v>
      </c>
      <c r="M437" s="1" t="s">
        <v>1517</v>
      </c>
      <c r="O437" s="24" t="str">
        <f>テーブル1[[#This Row],[リンク]]&amp;テーブル1[[#This Row],[描画状況]]</f>
        <v>https://mitoristu.wixsite.com/kousaibako</v>
      </c>
      <c r="P437" s="17">
        <f>1-(COUNTIF(O:O,_xlfn.TEXTJOIN(",",TRUE,テーブル1[[#This Row],[リンク]],テーブル1[[#This Row],[描画状況]]))/COUNTIF(F:F,テーブル1[[#This Row],[リンク]]))</f>
        <v>0.19999999999999996</v>
      </c>
      <c r="Q437" s="16">
        <f ca="1">IFERROR(IF(テーブル1[[#This Row],[描画状況]]="",RAND()+(テーブル1[[#This Row],[列2]]*100),""),RAND())</f>
        <v>20.227895133217118</v>
      </c>
      <c r="S437" s="24" t="str">
        <f ca="1">IF(AND(テーブル1[[#This Row],[描画状況]]="済",テーブル1[[#This Row],[投稿状況]]=""),RAND(),"")</f>
        <v/>
      </c>
      <c r="T437" s="23" t="str">
        <f>"|&amp;image("&amp;テーブル1[[#This Row],[画像]]&amp;".png,width=100,height=100)"</f>
        <v>|&amp;image(anima.png,width=100,height=100)</v>
      </c>
      <c r="U437" s="23" t="str">
        <f>"|MIDDLE:​"&amp;テーブル1[[#This Row],[名前]]</f>
        <v>|MIDDLE:​アニマ</v>
      </c>
      <c r="V437" s="23" t="str">
        <f>"|MIDDLE:​"&amp;テーブル1[[#This Row],[なまえ]]</f>
        <v>|MIDDLE:​あにま</v>
      </c>
      <c r="W437" s="23" t="str">
        <f>"|MIDDLE:​"&amp;テーブル1[[#This Row],[Name]]</f>
        <v>|MIDDLE:​Anima</v>
      </c>
      <c r="X437" s="23" t="str">
        <f>"|MIDDLE:​&amp;link(配布所はこちら){​"&amp;テーブル1[[#This Row],[リンク]]&amp;"}|"</f>
        <v>|MIDDLE:​&amp;link(配布所はこちら){​https://mitoristu.wixsite.com/kousaibako}|</v>
      </c>
    </row>
    <row r="438" spans="2:24" ht="20.149999999999999" customHeight="1" x14ac:dyDescent="0.35">
      <c r="B438" s="23" t="str">
        <f>SUBSTITUTE(SUBSTITUTE(SUBSTITUTE(SUBSTITUTE(SUBSTITUTE(SUBSTITUTE(SUBSTITUTE(SUBSTITUTE(LOWER(テーブル1[[#This Row],[Name]])," ","-"),".","-"),"&amp;","-"),"_","-"),"・","-"),"=","-"),"--","-"),"--","-")</f>
        <v>riimao</v>
      </c>
      <c r="C438" s="24" t="s">
        <v>1570</v>
      </c>
      <c r="D438" s="23" t="s">
        <v>1570</v>
      </c>
      <c r="E438" s="23" t="s">
        <v>1571</v>
      </c>
      <c r="F438" s="2" t="s">
        <v>215</v>
      </c>
      <c r="G438" s="23" t="s">
        <v>216</v>
      </c>
      <c r="M438" s="1" t="s">
        <v>1517</v>
      </c>
      <c r="O438" s="24" t="str">
        <f>テーブル1[[#This Row],[リンク]]&amp;テーブル1[[#This Row],[描画状況]]</f>
        <v>https://mitoristu.wixsite.com/kousaibako</v>
      </c>
      <c r="P438" s="17">
        <f>1-(COUNTIF(O:O,_xlfn.TEXTJOIN(",",TRUE,テーブル1[[#This Row],[リンク]],テーブル1[[#This Row],[描画状況]]))/COUNTIF(F:F,テーブル1[[#This Row],[リンク]]))</f>
        <v>0.19999999999999996</v>
      </c>
      <c r="Q438" s="16">
        <f ca="1">IFERROR(IF(テーブル1[[#This Row],[描画状況]]="",RAND()+(テーブル1[[#This Row],[列2]]*100),""),RAND())</f>
        <v>20.583220087336599</v>
      </c>
      <c r="S438" s="24" t="str">
        <f ca="1">IF(AND(テーブル1[[#This Row],[描画状況]]="済",テーブル1[[#This Row],[投稿状況]]=""),RAND(),"")</f>
        <v/>
      </c>
      <c r="T438" s="23" t="str">
        <f>"|&amp;image("&amp;テーブル1[[#This Row],[画像]]&amp;".png,width=100,height=100)"</f>
        <v>|&amp;image(riimao.png,width=100,height=100)</v>
      </c>
      <c r="U438" s="23" t="str">
        <f>"|MIDDLE:​"&amp;テーブル1[[#This Row],[名前]]</f>
        <v>|MIDDLE:​りぃまお</v>
      </c>
      <c r="V438" s="23" t="str">
        <f>"|MIDDLE:​"&amp;テーブル1[[#This Row],[なまえ]]</f>
        <v>|MIDDLE:​りぃまお</v>
      </c>
      <c r="W438" s="23" t="str">
        <f>"|MIDDLE:​"&amp;テーブル1[[#This Row],[Name]]</f>
        <v>|MIDDLE:​Riimao</v>
      </c>
      <c r="X438" s="23" t="str">
        <f>"|MIDDLE:​&amp;link(配布所はこちら){​"&amp;テーブル1[[#This Row],[リンク]]&amp;"}|"</f>
        <v>|MIDDLE:​&amp;link(配布所はこちら){​https://mitoristu.wixsite.com/kousaibako}|</v>
      </c>
    </row>
    <row r="439" spans="2:24" ht="20.149999999999999" customHeight="1" x14ac:dyDescent="0.35">
      <c r="B439" s="23" t="str">
        <f>SUBSTITUTE(SUBSTITUTE(SUBSTITUTE(SUBSTITUTE(SUBSTITUTE(SUBSTITUTE(SUBSTITUTE(SUBSTITUTE(LOWER(テーブル1[[#This Row],[Name]])," ","-"),".","-"),"&amp;","-"),"_","-"),"・","-"),"=","-"),"--","-"),"--","-")</f>
        <v>shirane-aoi</v>
      </c>
      <c r="C439" s="24" t="s">
        <v>1572</v>
      </c>
      <c r="D439" s="23" t="s">
        <v>1573</v>
      </c>
      <c r="E439" s="23" t="s">
        <v>1574</v>
      </c>
      <c r="F439" s="2" t="s">
        <v>215</v>
      </c>
      <c r="G439" s="23" t="s">
        <v>216</v>
      </c>
      <c r="M439" s="1" t="s">
        <v>1517</v>
      </c>
      <c r="O439" s="24" t="str">
        <f>テーブル1[[#This Row],[リンク]]&amp;テーブル1[[#This Row],[描画状況]]</f>
        <v>https://mitoristu.wixsite.com/kousaibako</v>
      </c>
      <c r="P439" s="17">
        <f>1-(COUNTIF(O:O,_xlfn.TEXTJOIN(",",TRUE,テーブル1[[#This Row],[リンク]],テーブル1[[#This Row],[描画状況]]))/COUNTIF(F:F,テーブル1[[#This Row],[リンク]]))</f>
        <v>0.19999999999999996</v>
      </c>
      <c r="Q439" s="16">
        <f ca="1">IFERROR(IF(テーブル1[[#This Row],[描画状況]]="",RAND()+(テーブル1[[#This Row],[列2]]*100),""),RAND())</f>
        <v>20.576475088542594</v>
      </c>
      <c r="S439" s="24" t="str">
        <f ca="1">IF(AND(テーブル1[[#This Row],[描画状況]]="済",テーブル1[[#This Row],[投稿状況]]=""),RAND(),"")</f>
        <v/>
      </c>
      <c r="T439" s="23" t="str">
        <f>"|&amp;image("&amp;テーブル1[[#This Row],[画像]]&amp;".png,width=100,height=100)"</f>
        <v>|&amp;image(shirane-aoi.png,width=100,height=100)</v>
      </c>
      <c r="U439" s="23" t="str">
        <f>"|MIDDLE:​"&amp;テーブル1[[#This Row],[名前]]</f>
        <v>|MIDDLE:​白音アオイ</v>
      </c>
      <c r="V439" s="23" t="str">
        <f>"|MIDDLE:​"&amp;テーブル1[[#This Row],[なまえ]]</f>
        <v>|MIDDLE:​しらね あおい</v>
      </c>
      <c r="W439" s="23" t="str">
        <f>"|MIDDLE:​"&amp;テーブル1[[#This Row],[Name]]</f>
        <v>|MIDDLE:​Shirane Aoi</v>
      </c>
      <c r="X439" s="23" t="str">
        <f>"|MIDDLE:​&amp;link(配布所はこちら){​"&amp;テーブル1[[#This Row],[リンク]]&amp;"}|"</f>
        <v>|MIDDLE:​&amp;link(配布所はこちら){​https://mitoristu.wixsite.com/kousaibako}|</v>
      </c>
    </row>
    <row r="440" spans="2:24" ht="20.149999999999999" customHeight="1" x14ac:dyDescent="0.35">
      <c r="B440" s="23" t="str">
        <f>SUBSTITUTE(SUBSTITUTE(SUBSTITUTE(SUBSTITUTE(SUBSTITUTE(SUBSTITUTE(SUBSTITUTE(SUBSTITUTE(LOWER(テーブル1[[#This Row],[Name]])," ","-"),".","-"),"&amp;","-"),"_","-"),"・","-"),"=","-"),"--","-"),"--","-")</f>
        <v>yashiro-shiya</v>
      </c>
      <c r="C440" s="24" t="s">
        <v>1733</v>
      </c>
      <c r="D440" s="23" t="s">
        <v>1734</v>
      </c>
      <c r="E440" s="23" t="s">
        <v>1732</v>
      </c>
      <c r="F440" s="30" t="s">
        <v>1720</v>
      </c>
      <c r="G440" s="23" t="s">
        <v>1721</v>
      </c>
      <c r="H440" s="23" t="s">
        <v>1626</v>
      </c>
      <c r="I440" s="23" t="s">
        <v>1649</v>
      </c>
      <c r="J440" s="23" t="s">
        <v>1738</v>
      </c>
      <c r="K440" s="23" t="s">
        <v>1735</v>
      </c>
      <c r="L440" s="23" t="s">
        <v>1736</v>
      </c>
      <c r="M440" s="1" t="s">
        <v>1589</v>
      </c>
      <c r="O440" s="24" t="str">
        <f>テーブル1[[#This Row],[リンク]]&amp;テーブル1[[#This Row],[描画状況]]</f>
        <v>https://lclcofficial6565.wixsite.com/lclc</v>
      </c>
      <c r="P440" s="17">
        <f>1-(COUNTIF(O:O,_xlfn.TEXTJOIN(",",TRUE,テーブル1[[#This Row],[リンク]],テーブル1[[#This Row],[描画状況]]))/COUNTIF(F:F,テーブル1[[#This Row],[リンク]]))</f>
        <v>0.33333333333333337</v>
      </c>
      <c r="Q440" s="16">
        <f ca="1">IFERROR(IF(テーブル1[[#This Row],[描画状況]]="",RAND()+(テーブル1[[#This Row],[列2]]*100),""),RAND())</f>
        <v>33.655317834765796</v>
      </c>
      <c r="S440" s="24" t="str">
        <f ca="1">IF(AND(テーブル1[[#This Row],[描画状況]]="済",テーブル1[[#This Row],[投稿状況]]=""),RAND(),"")</f>
        <v/>
      </c>
      <c r="T440" s="23" t="str">
        <f>"|&amp;image("&amp;テーブル1[[#This Row],[画像]]&amp;".png,width=100,height=100)"</f>
        <v>|&amp;image(yashiro-shiya.png,width=100,height=100)</v>
      </c>
      <c r="U440" s="23" t="str">
        <f>"|MIDDLE:​"&amp;テーブル1[[#This Row],[名前]]</f>
        <v>|MIDDLE:​やしろしや</v>
      </c>
      <c r="V440" s="23" t="str">
        <f>"|MIDDLE:​"&amp;テーブル1[[#This Row],[なまえ]]</f>
        <v>|MIDDLE:​やしろ しや</v>
      </c>
      <c r="W440" s="23" t="str">
        <f>"|MIDDLE:​"&amp;テーブル1[[#This Row],[Name]]</f>
        <v>|MIDDLE:​Yashiro Shiya</v>
      </c>
      <c r="X440" s="23" t="str">
        <f>"|MIDDLE:​&amp;link(配布所はこちら){​"&amp;テーブル1[[#This Row],[リンク]]&amp;"}|"</f>
        <v>|MIDDLE:​&amp;link(配布所はこちら){​https://lclcofficial6565.wixsite.com/lclc}|</v>
      </c>
    </row>
    <row r="441" spans="2:24" ht="20.149999999999999" customHeight="1" x14ac:dyDescent="0.35">
      <c r="B441" s="23" t="str">
        <f>SUBSTITUTE(SUBSTITUTE(SUBSTITUTE(SUBSTITUTE(SUBSTITUTE(SUBSTITUTE(SUBSTITUTE(SUBSTITUTE(LOWER(テーブル1[[#This Row],[Name]])," ","-"),".","-"),"&amp;","-"),"_","-"),"・","-"),"=","-"),"--","-"),"--","-")</f>
        <v>katazu-taka</v>
      </c>
      <c r="C441" s="24" t="s">
        <v>1739</v>
      </c>
      <c r="D441" s="23" t="s">
        <v>1740</v>
      </c>
      <c r="E441" s="23" t="s">
        <v>1741</v>
      </c>
      <c r="F441" s="30" t="s">
        <v>1720</v>
      </c>
      <c r="G441" s="23" t="s">
        <v>1721</v>
      </c>
      <c r="H441" s="23" t="s">
        <v>1627</v>
      </c>
      <c r="I441" s="23" t="s">
        <v>1649</v>
      </c>
      <c r="L441" s="23" t="s">
        <v>1736</v>
      </c>
      <c r="M441" s="1" t="s">
        <v>1589</v>
      </c>
      <c r="O441" s="24" t="str">
        <f>テーブル1[[#This Row],[リンク]]&amp;テーブル1[[#This Row],[描画状況]]</f>
        <v>https://lclcofficial6565.wixsite.com/lclc</v>
      </c>
      <c r="P441" s="17">
        <f>1-(COUNTIF(O:O,_xlfn.TEXTJOIN(",",TRUE,テーブル1[[#This Row],[リンク]],テーブル1[[#This Row],[描画状況]]))/COUNTIF(F:F,テーブル1[[#This Row],[リンク]]))</f>
        <v>0.33333333333333337</v>
      </c>
      <c r="Q441" s="16">
        <f ca="1">IFERROR(IF(テーブル1[[#This Row],[描画状況]]="",RAND()+(テーブル1[[#This Row],[列2]]*100),""),RAND())</f>
        <v>33.477769174371957</v>
      </c>
      <c r="S441" s="24" t="str">
        <f ca="1">IF(AND(テーブル1[[#This Row],[描画状況]]="済",テーブル1[[#This Row],[投稿状況]]=""),RAND(),"")</f>
        <v/>
      </c>
      <c r="T441" s="23" t="str">
        <f>"|&amp;image("&amp;テーブル1[[#This Row],[画像]]&amp;".png,width=100,height=100)"</f>
        <v>|&amp;image(katazu-taka.png,width=100,height=100)</v>
      </c>
      <c r="U441" s="23" t="str">
        <f>"|MIDDLE:​"&amp;テーブル1[[#This Row],[名前]]</f>
        <v>|MIDDLE:​かたづたか</v>
      </c>
      <c r="V441" s="23" t="str">
        <f>"|MIDDLE:​"&amp;テーブル1[[#This Row],[なまえ]]</f>
        <v>|MIDDLE:​かたづ たか</v>
      </c>
      <c r="W441" s="23" t="str">
        <f>"|MIDDLE:​"&amp;テーブル1[[#This Row],[Name]]</f>
        <v>|MIDDLE:​Katazu Taka</v>
      </c>
      <c r="X441" s="23" t="str">
        <f>"|MIDDLE:​&amp;link(配布所はこちら){​"&amp;テーブル1[[#This Row],[リンク]]&amp;"}|"</f>
        <v>|MIDDLE:​&amp;link(配布所はこちら){​https://lclcofficial6565.wixsite.com/lclc}|</v>
      </c>
    </row>
  </sheetData>
  <phoneticPr fontId="1"/>
  <conditionalFormatting sqref="A1:A1048576">
    <cfRule type="duplicateValues" dxfId="3" priority="2"/>
  </conditionalFormatting>
  <conditionalFormatting sqref="B1 B3:B1048576">
    <cfRule type="duplicateValues" dxfId="2" priority="3"/>
  </conditionalFormatting>
  <conditionalFormatting sqref="C1:C1048576">
    <cfRule type="duplicateValues" dxfId="1" priority="1"/>
  </conditionalFormatting>
  <conditionalFormatting sqref="N1:S1048576">
    <cfRule type="cellIs" dxfId="0" priority="10" operator="equal">
      <formula>"済"</formula>
    </cfRule>
  </conditionalFormatting>
  <dataValidations count="8">
    <dataValidation type="list" allowBlank="1" showInputMessage="1" sqref="J290 J281 I2:I441" xr:uid="{C65A1E30-8F1A-43F7-95C8-9A27EB918408}">
      <formula1>種族タグ</formula1>
    </dataValidation>
    <dataValidation type="list" allowBlank="1" showInputMessage="1" sqref="J291:J438 J282:J289 J2:J280" xr:uid="{F4C1FC31-8189-42FE-9CDF-1184FF0909B9}">
      <formula1>職業タグ</formula1>
    </dataValidation>
    <dataValidation type="list" allowBlank="1" showInputMessage="1" showErrorMessage="1" sqref="R2:R441" xr:uid="{05A634BD-4DB9-4CF6-97DC-6B95FBE6232B}">
      <formula1>"済,個別済"</formula1>
    </dataValidation>
    <dataValidation type="list" allowBlank="1" showInputMessage="1" showErrorMessage="1" sqref="N2:N1048576" xr:uid="{1E2E563C-97C6-4274-B6CC-64A3EA5A69C8}">
      <formula1>"済"</formula1>
    </dataValidation>
    <dataValidation type="list" allowBlank="1" showInputMessage="1" showErrorMessage="1" sqref="M2:M441" xr:uid="{92493CA5-E237-4453-B08F-89E5ABEEA9EA}">
      <formula1>"〇 / 必要,〇 / 不要,×"</formula1>
    </dataValidation>
    <dataValidation type="list" allowBlank="1" showInputMessage="1" showErrorMessage="1" sqref="H2:H441" xr:uid="{35C507EC-8DB1-4F3E-8DD4-3BFDA6513A59}">
      <formula1>"女性,男性,両性,キメラ,無性別,不明"</formula1>
    </dataValidation>
    <dataValidation type="list" allowBlank="1" showInputMessage="1" sqref="K2:K441" xr:uid="{6CD751E0-96FF-4645-8251-894B2CC5C15F}">
      <formula1>小物タグ</formula1>
    </dataValidation>
    <dataValidation type="list" allowBlank="1" showInputMessage="1" sqref="L2:L441" xr:uid="{1578619E-9A71-4986-9378-87AD2388468F}">
      <formula1>ワンポイントタグ</formula1>
    </dataValidation>
  </dataValidations>
  <hyperlinks>
    <hyperlink ref="F8" r:id="rId1" xr:uid="{56A73CD5-04BD-4B67-9E85-B7A0FFE52D2B}"/>
    <hyperlink ref="F24" r:id="rId2" xr:uid="{95B592C2-7999-4C08-8BE6-2CE2E1F838DB}"/>
    <hyperlink ref="F76" r:id="rId3" xr:uid="{620773DA-AFDA-4A55-83BC-D73637962279}"/>
    <hyperlink ref="F88" r:id="rId4" xr:uid="{39724FEA-B3D4-4B25-9A48-518774FDBA59}"/>
    <hyperlink ref="F109" r:id="rId5" xr:uid="{7A38885A-46C1-44F1-A66C-8B3522A496CD}"/>
    <hyperlink ref="F32" r:id="rId6" xr:uid="{CEAB7A09-0A75-4B3B-B921-17B406746637}"/>
    <hyperlink ref="F87" r:id="rId7" xr:uid="{863F5CB6-FFC8-40B6-9EDE-0415668DA2E6}"/>
    <hyperlink ref="F29" r:id="rId8" xr:uid="{E1B19E4C-A8C5-4435-A9A4-D40D4FDF2F9A}"/>
    <hyperlink ref="F83" r:id="rId9" xr:uid="{58403F9D-6418-4A71-8AFF-90E75A160764}"/>
    <hyperlink ref="F84" r:id="rId10" xr:uid="{CAC8F9A7-427C-4CB4-BF5F-780C22FFC5D9}"/>
    <hyperlink ref="F40" r:id="rId11" xr:uid="{20947741-D401-42BB-9FCA-51F6D5B756B8}"/>
    <hyperlink ref="F94" r:id="rId12" xr:uid="{CED6D8E1-C8F2-4942-8855-B0B2522A1774}"/>
    <hyperlink ref="F52" r:id="rId13" xr:uid="{24D63645-E77A-4C42-84AB-983AF535168C}"/>
    <hyperlink ref="F111" r:id="rId14" xr:uid="{766D45FE-EC4E-4E60-9360-4813FE4CE35D}"/>
    <hyperlink ref="F80" r:id="rId15" xr:uid="{3202F555-C55B-4B0E-8E18-D6AC126BFE1F}"/>
    <hyperlink ref="F61" r:id="rId16" xr:uid="{2A62B800-E2F7-48E6-B749-D60FBEC53CA9}"/>
    <hyperlink ref="F69" r:id="rId17" xr:uid="{0FF8BA41-1CF9-4A22-BEA1-5E86DA1D051F}"/>
    <hyperlink ref="F58" r:id="rId18" xr:uid="{028B8441-7D87-44EE-9D83-6113402C8EB2}"/>
    <hyperlink ref="F59" r:id="rId19" xr:uid="{FC254D25-925A-43F5-9585-1E5FC5AABA1D}"/>
    <hyperlink ref="F60" r:id="rId20" xr:uid="{BBF577D2-17B0-4277-994B-1B03E52EF2EC}"/>
    <hyperlink ref="F85" r:id="rId21" xr:uid="{17ED4CC7-B73F-4D34-8DDF-18624D019F7F}"/>
    <hyperlink ref="F74" r:id="rId22" xr:uid="{745B84C8-2334-4989-B9DB-A2FE272E3604}"/>
    <hyperlink ref="F98" r:id="rId23" xr:uid="{8CEFF473-11CC-41AA-8188-5357DDE19548}"/>
    <hyperlink ref="F43" r:id="rId24" xr:uid="{139129C8-1954-4F52-89CE-A47F29FB683E}"/>
    <hyperlink ref="F67" r:id="rId25" xr:uid="{35A4DC0A-A185-4C90-9703-898CE6FA5A16}"/>
    <hyperlink ref="F71" r:id="rId26" xr:uid="{3E4406B6-DC7C-43F2-B178-59843DDEF815}"/>
    <hyperlink ref="F16" r:id="rId27" xr:uid="{646E2598-B52D-4667-A00A-EED8AD58C2FA}"/>
    <hyperlink ref="F65" r:id="rId28" xr:uid="{45835B1C-50A2-474B-AAA7-4CF6E2F5DB23}"/>
    <hyperlink ref="F72" r:id="rId29" xr:uid="{9504502A-9C83-456E-B637-3A77D78A2F83}"/>
    <hyperlink ref="F73" r:id="rId30" xr:uid="{98FEEAA8-5C96-4F4E-AFEB-166115292CA4}"/>
    <hyperlink ref="F26" r:id="rId31" xr:uid="{10E1D313-419A-4CD2-A7F2-35F62190FCF6}"/>
    <hyperlink ref="F27" r:id="rId32" xr:uid="{81B6E869-0FC1-4FA7-9350-0D8CF78B2666}"/>
    <hyperlink ref="F70" r:id="rId33" xr:uid="{41C04A83-7F3A-49C6-A50C-E83915B57F1C}"/>
    <hyperlink ref="F51" r:id="rId34" xr:uid="{E1596B86-05F4-4BFE-830E-B1185DCEDE05}"/>
    <hyperlink ref="F4" r:id="rId35" xr:uid="{5F4E00C1-2207-4A11-9DED-347C5141571D}"/>
    <hyperlink ref="F15" r:id="rId36" xr:uid="{ED29B9BA-4D50-4174-8CE8-2170CADCCA89}"/>
    <hyperlink ref="F6" r:id="rId37" xr:uid="{FB185861-CF9A-413E-AB15-01BFDF6CECCB}"/>
    <hyperlink ref="F28" r:id="rId38" xr:uid="{75774DD2-5B8B-41CB-8195-58B8E2D9DB42}"/>
    <hyperlink ref="F34" r:id="rId39" xr:uid="{FFC8EDC7-0E5F-4E72-9266-E3B063082262}"/>
    <hyperlink ref="F62" r:id="rId40" xr:uid="{5D8EB7CF-2D69-4782-84BA-26B7499DFEEA}"/>
    <hyperlink ref="F79" r:id="rId41" xr:uid="{F85A9144-983F-4581-A606-6FEF24D792A8}"/>
    <hyperlink ref="F31" r:id="rId42" xr:uid="{7D918266-FDF7-4CB0-8B32-F0268D7A43F7}"/>
    <hyperlink ref="F35" r:id="rId43" xr:uid="{E2071E61-A067-4B14-A187-76C5E865A8E4}"/>
    <hyperlink ref="F99" r:id="rId44" xr:uid="{5E2DEAF6-476C-466A-B064-8AFA4B90211F}"/>
    <hyperlink ref="F100" r:id="rId45" xr:uid="{B5250349-63D6-4604-A502-2EC63ED08B41}"/>
    <hyperlink ref="F45" r:id="rId46" xr:uid="{C2D2653A-89A1-46A9-81B9-485FB2DFF6BD}"/>
    <hyperlink ref="F107" r:id="rId47" xr:uid="{096B7520-6867-4CB8-9F32-E6B55D07BB0E}"/>
    <hyperlink ref="F97" r:id="rId48" xr:uid="{5BC22D0F-4722-4DFA-ABB7-2D4D6AC061C2}"/>
    <hyperlink ref="F48" r:id="rId49" xr:uid="{79ABC520-3243-4E99-9BEF-5824DE4C94BD}"/>
    <hyperlink ref="F53" r:id="rId50" xr:uid="{4C2DB993-17CA-4447-90A0-5CE697E9AF35}"/>
    <hyperlink ref="F38" r:id="rId51" xr:uid="{BDA2C242-3A6C-424F-A03A-45E6FE8D7F3F}"/>
    <hyperlink ref="F12" r:id="rId52" xr:uid="{2205C0BB-FAFB-4623-96AD-FC2D9373E294}"/>
    <hyperlink ref="F104" r:id="rId53" xr:uid="{CD8EA943-6312-4A3C-80C2-7AF9108B43A4}"/>
    <hyperlink ref="F102" r:id="rId54" xr:uid="{02B79EE1-BCD7-4E43-A265-87FEC707D6EE}"/>
    <hyperlink ref="F25" r:id="rId55" xr:uid="{9FE3625E-55E4-4A23-ACE3-FB223D5F6C40}"/>
    <hyperlink ref="F3" r:id="rId56" xr:uid="{5701A601-6828-4344-A2B3-BB989F7F942E}"/>
    <hyperlink ref="F50" r:id="rId57" xr:uid="{1BD39E7E-C020-4252-84C5-76C7F7E04A72}"/>
    <hyperlink ref="F44" r:id="rId58" xr:uid="{3FD09DDE-0963-42D7-95A1-326895AD2757}"/>
    <hyperlink ref="F68" r:id="rId59" xr:uid="{B2C65099-7CF2-4A00-8B31-22857F99CFE3}"/>
    <hyperlink ref="F47" r:id="rId60" xr:uid="{2DEC8719-D5FD-44A1-A5B3-CBE2ACE39F57}"/>
    <hyperlink ref="F7" r:id="rId61" xr:uid="{1EACB173-0380-49D3-969A-05CCF0740666}"/>
    <hyperlink ref="F14" r:id="rId62" xr:uid="{E13D18AB-3D51-4A26-A1BA-B7F1768837CD}"/>
    <hyperlink ref="F49" r:id="rId63" xr:uid="{F1D5CEB3-0479-408D-BC40-1BAD336C3A74}"/>
    <hyperlink ref="F57" r:id="rId64" xr:uid="{345F7896-0C89-4560-B7F5-FE70E0BE51A1}"/>
    <hyperlink ref="F89" r:id="rId65" xr:uid="{E6A1077C-75CD-4639-BBB2-7614F84EDB15}"/>
    <hyperlink ref="F108" r:id="rId66" xr:uid="{388FC0DE-8F17-4D08-97DD-AA3B08A13BED}"/>
    <hyperlink ref="F10" r:id="rId67" xr:uid="{4F5C874D-2189-49A5-8691-E7478CFB6AD1}"/>
    <hyperlink ref="F78" r:id="rId68" xr:uid="{3D10D4D7-3EFB-4D0A-A35C-C8D003A9BB34}"/>
    <hyperlink ref="F11" r:id="rId69" xr:uid="{13767B0A-1225-4307-9F0E-222341DD2D91}"/>
    <hyperlink ref="F81" r:id="rId70" xr:uid="{EBB23972-A231-4EDE-856A-B4DE37279549}"/>
    <hyperlink ref="F75" r:id="rId71" xr:uid="{CC7D1B23-98DE-434F-99FD-36D00700A8BD}"/>
    <hyperlink ref="F56" r:id="rId72" xr:uid="{25A18282-C27B-41CB-A6C6-31AD320CAE8A}"/>
    <hyperlink ref="F93" r:id="rId73" xr:uid="{768EFF26-10DD-4E88-B89B-E7E43C0A1C5C}"/>
    <hyperlink ref="F2" r:id="rId74" xr:uid="{5A6C1E6A-031E-47B6-8533-73649A284D73}"/>
    <hyperlink ref="F105" r:id="rId75" xr:uid="{DA5B421C-CFD8-43A3-99B7-8084A1C5CAF7}"/>
    <hyperlink ref="F90" r:id="rId76" xr:uid="{F30ACD79-BBC3-45F8-9F40-5A8961ABE437}"/>
    <hyperlink ref="F20" r:id="rId77" xr:uid="{F250096C-B716-489A-9280-9A32E5DD5A36}"/>
    <hyperlink ref="F21" r:id="rId78" xr:uid="{6A0D52FE-83EE-4291-83D8-A9AD306DB769}"/>
    <hyperlink ref="F95" r:id="rId79" xr:uid="{3DF1DD82-A39B-4B8A-A414-F89A6F702B50}"/>
    <hyperlink ref="F96" r:id="rId80" xr:uid="{BC116EC6-1B7D-416A-828B-E501BB42B75D}"/>
    <hyperlink ref="F41" r:id="rId81" xr:uid="{6B220E79-63B5-4800-B71B-4D60FE0B62AD}"/>
    <hyperlink ref="F82" r:id="rId82" xr:uid="{3136DC57-1187-49B1-A869-329C7B360C2A}"/>
    <hyperlink ref="F42" r:id="rId83" xr:uid="{E3C79C7C-0E0D-4BBA-AB1D-07A9C285DF1D}"/>
    <hyperlink ref="F23" r:id="rId84" xr:uid="{0FE6508D-EEFA-4897-8ED4-EF90856B4BE9}"/>
    <hyperlink ref="F77" r:id="rId85" xr:uid="{13F4D9FD-DC56-4FDF-934E-0090595C6FFB}"/>
    <hyperlink ref="F39" r:id="rId86" xr:uid="{D2F96E06-54B3-4560-8876-9E5106D31F08}"/>
    <hyperlink ref="F5" r:id="rId87" xr:uid="{0F736B21-DFCE-4849-B886-8C70B905B5D6}"/>
    <hyperlink ref="F101" r:id="rId88" xr:uid="{941857A3-9813-4DB6-B552-A6333540969C}"/>
    <hyperlink ref="F9" r:id="rId89" xr:uid="{7EF37B4B-581D-4B0B-A78C-62A444567CC7}"/>
    <hyperlink ref="F198" r:id="rId90" xr:uid="{26E5DD38-659B-403B-946D-4F27E3B7CDB1}"/>
    <hyperlink ref="F140" r:id="rId91" xr:uid="{724DB43C-6896-4134-AB14-9C780E4605EC}"/>
    <hyperlink ref="F118" r:id="rId92" xr:uid="{FFEBF5D0-1060-4BEF-89D5-BAADAD8C899A}"/>
    <hyperlink ref="F128" r:id="rId93" xr:uid="{DC68E2F1-C276-4E7C-BCA9-531DD4E6BD9C}"/>
    <hyperlink ref="F134" r:id="rId94" xr:uid="{8E80947F-8914-4A82-8207-9BA5EE804826}"/>
    <hyperlink ref="F124" r:id="rId95" xr:uid="{08B7D657-F118-4FD1-B36A-8328691FFC93}"/>
    <hyperlink ref="F187" r:id="rId96" xr:uid="{1BD9EB25-CAFF-4036-BAC4-0F112E046D12}"/>
    <hyperlink ref="F192" r:id="rId97" xr:uid="{F14CD5BF-C23D-47EA-8A69-187776CC87B2}"/>
    <hyperlink ref="F180" r:id="rId98" xr:uid="{91D44282-0984-41FC-BDE9-2E6ECE7B84CE}"/>
    <hyperlink ref="F169" r:id="rId99" xr:uid="{C042CA77-B220-47A4-AC60-F74765C2DED2}"/>
    <hyperlink ref="F173" r:id="rId100" xr:uid="{BC4A9805-17D8-4AB6-877E-E5D20543E17A}"/>
    <hyperlink ref="F136" r:id="rId101" xr:uid="{BF2212F0-0B9C-41BF-B59F-072528A13135}"/>
    <hyperlink ref="F175" r:id="rId102" xr:uid="{CC5E4D59-0374-4E3B-93B3-A0BF74F2FA8B}"/>
    <hyperlink ref="F157" r:id="rId103" xr:uid="{814E336B-EC35-455B-97D2-D0CBDE9860B1}"/>
    <hyperlink ref="F324" r:id="rId104" xr:uid="{C3D3CF9F-E4CC-411E-8E0D-50F5DC71D508}"/>
    <hyperlink ref="F194" r:id="rId105" xr:uid="{4ACC6E24-8E89-42B4-A2EA-E0269CD0E7C9}"/>
    <hyperlink ref="F271" r:id="rId106" xr:uid="{7BCF537B-64EE-4029-B407-4E2DD8BD329A}"/>
    <hyperlink ref="F133" r:id="rId107" xr:uid="{95C161E9-B78A-4EA5-809A-7C3680BAD633}"/>
    <hyperlink ref="F137" r:id="rId108" xr:uid="{F5E636BF-CBA0-4A0B-80B7-D3F75D4DE6E6}"/>
    <hyperlink ref="F216" r:id="rId109" xr:uid="{BE7080FC-A30B-464A-BB36-B86CB6D8D031}"/>
    <hyperlink ref="F163" r:id="rId110" xr:uid="{FEA58DEA-6D3D-4A0D-9DD7-1BFA40F46C8E}"/>
    <hyperlink ref="F116" r:id="rId111" xr:uid="{0AFB065D-CE22-4CB4-B6D7-06A8140CB781}"/>
    <hyperlink ref="F141" r:id="rId112" xr:uid="{3FFBE5E1-C7F2-49A0-8F3F-5748522A0A40}"/>
    <hyperlink ref="F265" r:id="rId113" xr:uid="{116CD3FB-9C92-4A1C-BB03-E4CAEA103C0D}"/>
    <hyperlink ref="F143" r:id="rId114" xr:uid="{1196818E-3BE0-43E2-8A04-FF0579441629}"/>
    <hyperlink ref="F384" r:id="rId115" xr:uid="{58B6A580-0338-48F0-86CD-607FDFF434A0}"/>
    <hyperlink ref="F148" r:id="rId116" xr:uid="{502D1FC9-3462-4765-9E5E-E7C3C3459F33}"/>
    <hyperlink ref="F138" r:id="rId117" xr:uid="{F9367E16-C882-47BD-BA28-B6D498EBBBDF}"/>
    <hyperlink ref="F320" r:id="rId118" display="https://tomatoshop.studio.site/" xr:uid="{F1379AF2-D6D2-4C4B-AD80-E409661B1C84}"/>
    <hyperlink ref="F400" r:id="rId119" display="https://tomatoshop.studio.site/" xr:uid="{EB1ACAC4-6B55-CE4E-845F-8F63227026F4}"/>
    <hyperlink ref="F280" r:id="rId120" xr:uid="{5082E534-D3FB-4DD6-9E0B-D6202BB3C49E}"/>
    <hyperlink ref="F153" r:id="rId121" xr:uid="{5827E670-CC22-4A19-80E9-0FAD13040207}"/>
    <hyperlink ref="F330" r:id="rId122" xr:uid="{C833F371-D2A9-46F5-BC52-0475DEE4D054}"/>
    <hyperlink ref="F242" r:id="rId123" xr:uid="{39F0C1C6-4251-47C8-A393-C731597D169A}"/>
    <hyperlink ref="F366" r:id="rId124" xr:uid="{91788672-1154-4E84-8074-7613BF830DB9}"/>
    <hyperlink ref="F131" r:id="rId125" xr:uid="{7324D0C3-0788-4576-AD24-8BECB1C99D92}"/>
    <hyperlink ref="F336" r:id="rId126" xr:uid="{B02A0CD2-62A8-42D6-93B3-71D15580CD81}"/>
    <hyperlink ref="F415" r:id="rId127" xr:uid="{29A57E74-7CFB-4E8A-9807-9167FDE2823B}"/>
    <hyperlink ref="F172" r:id="rId128" xr:uid="{AB5FBDF7-D37E-491D-9946-3160548AE6A8}"/>
    <hyperlink ref="F142" r:id="rId129" xr:uid="{EA23B5B8-7220-47DD-BCAC-CD4FB5AD8E36}"/>
    <hyperlink ref="F196" r:id="rId130" xr:uid="{F1E6C078-3238-4230-9B3C-5D344E88DC8F}"/>
    <hyperlink ref="F121" r:id="rId131" xr:uid="{86323CF0-65DC-4A65-8178-22D15088B81A}"/>
    <hyperlink ref="F197" r:id="rId132" xr:uid="{17EDE4B8-6AB5-4081-918F-58864B31B294}"/>
    <hyperlink ref="F261" r:id="rId133" xr:uid="{9DAC81CC-BA69-4F9D-B334-A86D3DA9ACD9}"/>
    <hyperlink ref="F127" r:id="rId134" xr:uid="{7872A657-8431-4E07-8F9C-BBD08118F4F1}"/>
    <hyperlink ref="F162" r:id="rId135" xr:uid="{0C62126B-9A87-4D2E-9714-28C23B4E3A67}"/>
    <hyperlink ref="F132" r:id="rId136" xr:uid="{55280FAB-A52C-4C9A-9794-D989F91BB6C5}"/>
    <hyperlink ref="F151" r:id="rId137" xr:uid="{9D14D9D0-2F6E-4378-8B66-C33A9603D422}"/>
    <hyperlink ref="F122" r:id="rId138" xr:uid="{C67B0835-73EE-4F4C-9D02-3E8DA3B1B9B5}"/>
    <hyperlink ref="F374" r:id="rId139" xr:uid="{EB75AD4B-8DFC-46FB-97EB-7B2637DE1D0C}"/>
    <hyperlink ref="F389" r:id="rId140" xr:uid="{7AFC97DA-043B-4602-9955-8A6612AE170B}"/>
    <hyperlink ref="F160" r:id="rId141" xr:uid="{3274074E-579B-401B-AFF4-2A7A312FAC03}"/>
    <hyperlink ref="F179" r:id="rId142" xr:uid="{0CD7DF02-C241-4BA9-845F-E878E8E44AC8}"/>
    <hyperlink ref="F191" r:id="rId143" xr:uid="{4F6ACE4D-F13A-4C63-A73A-187B9954DBD3}"/>
    <hyperlink ref="F126" r:id="rId144" xr:uid="{A8F0391F-F0A1-4EEC-BF97-F84975CAD894}"/>
    <hyperlink ref="F296" r:id="rId145" xr:uid="{84499711-CC79-43ED-B718-6C6BE45F3FC0}"/>
    <hyperlink ref="F342" r:id="rId146" xr:uid="{61000D28-7493-42E5-BC77-02DE0D21747A}"/>
    <hyperlink ref="F301" r:id="rId147" xr:uid="{90C519A3-88D8-43B9-81FE-7E0755AAF9B7}"/>
    <hyperlink ref="F115" r:id="rId148" xr:uid="{8633D6DB-267F-4B4F-887C-C6C81786673C}"/>
    <hyperlink ref="F411" r:id="rId149" xr:uid="{EF1579F4-9AA2-46A4-9424-C770389CCE04}"/>
    <hyperlink ref="F199" r:id="rId150" xr:uid="{5F804CD1-4685-4DB6-A8B3-16A4B23D4A0E}"/>
    <hyperlink ref="F279" r:id="rId151" xr:uid="{DE5C4406-EEF1-4B50-881F-7A6158CB1B64}"/>
    <hyperlink ref="F181" r:id="rId152" xr:uid="{135CCDDC-FF90-4368-A48D-53FD458AB884}"/>
    <hyperlink ref="F354" r:id="rId153" xr:uid="{1F52AE30-FEB0-4221-954C-C1133AEA1B7F}"/>
    <hyperlink ref="F350" r:id="rId154" xr:uid="{108FCB77-E416-4909-8A95-B10BAADC9FAE}"/>
    <hyperlink ref="F373" r:id="rId155" xr:uid="{DDF6827E-91F8-47E9-9842-8EA7B80BB8A0}"/>
    <hyperlink ref="F304" r:id="rId156" xr:uid="{BA2700D5-4798-4DC1-8C92-3D71DE36B975}"/>
    <hyperlink ref="F432" r:id="rId157" xr:uid="{DA1B4E02-B955-4E2C-A2B9-E05192170A1E}"/>
    <hyperlink ref="F433" r:id="rId158" xr:uid="{F11AF343-9AA6-4422-A3CD-A25E752BC15C}"/>
    <hyperlink ref="F430" r:id="rId159" xr:uid="{E5CC6557-91A1-4DD4-B0BF-77F58F409148}"/>
    <hyperlink ref="F334" r:id="rId160" xr:uid="{33F982BE-0C4C-400D-BC24-2656F5276987}"/>
    <hyperlink ref="F337" r:id="rId161" xr:uid="{CC7521BB-686A-4DEA-B0DC-B3F4D780F85B}"/>
    <hyperlink ref="F314:F317" r:id="rId162" display="https://suukedayo.wixsite.com/shiawasefairu" xr:uid="{C06F8B25-1DF1-4337-A2C1-45177958351A}"/>
    <hyperlink ref="F13" r:id="rId163" display="https://suukedayo.wixsite.com/shiawasefairu" xr:uid="{5C87068A-9493-4575-9F2F-8AFF93967857}"/>
    <hyperlink ref="F315:F318" r:id="rId164" display="https://suukedayo.wixsite.com/shiawasefairu" xr:uid="{B8A9CAA4-4A33-46FF-AD93-F0196450FF67}"/>
    <hyperlink ref="F41:F43" r:id="rId165" display="https://ameutaulii.wixsite.com/telepathycapsule" xr:uid="{1FCB85EF-9DB3-4BBB-840F-DED40B847B9D}"/>
    <hyperlink ref="F89:F91" r:id="rId166" display="https://bowlroll.net/user/852117/files" xr:uid="{20EDE49C-3656-4F24-BFEE-722A31A1D397}"/>
    <hyperlink ref="F100:F102" r:id="rId167" location="target-tab" display="https://bowlroll.net/user/980255/files#target-tab" xr:uid="{213D3A81-9A42-4C7F-B2E5-32243417CB1A}"/>
    <hyperlink ref="F267" r:id="rId168" xr:uid="{99E57A08-6A5C-4D9F-9191-0039542D3206}"/>
    <hyperlink ref="F393" r:id="rId169" xr:uid="{E1CEA228-8C77-486A-B910-AEFCBD795530}"/>
    <hyperlink ref="F390" r:id="rId170" xr:uid="{88ED7A05-7F75-42BC-9149-69776D433A22}"/>
    <hyperlink ref="F287" r:id="rId171" xr:uid="{F557F50A-3623-410E-AA97-12031958EF4D}"/>
    <hyperlink ref="F375" r:id="rId172" xr:uid="{2F3C3A3A-8412-4739-8A39-2CFE67FB49D2}"/>
    <hyperlink ref="F260" r:id="rId173" xr:uid="{59B88970-3D81-4B8A-8D3A-F2FB4A2B17B6}"/>
    <hyperlink ref="F419" r:id="rId174" xr:uid="{C32DD582-9190-4FA2-9F64-74F89D888D62}"/>
    <hyperlink ref="F200" r:id="rId175" xr:uid="{BF5E860E-C594-4BB0-8BF4-0E67EAE670CD}"/>
    <hyperlink ref="F338" r:id="rId176" xr:uid="{EDC56426-2ACA-4319-8408-00A066EB817D}"/>
    <hyperlink ref="F418" r:id="rId177" xr:uid="{8F435601-5AB1-4ADA-90AA-512792B42251}"/>
    <hyperlink ref="F376" r:id="rId178" xr:uid="{8517E623-20BA-4069-AD3A-84013BBBBAD1}"/>
    <hyperlink ref="F394" r:id="rId179" xr:uid="{38311A5D-2B7F-4FD7-922C-A7FD8669B754}"/>
    <hyperlink ref="F413" r:id="rId180" xr:uid="{07B25198-3B29-49D1-9427-E2AAB904B699}"/>
    <hyperlink ref="F264" r:id="rId181" xr:uid="{FACF30D1-8C5E-4592-AC56-BFE9A442CEDA}"/>
    <hyperlink ref="F311" r:id="rId182" xr:uid="{588BB4ED-975C-42FE-B3DD-0706E484E363}"/>
    <hyperlink ref="F427" r:id="rId183" xr:uid="{A224B14E-4E21-40D9-A9B2-44FAE06CED83}"/>
    <hyperlink ref="F423" r:id="rId184" xr:uid="{4BD38BD0-8329-429C-99FC-F268CFED277B}"/>
    <hyperlink ref="F258" r:id="rId185" xr:uid="{EF57E4E8-543C-48C8-AB9E-3C233C9BAB54}"/>
    <hyperlink ref="F166" r:id="rId186" xr:uid="{5084134B-5F22-463F-A65C-BF93696D01E8}"/>
    <hyperlink ref="F409" r:id="rId187" xr:uid="{EB9DE3C8-97D0-4690-9E66-01224578F796}"/>
    <hyperlink ref="F351" r:id="rId188" xr:uid="{C03CF168-3C12-4677-8D7D-D59C01692FEF}"/>
    <hyperlink ref="F380" r:id="rId189" xr:uid="{7A00AA44-57D4-410C-84F7-1385CDDA71DE}"/>
    <hyperlink ref="F392" r:id="rId190" xr:uid="{8DEE7DC5-9DB1-49C8-84FF-8A51F9DF7C3A}"/>
    <hyperlink ref="F263" r:id="rId191" xr:uid="{CE4B5F9C-D4D2-4B30-9416-9974FFDEE0C6}"/>
    <hyperlink ref="F405" r:id="rId192" xr:uid="{158728FC-10D8-4A2D-B157-C40940B593D5}"/>
    <hyperlink ref="F262" r:id="rId193" xr:uid="{713B80A6-6830-4723-86EB-485F0B14F3BE}"/>
    <hyperlink ref="F404" r:id="rId194" xr:uid="{E9FADB5C-F3CC-4A44-8E62-432C3765C720}"/>
    <hyperlink ref="F308" r:id="rId195" xr:uid="{B0E1FB6A-6A48-4A0C-A5C1-58282A83CCE5}"/>
    <hyperlink ref="F309" r:id="rId196" xr:uid="{08A2C2CD-A2B4-4404-9054-9C64105E1DF7}"/>
    <hyperlink ref="F135" r:id="rId197" xr:uid="{4E21A862-7310-4927-A746-53535E255C32}"/>
    <hyperlink ref="F246" r:id="rId198" xr:uid="{3FEE91EB-76C5-4DD7-88A7-D57FE2F9F4A1}"/>
    <hyperlink ref="F290" r:id="rId199" xr:uid="{4C693679-C540-48A7-88F4-0E6736D68F2C}"/>
    <hyperlink ref="F307" r:id="rId200" xr:uid="{54E1A8BB-5776-44B6-B3CA-D8EF1A8F2020}"/>
    <hyperlink ref="F316" r:id="rId201" xr:uid="{1B1314E4-1274-4A5E-9BE2-DB7789797D9C}"/>
    <hyperlink ref="F357" r:id="rId202" xr:uid="{2DAA7CE0-E4BA-4F19-887B-26C8B1316046}"/>
    <hyperlink ref="F385" r:id="rId203" xr:uid="{69AC5F84-890C-4FC1-870F-17CB8F3B6C2E}"/>
    <hyperlink ref="F190" r:id="rId204" xr:uid="{6289F76C-A975-44BE-A9EB-AD05A06F4776}"/>
    <hyperlink ref="F270" r:id="rId205" xr:uid="{858EA392-9022-4160-AE1B-7C9A7235CF14}"/>
    <hyperlink ref="F365:F377" r:id="rId206" display="https://torinosu-hikikomori.jimdofree.com" xr:uid="{EA72453A-7C3F-498F-A120-3DE74486B8A6}"/>
    <hyperlink ref="F314" r:id="rId207" xr:uid="{2A905E16-7603-4181-9A8A-FD5324BD1A7F}"/>
    <hyperlink ref="F313" r:id="rId208" xr:uid="{F9B728A5-15CD-4AE9-9498-C0D347404918}"/>
    <hyperlink ref="F298" r:id="rId209" xr:uid="{3AA028FB-D0FD-40D9-BC8E-D27ABCDB92DE}"/>
    <hyperlink ref="F383:F388" r:id="rId210" display="https://lenskkpb.wixsite.com/len-sakaki-official" xr:uid="{41C75B9A-AFDD-477A-8469-442C83BF1C20}"/>
    <hyperlink ref="F364" r:id="rId211" xr:uid="{E9347EA9-21EB-42D4-987F-5D163371BCA6}"/>
    <hyperlink ref="F164" r:id="rId212" xr:uid="{6709143C-EC1C-4E22-8A6B-914136721DDA}"/>
    <hyperlink ref="F302" r:id="rId213" xr:uid="{5617C910-A310-4A17-8AA4-316F310847BF}"/>
    <hyperlink ref="F303" r:id="rId214" xr:uid="{2589C453-99E6-4E36-AED1-DD20CA59EAAD}"/>
    <hyperlink ref="F325" r:id="rId215" xr:uid="{E966FEFA-2086-4F71-A220-A242A6E77068}"/>
    <hyperlink ref="F346" r:id="rId216" xr:uid="{5147A47E-1C69-42B0-90BD-F7778A03B8D8}"/>
    <hyperlink ref="F424" r:id="rId217" xr:uid="{33591C89-D3E3-461A-91DF-B0E23E49244B}"/>
    <hyperlink ref="F182" r:id="rId218" xr:uid="{A3591E43-7C22-4FD1-924E-15894D717A6F}"/>
    <hyperlink ref="F406" r:id="rId219" xr:uid="{05FF1A37-523B-44F8-BC6B-2FE3B42C6FB0}"/>
    <hyperlink ref="F174" r:id="rId220" xr:uid="{771B46BB-CD8D-4DC4-AD1A-01F2CC50F599}"/>
    <hyperlink ref="F188" r:id="rId221" xr:uid="{DA94E514-95ED-48D5-8917-4CEB2D10AC09}"/>
    <hyperlink ref="F278" r:id="rId222" xr:uid="{AAACC18E-768A-40FC-9A76-393385BDE8AA}"/>
    <hyperlink ref="F27:F41" r:id="rId223" display="https://flowerrocklove.wixsite.com/twilight-crisis" xr:uid="{18713B45-904C-44C8-A3EA-F3A7A8F8B492}"/>
    <hyperlink ref="F43:F47" r:id="rId224" display="https://ameutaulii.wixsite.com/telepathycapsule" xr:uid="{9D76E74C-8DF7-4F45-8589-E0807CE20677}"/>
    <hyperlink ref="F327" r:id="rId225" xr:uid="{B294FDF4-E326-4762-A6C8-A123EB46F3C1}"/>
    <hyperlink ref="F122:F125" r:id="rId226" display="https://cloudcatch1224.wixsite.com/godsfoot" xr:uid="{CF5CE9BC-4A5E-4FDE-B94E-70935778B8EE}"/>
    <hyperlink ref="F152:F153" r:id="rId227" display="https://grskmot8.wixsite.com/kdarock" xr:uid="{778A948E-0EB6-40B0-AEE3-C5B9A74B484A}"/>
    <hyperlink ref="F156:F159" r:id="rId228" display="https://harujpg.wixsite.com/sanshoku" xr:uid="{BCB9D6CB-041E-4A77-88E3-D77DC20F3A86}"/>
    <hyperlink ref="F161:F164" r:id="rId229" display="https://hinagitsune-utau.wixsite.com/utaukokorone" xr:uid="{17B7B1A7-5C8D-466F-9936-50A01D2B01C7}"/>
    <hyperlink ref="F167:F168" r:id="rId230" display="https://hznonoka.wixsite.com/utau" xr:uid="{D4534A9A-D5A7-47DB-94B1-B6EE14D00FF9}"/>
    <hyperlink ref="F178:F181" r:id="rId231" display="https://jiwajiwakirinn.wixsite.com/sakurada" xr:uid="{A2742A21-A88E-4230-8D16-C14D41FFCE82}"/>
    <hyperlink ref="F146" r:id="rId232" xr:uid="{C797C69C-628B-412A-8EB3-9694BDDA7CA1}"/>
    <hyperlink ref="F195:F197" r:id="rId233" display="https://kaitoramma.chu.jp" xr:uid="{C20E8B38-57F4-4C2D-AA94-00D46DE98F12}"/>
    <hyperlink ref="F199:F200" r:id="rId234" display="https://kakokyu102krbs.wixsite.com/greenmilky" xr:uid="{244FAF66-4026-4EBC-8C9D-C8C09B8D909A}"/>
    <hyperlink ref="F253:F254" r:id="rId235" display="https://mareffys.wixsite.com/lalo" xr:uid="{8C282279-8B31-4071-A77D-D009CFC236C3}"/>
    <hyperlink ref="F258:F264" r:id="rId236" display="https://maybeanglo0mochi.wixsite.com/mochiyanosouko" xr:uid="{EAB6E141-5721-4735-B9E3-998C6B20C52C}"/>
    <hyperlink ref="F177" r:id="rId237" xr:uid="{16E14A36-56AA-44B9-AA98-E05426A8C9C7}"/>
    <hyperlink ref="F150" r:id="rId238" xr:uid="{6E9C4F6F-FA1B-42F3-AC46-DA64382550D2}"/>
    <hyperlink ref="F165" r:id="rId239" xr:uid="{56736E0F-0AFA-4271-AAC9-8F1B2DE4CA11}"/>
    <hyperlink ref="F106" r:id="rId240" xr:uid="{D5485F09-193C-4CB0-8551-2D0B6663FC90}"/>
    <hyperlink ref="F206" r:id="rId241" xr:uid="{3CD97486-7ED3-4925-831A-7A3E2E192FC7}"/>
    <hyperlink ref="F416:F417" r:id="rId242" display="https://todosho1192.wixsite.com/my-site-3" xr:uid="{F27D3A18-A7BA-4398-AABF-E9567CD42E02}"/>
    <hyperlink ref="F295" r:id="rId243" xr:uid="{BFCF7012-69F3-45C3-AFE9-F0277A62BBD8}"/>
    <hyperlink ref="F391" r:id="rId244" xr:uid="{BE1C263B-30C3-4388-A077-E2B849D62EEC}"/>
    <hyperlink ref="F274" r:id="rId245" xr:uid="{448506F7-A154-4559-9940-71967815FB44}"/>
    <hyperlink ref="F361" r:id="rId246" xr:uid="{9618126B-6DF1-426D-B0BA-26AFDCA9177D}"/>
    <hyperlink ref="F396" r:id="rId247" xr:uid="{B1ADF479-2A4E-4B96-9B76-84ADFDB934FB}"/>
    <hyperlink ref="F208" r:id="rId248" xr:uid="{26BA9F98-6D8A-4FB8-94ED-728D56FB66EE}"/>
    <hyperlink ref="F207" r:id="rId249" xr:uid="{930D44F6-7039-41BB-B714-0AE06971BF30}"/>
    <hyperlink ref="F203" r:id="rId250" xr:uid="{4B026699-18B4-4413-BDE1-0CD08B74FB8F}"/>
    <hyperlink ref="F210" r:id="rId251" xr:uid="{1C4B71BE-855F-43C6-816A-C413C4057B75}"/>
    <hyperlink ref="F205" r:id="rId252" xr:uid="{15F81934-A4C1-419F-8701-F3FB27235074}"/>
    <hyperlink ref="F202" r:id="rId253" xr:uid="{5099072F-AB96-4254-A9FD-54871C4A74A2}"/>
    <hyperlink ref="F155" r:id="rId254" xr:uid="{CA7CC9AE-7315-42BE-937F-A3819BB9EBE0}"/>
    <hyperlink ref="F64" r:id="rId255" xr:uid="{418C9B4B-CFA8-4994-A14D-BC445F33856C}"/>
    <hyperlink ref="F119:F123" r:id="rId256" display="https://chunyinhui021.wixsite.com/mutyuusaisei" xr:uid="{FABDAE2C-7F63-441F-84B2-028938338884}"/>
    <hyperlink ref="F149" r:id="rId257" xr:uid="{C6473DEC-BF73-419B-AA56-146489756280}"/>
    <hyperlink ref="F119" r:id="rId258" xr:uid="{28C97FB3-933D-45FF-9628-75334EC574F4}"/>
    <hyperlink ref="F145:F152" r:id="rId259" display="https://flowerrocklove.wixsite.com/twilight-crisis" xr:uid="{FDAA4323-4883-4BB6-9181-C86DC3ADB7F0}"/>
    <hyperlink ref="F37" r:id="rId260" xr:uid="{AD3B11AA-D587-4DF1-8BC5-E508A5AD4F14}"/>
    <hyperlink ref="F212" r:id="rId261" xr:uid="{0E759D8E-9DE5-44ED-A2BE-A99A9E2627DB}"/>
    <hyperlink ref="F213" r:id="rId262" xr:uid="{406FC7AC-2166-4FD4-99F2-4BB095DB43CC}"/>
    <hyperlink ref="F211" r:id="rId263" xr:uid="{F9779F13-F0A4-4D78-98A1-1A2293AAA7FD}"/>
    <hyperlink ref="F214" r:id="rId264" xr:uid="{6CC49D90-7570-4B72-88D0-94D3708E5825}"/>
    <hyperlink ref="F17" r:id="rId265" xr:uid="{53566C5F-FB16-421E-81DF-F6230E99E473}"/>
    <hyperlink ref="F18" r:id="rId266" xr:uid="{72C86F07-C5A0-4A7B-9EE3-83CBC908E342}"/>
    <hyperlink ref="F215" r:id="rId267" xr:uid="{1B923E2D-7B61-46E7-9CD1-4FFE9FF203C6}"/>
    <hyperlink ref="F217" r:id="rId268" xr:uid="{ACD6D043-DC6C-4915-B869-0962630001EE}"/>
    <hyperlink ref="F218" r:id="rId269" xr:uid="{1BB09921-A1B5-4E8A-AF07-B858C21DFBCC}"/>
    <hyperlink ref="F434" r:id="rId270" xr:uid="{61646544-B7F6-41E1-8AAA-1060414B887B}"/>
    <hyperlink ref="F435" r:id="rId271" xr:uid="{93E61A86-7C41-43F4-88FF-AD6D298AC41C}"/>
    <hyperlink ref="F436" r:id="rId272" xr:uid="{51F09A09-DFFB-4E04-8966-9EFE30193397}"/>
    <hyperlink ref="F219" r:id="rId273" xr:uid="{47501218-C0AE-448A-80CE-563AF7997BE9}"/>
    <hyperlink ref="F437" r:id="rId274" xr:uid="{3A2805FB-E662-434D-ABC5-5A3F16A81CE1}"/>
    <hyperlink ref="F438" r:id="rId275" xr:uid="{AE74323E-19A6-4A93-833E-30A12C9BAA71}"/>
    <hyperlink ref="F439" r:id="rId276" xr:uid="{44B46EA8-E8E3-49FF-97F9-7F6E461DEA48}"/>
    <hyperlink ref="F220" r:id="rId277" xr:uid="{3D463FD1-CA5E-441E-866F-5DDAABBEEC52}"/>
    <hyperlink ref="F234:F235" r:id="rId278" display="https://vividseekers.utau.sorairomarch.com" xr:uid="{77AABF20-E38A-4E5E-9256-98D67B3EFAD5}"/>
    <hyperlink ref="F221" r:id="rId279" xr:uid="{56FB0977-3126-4BA1-999A-6CCD84394835}"/>
    <hyperlink ref="F222" r:id="rId280" xr:uid="{034A46DA-F5A4-44C6-9E6C-646402456BD6}"/>
    <hyperlink ref="F223" r:id="rId281" xr:uid="{2A4F1930-4F68-493D-ABC5-F7A025BBE45F}"/>
    <hyperlink ref="F224" r:id="rId282" xr:uid="{BCE8DD4E-A8D7-4383-B8EB-68099CA41E17}"/>
    <hyperlink ref="F225" r:id="rId283" xr:uid="{0FC88DEF-F889-4B6B-8CCB-F686BBAEB5A1}"/>
    <hyperlink ref="F226" r:id="rId284" xr:uid="{39EF5822-BBE0-4D3D-A5F3-58E8CAA40F99}"/>
    <hyperlink ref="F227" r:id="rId285" xr:uid="{9AAFB909-13C3-424B-AFA4-345246155E51}"/>
    <hyperlink ref="F103" r:id="rId286" xr:uid="{3FE6181D-9E89-466D-A7CE-1D0B0A3A3BEA}"/>
    <hyperlink ref="F54" r:id="rId287" xr:uid="{56EDA6B7-5404-4B84-8803-D3F8DF00406E}"/>
    <hyperlink ref="F19" r:id="rId288" xr:uid="{29E00CE5-F341-424F-B6FD-353D0A58F088}"/>
    <hyperlink ref="F326" r:id="rId289" xr:uid="{72F870BB-FF55-4D54-954C-E4885C32EBAD}"/>
    <hyperlink ref="F399" r:id="rId290" xr:uid="{D3C51E23-C92D-412B-9151-3A83EB71B0BD}"/>
    <hyperlink ref="F401" r:id="rId291" xr:uid="{F8892412-E2EF-4F22-978E-4CB152463A0C}"/>
    <hyperlink ref="F403" r:id="rId292" xr:uid="{09278526-39B2-47EF-9BEB-568CC2249A84}"/>
    <hyperlink ref="F428" r:id="rId293" xr:uid="{6237008D-1032-4541-87B3-EAE62A28C5C4}"/>
    <hyperlink ref="F22" r:id="rId294" xr:uid="{C2676C57-00EE-443E-AF00-E0791C6E740E}"/>
    <hyperlink ref="F112" r:id="rId295" xr:uid="{2D89B21B-0461-4B5E-882D-8497ABF2C187}"/>
    <hyperlink ref="F185" r:id="rId296" xr:uid="{99C721D3-51F8-4C8D-9B5E-758137429D70}"/>
    <hyperlink ref="F282" r:id="rId297" xr:uid="{1A5935A5-F197-4EB4-98D4-7456DD9263CB}"/>
    <hyperlink ref="F291" r:id="rId298" xr:uid="{1FDC25C5-4137-4D42-AD91-0378F9F9E3CB}"/>
    <hyperlink ref="F300" r:id="rId299" xr:uid="{B233B4B6-C275-4E49-9F97-339731422609}"/>
    <hyperlink ref="F228" r:id="rId300" xr:uid="{0D9566A2-B460-4D31-B72E-DEB0F19225F4}"/>
    <hyperlink ref="F229" r:id="rId301" display="https://kagerou009.hatenablog.com/" xr:uid="{3F9ACAE0-AC00-4378-9823-58DCEE87392D}"/>
    <hyperlink ref="F440" r:id="rId302" xr:uid="{B7F3530A-8B4D-4B5D-9E19-FCF2687BF8EE}"/>
    <hyperlink ref="F441" r:id="rId303" xr:uid="{54DC5442-05FB-4F08-A9DD-A1EC3BC106F5}"/>
    <hyperlink ref="F230" r:id="rId304" xr:uid="{A565DDFB-D389-4E52-B7CB-2398C4F3C765}"/>
    <hyperlink ref="F234" r:id="rId305" xr:uid="{9FEB38EA-9D2C-43BE-ABC7-34C83A8CD983}"/>
    <hyperlink ref="F231" r:id="rId306" xr:uid="{41A10682-311A-4BA7-AE6F-603DD0D67F66}"/>
    <hyperlink ref="F232" r:id="rId307" xr:uid="{05BD7CD2-B093-43EE-8DC5-4C12CAED47A2}"/>
    <hyperlink ref="F233" r:id="rId308" xr:uid="{B570437B-1A43-46E5-A410-00F3E1539A09}"/>
  </hyperlinks>
  <pageMargins left="0.7" right="0.7" top="0.75" bottom="0.75" header="0.3" footer="0.3"/>
  <tableParts count="1">
    <tablePart r:id="rId30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9701-23D2-4C86-B354-9958EF5395D4}">
  <dimension ref="B2:C22"/>
  <sheetViews>
    <sheetView topLeftCell="A10" workbookViewId="0">
      <selection activeCell="B15" sqref="B15:C21"/>
    </sheetView>
  </sheetViews>
  <sheetFormatPr defaultColWidth="8.73046875" defaultRowHeight="30" customHeight="1" x14ac:dyDescent="0.35"/>
  <cols>
    <col min="1" max="2" width="8.73046875" style="5"/>
    <col min="3" max="3" width="60.46484375" style="5" customWidth="1"/>
    <col min="4" max="16384" width="8.73046875" style="5"/>
  </cols>
  <sheetData>
    <row r="2" spans="2:3" ht="30" customHeight="1" x14ac:dyDescent="0.35">
      <c r="B2" s="31" t="s">
        <v>714</v>
      </c>
      <c r="C2" s="31"/>
    </row>
    <row r="4" spans="2:3" ht="30" customHeight="1" x14ac:dyDescent="0.35">
      <c r="B4" s="4" t="s">
        <v>718</v>
      </c>
      <c r="C4" s="7">
        <f ca="1">MATCH(C5,キャラ情報!C:C,0)</f>
        <v>337</v>
      </c>
    </row>
    <row r="5" spans="2:3" ht="30" customHeight="1" x14ac:dyDescent="0.35">
      <c r="B5" s="4" t="s">
        <v>715</v>
      </c>
      <c r="C5" s="6" t="str">
        <f ca="1">INDEX(キャラ情報!C:Q,MATCH(MIN(キャラ情報!Q:Q),キャラ情報!Q:Q,0),1)</f>
        <v>李音フヱル</v>
      </c>
    </row>
    <row r="6" spans="2:3" ht="30" customHeight="1" x14ac:dyDescent="0.35">
      <c r="B6" s="4" t="s">
        <v>716</v>
      </c>
      <c r="C6" s="6" t="str">
        <f ca="1">INDEX(キャラ情報!C:Q,MATCH(MIN(キャラ情報!Q:Q),キャラ情報!Q:Q,0),4)</f>
        <v>https://suukedayo.wixsite.com/shiawasefairu</v>
      </c>
    </row>
    <row r="9" spans="2:3" ht="30" customHeight="1" x14ac:dyDescent="0.35">
      <c r="B9" s="31" t="s">
        <v>772</v>
      </c>
      <c r="C9" s="31"/>
    </row>
    <row r="11" spans="2:3" ht="30" customHeight="1" x14ac:dyDescent="0.35">
      <c r="B11" s="4" t="s">
        <v>718</v>
      </c>
      <c r="C11" s="7" t="e">
        <f ca="1">MATCH(C12,キャラ情報!C:C,0)</f>
        <v>#N/A</v>
      </c>
    </row>
    <row r="12" spans="2:3" ht="30" customHeight="1" x14ac:dyDescent="0.35">
      <c r="B12" s="4" t="s">
        <v>715</v>
      </c>
      <c r="C12" s="6" t="e">
        <f ca="1">INDEX(キャラ情報!C:S,MATCH(MIN(キャラ情報!S:S),キャラ情報!S:S,0),1)</f>
        <v>#N/A</v>
      </c>
    </row>
    <row r="14" spans="2:3" ht="30" customHeight="1" thickBot="1" x14ac:dyDescent="0.4">
      <c r="B14" s="8" t="s">
        <v>775</v>
      </c>
    </row>
    <row r="15" spans="2:3" ht="30" customHeight="1" thickTop="1" x14ac:dyDescent="0.35">
      <c r="B15" s="9" t="s">
        <v>1524</v>
      </c>
      <c r="C15" s="10"/>
    </row>
    <row r="16" spans="2:3" ht="30" customHeight="1" x14ac:dyDescent="0.35">
      <c r="B16" s="11"/>
      <c r="C16" s="12"/>
    </row>
    <row r="17" spans="2:3" ht="30" customHeight="1" x14ac:dyDescent="0.35">
      <c r="B17" s="11" t="str">
        <f>"No."&amp;MAX(キャラ情報!A:A)+1&amp;"｜"</f>
        <v>No.233｜</v>
      </c>
      <c r="C17" s="12" t="e">
        <f ca="1">C12</f>
        <v>#N/A</v>
      </c>
    </row>
    <row r="18" spans="2:3" ht="30" customHeight="1" x14ac:dyDescent="0.35">
      <c r="B18" s="11" t="e">
        <f ca="1">INDEX(キャラ情報!C:G,MATCH(C12,キャラ情報!C:C,0),5)</f>
        <v>#N/A</v>
      </c>
      <c r="C18" s="12"/>
    </row>
    <row r="19" spans="2:3" ht="30" customHeight="1" x14ac:dyDescent="0.35">
      <c r="B19" s="11"/>
      <c r="C19" s="12"/>
    </row>
    <row r="20" spans="2:3" ht="30" customHeight="1" x14ac:dyDescent="0.35">
      <c r="B20" s="11" t="s">
        <v>776</v>
      </c>
      <c r="C20" s="12"/>
    </row>
    <row r="21" spans="2:3" ht="30" customHeight="1" thickBot="1" x14ac:dyDescent="0.4">
      <c r="B21" s="13" t="s">
        <v>1731</v>
      </c>
      <c r="C21" s="14"/>
    </row>
    <row r="22" spans="2:3" ht="30" customHeight="1" thickTop="1" x14ac:dyDescent="0.35"/>
  </sheetData>
  <mergeCells count="2">
    <mergeCell ref="B2:C2"/>
    <mergeCell ref="B9:C9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EF37-1F1B-4879-9E5C-37FE8D26AF37}">
  <dimension ref="A1:L233"/>
  <sheetViews>
    <sheetView topLeftCell="A216" workbookViewId="0">
      <selection activeCell="G229" sqref="G229"/>
    </sheetView>
  </sheetViews>
  <sheetFormatPr defaultColWidth="9.06640625" defaultRowHeight="20.149999999999999" customHeight="1" x14ac:dyDescent="0.35"/>
  <cols>
    <col min="1" max="1" width="5.9296875" style="19" bestFit="1" customWidth="1"/>
    <col min="2" max="2" width="19.06640625" style="19" bestFit="1" customWidth="1"/>
    <col min="3" max="3" width="19" style="19" bestFit="1" customWidth="1"/>
    <col min="4" max="4" width="20.73046875" style="19" bestFit="1" customWidth="1"/>
    <col min="5" max="5" width="30.19921875" style="19" bestFit="1" customWidth="1"/>
    <col min="6" max="6" width="54.53125" style="19" bestFit="1" customWidth="1"/>
    <col min="7" max="7" width="20.9296875" style="19" bestFit="1" customWidth="1"/>
    <col min="8" max="8" width="10.33203125" style="19" bestFit="1" customWidth="1"/>
    <col min="9" max="9" width="12.265625" style="19" bestFit="1" customWidth="1"/>
    <col min="10" max="10" width="11.59765625" style="19" bestFit="1" customWidth="1"/>
    <col min="11" max="11" width="20.1328125" style="19" bestFit="1" customWidth="1"/>
    <col min="12" max="12" width="16.9296875" style="19" bestFit="1" customWidth="1"/>
    <col min="13" max="16384" width="9.06640625" style="19"/>
  </cols>
  <sheetData>
    <row r="1" spans="1:12" s="18" customFormat="1" ht="20.149999999999999" customHeight="1" x14ac:dyDescent="0.35">
      <c r="A1" s="18" t="s">
        <v>1620</v>
      </c>
      <c r="B1" s="18" t="s">
        <v>1616</v>
      </c>
      <c r="C1" s="18" t="s">
        <v>1617</v>
      </c>
      <c r="D1" s="18" t="s">
        <v>1618</v>
      </c>
      <c r="E1" s="18" t="s">
        <v>1619</v>
      </c>
      <c r="F1" s="18" t="s">
        <v>1621</v>
      </c>
      <c r="G1" s="18" t="s">
        <v>1622</v>
      </c>
      <c r="H1" s="18" t="s">
        <v>1623</v>
      </c>
      <c r="I1" s="1" t="s">
        <v>1629</v>
      </c>
      <c r="J1" s="1" t="s">
        <v>1630</v>
      </c>
      <c r="K1" s="1" t="s">
        <v>1631</v>
      </c>
      <c r="L1" s="1" t="s">
        <v>1632</v>
      </c>
    </row>
    <row r="2" spans="1:12" ht="20.149999999999999" customHeight="1" x14ac:dyDescent="0.35">
      <c r="A2" s="19">
        <f>テーブル1[[#This Row],[番号]]</f>
        <v>1</v>
      </c>
      <c r="B2" s="19" t="str">
        <f>テーブル1[[#This Row],[名前]]</f>
        <v>赤鐘芙蓉</v>
      </c>
      <c r="C2" s="19" t="str">
        <f>テーブル1[[#This Row],[なまえ]]</f>
        <v>あかがね ふよう</v>
      </c>
      <c r="D2" s="19" t="str">
        <f>テーブル1[[#This Row],[Name]]</f>
        <v>Akagane Fuyo</v>
      </c>
      <c r="E2" s="19" t="str">
        <f>"image/"&amp;テーブル1[[#This Row],[画像]]&amp;".png"</f>
        <v>image/akagane-fuyo.png</v>
      </c>
      <c r="F2" s="19" t="str">
        <f>テーブル1[[#This Row],[リンク]]</f>
        <v>https://mitoristu.wixsite.com/kousaibako</v>
      </c>
      <c r="G2" s="19" t="str">
        <f>SUBSTITUTE(テーブル1[[#This Row],[作品タグ]]," ","|")</f>
        <v>#虹彩箱</v>
      </c>
      <c r="H2" s="19" t="str">
        <f>テーブル1[[#This Row],[性別]]&amp;""</f>
        <v>女性</v>
      </c>
      <c r="I2" s="19" t="str">
        <f>テーブル1[[#This Row],[種族タグ]]&amp;""</f>
        <v>鬼</v>
      </c>
      <c r="J2" s="19" t="str">
        <f>テーブル1[[#This Row],[職業タグ]]&amp;""</f>
        <v/>
      </c>
      <c r="K2" s="19" t="str">
        <f>テーブル1[[#This Row],[小物タグ]]&amp;""</f>
        <v/>
      </c>
      <c r="L2" s="19" t="str">
        <f>テーブル1[[#This Row],[ワンポイントタグ]]&amp;""</f>
        <v>尖耳</v>
      </c>
    </row>
    <row r="3" spans="1:12" ht="20.149999999999999" customHeight="1" x14ac:dyDescent="0.35">
      <c r="A3" s="19">
        <f>テーブル1[[#This Row],[番号]]</f>
        <v>2</v>
      </c>
      <c r="B3" s="19" t="str">
        <f>テーブル1[[#This Row],[名前]]</f>
        <v>東屋亭久一</v>
      </c>
      <c r="C3" s="19" t="str">
        <f>テーブル1[[#This Row],[なまえ]]</f>
        <v>あずまやてい きゅういち</v>
      </c>
      <c r="D3" s="19" t="str">
        <f>テーブル1[[#This Row],[Name]]</f>
        <v>Azumayatei Kyuichi</v>
      </c>
      <c r="E3" s="19" t="str">
        <f>"image/"&amp;テーブル1[[#This Row],[画像]]&amp;".png"</f>
        <v>image/azumayatei-kyuichi.png</v>
      </c>
      <c r="F3" s="19" t="str">
        <f>テーブル1[[#This Row],[リンク]]</f>
        <v>https://lit.link/sereinrain</v>
      </c>
      <c r="G3" s="19" t="str">
        <f>SUBSTITUTE(テーブル1[[#This Row],[作品タグ]]," ","|")</f>
        <v>#東屋でお茶でも</v>
      </c>
      <c r="H3" s="19" t="str">
        <f>テーブル1[[#This Row],[性別]]&amp;""</f>
        <v>男性</v>
      </c>
      <c r="I3" s="19" t="str">
        <f>テーブル1[[#This Row],[種族タグ]]&amp;""</f>
        <v>人間</v>
      </c>
      <c r="J3" s="19" t="str">
        <f>テーブル1[[#This Row],[職業タグ]]&amp;""</f>
        <v>学者</v>
      </c>
      <c r="K3" s="19" t="str">
        <f>テーブル1[[#This Row],[小物タグ]]&amp;""</f>
        <v>眼鏡</v>
      </c>
      <c r="L3" s="19" t="str">
        <f>テーブル1[[#This Row],[ワンポイントタグ]]&amp;""</f>
        <v>インナーカラー|片目隠れ</v>
      </c>
    </row>
    <row r="4" spans="1:12" ht="20.149999999999999" customHeight="1" x14ac:dyDescent="0.35">
      <c r="A4" s="19">
        <f>テーブル1[[#This Row],[番号]]</f>
        <v>3</v>
      </c>
      <c r="B4" s="19" t="str">
        <f>テーブル1[[#This Row],[名前]]</f>
        <v>アセテート</v>
      </c>
      <c r="C4" s="19" t="str">
        <f>テーブル1[[#This Row],[なまえ]]</f>
        <v>あせてーと</v>
      </c>
      <c r="D4" s="19" t="str">
        <f>テーブル1[[#This Row],[Name]]</f>
        <v>Acetate</v>
      </c>
      <c r="E4" s="19" t="str">
        <f>"image/"&amp;テーブル1[[#This Row],[画像]]&amp;".png"</f>
        <v>image/acetate.png</v>
      </c>
      <c r="F4" s="19" t="str">
        <f>テーブル1[[#This Row],[リンク]]</f>
        <v>https://cloudcatch1224.wixsite.com/godsfoot</v>
      </c>
      <c r="G4" s="19" t="str">
        <f>SUBSTITUTE(テーブル1[[#This Row],[作品タグ]]," ","|")</f>
        <v>#神様の足元</v>
      </c>
      <c r="H4" s="19" t="str">
        <f>テーブル1[[#This Row],[性別]]&amp;""</f>
        <v>男性</v>
      </c>
      <c r="I4" s="19" t="str">
        <f>テーブル1[[#This Row],[種族タグ]]&amp;""</f>
        <v>人間|機械</v>
      </c>
      <c r="J4" s="19" t="str">
        <f>テーブル1[[#This Row],[職業タグ]]&amp;""</f>
        <v>機械整備士</v>
      </c>
      <c r="K4" s="19" t="str">
        <f>テーブル1[[#This Row],[小物タグ]]&amp;""</f>
        <v/>
      </c>
      <c r="L4" s="19" t="str">
        <f>テーブル1[[#This Row],[ワンポイントタグ]]&amp;""</f>
        <v>角(ツノ)|羽|尻尾</v>
      </c>
    </row>
    <row r="5" spans="1:12" ht="20.149999999999999" customHeight="1" x14ac:dyDescent="0.35">
      <c r="A5" s="19">
        <f>テーブル1[[#This Row],[番号]]</f>
        <v>4</v>
      </c>
      <c r="B5" s="19" t="str">
        <f>テーブル1[[#This Row],[名前]]</f>
        <v>足立レイ</v>
      </c>
      <c r="C5" s="19" t="str">
        <f>テーブル1[[#This Row],[なまえ]]</f>
        <v>あだち れい</v>
      </c>
      <c r="D5" s="19" t="str">
        <f>テーブル1[[#This Row],[Name]]</f>
        <v>Adachi Rei</v>
      </c>
      <c r="E5" s="19" t="str">
        <f>"image/"&amp;テーブル1[[#This Row],[画像]]&amp;".png"</f>
        <v>image/adachi-rei.png</v>
      </c>
      <c r="F5" s="19" t="str">
        <f>テーブル1[[#This Row],[リンク]]</f>
        <v>https://mechanicalgirl.jp</v>
      </c>
      <c r="G5" s="19" t="str">
        <f>SUBSTITUTE(テーブル1[[#This Row],[作品タグ]]," ","|")</f>
        <v>#足立レイ</v>
      </c>
      <c r="H5" s="19" t="str">
        <f>テーブル1[[#This Row],[性別]]&amp;""</f>
        <v>女性</v>
      </c>
      <c r="I5" s="19" t="str">
        <f>テーブル1[[#This Row],[種族タグ]]&amp;""</f>
        <v>機械</v>
      </c>
      <c r="J5" s="19" t="str">
        <f>テーブル1[[#This Row],[職業タグ]]&amp;""</f>
        <v/>
      </c>
      <c r="K5" s="19" t="str">
        <f>テーブル1[[#This Row],[小物タグ]]&amp;""</f>
        <v>イヤーユニット</v>
      </c>
      <c r="L5" s="19" t="str">
        <f>テーブル1[[#This Row],[ワンポイントタグ]]&amp;""</f>
        <v/>
      </c>
    </row>
    <row r="6" spans="1:12" ht="20.149999999999999" customHeight="1" x14ac:dyDescent="0.35">
      <c r="A6" s="19">
        <f>テーブル1[[#This Row],[番号]]</f>
        <v>5</v>
      </c>
      <c r="B6" s="19" t="str">
        <f>テーブル1[[#This Row],[名前]]</f>
        <v>花鶏音ひわ</v>
      </c>
      <c r="C6" s="19" t="str">
        <f>テーブル1[[#This Row],[なまえ]]</f>
        <v>あとりね ひわ</v>
      </c>
      <c r="D6" s="19" t="str">
        <f>テーブル1[[#This Row],[Name]]</f>
        <v>Atorine Hiwa</v>
      </c>
      <c r="E6" s="19" t="str">
        <f>"image/"&amp;テーブル1[[#This Row],[画像]]&amp;".png"</f>
        <v>image/atorine-hiwa.png</v>
      </c>
      <c r="F6" s="19" t="str">
        <f>テーブル1[[#This Row],[リンク]]</f>
        <v>https://torinosu-hikikomori.jimdofree.com</v>
      </c>
      <c r="G6" s="19" t="str">
        <f>SUBSTITUTE(テーブル1[[#This Row],[作品タグ]]," ","|")</f>
        <v>#ひわわーアラート</v>
      </c>
      <c r="H6" s="19" t="str">
        <f>テーブル1[[#This Row],[性別]]&amp;""</f>
        <v>女性</v>
      </c>
      <c r="I6" s="19" t="str">
        <f>テーブル1[[#This Row],[種族タグ]]&amp;""</f>
        <v>鳥</v>
      </c>
      <c r="J6" s="19" t="str">
        <f>テーブル1[[#This Row],[職業タグ]]&amp;""</f>
        <v/>
      </c>
      <c r="K6" s="19" t="str">
        <f>テーブル1[[#This Row],[小物タグ]]&amp;""</f>
        <v>マスク</v>
      </c>
      <c r="L6" s="19" t="str">
        <f>テーブル1[[#This Row],[ワンポイントタグ]]&amp;""</f>
        <v>羽</v>
      </c>
    </row>
    <row r="7" spans="1:12" ht="20.149999999999999" customHeight="1" x14ac:dyDescent="0.35">
      <c r="A7" s="19">
        <f>テーブル1[[#This Row],[番号]]</f>
        <v>6</v>
      </c>
      <c r="B7" s="19" t="str">
        <f>テーブル1[[#This Row],[名前]]</f>
        <v>Adol</v>
      </c>
      <c r="C7" s="19" t="str">
        <f>テーブル1[[#This Row],[なまえ]]</f>
        <v>あどる</v>
      </c>
      <c r="D7" s="19" t="str">
        <f>テーブル1[[#This Row],[Name]]</f>
        <v>Adol</v>
      </c>
      <c r="E7" s="19" t="str">
        <f>"image/"&amp;テーブル1[[#This Row],[画像]]&amp;".png"</f>
        <v>image/adol.png</v>
      </c>
      <c r="F7" s="19" t="str">
        <f>テーブル1[[#This Row],[リンク]]</f>
        <v>https://kuroi9603.wixsite.com/delu-lab-south</v>
      </c>
      <c r="G7" s="19" t="str">
        <f>SUBSTITUTE(テーブル1[[#This Row],[作品タグ]]," ","|")</f>
        <v>#でるらぼ</v>
      </c>
      <c r="H7" s="19" t="str">
        <f>テーブル1[[#This Row],[性別]]&amp;""</f>
        <v>女性</v>
      </c>
      <c r="I7" s="19" t="str">
        <f>テーブル1[[#This Row],[種族タグ]]&amp;""</f>
        <v>人間</v>
      </c>
      <c r="J7" s="19" t="str">
        <f>テーブル1[[#This Row],[職業タグ]]&amp;""</f>
        <v/>
      </c>
      <c r="K7" s="19" t="str">
        <f>テーブル1[[#This Row],[小物タグ]]&amp;""</f>
        <v/>
      </c>
      <c r="L7" s="19" t="str">
        <f>テーブル1[[#This Row],[ワンポイントタグ]]&amp;""</f>
        <v/>
      </c>
    </row>
    <row r="8" spans="1:12" ht="20.149999999999999" customHeight="1" x14ac:dyDescent="0.35">
      <c r="A8" s="19">
        <f>テーブル1[[#This Row],[番号]]</f>
        <v>7</v>
      </c>
      <c r="B8" s="19" t="str">
        <f>テーブル1[[#This Row],[名前]]</f>
        <v>アニマ・ライツハット</v>
      </c>
      <c r="C8" s="19" t="str">
        <f>テーブル1[[#This Row],[なまえ]]</f>
        <v>あにま らいつはっと</v>
      </c>
      <c r="D8" s="19" t="str">
        <f>テーブル1[[#This Row],[Name]]</f>
        <v>Anima Raituhatto</v>
      </c>
      <c r="E8" s="19" t="str">
        <f>"image/"&amp;テーブル1[[#This Row],[画像]]&amp;".png"</f>
        <v>image/anima-raituhatto.png</v>
      </c>
      <c r="F8" s="19" t="str">
        <f>テーブル1[[#This Row],[リンク]]</f>
        <v>https://seirentoybox.jimdofree.com</v>
      </c>
      <c r="G8" s="19" t="str">
        <f>SUBSTITUTE(テーブル1[[#This Row],[作品タグ]]," ","|")</f>
        <v>#セレソー作</v>
      </c>
      <c r="H8" s="19" t="str">
        <f>テーブル1[[#This Row],[性別]]&amp;""</f>
        <v>無性別</v>
      </c>
      <c r="I8" s="19" t="str">
        <f>テーブル1[[#This Row],[種族タグ]]&amp;""</f>
        <v>バーチャル</v>
      </c>
      <c r="J8" s="19" t="str">
        <f>テーブル1[[#This Row],[職業タグ]]&amp;""</f>
        <v/>
      </c>
      <c r="K8" s="19" t="str">
        <f>テーブル1[[#This Row],[小物タグ]]&amp;""</f>
        <v>眼鏡</v>
      </c>
      <c r="L8" s="19" t="str">
        <f>テーブル1[[#This Row],[ワンポイントタグ]]&amp;""</f>
        <v>オッドアイ</v>
      </c>
    </row>
    <row r="9" spans="1:12" ht="20.149999999999999" customHeight="1" x14ac:dyDescent="0.35">
      <c r="A9" s="19">
        <f>テーブル1[[#This Row],[番号]]</f>
        <v>8</v>
      </c>
      <c r="B9" s="19" t="str">
        <f>テーブル1[[#This Row],[名前]]</f>
        <v>天使ふあわ</v>
      </c>
      <c r="C9" s="19" t="str">
        <f>テーブル1[[#This Row],[なまえ]]</f>
        <v>あまつか ふあわ</v>
      </c>
      <c r="D9" s="19" t="str">
        <f>テーブル1[[#This Row],[Name]]</f>
        <v>Amatsuka Fuawa</v>
      </c>
      <c r="E9" s="19" t="str">
        <f>"image/"&amp;テーブル1[[#This Row],[画像]]&amp;".png"</f>
        <v>image/amatsuka-fuawa.png</v>
      </c>
      <c r="F9" s="19" t="str">
        <f>テーブル1[[#This Row],[リンク]]</f>
        <v>https://utausuzuminnya.jimdofree.com</v>
      </c>
      <c r="G9" s="19" t="str">
        <f>SUBSTITUTE(テーブル1[[#This Row],[作品タグ]]," ","|")</f>
        <v>#ふあわあーと</v>
      </c>
      <c r="H9" s="19" t="str">
        <f>テーブル1[[#This Row],[性別]]&amp;""</f>
        <v>女性</v>
      </c>
      <c r="I9" s="19" t="str">
        <f>テーブル1[[#This Row],[種族タグ]]&amp;""</f>
        <v>人間|天使</v>
      </c>
      <c r="J9" s="19" t="str">
        <f>テーブル1[[#This Row],[職業タグ]]&amp;""</f>
        <v/>
      </c>
      <c r="K9" s="19" t="str">
        <f>テーブル1[[#This Row],[小物タグ]]&amp;""</f>
        <v/>
      </c>
      <c r="L9" s="19" t="str">
        <f>テーブル1[[#This Row],[ワンポイントタグ]]&amp;""</f>
        <v>羽</v>
      </c>
    </row>
    <row r="10" spans="1:12" ht="20.149999999999999" customHeight="1" x14ac:dyDescent="0.35">
      <c r="A10" s="19">
        <f>テーブル1[[#This Row],[番号]]</f>
        <v>9</v>
      </c>
      <c r="B10" s="19" t="str">
        <f>テーブル1[[#This Row],[名前]]</f>
        <v>雨音うさぎ</v>
      </c>
      <c r="C10" s="19" t="str">
        <f>テーブル1[[#This Row],[なまえ]]</f>
        <v>あまね うさぎ</v>
      </c>
      <c r="D10" s="19" t="str">
        <f>テーブル1[[#This Row],[Name]]</f>
        <v>Amane Usagi</v>
      </c>
      <c r="E10" s="19" t="str">
        <f>"image/"&amp;テーブル1[[#This Row],[画像]]&amp;".png"</f>
        <v>image/amane-usagi.png</v>
      </c>
      <c r="F10" s="19" t="str">
        <f>テーブル1[[#This Row],[リンク]]</f>
        <v>https://sabaneko.amebaownd.com</v>
      </c>
      <c r="G10" s="19" t="str">
        <f>SUBSTITUTE(テーブル1[[#This Row],[作品タグ]]," ","|")</f>
        <v>#雨音うさぎ</v>
      </c>
      <c r="H10" s="19" t="str">
        <f>テーブル1[[#This Row],[性別]]&amp;""</f>
        <v>女性</v>
      </c>
      <c r="I10" s="19" t="str">
        <f>テーブル1[[#This Row],[種族タグ]]&amp;""</f>
        <v>人間</v>
      </c>
      <c r="J10" s="19" t="str">
        <f>テーブル1[[#This Row],[職業タグ]]&amp;""</f>
        <v/>
      </c>
      <c r="K10" s="19" t="str">
        <f>テーブル1[[#This Row],[小物タグ]]&amp;""</f>
        <v>動物</v>
      </c>
      <c r="L10" s="19" t="str">
        <f>テーブル1[[#This Row],[ワンポイントタグ]]&amp;""</f>
        <v>渦巻き目、アホ毛</v>
      </c>
    </row>
    <row r="11" spans="1:12" ht="20.149999999999999" customHeight="1" x14ac:dyDescent="0.35">
      <c r="A11" s="19">
        <f>テーブル1[[#This Row],[番号]]</f>
        <v>10</v>
      </c>
      <c r="B11" s="19" t="str">
        <f>テーブル1[[#This Row],[名前]]</f>
        <v>怪子奇</v>
      </c>
      <c r="C11" s="19" t="str">
        <f>テーブル1[[#This Row],[なまえ]]</f>
        <v>あやしき</v>
      </c>
      <c r="D11" s="19" t="str">
        <f>テーブル1[[#This Row],[Name]]</f>
        <v>Ayashiki</v>
      </c>
      <c r="E11" s="19" t="str">
        <f>"image/"&amp;テーブル1[[#This Row],[画像]]&amp;".png"</f>
        <v>image/ayashiki.png</v>
      </c>
      <c r="F11" s="19" t="str">
        <f>テーブル1[[#This Row],[リンク]]</f>
        <v>https://inudanuki.wixsite.com/gottaniomotyabako</v>
      </c>
      <c r="G11" s="19" t="str">
        <f>SUBSTITUTE(テーブル1[[#This Row],[作品タグ]]," ","|")</f>
        <v>#煮バコ</v>
      </c>
      <c r="H11" s="19" t="str">
        <f>テーブル1[[#This Row],[性別]]&amp;""</f>
        <v>男性</v>
      </c>
      <c r="I11" s="19" t="str">
        <f>テーブル1[[#This Row],[種族タグ]]&amp;""</f>
        <v>故人|幽霊</v>
      </c>
      <c r="J11" s="19" t="str">
        <f>テーブル1[[#This Row],[職業タグ]]&amp;""</f>
        <v/>
      </c>
      <c r="K11" s="19" t="str">
        <f>テーブル1[[#This Row],[小物タグ]]&amp;""</f>
        <v/>
      </c>
      <c r="L11" s="19" t="str">
        <f>テーブル1[[#This Row],[ワンポイントタグ]]&amp;""</f>
        <v>ツートンカラー</v>
      </c>
    </row>
    <row r="12" spans="1:12" ht="20.149999999999999" customHeight="1" x14ac:dyDescent="0.35">
      <c r="A12" s="19">
        <f>テーブル1[[#This Row],[番号]]</f>
        <v>11</v>
      </c>
      <c r="B12" s="19" t="str">
        <f>テーブル1[[#This Row],[名前]]</f>
        <v>泡沫紬</v>
      </c>
      <c r="C12" s="19" t="str">
        <f>テーブル1[[#This Row],[なまえ]]</f>
        <v>うたかた つむぎ</v>
      </c>
      <c r="D12" s="19" t="str">
        <f>テーブル1[[#This Row],[Name]]</f>
        <v>Utakata Tsumugi</v>
      </c>
      <c r="E12" s="19" t="str">
        <f>"image/"&amp;テーブル1[[#This Row],[画像]]&amp;".png"</f>
        <v>image/utakata-tsumugi.png</v>
      </c>
      <c r="F12" s="19" t="str">
        <f>テーブル1[[#This Row],[リンク]]</f>
        <v>https://tourist100f.wixsite.com/utakata-kosyo</v>
      </c>
      <c r="G12" s="19" t="str">
        <f>SUBSTITUTE(テーブル1[[#This Row],[作品タグ]]," ","|")</f>
        <v>#泡沫古書店</v>
      </c>
      <c r="H12" s="19" t="str">
        <f>テーブル1[[#This Row],[性別]]&amp;""</f>
        <v>女性</v>
      </c>
      <c r="I12" s="19" t="str">
        <f>テーブル1[[#This Row],[種族タグ]]&amp;""</f>
        <v>人間</v>
      </c>
      <c r="J12" s="19" t="str">
        <f>テーブル1[[#This Row],[職業タグ]]&amp;""</f>
        <v>書店員</v>
      </c>
      <c r="K12" s="19" t="str">
        <f>テーブル1[[#This Row],[小物タグ]]&amp;""</f>
        <v>眼鏡</v>
      </c>
      <c r="L12" s="19" t="str">
        <f>テーブル1[[#This Row],[ワンポイントタグ]]&amp;""</f>
        <v/>
      </c>
    </row>
    <row r="13" spans="1:12" ht="20.149999999999999" customHeight="1" x14ac:dyDescent="0.35">
      <c r="A13" s="19">
        <f>テーブル1[[#This Row],[番号]]</f>
        <v>12</v>
      </c>
      <c r="B13" s="19" t="str">
        <f>テーブル1[[#This Row],[名前]]</f>
        <v>唄音ウタ(デフォ子)</v>
      </c>
      <c r="C13" s="19" t="str">
        <f>テーブル1[[#This Row],[なまえ]]</f>
        <v>うたね うた(でふぉこ)</v>
      </c>
      <c r="D13" s="19" t="str">
        <f>テーブル1[[#This Row],[Name]]</f>
        <v>Utane Uta(Defoko)</v>
      </c>
      <c r="E13" s="19" t="str">
        <f>"image/"&amp;テーブル1[[#This Row],[画像]]&amp;".png"</f>
        <v>image/utane-uta(defoko).png</v>
      </c>
      <c r="F13" s="19" t="str">
        <f>テーブル1[[#This Row],[リンク]]</f>
        <v>-</v>
      </c>
      <c r="G13" s="19" t="str">
        <f>SUBSTITUTE(テーブル1[[#This Row],[作品タグ]]," ","|")</f>
        <v>#デフォ子</v>
      </c>
      <c r="H13" s="19" t="str">
        <f>テーブル1[[#This Row],[性別]]&amp;""</f>
        <v>女性</v>
      </c>
      <c r="I13" s="19" t="str">
        <f>テーブル1[[#This Row],[種族タグ]]&amp;""</f>
        <v/>
      </c>
      <c r="J13" s="19" t="str">
        <f>テーブル1[[#This Row],[職業タグ]]&amp;""</f>
        <v/>
      </c>
      <c r="K13" s="19" t="str">
        <f>テーブル1[[#This Row],[小物タグ]]&amp;""</f>
        <v>ヘッドセット</v>
      </c>
      <c r="L13" s="19" t="str">
        <f>テーブル1[[#This Row],[ワンポイントタグ]]&amp;""</f>
        <v/>
      </c>
    </row>
    <row r="14" spans="1:12" ht="20.149999999999999" customHeight="1" x14ac:dyDescent="0.35">
      <c r="A14" s="19">
        <f>テーブル1[[#This Row],[番号]]</f>
        <v>13</v>
      </c>
      <c r="B14" s="19" t="str">
        <f>テーブル1[[#This Row],[名前]]</f>
        <v>URUYA</v>
      </c>
      <c r="C14" s="19" t="str">
        <f>テーブル1[[#This Row],[なまえ]]</f>
        <v>うるや</v>
      </c>
      <c r="D14" s="19" t="str">
        <f>テーブル1[[#This Row],[Name]]</f>
        <v>Uruya</v>
      </c>
      <c r="E14" s="19" t="str">
        <f>"image/"&amp;テーブル1[[#This Row],[画像]]&amp;".png"</f>
        <v>image/uruya.png</v>
      </c>
      <c r="F14" s="19" t="str">
        <f>テーブル1[[#This Row],[リンク]]</f>
        <v>https://sites.google.com/view/tokakobo</v>
      </c>
      <c r="G14" s="19" t="str">
        <f>SUBSTITUTE(テーブル1[[#This Row],[作品タグ]]," ","|")</f>
        <v>#透歌工房</v>
      </c>
      <c r="H14" s="19" t="str">
        <f>テーブル1[[#This Row],[性別]]&amp;""</f>
        <v>女性</v>
      </c>
      <c r="I14" s="19" t="str">
        <f>テーブル1[[#This Row],[種族タグ]]&amp;""</f>
        <v>フィギュア</v>
      </c>
      <c r="J14" s="19" t="str">
        <f>テーブル1[[#This Row],[職業タグ]]&amp;""</f>
        <v/>
      </c>
      <c r="K14" s="19" t="str">
        <f>テーブル1[[#This Row],[小物タグ]]&amp;""</f>
        <v/>
      </c>
      <c r="L14" s="19" t="str">
        <f>テーブル1[[#This Row],[ワンポイントタグ]]&amp;""</f>
        <v>尻尾</v>
      </c>
    </row>
    <row r="15" spans="1:12" ht="20.149999999999999" customHeight="1" x14ac:dyDescent="0.35">
      <c r="A15" s="19">
        <f>テーブル1[[#This Row],[番号]]</f>
        <v>14</v>
      </c>
      <c r="B15" s="19" t="str">
        <f>テーブル1[[#This Row],[名前]]</f>
        <v>オーロク&amp;小六郎</v>
      </c>
      <c r="C15" s="19" t="str">
        <f>テーブル1[[#This Row],[なまえ]]</f>
        <v>おーろく &amp; ころくろう</v>
      </c>
      <c r="D15" s="19" t="str">
        <f>テーブル1[[#This Row],[Name]]</f>
        <v>Oroku &amp; korokuro</v>
      </c>
      <c r="E15" s="19" t="str">
        <f>"image/"&amp;テーブル1[[#This Row],[画像]]&amp;".png"</f>
        <v>image/oroku-korokuro.png</v>
      </c>
      <c r="F15" s="19" t="str">
        <f>テーブル1[[#This Row],[リンク]]</f>
        <v>https://torinosu-hikikomori.jimdofree.com</v>
      </c>
      <c r="G15" s="19" t="str">
        <f>SUBSTITUTE(テーブル1[[#This Row],[作品タグ]]," ","|")</f>
        <v>#ひわわーアラート</v>
      </c>
      <c r="H15" s="19" t="str">
        <f>テーブル1[[#This Row],[性別]]&amp;""</f>
        <v>男性</v>
      </c>
      <c r="I15" s="19" t="str">
        <f>テーブル1[[#This Row],[種族タグ]]&amp;""</f>
        <v>人間|人形</v>
      </c>
      <c r="J15" s="19" t="str">
        <f>テーブル1[[#This Row],[職業タグ]]&amp;""</f>
        <v>腹話術師</v>
      </c>
      <c r="K15" s="19" t="str">
        <f>テーブル1[[#This Row],[小物タグ]]&amp;""</f>
        <v/>
      </c>
      <c r="L15" s="19" t="str">
        <f>テーブル1[[#This Row],[ワンポイントタグ]]&amp;""</f>
        <v>両目隠れ</v>
      </c>
    </row>
    <row r="16" spans="1:12" ht="20.149999999999999" customHeight="1" x14ac:dyDescent="0.35">
      <c r="A16" s="19">
        <f>テーブル1[[#This Row],[番号]]</f>
        <v>15</v>
      </c>
      <c r="B16" s="19" t="str">
        <f>テーブル1[[#This Row],[名前]]</f>
        <v>お星</v>
      </c>
      <c r="C16" s="19" t="str">
        <f>テーブル1[[#This Row],[なまえ]]</f>
        <v>おほし</v>
      </c>
      <c r="D16" s="19" t="str">
        <f>テーブル1[[#This Row],[Name]]</f>
        <v>Ohoshi</v>
      </c>
      <c r="E16" s="19" t="str">
        <f>"image/"&amp;テーブル1[[#This Row],[画像]]&amp;".png"</f>
        <v>image/ohoshi.png</v>
      </c>
      <c r="F16" s="19" t="str">
        <f>テーブル1[[#This Row],[リンク]]</f>
        <v>https://ichistart.wixsite.com/official/respiaker</v>
      </c>
      <c r="G16" s="19" t="str">
        <f>SUBSTITUTE(テーブル1[[#This Row],[作品タグ]]," ","|")</f>
        <v>#ichistar</v>
      </c>
      <c r="H16" s="19" t="str">
        <f>テーブル1[[#This Row],[性別]]&amp;""</f>
        <v>女性</v>
      </c>
      <c r="I16" s="19" t="str">
        <f>テーブル1[[#This Row],[種族タグ]]&amp;""</f>
        <v>天使</v>
      </c>
      <c r="J16" s="19" t="str">
        <f>テーブル1[[#This Row],[職業タグ]]&amp;""</f>
        <v>クリエイター</v>
      </c>
      <c r="K16" s="19" t="str">
        <f>テーブル1[[#This Row],[小物タグ]]&amp;""</f>
        <v/>
      </c>
      <c r="L16" s="19" t="str">
        <f>テーブル1[[#This Row],[ワンポイントタグ]]&amp;""</f>
        <v>メッシュ</v>
      </c>
    </row>
    <row r="17" spans="1:12" ht="20.149999999999999" customHeight="1" x14ac:dyDescent="0.35">
      <c r="A17" s="19">
        <f>テーブル1[[#This Row],[番号]]</f>
        <v>16</v>
      </c>
      <c r="B17" s="19" t="str">
        <f>テーブル1[[#This Row],[名前]]</f>
        <v>鍵合アヤ</v>
      </c>
      <c r="C17" s="19" t="str">
        <f>テーブル1[[#This Row],[なまえ]]</f>
        <v>かぎあい あや</v>
      </c>
      <c r="D17" s="19" t="str">
        <f>テーブル1[[#This Row],[Name]]</f>
        <v>Kagiai Aya</v>
      </c>
      <c r="E17" s="19" t="str">
        <f>"image/"&amp;テーブル1[[#This Row],[画像]]&amp;".png"</f>
        <v>image/kagiai-aya.png</v>
      </c>
      <c r="F17" s="19" t="str">
        <f>テーブル1[[#This Row],[リンク]]</f>
        <v>https://vividseekers.utau.sorairomarch.com</v>
      </c>
      <c r="G17" s="19" t="str">
        <f>SUBSTITUTE(テーブル1[[#This Row],[作品タグ]]," ","|")</f>
        <v>#そらいろマーチ</v>
      </c>
      <c r="H17" s="19" t="str">
        <f>テーブル1[[#This Row],[性別]]&amp;""</f>
        <v>無性別</v>
      </c>
      <c r="I17" s="19" t="str">
        <f>テーブル1[[#This Row],[種族タグ]]&amp;""</f>
        <v>バーチャル</v>
      </c>
      <c r="J17" s="19" t="str">
        <f>テーブル1[[#This Row],[職業タグ]]&amp;""</f>
        <v/>
      </c>
      <c r="K17" s="19" t="str">
        <f>テーブル1[[#This Row],[小物タグ]]&amp;""</f>
        <v/>
      </c>
      <c r="L17" s="19" t="str">
        <f>テーブル1[[#This Row],[ワンポイントタグ]]&amp;""</f>
        <v/>
      </c>
    </row>
    <row r="18" spans="1:12" ht="20.149999999999999" customHeight="1" x14ac:dyDescent="0.35">
      <c r="A18" s="19">
        <f>テーブル1[[#This Row],[番号]]</f>
        <v>17</v>
      </c>
      <c r="B18" s="19" t="str">
        <f>テーブル1[[#This Row],[名前]]</f>
        <v>鍵合スズ</v>
      </c>
      <c r="C18" s="19" t="str">
        <f>テーブル1[[#This Row],[なまえ]]</f>
        <v>かぎあい すず</v>
      </c>
      <c r="D18" s="19" t="str">
        <f>テーブル1[[#This Row],[Name]]</f>
        <v>Kagiai Suzu</v>
      </c>
      <c r="E18" s="19" t="str">
        <f>"image/"&amp;テーブル1[[#This Row],[画像]]&amp;".png"</f>
        <v>image/kagiai-suzu.png</v>
      </c>
      <c r="F18" s="19" t="str">
        <f>テーブル1[[#This Row],[リンク]]</f>
        <v>https://vividseekers.utau.sorairomarch.com</v>
      </c>
      <c r="G18" s="19" t="str">
        <f>SUBSTITUTE(テーブル1[[#This Row],[作品タグ]]," ","|")</f>
        <v>#そらいろマーチ</v>
      </c>
      <c r="H18" s="19" t="str">
        <f>テーブル1[[#This Row],[性別]]&amp;""</f>
        <v>無性別</v>
      </c>
      <c r="I18" s="19" t="str">
        <f>テーブル1[[#This Row],[種族タグ]]&amp;""</f>
        <v>バーチャル</v>
      </c>
      <c r="J18" s="19" t="str">
        <f>テーブル1[[#This Row],[職業タグ]]&amp;""</f>
        <v>ヤンキー</v>
      </c>
      <c r="K18" s="19" t="str">
        <f>テーブル1[[#This Row],[小物タグ]]&amp;""</f>
        <v/>
      </c>
      <c r="L18" s="19" t="str">
        <f>テーブル1[[#This Row],[ワンポイントタグ]]&amp;""</f>
        <v/>
      </c>
    </row>
    <row r="19" spans="1:12" ht="20.149999999999999" customHeight="1" x14ac:dyDescent="0.35">
      <c r="A19" s="19">
        <f>テーブル1[[#This Row],[番号]]</f>
        <v>18</v>
      </c>
      <c r="B19" s="19" t="str">
        <f>テーブル1[[#This Row],[名前]]</f>
        <v>​拡音シャノン</v>
      </c>
      <c r="C19" s="19" t="str">
        <f>テーブル1[[#This Row],[なまえ]]</f>
        <v>かくね しゃのん</v>
      </c>
      <c r="D19" s="19" t="str">
        <f>テーブル1[[#This Row],[Name]]</f>
        <v>Kakune Shanonn</v>
      </c>
      <c r="E19" s="19" t="str">
        <f>"image/"&amp;テーブル1[[#This Row],[画像]]&amp;".png"</f>
        <v>image/kakune-shanonn.png</v>
      </c>
      <c r="F19" s="19" t="str">
        <f>テーブル1[[#This Row],[リンク]]</f>
        <v>https://ameutaulii.wixsite.com/telepathycapsule</v>
      </c>
      <c r="G19" s="19" t="str">
        <f>SUBSTITUTE(テーブル1[[#This Row],[作品タグ]]," ","|")</f>
        <v>#拡音シャノン</v>
      </c>
      <c r="H19" s="19" t="str">
        <f>テーブル1[[#This Row],[性別]]&amp;""</f>
        <v>女性</v>
      </c>
      <c r="I19" s="19" t="str">
        <f>テーブル1[[#This Row],[種族タグ]]&amp;""</f>
        <v/>
      </c>
      <c r="J19" s="19" t="str">
        <f>テーブル1[[#This Row],[職業タグ]]&amp;""</f>
        <v/>
      </c>
      <c r="K19" s="19" t="str">
        <f>テーブル1[[#This Row],[小物タグ]]&amp;""</f>
        <v>ヘアピン|拡声器</v>
      </c>
      <c r="L19" s="19" t="str">
        <f>テーブル1[[#This Row],[ワンポイントタグ]]&amp;""</f>
        <v/>
      </c>
    </row>
    <row r="20" spans="1:12" ht="20.149999999999999" customHeight="1" x14ac:dyDescent="0.35">
      <c r="A20" s="19">
        <f>テーブル1[[#This Row],[番号]]</f>
        <v>19</v>
      </c>
      <c r="B20" s="19" t="str">
        <f>テーブル1[[#This Row],[名前]]</f>
        <v>重音テッド</v>
      </c>
      <c r="C20" s="19" t="str">
        <f>テーブル1[[#This Row],[なまえ]]</f>
        <v>かさね てっど</v>
      </c>
      <c r="D20" s="19" t="str">
        <f>テーブル1[[#This Row],[Name]]</f>
        <v>Kasane Teddo</v>
      </c>
      <c r="E20" s="19" t="str">
        <f>"image/"&amp;テーブル1[[#This Row],[画像]]&amp;".png"</f>
        <v>image/kasane-teddo.png</v>
      </c>
      <c r="F20" s="19" t="str">
        <f>テーブル1[[#This Row],[リンク]]</f>
        <v>https://kasaneteto.jp</v>
      </c>
      <c r="G20" s="19" t="str">
        <f>SUBSTITUTE(テーブル1[[#This Row],[作品タグ]]," ","|")</f>
        <v>#重音テッド</v>
      </c>
      <c r="H20" s="19" t="str">
        <f>テーブル1[[#This Row],[性別]]&amp;""</f>
        <v>キメラ</v>
      </c>
      <c r="I20" s="19" t="str">
        <f>テーブル1[[#This Row],[種族タグ]]&amp;""</f>
        <v>バーチャル</v>
      </c>
      <c r="J20" s="19" t="str">
        <f>テーブル1[[#This Row],[職業タグ]]&amp;""</f>
        <v/>
      </c>
      <c r="K20" s="19" t="str">
        <f>テーブル1[[#This Row],[小物タグ]]&amp;""</f>
        <v>イヤーユニット</v>
      </c>
      <c r="L20" s="19" t="str">
        <f>テーブル1[[#This Row],[ワンポイントタグ]]&amp;""</f>
        <v/>
      </c>
    </row>
    <row r="21" spans="1:12" ht="20.149999999999999" customHeight="1" x14ac:dyDescent="0.35">
      <c r="A21" s="19">
        <f>テーブル1[[#This Row],[番号]]</f>
        <v>20</v>
      </c>
      <c r="B21" s="19" t="str">
        <f>テーブル1[[#This Row],[名前]]</f>
        <v>重音テト</v>
      </c>
      <c r="C21" s="19" t="str">
        <f>テーブル1[[#This Row],[なまえ]]</f>
        <v>かさね てと</v>
      </c>
      <c r="D21" s="19" t="str">
        <f>テーブル1[[#This Row],[Name]]</f>
        <v>Kasane Teto</v>
      </c>
      <c r="E21" s="19" t="str">
        <f>"image/"&amp;テーブル1[[#This Row],[画像]]&amp;".png"</f>
        <v>image/kasane-teto.png</v>
      </c>
      <c r="F21" s="19" t="str">
        <f>テーブル1[[#This Row],[リンク]]</f>
        <v>https://kasaneteto.jp</v>
      </c>
      <c r="G21" s="19" t="str">
        <f>SUBSTITUTE(テーブル1[[#This Row],[作品タグ]]," ","|")</f>
        <v>#重音テト</v>
      </c>
      <c r="H21" s="19" t="str">
        <f>テーブル1[[#This Row],[性別]]&amp;""</f>
        <v>キメラ</v>
      </c>
      <c r="I21" s="19" t="str">
        <f>テーブル1[[#This Row],[種族タグ]]&amp;""</f>
        <v>バーチャル</v>
      </c>
      <c r="J21" s="19" t="str">
        <f>テーブル1[[#This Row],[職業タグ]]&amp;""</f>
        <v/>
      </c>
      <c r="K21" s="19" t="str">
        <f>テーブル1[[#This Row],[小物タグ]]&amp;""</f>
        <v/>
      </c>
      <c r="L21" s="19" t="str">
        <f>テーブル1[[#This Row],[ワンポイントタグ]]&amp;""</f>
        <v/>
      </c>
    </row>
    <row r="22" spans="1:12" ht="20.149999999999999" customHeight="1" x14ac:dyDescent="0.35">
      <c r="A22" s="19">
        <f>テーブル1[[#This Row],[番号]]</f>
        <v>21</v>
      </c>
      <c r="B22" s="19" t="str">
        <f>テーブル1[[#This Row],[名前]]</f>
        <v>化炭ウア</v>
      </c>
      <c r="C22" s="19" t="str">
        <f>テーブル1[[#This Row],[なまえ]]</f>
        <v>かすみ うあ</v>
      </c>
      <c r="D22" s="19" t="str">
        <f>テーブル1[[#This Row],[Name]]</f>
        <v>Kasumi Ua</v>
      </c>
      <c r="E22" s="19" t="str">
        <f>"image/"&amp;テーブル1[[#This Row],[画像]]&amp;".png"</f>
        <v>image/kasumi-ua.png</v>
      </c>
      <c r="F22" s="19" t="str">
        <f>テーブル1[[#This Row],[リンク]]</f>
        <v>https://bowlroll.net/user/980255</v>
      </c>
      <c r="G22" s="19" t="str">
        <f>SUBSTITUTE(テーブル1[[#This Row],[作品タグ]]," ","|")</f>
        <v>#歌う雨やどり</v>
      </c>
      <c r="H22" s="19" t="str">
        <f>テーブル1[[#This Row],[性別]]&amp;""</f>
        <v>女性</v>
      </c>
      <c r="I22" s="19" t="str">
        <f>テーブル1[[#This Row],[種族タグ]]&amp;""</f>
        <v>堕天使</v>
      </c>
      <c r="J22" s="19" t="str">
        <f>テーブル1[[#This Row],[職業タグ]]&amp;""</f>
        <v/>
      </c>
      <c r="K22" s="19" t="str">
        <f>テーブル1[[#This Row],[小物タグ]]&amp;""</f>
        <v/>
      </c>
      <c r="L22" s="19" t="str">
        <f>テーブル1[[#This Row],[ワンポイントタグ]]&amp;""</f>
        <v>両目隠れ|羽</v>
      </c>
    </row>
    <row r="23" spans="1:12" ht="20.149999999999999" customHeight="1" x14ac:dyDescent="0.35">
      <c r="A23" s="19">
        <f>テーブル1[[#This Row],[番号]]</f>
        <v>22</v>
      </c>
      <c r="B23" s="19" t="str">
        <f>テーブル1[[#This Row],[名前]]</f>
        <v>カゼヒキ</v>
      </c>
      <c r="C23" s="19" t="str">
        <f>テーブル1[[#This Row],[なまえ]]</f>
        <v>かぜひき</v>
      </c>
      <c r="D23" s="19" t="str">
        <f>テーブル1[[#This Row],[Name]]</f>
        <v>Kazehiki</v>
      </c>
      <c r="E23" s="19" t="str">
        <f>"image/"&amp;テーブル1[[#This Row],[画像]]&amp;".png"</f>
        <v>image/kazehiki.png</v>
      </c>
      <c r="F23" s="19" t="str">
        <f>テーブル1[[#This Row],[リンク]]</f>
        <v>https://kurukuru2suuzi.wixsite.com/kuzutokaze</v>
      </c>
      <c r="G23" s="19" t="str">
        <f>SUBSTITUTE(テーブル1[[#This Row],[作品タグ]]," ","|")</f>
        <v>#くずかぜ</v>
      </c>
      <c r="H23" s="19" t="str">
        <f>テーブル1[[#This Row],[性別]]&amp;""</f>
        <v/>
      </c>
      <c r="I23" s="19" t="str">
        <f>テーブル1[[#This Row],[種族タグ]]&amp;""</f>
        <v/>
      </c>
      <c r="J23" s="19" t="str">
        <f>テーブル1[[#This Row],[職業タグ]]&amp;""</f>
        <v/>
      </c>
      <c r="K23" s="19" t="str">
        <f>テーブル1[[#This Row],[小物タグ]]&amp;""</f>
        <v/>
      </c>
      <c r="L23" s="19" t="str">
        <f>テーブル1[[#This Row],[ワンポイントタグ]]&amp;""</f>
        <v/>
      </c>
    </row>
    <row r="24" spans="1:12" ht="20.149999999999999" customHeight="1" x14ac:dyDescent="0.35">
      <c r="A24" s="19">
        <f>テーブル1[[#This Row],[番号]]</f>
        <v>23</v>
      </c>
      <c r="B24" s="19" t="str">
        <f>テーブル1[[#This Row],[名前]]</f>
        <v>カタバミ</v>
      </c>
      <c r="C24" s="19" t="str">
        <f>テーブル1[[#This Row],[なまえ]]</f>
        <v>かたばみ</v>
      </c>
      <c r="D24" s="19" t="str">
        <f>テーブル1[[#This Row],[Name]]</f>
        <v>Katabami</v>
      </c>
      <c r="E24" s="19" t="str">
        <f>"image/"&amp;テーブル1[[#This Row],[画像]]&amp;".png"</f>
        <v>image/katabami.png</v>
      </c>
      <c r="F24" s="19" t="str">
        <f>テーブル1[[#This Row],[リンク]]</f>
        <v>https://seirentoybox.jimdofree.com</v>
      </c>
      <c r="G24" s="19" t="str">
        <f>SUBSTITUTE(テーブル1[[#This Row],[作品タグ]]," ","|")</f>
        <v>#セレソー作</v>
      </c>
      <c r="H24" s="19" t="str">
        <f>テーブル1[[#This Row],[性別]]&amp;""</f>
        <v>不明</v>
      </c>
      <c r="I24" s="19" t="str">
        <f>テーブル1[[#This Row],[種族タグ]]&amp;""</f>
        <v>人間|双子</v>
      </c>
      <c r="J24" s="19" t="str">
        <f>テーブル1[[#This Row],[職業タグ]]&amp;""</f>
        <v/>
      </c>
      <c r="K24" s="19" t="str">
        <f>テーブル1[[#This Row],[小物タグ]]&amp;""</f>
        <v>眼鏡</v>
      </c>
      <c r="L24" s="19" t="str">
        <f>テーブル1[[#This Row],[ワンポイントタグ]]&amp;""</f>
        <v/>
      </c>
    </row>
    <row r="25" spans="1:12" ht="20.149999999999999" customHeight="1" x14ac:dyDescent="0.35">
      <c r="A25" s="19">
        <f>テーブル1[[#This Row],[番号]]</f>
        <v>24</v>
      </c>
      <c r="B25" s="19" t="str">
        <f>テーブル1[[#This Row],[名前]]</f>
        <v>型番不明</v>
      </c>
      <c r="C25" s="19" t="str">
        <f>テーブル1[[#This Row],[なまえ]]</f>
        <v>かたばんふめい</v>
      </c>
      <c r="D25" s="19" t="str">
        <f>テーブル1[[#This Row],[Name]]</f>
        <v>Katabanhumei</v>
      </c>
      <c r="E25" s="19" t="str">
        <f>"image/"&amp;テーブル1[[#This Row],[画像]]&amp;".png"</f>
        <v>image/katabanhumei.png</v>
      </c>
      <c r="F25" s="19" t="str">
        <f>テーブル1[[#This Row],[リンク]]</f>
        <v>https://moqujc.wixsite.com/mqtop</v>
      </c>
      <c r="G25" s="19" t="str">
        <f>SUBSTITUTE(テーブル1[[#This Row],[作品タグ]]," ","|")</f>
        <v>#MQAW</v>
      </c>
      <c r="H25" s="19" t="str">
        <f>テーブル1[[#This Row],[性別]]&amp;""</f>
        <v/>
      </c>
      <c r="I25" s="19" t="str">
        <f>テーブル1[[#This Row],[種族タグ]]&amp;""</f>
        <v/>
      </c>
      <c r="J25" s="19" t="str">
        <f>テーブル1[[#This Row],[職業タグ]]&amp;""</f>
        <v/>
      </c>
      <c r="K25" s="19" t="str">
        <f>テーブル1[[#This Row],[小物タグ]]&amp;""</f>
        <v/>
      </c>
      <c r="L25" s="19" t="str">
        <f>テーブル1[[#This Row],[ワンポイントタグ]]&amp;""</f>
        <v/>
      </c>
    </row>
    <row r="26" spans="1:12" ht="20.149999999999999" customHeight="1" x14ac:dyDescent="0.35">
      <c r="A26" s="19">
        <f>テーブル1[[#This Row],[番号]]</f>
        <v>25</v>
      </c>
      <c r="B26" s="19" t="str">
        <f>テーブル1[[#This Row],[名前]]</f>
        <v>花撫シア</v>
      </c>
      <c r="C26" s="19" t="str">
        <f>テーブル1[[#This Row],[なまえ]]</f>
        <v>かなで しあ</v>
      </c>
      <c r="D26" s="19" t="str">
        <f>テーブル1[[#This Row],[Name]]</f>
        <v>Kanade Shia</v>
      </c>
      <c r="E26" s="19" t="str">
        <f>"image/"&amp;テーブル1[[#This Row],[画像]]&amp;".png"</f>
        <v>image/kanade-shia.png</v>
      </c>
      <c r="F26" s="19" t="str">
        <f>テーブル1[[#This Row],[リンク]]</f>
        <v>https://itsuriutau.wixsite.com/kanadeshia</v>
      </c>
      <c r="G26" s="19" t="str">
        <f>SUBSTITUTE(テーブル1[[#This Row],[作品タグ]]," ","|")</f>
        <v>#花撫シア</v>
      </c>
      <c r="H26" s="19" t="str">
        <f>テーブル1[[#This Row],[性別]]&amp;""</f>
        <v/>
      </c>
      <c r="I26" s="19" t="str">
        <f>テーブル1[[#This Row],[種族タグ]]&amp;""</f>
        <v/>
      </c>
      <c r="J26" s="19" t="str">
        <f>テーブル1[[#This Row],[職業タグ]]&amp;""</f>
        <v/>
      </c>
      <c r="K26" s="19" t="str">
        <f>テーブル1[[#This Row],[小物タグ]]&amp;""</f>
        <v/>
      </c>
      <c r="L26" s="19" t="str">
        <f>テーブル1[[#This Row],[ワンポイントタグ]]&amp;""</f>
        <v/>
      </c>
    </row>
    <row r="27" spans="1:12" ht="20.149999999999999" customHeight="1" x14ac:dyDescent="0.35">
      <c r="A27" s="19">
        <f>テーブル1[[#This Row],[番号]]</f>
        <v>26</v>
      </c>
      <c r="B27" s="19" t="str">
        <f>テーブル1[[#This Row],[名前]]</f>
        <v>花撫シオン</v>
      </c>
      <c r="C27" s="19" t="str">
        <f>テーブル1[[#This Row],[なまえ]]</f>
        <v>かなで しおん</v>
      </c>
      <c r="D27" s="19" t="str">
        <f>テーブル1[[#This Row],[Name]]</f>
        <v>Kanade Shion</v>
      </c>
      <c r="E27" s="19" t="str">
        <f>"image/"&amp;テーブル1[[#This Row],[画像]]&amp;".png"</f>
        <v>image/kanade-shion.png</v>
      </c>
      <c r="F27" s="19" t="str">
        <f>テーブル1[[#This Row],[リンク]]</f>
        <v>https://itsuriutau.wixsite.com/kanadeshia</v>
      </c>
      <c r="G27" s="19" t="str">
        <f>SUBSTITUTE(テーブル1[[#This Row],[作品タグ]]," ","|")</f>
        <v>#花撫シオン</v>
      </c>
      <c r="H27" s="19" t="str">
        <f>テーブル1[[#This Row],[性別]]&amp;""</f>
        <v/>
      </c>
      <c r="I27" s="19" t="str">
        <f>テーブル1[[#This Row],[種族タグ]]&amp;""</f>
        <v/>
      </c>
      <c r="J27" s="19" t="str">
        <f>テーブル1[[#This Row],[職業タグ]]&amp;""</f>
        <v/>
      </c>
      <c r="K27" s="19" t="str">
        <f>テーブル1[[#This Row],[小物タグ]]&amp;""</f>
        <v/>
      </c>
      <c r="L27" s="19" t="str">
        <f>テーブル1[[#This Row],[ワンポイントタグ]]&amp;""</f>
        <v/>
      </c>
    </row>
    <row r="28" spans="1:12" ht="20.149999999999999" customHeight="1" x14ac:dyDescent="0.35">
      <c r="A28" s="19">
        <f>テーブル1[[#This Row],[番号]]</f>
        <v>27</v>
      </c>
      <c r="B28" s="19" t="str">
        <f>テーブル1[[#This Row],[名前]]</f>
        <v>歌為にーと</v>
      </c>
      <c r="C28" s="19" t="str">
        <f>テーブル1[[#This Row],[なまえ]]</f>
        <v>かなり にーと</v>
      </c>
      <c r="D28" s="19" t="str">
        <f>テーブル1[[#This Row],[Name]]</f>
        <v>Kanari Niito</v>
      </c>
      <c r="E28" s="19" t="str">
        <f>"image/"&amp;テーブル1[[#This Row],[画像]]&amp;".png"</f>
        <v>image/kanari-niito.png</v>
      </c>
      <c r="F28" s="19" t="str">
        <f>テーブル1[[#This Row],[リンク]]</f>
        <v>https://bowlroll.net/user/852117/files</v>
      </c>
      <c r="G28" s="19" t="str">
        <f>SUBSTITUTE(テーブル1[[#This Row],[作品タグ]]," ","|")</f>
        <v>#きのみあーと</v>
      </c>
      <c r="H28" s="19" t="str">
        <f>テーブル1[[#This Row],[性別]]&amp;""</f>
        <v/>
      </c>
      <c r="I28" s="19" t="str">
        <f>テーブル1[[#This Row],[種族タグ]]&amp;""</f>
        <v/>
      </c>
      <c r="J28" s="19" t="str">
        <f>テーブル1[[#This Row],[職業タグ]]&amp;""</f>
        <v/>
      </c>
      <c r="K28" s="19" t="str">
        <f>テーブル1[[#This Row],[小物タグ]]&amp;""</f>
        <v/>
      </c>
      <c r="L28" s="19" t="str">
        <f>テーブル1[[#This Row],[ワンポイントタグ]]&amp;""</f>
        <v/>
      </c>
    </row>
    <row r="29" spans="1:12" ht="20.149999999999999" customHeight="1" x14ac:dyDescent="0.35">
      <c r="A29" s="19">
        <f>テーブル1[[#This Row],[番号]]</f>
        <v>28</v>
      </c>
      <c r="B29" s="19" t="str">
        <f>テーブル1[[#This Row],[名前]]</f>
        <v>空音響歌</v>
      </c>
      <c r="C29" s="19" t="str">
        <f>テーブル1[[#This Row],[なまえ]]</f>
        <v>からね きょうか</v>
      </c>
      <c r="D29" s="19" t="str">
        <f>テーブル1[[#This Row],[Name]]</f>
        <v>Karane Kyoka</v>
      </c>
      <c r="E29" s="19" t="str">
        <f>"image/"&amp;テーブル1[[#This Row],[画像]]&amp;".png"</f>
        <v>image/karane-kyoka.png</v>
      </c>
      <c r="F29" s="19" t="str">
        <f>テーブル1[[#This Row],[リンク]]</f>
        <v>https://kaitoramma.chu.jp</v>
      </c>
      <c r="G29" s="19" t="str">
        <f>SUBSTITUTE(テーブル1[[#This Row],[作品タグ]]," ","|")</f>
        <v>#空音絵巻</v>
      </c>
      <c r="H29" s="19" t="str">
        <f>テーブル1[[#This Row],[性別]]&amp;""</f>
        <v/>
      </c>
      <c r="I29" s="19" t="str">
        <f>テーブル1[[#This Row],[種族タグ]]&amp;""</f>
        <v/>
      </c>
      <c r="J29" s="19" t="str">
        <f>テーブル1[[#This Row],[職業タグ]]&amp;""</f>
        <v/>
      </c>
      <c r="K29" s="19" t="str">
        <f>テーブル1[[#This Row],[小物タグ]]&amp;""</f>
        <v/>
      </c>
      <c r="L29" s="19" t="str">
        <f>テーブル1[[#This Row],[ワンポイントタグ]]&amp;""</f>
        <v/>
      </c>
    </row>
    <row r="30" spans="1:12" ht="20.149999999999999" customHeight="1" x14ac:dyDescent="0.35">
      <c r="A30" s="19">
        <f>テーブル1[[#This Row],[番号]]</f>
        <v>29</v>
      </c>
      <c r="B30" s="19" t="str">
        <f>テーブル1[[#This Row],[名前]]</f>
        <v>空音ヒビキ</v>
      </c>
      <c r="C30" s="19" t="str">
        <f>テーブル1[[#This Row],[なまえ]]</f>
        <v>からね ひびき</v>
      </c>
      <c r="D30" s="19" t="str">
        <f>テーブル1[[#This Row],[Name]]</f>
        <v>Karane Hibiki</v>
      </c>
      <c r="E30" s="19" t="str">
        <f>"image/"&amp;テーブル1[[#This Row],[画像]]&amp;".png"</f>
        <v>image/karane-hibiki.png</v>
      </c>
      <c r="F30" s="19" t="str">
        <f>テーブル1[[#This Row],[リンク]]</f>
        <v>https://kaitoramma.chu.jp</v>
      </c>
      <c r="G30" s="19" t="str">
        <f>SUBSTITUTE(テーブル1[[#This Row],[作品タグ]]," ","|")</f>
        <v>#空音絵巻</v>
      </c>
      <c r="H30" s="19" t="str">
        <f>テーブル1[[#This Row],[性別]]&amp;""</f>
        <v/>
      </c>
      <c r="I30" s="19" t="str">
        <f>テーブル1[[#This Row],[種族タグ]]&amp;""</f>
        <v/>
      </c>
      <c r="J30" s="19" t="str">
        <f>テーブル1[[#This Row],[職業タグ]]&amp;""</f>
        <v/>
      </c>
      <c r="K30" s="19" t="str">
        <f>テーブル1[[#This Row],[小物タグ]]&amp;""</f>
        <v/>
      </c>
      <c r="L30" s="19" t="str">
        <f>テーブル1[[#This Row],[ワンポイントタグ]]&amp;""</f>
        <v/>
      </c>
    </row>
    <row r="31" spans="1:12" ht="20.149999999999999" customHeight="1" x14ac:dyDescent="0.35">
      <c r="A31" s="19">
        <f>テーブル1[[#This Row],[番号]]</f>
        <v>30</v>
      </c>
      <c r="B31" s="19" t="str">
        <f>テーブル1[[#This Row],[名前]]</f>
        <v>キエン</v>
      </c>
      <c r="C31" s="19" t="str">
        <f>テーブル1[[#This Row],[なまえ]]</f>
        <v>きえん</v>
      </c>
      <c r="D31" s="19" t="str">
        <f>テーブル1[[#This Row],[Name]]</f>
        <v>Kiyenn</v>
      </c>
      <c r="E31" s="19" t="str">
        <f>"image/"&amp;テーブル1[[#This Row],[画像]]&amp;".png"</f>
        <v>image/kiyenn.png</v>
      </c>
      <c r="F31" s="19" t="str">
        <f>テーブル1[[#This Row],[リンク]]</f>
        <v>https://utaunanaproplus.wixsite.com/of-web</v>
      </c>
      <c r="G31" s="19" t="str">
        <f>SUBSTITUTE(テーブル1[[#This Row],[作品タグ]]," ","|")</f>
        <v>#TNPGateway</v>
      </c>
      <c r="H31" s="19" t="str">
        <f>テーブル1[[#This Row],[性別]]&amp;""</f>
        <v/>
      </c>
      <c r="I31" s="19" t="str">
        <f>テーブル1[[#This Row],[種族タグ]]&amp;""</f>
        <v/>
      </c>
      <c r="J31" s="19" t="str">
        <f>テーブル1[[#This Row],[職業タグ]]&amp;""</f>
        <v/>
      </c>
      <c r="K31" s="19" t="str">
        <f>テーブル1[[#This Row],[小物タグ]]&amp;""</f>
        <v/>
      </c>
      <c r="L31" s="19" t="str">
        <f>テーブル1[[#This Row],[ワンポイントタグ]]&amp;""</f>
        <v/>
      </c>
    </row>
    <row r="32" spans="1:12" ht="20.149999999999999" customHeight="1" x14ac:dyDescent="0.35">
      <c r="A32" s="19">
        <f>テーブル1[[#This Row],[番号]]</f>
        <v>31</v>
      </c>
      <c r="B32" s="19" t="str">
        <f>テーブル1[[#This Row],[名前]]</f>
        <v>喜檄わろた</v>
      </c>
      <c r="C32" s="19" t="str">
        <f>テーブル1[[#This Row],[なまえ]]</f>
        <v>きげき わろた</v>
      </c>
      <c r="D32" s="19" t="str">
        <f>テーブル1[[#This Row],[Name]]</f>
        <v>Kigeki Warota</v>
      </c>
      <c r="E32" s="19" t="str">
        <f>"image/"&amp;テーブル1[[#This Row],[画像]]&amp;".png"</f>
        <v>image/kigeki-warota.png</v>
      </c>
      <c r="F32" s="19" t="str">
        <f>テーブル1[[#This Row],[リンク]]</f>
        <v>https://seirentoybox.jimdofree.com</v>
      </c>
      <c r="G32" s="19" t="str">
        <f>SUBSTITUTE(テーブル1[[#This Row],[作品タグ]]," ","|")</f>
        <v>#セレソー作</v>
      </c>
      <c r="H32" s="19" t="str">
        <f>テーブル1[[#This Row],[性別]]&amp;""</f>
        <v>女性</v>
      </c>
      <c r="I32" s="19" t="str">
        <f>テーブル1[[#This Row],[種族タグ]]&amp;""</f>
        <v>妖精|双子</v>
      </c>
      <c r="J32" s="19" t="str">
        <f>テーブル1[[#This Row],[職業タグ]]&amp;""</f>
        <v>サーカス団員</v>
      </c>
      <c r="K32" s="19" t="str">
        <f>テーブル1[[#This Row],[小物タグ]]&amp;""</f>
        <v>リボン</v>
      </c>
      <c r="L32" s="19" t="str">
        <f>テーブル1[[#This Row],[ワンポイントタグ]]&amp;""</f>
        <v>ギザ歯</v>
      </c>
    </row>
    <row r="33" spans="1:12" ht="20.149999999999999" customHeight="1" x14ac:dyDescent="0.35">
      <c r="A33" s="19">
        <f>テーブル1[[#This Row],[番号]]</f>
        <v>32</v>
      </c>
      <c r="B33" s="19" t="str">
        <f>テーブル1[[#This Row],[名前]]</f>
        <v>創星宙</v>
      </c>
      <c r="C33" s="19" t="str">
        <f>テーブル1[[#This Row],[なまえ]]</f>
        <v>きずぼし そら</v>
      </c>
      <c r="D33" s="19" t="str">
        <f>テーブル1[[#This Row],[Name]]</f>
        <v>Kizuboshi Sora</v>
      </c>
      <c r="E33" s="19" t="str">
        <f>"image/"&amp;テーブル1[[#This Row],[画像]]&amp;".png"</f>
        <v>image/kizuboshi-sora.png</v>
      </c>
      <c r="F33" s="19" t="str">
        <f>テーブル1[[#This Row],[リンク]]</f>
        <v>https://nyaruru.wixsite.com/s-p-w</v>
      </c>
      <c r="G33" s="19" t="str">
        <f>SUBSTITUTE(テーブル1[[#This Row],[作品タグ]]," ","|")</f>
        <v>#創星宙</v>
      </c>
      <c r="H33" s="19" t="str">
        <f>テーブル1[[#This Row],[性別]]&amp;""</f>
        <v/>
      </c>
      <c r="I33" s="19" t="str">
        <f>テーブル1[[#This Row],[種族タグ]]&amp;""</f>
        <v/>
      </c>
      <c r="J33" s="19" t="str">
        <f>テーブル1[[#This Row],[職業タグ]]&amp;""</f>
        <v/>
      </c>
      <c r="K33" s="19" t="str">
        <f>テーブル1[[#This Row],[小物タグ]]&amp;""</f>
        <v/>
      </c>
      <c r="L33" s="19" t="str">
        <f>テーブル1[[#This Row],[ワンポイントタグ]]&amp;""</f>
        <v/>
      </c>
    </row>
    <row r="34" spans="1:12" ht="20.149999999999999" customHeight="1" x14ac:dyDescent="0.35">
      <c r="A34" s="19">
        <f>テーブル1[[#This Row],[番号]]</f>
        <v>33</v>
      </c>
      <c r="B34" s="19" t="str">
        <f>テーブル1[[#This Row],[名前]]</f>
        <v>キ音キネ</v>
      </c>
      <c r="C34" s="19" t="str">
        <f>テーブル1[[#This Row],[なまえ]]</f>
        <v>きね きね</v>
      </c>
      <c r="D34" s="19" t="str">
        <f>テーブル1[[#This Row],[Name]]</f>
        <v>Kine kine</v>
      </c>
      <c r="E34" s="19" t="str">
        <f>"image/"&amp;テーブル1[[#This Row],[画像]]&amp;".png"</f>
        <v>image/kine-kine.png</v>
      </c>
      <c r="F34" s="19" t="str">
        <f>テーブル1[[#This Row],[リンク]]</f>
        <v>https://bowlroll.net/user/852117/files</v>
      </c>
      <c r="G34" s="19" t="str">
        <f>SUBSTITUTE(テーブル1[[#This Row],[作品タグ]]," ","|")</f>
        <v>#きのみあーと</v>
      </c>
      <c r="H34" s="19" t="str">
        <f>テーブル1[[#This Row],[性別]]&amp;""</f>
        <v/>
      </c>
      <c r="I34" s="19" t="str">
        <f>テーブル1[[#This Row],[種族タグ]]&amp;""</f>
        <v/>
      </c>
      <c r="J34" s="19" t="str">
        <f>テーブル1[[#This Row],[職業タグ]]&amp;""</f>
        <v/>
      </c>
      <c r="K34" s="19" t="str">
        <f>テーブル1[[#This Row],[小物タグ]]&amp;""</f>
        <v/>
      </c>
      <c r="L34" s="19" t="str">
        <f>テーブル1[[#This Row],[ワンポイントタグ]]&amp;""</f>
        <v/>
      </c>
    </row>
    <row r="35" spans="1:12" ht="20.149999999999999" customHeight="1" x14ac:dyDescent="0.35">
      <c r="A35" s="19">
        <f>テーブル1[[#This Row],[番号]]</f>
        <v>34</v>
      </c>
      <c r="B35" s="19" t="str">
        <f>テーブル1[[#This Row],[名前]]</f>
        <v>凶街モルテ</v>
      </c>
      <c r="C35" s="19" t="str">
        <f>テーブル1[[#This Row],[なまえ]]</f>
        <v>きょうまち もるて</v>
      </c>
      <c r="D35" s="19" t="str">
        <f>テーブル1[[#This Row],[Name]]</f>
        <v>Kyomachi Morte</v>
      </c>
      <c r="E35" s="19" t="str">
        <f>"image/"&amp;テーブル1[[#This Row],[画像]]&amp;".png"</f>
        <v>image/kyomachi-morte.png</v>
      </c>
      <c r="F35" s="19" t="str">
        <f>テーブル1[[#This Row],[リンク]]</f>
        <v>https://utaunanaproplus.wixsite.com/of-web</v>
      </c>
      <c r="G35" s="19" t="str">
        <f>SUBSTITUTE(テーブル1[[#This Row],[作品タグ]]," ","|")</f>
        <v>#TNPGateway</v>
      </c>
      <c r="H35" s="19" t="str">
        <f>テーブル1[[#This Row],[性別]]&amp;""</f>
        <v/>
      </c>
      <c r="I35" s="19" t="str">
        <f>テーブル1[[#This Row],[種族タグ]]&amp;""</f>
        <v/>
      </c>
      <c r="J35" s="19" t="str">
        <f>テーブル1[[#This Row],[職業タグ]]&amp;""</f>
        <v/>
      </c>
      <c r="K35" s="19" t="str">
        <f>テーブル1[[#This Row],[小物タグ]]&amp;""</f>
        <v/>
      </c>
      <c r="L35" s="19" t="str">
        <f>テーブル1[[#This Row],[ワンポイントタグ]]&amp;""</f>
        <v/>
      </c>
    </row>
    <row r="36" spans="1:12" ht="20.149999999999999" customHeight="1" x14ac:dyDescent="0.35">
      <c r="A36" s="19">
        <f>テーブル1[[#This Row],[番号]]</f>
        <v>35</v>
      </c>
      <c r="B36" s="19" t="str">
        <f>テーブル1[[#This Row],[名前]]</f>
        <v>輝星惑</v>
      </c>
      <c r="C36" s="19" t="str">
        <f>テーブル1[[#This Row],[なまえ]]</f>
        <v>きらぼし わく</v>
      </c>
      <c r="D36" s="19" t="str">
        <f>テーブル1[[#This Row],[Name]]</f>
        <v>Kiraboshi Waku</v>
      </c>
      <c r="E36" s="19" t="str">
        <f>"image/"&amp;テーブル1[[#This Row],[画像]]&amp;".png"</f>
        <v>image/kiraboshi-waku.png</v>
      </c>
      <c r="F36" s="19" t="str">
        <f>テーブル1[[#This Row],[リンク]]</f>
        <v>https://nyaruru.wixsite.com/s-p-w</v>
      </c>
      <c r="G36" s="19" t="str">
        <f>SUBSTITUTE(テーブル1[[#This Row],[作品タグ]]," ","|")</f>
        <v>#輝星惑</v>
      </c>
      <c r="H36" s="19" t="str">
        <f>テーブル1[[#This Row],[性別]]&amp;""</f>
        <v/>
      </c>
      <c r="I36" s="19" t="str">
        <f>テーブル1[[#This Row],[種族タグ]]&amp;""</f>
        <v/>
      </c>
      <c r="J36" s="19" t="str">
        <f>テーブル1[[#This Row],[職業タグ]]&amp;""</f>
        <v/>
      </c>
      <c r="K36" s="19" t="str">
        <f>テーブル1[[#This Row],[小物タグ]]&amp;""</f>
        <v/>
      </c>
      <c r="L36" s="19" t="str">
        <f>テーブル1[[#This Row],[ワンポイントタグ]]&amp;""</f>
        <v/>
      </c>
    </row>
    <row r="37" spans="1:12" ht="20.149999999999999" customHeight="1" x14ac:dyDescent="0.35">
      <c r="A37" s="19">
        <f>テーブル1[[#This Row],[番号]]</f>
        <v>36</v>
      </c>
      <c r="B37" s="19" t="str">
        <f>テーブル1[[#This Row],[名前]]</f>
        <v>玖婥えれん</v>
      </c>
      <c r="C37" s="19" t="str">
        <f>テーブル1[[#This Row],[なまえ]]</f>
        <v>くじゃく えれん</v>
      </c>
      <c r="D37" s="19" t="str">
        <f>テーブル1[[#This Row],[Name]]</f>
        <v>Kuzyaku Eren</v>
      </c>
      <c r="E37" s="19" t="str">
        <f>"image/"&amp;テーブル1[[#This Row],[画像]]&amp;".png"</f>
        <v>image/kuzyaku-eren.png</v>
      </c>
      <c r="F37" s="19" t="str">
        <f>テーブル1[[#This Row],[リンク]]</f>
        <v>https://hznonoka.wixsite.com/utau</v>
      </c>
      <c r="G37" s="19" t="str">
        <f>SUBSTITUTE(テーブル1[[#This Row],[作品タグ]]," ","|")</f>
        <v>#あひのん|#玖婥えれん</v>
      </c>
      <c r="H37" s="19" t="str">
        <f>テーブル1[[#This Row],[性別]]&amp;""</f>
        <v/>
      </c>
      <c r="I37" s="19" t="str">
        <f>テーブル1[[#This Row],[種族タグ]]&amp;""</f>
        <v/>
      </c>
      <c r="J37" s="19" t="str">
        <f>テーブル1[[#This Row],[職業タグ]]&amp;""</f>
        <v/>
      </c>
      <c r="K37" s="19" t="str">
        <f>テーブル1[[#This Row],[小物タグ]]&amp;""</f>
        <v/>
      </c>
      <c r="L37" s="19" t="str">
        <f>テーブル1[[#This Row],[ワンポイントタグ]]&amp;""</f>
        <v/>
      </c>
    </row>
    <row r="38" spans="1:12" ht="20.149999999999999" customHeight="1" x14ac:dyDescent="0.35">
      <c r="A38" s="19">
        <f>テーブル1[[#This Row],[番号]]</f>
        <v>37</v>
      </c>
      <c r="B38" s="19" t="str">
        <f>テーブル1[[#This Row],[名前]]</f>
        <v>口無アヲ</v>
      </c>
      <c r="C38" s="19" t="str">
        <f>テーブル1[[#This Row],[なまえ]]</f>
        <v>くちなし あを</v>
      </c>
      <c r="D38" s="19" t="str">
        <f>テーブル1[[#This Row],[Name]]</f>
        <v>Kuchinashi Awo</v>
      </c>
      <c r="E38" s="19" t="str">
        <f>"image/"&amp;テーブル1[[#This Row],[画像]]&amp;".png"</f>
        <v>image/kuchinashi-awo.png</v>
      </c>
      <c r="F38" s="19" t="str">
        <f>テーブル1[[#This Row],[リンク]]</f>
        <v>https://nichikuniku1129063.wixsite.com/website-3</v>
      </c>
      <c r="G38" s="19" t="str">
        <f>SUBSTITUTE(テーブル1[[#This Row],[作品タグ]]," ","|")</f>
        <v>#Pietà_</v>
      </c>
      <c r="H38" s="19" t="str">
        <f>テーブル1[[#This Row],[性別]]&amp;""</f>
        <v/>
      </c>
      <c r="I38" s="19" t="str">
        <f>テーブル1[[#This Row],[種族タグ]]&amp;""</f>
        <v/>
      </c>
      <c r="J38" s="19" t="str">
        <f>テーブル1[[#This Row],[職業タグ]]&amp;""</f>
        <v/>
      </c>
      <c r="K38" s="19" t="str">
        <f>テーブル1[[#This Row],[小物タグ]]&amp;""</f>
        <v/>
      </c>
      <c r="L38" s="19" t="str">
        <f>テーブル1[[#This Row],[ワンポイントタグ]]&amp;""</f>
        <v/>
      </c>
    </row>
    <row r="39" spans="1:12" ht="20.149999999999999" customHeight="1" x14ac:dyDescent="0.35">
      <c r="A39" s="19">
        <f>テーブル1[[#This Row],[番号]]</f>
        <v>38</v>
      </c>
      <c r="B39" s="19" t="str">
        <f>テーブル1[[#This Row],[名前]]</f>
        <v>黒昴宿</v>
      </c>
      <c r="C39" s="19" t="str">
        <f>テーブル1[[#This Row],[なまえ]]</f>
        <v>くろぼうすく</v>
      </c>
      <c r="D39" s="19" t="str">
        <f>テーブル1[[#This Row],[Name]]</f>
        <v>Kurobousuku</v>
      </c>
      <c r="E39" s="19" t="str">
        <f>"image/"&amp;テーブル1[[#This Row],[画像]]&amp;".png"</f>
        <v>image/kurobousuku.png</v>
      </c>
      <c r="F39" s="19" t="str">
        <f>テーブル1[[#This Row],[リンク]]</f>
        <v>https://subarumusicstore.studio.site</v>
      </c>
      <c r="G39" s="19" t="str">
        <f>SUBSTITUTE(テーブル1[[#This Row],[作品タグ]]," ","|")</f>
        <v>#赤黒快日</v>
      </c>
      <c r="H39" s="19" t="str">
        <f>テーブル1[[#This Row],[性別]]&amp;""</f>
        <v/>
      </c>
      <c r="I39" s="19" t="str">
        <f>テーブル1[[#This Row],[種族タグ]]&amp;""</f>
        <v/>
      </c>
      <c r="J39" s="19" t="str">
        <f>テーブル1[[#This Row],[職業タグ]]&amp;""</f>
        <v/>
      </c>
      <c r="K39" s="19" t="str">
        <f>テーブル1[[#This Row],[小物タグ]]&amp;""</f>
        <v/>
      </c>
      <c r="L39" s="19" t="str">
        <f>テーブル1[[#This Row],[ワンポイントタグ]]&amp;""</f>
        <v/>
      </c>
    </row>
    <row r="40" spans="1:12" ht="20.149999999999999" customHeight="1" x14ac:dyDescent="0.35">
      <c r="A40" s="19">
        <f>テーブル1[[#This Row],[番号]]</f>
        <v>39</v>
      </c>
      <c r="B40" s="19" t="str">
        <f>テーブル1[[#This Row],[名前]]</f>
        <v>蛍(ケイ)</v>
      </c>
      <c r="C40" s="19" t="str">
        <f>テーブル1[[#This Row],[なまえ]]</f>
        <v>けい</v>
      </c>
      <c r="D40" s="19" t="str">
        <f>テーブル1[[#This Row],[Name]]</f>
        <v>Kei</v>
      </c>
      <c r="E40" s="19" t="str">
        <f>"image/"&amp;テーブル1[[#This Row],[画像]]&amp;".png"</f>
        <v>image/kei.png</v>
      </c>
      <c r="F40" s="19" t="str">
        <f>テーブル1[[#This Row],[リンク]]</f>
        <v>http://park2.wakwak.com/~mbox/vo/hk/hkfre.htm</v>
      </c>
      <c r="G40" s="19" t="str">
        <f>SUBSTITUTE(テーブル1[[#This Row],[作品タグ]]," ","|")</f>
        <v>#蛍_UTAU</v>
      </c>
      <c r="H40" s="19" t="str">
        <f>テーブル1[[#This Row],[性別]]&amp;""</f>
        <v/>
      </c>
      <c r="I40" s="19" t="str">
        <f>テーブル1[[#This Row],[種族タグ]]&amp;""</f>
        <v/>
      </c>
      <c r="J40" s="19" t="str">
        <f>テーブル1[[#This Row],[職業タグ]]&amp;""</f>
        <v/>
      </c>
      <c r="K40" s="19" t="str">
        <f>テーブル1[[#This Row],[小物タグ]]&amp;""</f>
        <v/>
      </c>
      <c r="L40" s="19" t="str">
        <f>テーブル1[[#This Row],[ワンポイントタグ]]&amp;""</f>
        <v/>
      </c>
    </row>
    <row r="41" spans="1:12" ht="20.149999999999999" customHeight="1" x14ac:dyDescent="0.35">
      <c r="A41" s="19">
        <f>テーブル1[[#This Row],[番号]]</f>
        <v>40</v>
      </c>
      <c r="B41" s="19" t="str">
        <f>テーブル1[[#This Row],[名前]]</f>
        <v>京音ロン</v>
      </c>
      <c r="C41" s="19" t="str">
        <f>テーブル1[[#This Row],[なまえ]]</f>
        <v>けいね ろん</v>
      </c>
      <c r="D41" s="19" t="str">
        <f>テーブル1[[#This Row],[Name]]</f>
        <v>Keine Ron</v>
      </c>
      <c r="E41" s="19" t="str">
        <f>"image/"&amp;テーブル1[[#This Row],[画像]]&amp;".png"</f>
        <v>image/keine-ron.png</v>
      </c>
      <c r="F41" s="19" t="str">
        <f>テーブル1[[#This Row],[リンク]]</f>
        <v>https://keineron.wixsite.com/index</v>
      </c>
      <c r="G41" s="19" t="str">
        <f>SUBSTITUTE(テーブル1[[#This Row],[作品タグ]]," ","|")</f>
        <v>#京音ロン</v>
      </c>
      <c r="H41" s="19" t="str">
        <f>テーブル1[[#This Row],[性別]]&amp;""</f>
        <v/>
      </c>
      <c r="I41" s="19" t="str">
        <f>テーブル1[[#This Row],[種族タグ]]&amp;""</f>
        <v/>
      </c>
      <c r="J41" s="19" t="str">
        <f>テーブル1[[#This Row],[職業タグ]]&amp;""</f>
        <v/>
      </c>
      <c r="K41" s="19" t="str">
        <f>テーブル1[[#This Row],[小物タグ]]&amp;""</f>
        <v/>
      </c>
      <c r="L41" s="19" t="str">
        <f>テーブル1[[#This Row],[ワンポイントタグ]]&amp;""</f>
        <v/>
      </c>
    </row>
    <row r="42" spans="1:12" ht="20.149999999999999" customHeight="1" x14ac:dyDescent="0.35">
      <c r="A42" s="19">
        <f>テーブル1[[#This Row],[番号]]</f>
        <v>41</v>
      </c>
      <c r="B42" s="19" t="str">
        <f>テーブル1[[#This Row],[名前]]</f>
        <v>ゲキヤク</v>
      </c>
      <c r="C42" s="19" t="str">
        <f>テーブル1[[#This Row],[なまえ]]</f>
        <v>げきやく</v>
      </c>
      <c r="D42" s="19" t="str">
        <f>テーブル1[[#This Row],[Name]]</f>
        <v>Gekiyaku</v>
      </c>
      <c r="E42" s="19" t="str">
        <f>"image/"&amp;テーブル1[[#This Row],[画像]]&amp;".png"</f>
        <v>image/gekiyaku.png</v>
      </c>
      <c r="F42" s="19" t="str">
        <f>テーブル1[[#This Row],[リンク]]</f>
        <v>https://kurukuru2suuzi.wixsite.com/kuzutokaze</v>
      </c>
      <c r="G42" s="19" t="str">
        <f>SUBSTITUTE(テーブル1[[#This Row],[作品タグ]]," ","|")</f>
        <v>#くずかぜ</v>
      </c>
      <c r="H42" s="19" t="str">
        <f>テーブル1[[#This Row],[性別]]&amp;""</f>
        <v/>
      </c>
      <c r="I42" s="19" t="str">
        <f>テーブル1[[#This Row],[種族タグ]]&amp;""</f>
        <v/>
      </c>
      <c r="J42" s="19" t="str">
        <f>テーブル1[[#This Row],[職業タグ]]&amp;""</f>
        <v/>
      </c>
      <c r="K42" s="19" t="str">
        <f>テーブル1[[#This Row],[小物タグ]]&amp;""</f>
        <v/>
      </c>
      <c r="L42" s="19" t="str">
        <f>テーブル1[[#This Row],[ワンポイントタグ]]&amp;""</f>
        <v/>
      </c>
    </row>
    <row r="43" spans="1:12" ht="20.149999999999999" customHeight="1" x14ac:dyDescent="0.35">
      <c r="A43" s="19">
        <f>テーブル1[[#This Row],[番号]]</f>
        <v>42</v>
      </c>
      <c r="B43" s="19" t="str">
        <f>テーブル1[[#This Row],[名前]]</f>
        <v>蹴堕流激</v>
      </c>
      <c r="C43" s="19" t="str">
        <f>テーブル1[[#This Row],[なまえ]]</f>
        <v>けだるげ</v>
      </c>
      <c r="D43" s="19" t="str">
        <f>テーブル1[[#This Row],[Name]]</f>
        <v>Kedaruge</v>
      </c>
      <c r="E43" s="19" t="str">
        <f>"image/"&amp;テーブル1[[#This Row],[画像]]&amp;".png"</f>
        <v>image/kedaruge.png</v>
      </c>
      <c r="F43" s="19" t="str">
        <f>テーブル1[[#This Row],[リンク]]</f>
        <v>https://kakokyu102krbs.wixsite.com/greenmilky</v>
      </c>
      <c r="G43" s="19" t="str">
        <f>SUBSTITUTE(テーブル1[[#This Row],[作品タグ]]," ","|")</f>
        <v>#グリーンミルキー</v>
      </c>
      <c r="H43" s="19" t="str">
        <f>テーブル1[[#This Row],[性別]]&amp;""</f>
        <v/>
      </c>
      <c r="I43" s="19" t="str">
        <f>テーブル1[[#This Row],[種族タグ]]&amp;""</f>
        <v/>
      </c>
      <c r="J43" s="19" t="str">
        <f>テーブル1[[#This Row],[職業タグ]]&amp;""</f>
        <v/>
      </c>
      <c r="K43" s="19" t="str">
        <f>テーブル1[[#This Row],[小物タグ]]&amp;""</f>
        <v/>
      </c>
      <c r="L43" s="19" t="str">
        <f>テーブル1[[#This Row],[ワンポイントタグ]]&amp;""</f>
        <v/>
      </c>
    </row>
    <row r="44" spans="1:12" ht="20.149999999999999" customHeight="1" x14ac:dyDescent="0.35">
      <c r="A44" s="19">
        <f>テーブル1[[#This Row],[番号]]</f>
        <v>43</v>
      </c>
      <c r="B44" s="19" t="str">
        <f>テーブル1[[#This Row],[名前]]</f>
        <v>​狐隠黒途</v>
      </c>
      <c r="C44" s="19" t="str">
        <f>テーブル1[[#This Row],[なまえ]]</f>
        <v>こおん こくと</v>
      </c>
      <c r="D44" s="19" t="str">
        <f>テーブル1[[#This Row],[Name]]</f>
        <v>Kon Kokuto</v>
      </c>
      <c r="E44" s="19" t="str">
        <f>"image/"&amp;テーブル1[[#This Row],[画像]]&amp;".png"</f>
        <v>image/kon-kokuto.png</v>
      </c>
      <c r="F44" s="19" t="str">
        <f>テーブル1[[#This Row],[リンク]]</f>
        <v>https://chunyinhui021.wixsite.com/mutyuusaisei</v>
      </c>
      <c r="G44" s="19" t="str">
        <f>SUBSTITUTE(テーブル1[[#This Row],[作品タグ]]," ","|")</f>
        <v>#無中彩声</v>
      </c>
      <c r="H44" s="19" t="str">
        <f>テーブル1[[#This Row],[性別]]&amp;""</f>
        <v/>
      </c>
      <c r="I44" s="19" t="str">
        <f>テーブル1[[#This Row],[種族タグ]]&amp;""</f>
        <v/>
      </c>
      <c r="J44" s="19" t="str">
        <f>テーブル1[[#This Row],[職業タグ]]&amp;""</f>
        <v/>
      </c>
      <c r="K44" s="19" t="str">
        <f>テーブル1[[#This Row],[小物タグ]]&amp;""</f>
        <v/>
      </c>
      <c r="L44" s="19" t="str">
        <f>テーブル1[[#This Row],[ワンポイントタグ]]&amp;""</f>
        <v/>
      </c>
    </row>
    <row r="45" spans="1:12" ht="20.149999999999999" customHeight="1" x14ac:dyDescent="0.35">
      <c r="A45" s="19">
        <f>テーブル1[[#This Row],[番号]]</f>
        <v>44</v>
      </c>
      <c r="B45" s="19" t="str">
        <f>テーブル1[[#This Row],[名前]]</f>
        <v>​黒板係</v>
      </c>
      <c r="C45" s="19" t="str">
        <f>テーブル1[[#This Row],[なまえ]]</f>
        <v>こくばんがかり</v>
      </c>
      <c r="D45" s="19" t="str">
        <f>テーブル1[[#This Row],[Name]]</f>
        <v>kokubangakari</v>
      </c>
      <c r="E45" s="19" t="str">
        <f>"image/"&amp;テーブル1[[#This Row],[画像]]&amp;".png"</f>
        <v>image/kokubangakari.png</v>
      </c>
      <c r="F45" s="19" t="str">
        <f>テーブル1[[#This Row],[リンク]]</f>
        <v>https://utauudon.wixsite.com/origamisyokudou</v>
      </c>
      <c r="G45" s="19" t="str">
        <f>SUBSTITUTE(テーブル1[[#This Row],[作品タグ]]," ","|")</f>
        <v>#折紙食堂</v>
      </c>
      <c r="H45" s="19" t="str">
        <f>テーブル1[[#This Row],[性別]]&amp;""</f>
        <v/>
      </c>
      <c r="I45" s="19" t="str">
        <f>テーブル1[[#This Row],[種族タグ]]&amp;""</f>
        <v/>
      </c>
      <c r="J45" s="19" t="str">
        <f>テーブル1[[#This Row],[職業タグ]]&amp;""</f>
        <v/>
      </c>
      <c r="K45" s="19" t="str">
        <f>テーブル1[[#This Row],[小物タグ]]&amp;""</f>
        <v/>
      </c>
      <c r="L45" s="19" t="str">
        <f>テーブル1[[#This Row],[ワンポイントタグ]]&amp;""</f>
        <v/>
      </c>
    </row>
    <row r="46" spans="1:12" ht="20.149999999999999" customHeight="1" x14ac:dyDescent="0.35">
      <c r="A46" s="19">
        <f>テーブル1[[#This Row],[番号]]</f>
        <v>45</v>
      </c>
      <c r="B46" s="19" t="str">
        <f>テーブル1[[#This Row],[名前]]</f>
        <v>心音フタバ</v>
      </c>
      <c r="C46" s="19" t="str">
        <f>テーブル1[[#This Row],[なまえ]]</f>
        <v>こころね ふたば</v>
      </c>
      <c r="D46" s="19" t="str">
        <f>テーブル1[[#This Row],[Name]]</f>
        <v>Kokorone Futaba</v>
      </c>
      <c r="E46" s="19" t="str">
        <f>"image/"&amp;テーブル1[[#This Row],[画像]]&amp;".png"</f>
        <v>image/kokorone-futaba.png</v>
      </c>
      <c r="F46" s="19" t="str">
        <f>テーブル1[[#This Row],[リンク]]</f>
        <v>https://hinagitsune-utau.wixsite.com/utaukokorone</v>
      </c>
      <c r="G46" s="19" t="str">
        <f>SUBSTITUTE(テーブル1[[#This Row],[作品タグ]]," ","|")</f>
        <v>#ウタウココロネ</v>
      </c>
      <c r="H46" s="19" t="str">
        <f>テーブル1[[#This Row],[性別]]&amp;""</f>
        <v/>
      </c>
      <c r="I46" s="19" t="str">
        <f>テーブル1[[#This Row],[種族タグ]]&amp;""</f>
        <v/>
      </c>
      <c r="J46" s="19" t="str">
        <f>テーブル1[[#This Row],[職業タグ]]&amp;""</f>
        <v/>
      </c>
      <c r="K46" s="19" t="str">
        <f>テーブル1[[#This Row],[小物タグ]]&amp;""</f>
        <v/>
      </c>
      <c r="L46" s="19" t="str">
        <f>テーブル1[[#This Row],[ワンポイントタグ]]&amp;""</f>
        <v/>
      </c>
    </row>
    <row r="47" spans="1:12" ht="20.149999999999999" customHeight="1" x14ac:dyDescent="0.35">
      <c r="A47" s="19">
        <f>テーブル1[[#This Row],[番号]]</f>
        <v>46</v>
      </c>
      <c r="B47" s="19" t="str">
        <f>テーブル1[[#This Row],[名前]]</f>
        <v>鼓童拍也</v>
      </c>
      <c r="C47" s="19" t="str">
        <f>テーブル1[[#This Row],[なまえ]]</f>
        <v>こどう はくや</v>
      </c>
      <c r="D47" s="19" t="str">
        <f>テーブル1[[#This Row],[Name]]</f>
        <v>Kodou Hakuya</v>
      </c>
      <c r="E47" s="19" t="str">
        <f>"image/"&amp;テーブル1[[#This Row],[画像]]&amp;".png"</f>
        <v>image/kodou-hakuya.png</v>
      </c>
      <c r="F47" s="19" t="str">
        <f>テーブル1[[#This Row],[リンク]]</f>
        <v>https://nananasyrup.wixsite.com/13kka</v>
      </c>
      <c r="G47" s="19" t="str">
        <f>SUBSTITUTE(テーブル1[[#This Row],[作品タグ]]," ","|")</f>
        <v>#いちみっか</v>
      </c>
      <c r="H47" s="19" t="str">
        <f>テーブル1[[#This Row],[性別]]&amp;""</f>
        <v/>
      </c>
      <c r="I47" s="19" t="str">
        <f>テーブル1[[#This Row],[種族タグ]]&amp;""</f>
        <v/>
      </c>
      <c r="J47" s="19" t="str">
        <f>テーブル1[[#This Row],[職業タグ]]&amp;""</f>
        <v/>
      </c>
      <c r="K47" s="19" t="str">
        <f>テーブル1[[#This Row],[小物タグ]]&amp;""</f>
        <v/>
      </c>
      <c r="L47" s="19" t="str">
        <f>テーブル1[[#This Row],[ワンポイントタグ]]&amp;""</f>
        <v/>
      </c>
    </row>
    <row r="48" spans="1:12" ht="20.149999999999999" customHeight="1" x14ac:dyDescent="0.35">
      <c r="A48" s="19">
        <f>テーブル1[[#This Row],[番号]]</f>
        <v>47</v>
      </c>
      <c r="B48" s="19" t="str">
        <f>テーブル1[[#This Row],[名前]]</f>
        <v>サイカ</v>
      </c>
      <c r="C48" s="19" t="str">
        <f>テーブル1[[#This Row],[なまえ]]</f>
        <v>さいか</v>
      </c>
      <c r="D48" s="19" t="str">
        <f>テーブル1[[#This Row],[Name]]</f>
        <v>Saika</v>
      </c>
      <c r="E48" s="19" t="str">
        <f>"image/"&amp;テーブル1[[#This Row],[画像]]&amp;".png"</f>
        <v>image/saika.png</v>
      </c>
      <c r="F48" s="19" t="str">
        <f>テーブル1[[#This Row],[リンク]]</f>
        <v>https://nichikuniku1129063.wixsite.com/website-3</v>
      </c>
      <c r="G48" s="19" t="str">
        <f>SUBSTITUTE(テーブル1[[#This Row],[作品タグ]]," ","|")</f>
        <v>#Pietà_</v>
      </c>
      <c r="H48" s="19" t="str">
        <f>テーブル1[[#This Row],[性別]]&amp;""</f>
        <v/>
      </c>
      <c r="I48" s="19" t="str">
        <f>テーブル1[[#This Row],[種族タグ]]&amp;""</f>
        <v/>
      </c>
      <c r="J48" s="19" t="str">
        <f>テーブル1[[#This Row],[職業タグ]]&amp;""</f>
        <v/>
      </c>
      <c r="K48" s="19" t="str">
        <f>テーブル1[[#This Row],[小物タグ]]&amp;""</f>
        <v/>
      </c>
      <c r="L48" s="19" t="str">
        <f>テーブル1[[#This Row],[ワンポイントタグ]]&amp;""</f>
        <v/>
      </c>
    </row>
    <row r="49" spans="1:12" ht="20.149999999999999" customHeight="1" x14ac:dyDescent="0.35">
      <c r="A49" s="19">
        <f>テーブル1[[#This Row],[番号]]</f>
        <v>48</v>
      </c>
      <c r="B49" s="19" t="str">
        <f>テーブル1[[#This Row],[名前]]</f>
        <v>サヴル</v>
      </c>
      <c r="C49" s="19" t="str">
        <f>テーブル1[[#This Row],[なまえ]]</f>
        <v>さゔる</v>
      </c>
      <c r="D49" s="19" t="str">
        <f>テーブル1[[#This Row],[Name]]</f>
        <v>Savul</v>
      </c>
      <c r="E49" s="19" t="str">
        <f>"image/"&amp;テーブル1[[#This Row],[画像]]&amp;".png"</f>
        <v>image/savul.png</v>
      </c>
      <c r="F49" s="19" t="str">
        <f>テーブル1[[#This Row],[リンク]]</f>
        <v>https://ne510channel.wixsite.com/website</v>
      </c>
      <c r="G49" s="19" t="str">
        <f>SUBSTITUTE(テーブル1[[#This Row],[作品タグ]]," ","|")</f>
        <v>#はなときつねごと</v>
      </c>
      <c r="H49" s="19" t="str">
        <f>テーブル1[[#This Row],[性別]]&amp;""</f>
        <v/>
      </c>
      <c r="I49" s="19" t="str">
        <f>テーブル1[[#This Row],[種族タグ]]&amp;""</f>
        <v/>
      </c>
      <c r="J49" s="19" t="str">
        <f>テーブル1[[#This Row],[職業タグ]]&amp;""</f>
        <v/>
      </c>
      <c r="K49" s="19" t="str">
        <f>テーブル1[[#This Row],[小物タグ]]&amp;""</f>
        <v/>
      </c>
      <c r="L49" s="19" t="str">
        <f>テーブル1[[#This Row],[ワンポイントタグ]]&amp;""</f>
        <v/>
      </c>
    </row>
    <row r="50" spans="1:12" ht="20.149999999999999" customHeight="1" x14ac:dyDescent="0.35">
      <c r="A50" s="19">
        <f>テーブル1[[#This Row],[番号]]</f>
        <v>49</v>
      </c>
      <c r="B50" s="19" t="str">
        <f>テーブル1[[#This Row],[名前]]</f>
        <v>さてね</v>
      </c>
      <c r="C50" s="19" t="str">
        <f>テーブル1[[#This Row],[なまえ]]</f>
        <v>さてね</v>
      </c>
      <c r="D50" s="19" t="str">
        <f>テーブル1[[#This Row],[Name]]</f>
        <v>Satene</v>
      </c>
      <c r="E50" s="19" t="str">
        <f>"image/"&amp;テーブル1[[#This Row],[画像]]&amp;".png"</f>
        <v>image/satene.png</v>
      </c>
      <c r="F50" s="19" t="str">
        <f>テーブル1[[#This Row],[リンク]]</f>
        <v>https://lit.link/sereinrain</v>
      </c>
      <c r="G50" s="19" t="str">
        <f>SUBSTITUTE(テーブル1[[#This Row],[作品タグ]]," ","|")</f>
        <v>#さてね_UTAU</v>
      </c>
      <c r="H50" s="19" t="str">
        <f>テーブル1[[#This Row],[性別]]&amp;""</f>
        <v/>
      </c>
      <c r="I50" s="19" t="str">
        <f>テーブル1[[#This Row],[種族タグ]]&amp;""</f>
        <v/>
      </c>
      <c r="J50" s="19" t="str">
        <f>テーブル1[[#This Row],[職業タグ]]&amp;""</f>
        <v/>
      </c>
      <c r="K50" s="19" t="str">
        <f>テーブル1[[#This Row],[小物タグ]]&amp;""</f>
        <v/>
      </c>
      <c r="L50" s="19" t="str">
        <f>テーブル1[[#This Row],[ワンポイントタグ]]&amp;""</f>
        <v/>
      </c>
    </row>
    <row r="51" spans="1:12" ht="20.149999999999999" customHeight="1" x14ac:dyDescent="0.35">
      <c r="A51" s="19">
        <f>テーブル1[[#This Row],[番号]]</f>
        <v>50</v>
      </c>
      <c r="B51" s="19" t="str">
        <f>テーブル1[[#This Row],[名前]]</f>
        <v>鯖音カン</v>
      </c>
      <c r="C51" s="19" t="str">
        <f>テーブル1[[#This Row],[なまえ]]</f>
        <v>さばね かん</v>
      </c>
      <c r="D51" s="19" t="str">
        <f>テーブル1[[#This Row],[Name]]</f>
        <v>Sabane Kan</v>
      </c>
      <c r="E51" s="19" t="str">
        <f>"image/"&amp;テーブル1[[#This Row],[画像]]&amp;".png"</f>
        <v>image/sabane-kan.png</v>
      </c>
      <c r="F51" s="19" t="str">
        <f>テーブル1[[#This Row],[リンク]]</f>
        <v>https://witchdoll.jimdofree.com</v>
      </c>
      <c r="G51" s="19" t="str">
        <f>SUBSTITUTE(テーブル1[[#This Row],[作品タグ]]," ","|")</f>
        <v>#きちゃーと</v>
      </c>
      <c r="H51" s="19" t="str">
        <f>テーブル1[[#This Row],[性別]]&amp;""</f>
        <v/>
      </c>
      <c r="I51" s="19" t="str">
        <f>テーブル1[[#This Row],[種族タグ]]&amp;""</f>
        <v/>
      </c>
      <c r="J51" s="19" t="str">
        <f>テーブル1[[#This Row],[職業タグ]]&amp;""</f>
        <v/>
      </c>
      <c r="K51" s="19" t="str">
        <f>テーブル1[[#This Row],[小物タグ]]&amp;""</f>
        <v/>
      </c>
      <c r="L51" s="19" t="str">
        <f>テーブル1[[#This Row],[ワンポイントタグ]]&amp;""</f>
        <v/>
      </c>
    </row>
    <row r="52" spans="1:12" ht="20.149999999999999" customHeight="1" x14ac:dyDescent="0.35">
      <c r="A52" s="19">
        <f>テーブル1[[#This Row],[番号]]</f>
        <v>51</v>
      </c>
      <c r="B52" s="19" t="str">
        <f>テーブル1[[#This Row],[名前]]</f>
        <v>ジウラ・カザギリ</v>
      </c>
      <c r="C52" s="19" t="str">
        <f>テーブル1[[#This Row],[なまえ]]</f>
        <v>じうら かざぎり</v>
      </c>
      <c r="D52" s="19" t="str">
        <f>テーブル1[[#This Row],[Name]]</f>
        <v>Jiura Kazagiri</v>
      </c>
      <c r="E52" s="19" t="str">
        <f>"image/"&amp;テーブル1[[#This Row],[画像]]&amp;".png"</f>
        <v>image/jiura-kazagiri.png</v>
      </c>
      <c r="F52" s="19" t="str">
        <f>テーブル1[[#This Row],[リンク]]</f>
        <v>https://tsukimiya0728.wixsite.com/silverbullet</v>
      </c>
      <c r="G52" s="19" t="str">
        <f>SUBSTITUTE(テーブル1[[#This Row],[作品タグ]]," ","|")</f>
        <v>#ツキノファミリー</v>
      </c>
      <c r="H52" s="19" t="str">
        <f>テーブル1[[#This Row],[性別]]&amp;""</f>
        <v/>
      </c>
      <c r="I52" s="19" t="str">
        <f>テーブル1[[#This Row],[種族タグ]]&amp;""</f>
        <v/>
      </c>
      <c r="J52" s="19" t="str">
        <f>テーブル1[[#This Row],[職業タグ]]&amp;""</f>
        <v/>
      </c>
      <c r="K52" s="19" t="str">
        <f>テーブル1[[#This Row],[小物タグ]]&amp;""</f>
        <v/>
      </c>
      <c r="L52" s="19" t="str">
        <f>テーブル1[[#This Row],[ワンポイントタグ]]&amp;""</f>
        <v/>
      </c>
    </row>
    <row r="53" spans="1:12" ht="20.149999999999999" customHeight="1" x14ac:dyDescent="0.35">
      <c r="A53" s="19">
        <f>テーブル1[[#This Row],[番号]]</f>
        <v>52</v>
      </c>
      <c r="B53" s="19" t="str">
        <f>テーブル1[[#This Row],[名前]]</f>
        <v>シオン</v>
      </c>
      <c r="C53" s="19" t="str">
        <f>テーブル1[[#This Row],[なまえ]]</f>
        <v>しおん</v>
      </c>
      <c r="D53" s="19" t="str">
        <f>テーブル1[[#This Row],[Name]]</f>
        <v>Shion</v>
      </c>
      <c r="E53" s="19" t="str">
        <f>"image/"&amp;テーブル1[[#This Row],[画像]]&amp;".png"</f>
        <v>image/shion.png</v>
      </c>
      <c r="F53" s="19" t="str">
        <f>テーブル1[[#This Row],[リンク]]</f>
        <v>https://nichikuniku1129063.wixsite.com/website-3</v>
      </c>
      <c r="G53" s="19" t="str">
        <f>SUBSTITUTE(テーブル1[[#This Row],[作品タグ]]," ","|")</f>
        <v>#Pietà_</v>
      </c>
      <c r="H53" s="19" t="str">
        <f>テーブル1[[#This Row],[性別]]&amp;""</f>
        <v/>
      </c>
      <c r="I53" s="19" t="str">
        <f>テーブル1[[#This Row],[種族タグ]]&amp;""</f>
        <v/>
      </c>
      <c r="J53" s="19" t="str">
        <f>テーブル1[[#This Row],[職業タグ]]&amp;""</f>
        <v/>
      </c>
      <c r="K53" s="19" t="str">
        <f>テーブル1[[#This Row],[小物タグ]]&amp;""</f>
        <v/>
      </c>
      <c r="L53" s="19" t="str">
        <f>テーブル1[[#This Row],[ワンポイントタグ]]&amp;""</f>
        <v/>
      </c>
    </row>
    <row r="54" spans="1:12" ht="20.149999999999999" customHeight="1" x14ac:dyDescent="0.35">
      <c r="A54" s="19">
        <f>テーブル1[[#This Row],[番号]]</f>
        <v>53</v>
      </c>
      <c r="B54" s="19" t="str">
        <f>テーブル1[[#This Row],[名前]]</f>
        <v>偲音ミヨ</v>
      </c>
      <c r="C54" s="19" t="str">
        <f>テーブル1[[#This Row],[なまえ]]</f>
        <v>しおん みよ</v>
      </c>
      <c r="D54" s="19" t="str">
        <f>テーブル1[[#This Row],[Name]]</f>
        <v>Shion Miyo</v>
      </c>
      <c r="E54" s="19" t="str">
        <f>"image/"&amp;テーブル1[[#This Row],[画像]]&amp;".png"</f>
        <v>image/shion-miyo.png</v>
      </c>
      <c r="F54" s="19" t="str">
        <f>テーブル1[[#This Row],[リンク]]</f>
        <v>https://utau.kurotsuka.xyz</v>
      </c>
      <c r="G54" s="19" t="str">
        <f>SUBSTITUTE(テーブル1[[#This Row],[作品タグ]]," ","|")</f>
        <v>#闇塚亭</v>
      </c>
      <c r="H54" s="19" t="str">
        <f>テーブル1[[#This Row],[性別]]&amp;""</f>
        <v/>
      </c>
      <c r="I54" s="19" t="str">
        <f>テーブル1[[#This Row],[種族タグ]]&amp;""</f>
        <v/>
      </c>
      <c r="J54" s="19" t="str">
        <f>テーブル1[[#This Row],[職業タグ]]&amp;""</f>
        <v/>
      </c>
      <c r="K54" s="19" t="str">
        <f>テーブル1[[#This Row],[小物タグ]]&amp;""</f>
        <v/>
      </c>
      <c r="L54" s="19" t="str">
        <f>テーブル1[[#This Row],[ワンポイントタグ]]&amp;""</f>
        <v/>
      </c>
    </row>
    <row r="55" spans="1:12" ht="20.149999999999999" customHeight="1" x14ac:dyDescent="0.35">
      <c r="A55" s="19">
        <f>テーブル1[[#This Row],[番号]]</f>
        <v>54</v>
      </c>
      <c r="B55" s="19" t="str">
        <f>テーブル1[[#This Row],[名前]]</f>
        <v>屍泥飴</v>
      </c>
      <c r="C55" s="19" t="str">
        <f>テーブル1[[#This Row],[なまえ]]</f>
        <v>しでい</v>
      </c>
      <c r="D55" s="19" t="str">
        <f>テーブル1[[#This Row],[Name]]</f>
        <v>Shidei</v>
      </c>
      <c r="E55" s="19" t="str">
        <f>"image/"&amp;テーブル1[[#This Row],[画像]]&amp;".png"</f>
        <v>image/shidei.png</v>
      </c>
      <c r="F55" s="19" t="str">
        <f>テーブル1[[#This Row],[リンク]]</f>
        <v>https://kakokyu102krbs.wixsite.com/greenmilky</v>
      </c>
      <c r="G55" s="19" t="str">
        <f>SUBSTITUTE(テーブル1[[#This Row],[作品タグ]]," ","|")</f>
        <v>#グリーンミルキー</v>
      </c>
      <c r="H55" s="19" t="str">
        <f>テーブル1[[#This Row],[性別]]&amp;""</f>
        <v/>
      </c>
      <c r="I55" s="19" t="str">
        <f>テーブル1[[#This Row],[種族タグ]]&amp;""</f>
        <v/>
      </c>
      <c r="J55" s="19" t="str">
        <f>テーブル1[[#This Row],[職業タグ]]&amp;""</f>
        <v/>
      </c>
      <c r="K55" s="19" t="str">
        <f>テーブル1[[#This Row],[小物タグ]]&amp;""</f>
        <v/>
      </c>
      <c r="L55" s="19" t="str">
        <f>テーブル1[[#This Row],[ワンポイントタグ]]&amp;""</f>
        <v/>
      </c>
    </row>
    <row r="56" spans="1:12" ht="20.149999999999999" customHeight="1" x14ac:dyDescent="0.35">
      <c r="A56" s="19">
        <f>テーブル1[[#This Row],[番号]]</f>
        <v>55</v>
      </c>
      <c r="B56" s="19" t="str">
        <f>テーブル1[[#This Row],[名前]]</f>
        <v>心理</v>
      </c>
      <c r="C56" s="19" t="str">
        <f>テーブル1[[#This Row],[なまえ]]</f>
        <v>しんり</v>
      </c>
      <c r="D56" s="19" t="str">
        <f>テーブル1[[#This Row],[Name]]</f>
        <v>Shinri</v>
      </c>
      <c r="E56" s="19" t="str">
        <f>"image/"&amp;テーブル1[[#This Row],[画像]]&amp;".png"</f>
        <v>image/shinri.png</v>
      </c>
      <c r="F56" s="19" t="str">
        <f>テーブル1[[#This Row],[リンク]]</f>
        <v>https://shinri517.wixsite.com/shinri0517</v>
      </c>
      <c r="G56" s="19" t="str">
        <f>SUBSTITUTE(テーブル1[[#This Row],[作品タグ]]," ","|")</f>
        <v>#心理相談ダイヤル</v>
      </c>
      <c r="H56" s="19" t="str">
        <f>テーブル1[[#This Row],[性別]]&amp;""</f>
        <v/>
      </c>
      <c r="I56" s="19" t="str">
        <f>テーブル1[[#This Row],[種族タグ]]&amp;""</f>
        <v/>
      </c>
      <c r="J56" s="19" t="str">
        <f>テーブル1[[#This Row],[職業タグ]]&amp;""</f>
        <v/>
      </c>
      <c r="K56" s="19" t="str">
        <f>テーブル1[[#This Row],[小物タグ]]&amp;""</f>
        <v/>
      </c>
      <c r="L56" s="19" t="str">
        <f>テーブル1[[#This Row],[ワンポイントタグ]]&amp;""</f>
        <v/>
      </c>
    </row>
    <row r="57" spans="1:12" ht="20.149999999999999" customHeight="1" x14ac:dyDescent="0.35">
      <c r="A57" s="19">
        <f>テーブル1[[#This Row],[番号]]</f>
        <v>56</v>
      </c>
      <c r="B57" s="19" t="str">
        <f>テーブル1[[#This Row],[名前]]</f>
        <v>すい</v>
      </c>
      <c r="C57" s="19" t="str">
        <f>テーブル1[[#This Row],[なまえ]]</f>
        <v>すい</v>
      </c>
      <c r="D57" s="19" t="str">
        <f>テーブル1[[#This Row],[Name]]</f>
        <v>Sui</v>
      </c>
      <c r="E57" s="19" t="str">
        <f>"image/"&amp;テーブル1[[#This Row],[画像]]&amp;".png"</f>
        <v>image/sui.png</v>
      </c>
      <c r="F57" s="19" t="str">
        <f>テーブル1[[#This Row],[リンク]]</f>
        <v>https://minazukiringo.wixsite.com/amatsubu</v>
      </c>
      <c r="G57" s="19" t="str">
        <f>SUBSTITUTE(テーブル1[[#This Row],[作品タグ]]," ","|")</f>
        <v>#あまつぶと声</v>
      </c>
      <c r="H57" s="19" t="str">
        <f>テーブル1[[#This Row],[性別]]&amp;""</f>
        <v/>
      </c>
      <c r="I57" s="19" t="str">
        <f>テーブル1[[#This Row],[種族タグ]]&amp;""</f>
        <v/>
      </c>
      <c r="J57" s="19" t="str">
        <f>テーブル1[[#This Row],[職業タグ]]&amp;""</f>
        <v/>
      </c>
      <c r="K57" s="19" t="str">
        <f>テーブル1[[#This Row],[小物タグ]]&amp;""</f>
        <v/>
      </c>
      <c r="L57" s="19" t="str">
        <f>テーブル1[[#This Row],[ワンポイントタグ]]&amp;""</f>
        <v/>
      </c>
    </row>
    <row r="58" spans="1:12" ht="20.149999999999999" customHeight="1" x14ac:dyDescent="0.35">
      <c r="A58" s="19">
        <f>テーブル1[[#This Row],[番号]]</f>
        <v>57</v>
      </c>
      <c r="B58" s="19" t="str">
        <f>テーブル1[[#This Row],[名前]]</f>
        <v>鈴音スズ</v>
      </c>
      <c r="C58" s="19" t="str">
        <f>テーブル1[[#This Row],[なまえ]]</f>
        <v>すずの すず</v>
      </c>
      <c r="D58" s="19" t="str">
        <f>テーブル1[[#This Row],[Name]]</f>
        <v>Suzuno Suzu</v>
      </c>
      <c r="E58" s="19" t="str">
        <f>"image/"&amp;テーブル1[[#This Row],[画像]]&amp;".png"</f>
        <v>image/suzuno-suzu.png</v>
      </c>
      <c r="F58" s="19" t="str">
        <f>テーブル1[[#This Row],[リンク]]</f>
        <v>https://bellsworks.wixsite.com/bellsworks</v>
      </c>
      <c r="G58" s="19" t="str">
        <f>SUBSTITUTE(テーブル1[[#This Row],[作品タグ]]," ","|")</f>
        <v>#べるずわーくす</v>
      </c>
      <c r="H58" s="19" t="str">
        <f>テーブル1[[#This Row],[性別]]&amp;""</f>
        <v/>
      </c>
      <c r="I58" s="19" t="str">
        <f>テーブル1[[#This Row],[種族タグ]]&amp;""</f>
        <v/>
      </c>
      <c r="J58" s="19" t="str">
        <f>テーブル1[[#This Row],[職業タグ]]&amp;""</f>
        <v/>
      </c>
      <c r="K58" s="19" t="str">
        <f>テーブル1[[#This Row],[小物タグ]]&amp;""</f>
        <v/>
      </c>
      <c r="L58" s="19" t="str">
        <f>テーブル1[[#This Row],[ワンポイントタグ]]&amp;""</f>
        <v/>
      </c>
    </row>
    <row r="59" spans="1:12" ht="20.149999999999999" customHeight="1" x14ac:dyDescent="0.35">
      <c r="A59" s="19">
        <f>テーブル1[[#This Row],[番号]]</f>
        <v>58</v>
      </c>
      <c r="B59" s="19" t="str">
        <f>テーブル1[[#This Row],[名前]]</f>
        <v>鈴音ミオン</v>
      </c>
      <c r="C59" s="19" t="str">
        <f>テーブル1[[#This Row],[なまえ]]</f>
        <v>すずの みおん</v>
      </c>
      <c r="D59" s="19" t="str">
        <f>テーブル1[[#This Row],[Name]]</f>
        <v>Suzuno Mion</v>
      </c>
      <c r="E59" s="19" t="str">
        <f>"image/"&amp;テーブル1[[#This Row],[画像]]&amp;".png"</f>
        <v>image/suzuno-mion.png</v>
      </c>
      <c r="F59" s="19" t="str">
        <f>テーブル1[[#This Row],[リンク]]</f>
        <v>https://bellsworks.wixsite.com/bellsworks</v>
      </c>
      <c r="G59" s="19" t="str">
        <f>SUBSTITUTE(テーブル1[[#This Row],[作品タグ]]," ","|")</f>
        <v>#べるずわーくす</v>
      </c>
      <c r="H59" s="19" t="str">
        <f>テーブル1[[#This Row],[性別]]&amp;""</f>
        <v/>
      </c>
      <c r="I59" s="19" t="str">
        <f>テーブル1[[#This Row],[種族タグ]]&amp;""</f>
        <v/>
      </c>
      <c r="J59" s="19" t="str">
        <f>テーブル1[[#This Row],[職業タグ]]&amp;""</f>
        <v/>
      </c>
      <c r="K59" s="19" t="str">
        <f>テーブル1[[#This Row],[小物タグ]]&amp;""</f>
        <v/>
      </c>
      <c r="L59" s="19" t="str">
        <f>テーブル1[[#This Row],[ワンポイントタグ]]&amp;""</f>
        <v/>
      </c>
    </row>
    <row r="60" spans="1:12" ht="20.149999999999999" customHeight="1" x14ac:dyDescent="0.35">
      <c r="A60" s="19">
        <f>テーブル1[[#This Row],[番号]]</f>
        <v>59</v>
      </c>
      <c r="B60" s="19" t="str">
        <f>テーブル1[[#This Row],[名前]]</f>
        <v>星雲アマト</v>
      </c>
      <c r="C60" s="19" t="str">
        <f>テーブル1[[#This Row],[なまえ]]</f>
        <v>せいうん あまと</v>
      </c>
      <c r="D60" s="19" t="str">
        <f>テーブル1[[#This Row],[Name]]</f>
        <v>Seiun Amato</v>
      </c>
      <c r="E60" s="19" t="str">
        <f>"image/"&amp;テーブル1[[#This Row],[画像]]&amp;".png"</f>
        <v>image/seiun-amato.png</v>
      </c>
      <c r="F60" s="19" t="str">
        <f>テーブル1[[#This Row],[リンク]]</f>
        <v>https://offlamingo21.wixsite.com/amato-seiun</v>
      </c>
      <c r="G60" s="19" t="str">
        <f>SUBSTITUTE(テーブル1[[#This Row],[作品タグ]]," ","|")</f>
        <v>#星雲アマト</v>
      </c>
      <c r="H60" s="19" t="str">
        <f>テーブル1[[#This Row],[性別]]&amp;""</f>
        <v/>
      </c>
      <c r="I60" s="19" t="str">
        <f>テーブル1[[#This Row],[種族タグ]]&amp;""</f>
        <v/>
      </c>
      <c r="J60" s="19" t="str">
        <f>テーブル1[[#This Row],[職業タグ]]&amp;""</f>
        <v/>
      </c>
      <c r="K60" s="19" t="str">
        <f>テーブル1[[#This Row],[小物タグ]]&amp;""</f>
        <v/>
      </c>
      <c r="L60" s="19" t="str">
        <f>テーブル1[[#This Row],[ワンポイントタグ]]&amp;""</f>
        <v/>
      </c>
    </row>
    <row r="61" spans="1:12" ht="20.149999999999999" customHeight="1" x14ac:dyDescent="0.35">
      <c r="A61" s="19">
        <f>テーブル1[[#This Row],[番号]]</f>
        <v>60</v>
      </c>
      <c r="B61" s="19" t="str">
        <f>テーブル1[[#This Row],[名前]]</f>
        <v>仟乃宮紫狼</v>
      </c>
      <c r="C61" s="19" t="str">
        <f>テーブル1[[#This Row],[なまえ]]</f>
        <v>せんのみや しろう</v>
      </c>
      <c r="D61" s="19" t="str">
        <f>テーブル1[[#This Row],[Name]]</f>
        <v>Sennomiya Sirou</v>
      </c>
      <c r="E61" s="19" t="str">
        <f>"image/"&amp;テーブル1[[#This Row],[画像]]&amp;".png"</f>
        <v>image/sennomiya-sirou.png</v>
      </c>
      <c r="F61" s="19" t="str">
        <f>テーブル1[[#This Row],[リンク]]</f>
        <v>http://park2.wakwak.com/~mbox/vo/hk/hkfre.htm</v>
      </c>
      <c r="G61" s="19" t="str">
        <f>SUBSTITUTE(テーブル1[[#This Row],[作品タグ]]," ","|")</f>
        <v>#仟乃宮紫狼</v>
      </c>
      <c r="H61" s="19" t="str">
        <f>テーブル1[[#This Row],[性別]]&amp;""</f>
        <v/>
      </c>
      <c r="I61" s="19" t="str">
        <f>テーブル1[[#This Row],[種族タグ]]&amp;""</f>
        <v/>
      </c>
      <c r="J61" s="19" t="str">
        <f>テーブル1[[#This Row],[職業タグ]]&amp;""</f>
        <v/>
      </c>
      <c r="K61" s="19" t="str">
        <f>テーブル1[[#This Row],[小物タグ]]&amp;""</f>
        <v/>
      </c>
      <c r="L61" s="19" t="str">
        <f>テーブル1[[#This Row],[ワンポイントタグ]]&amp;""</f>
        <v/>
      </c>
    </row>
    <row r="62" spans="1:12" ht="20.149999999999999" customHeight="1" x14ac:dyDescent="0.35">
      <c r="A62" s="19">
        <f>テーブル1[[#This Row],[番号]]</f>
        <v>61</v>
      </c>
      <c r="B62" s="19" t="str">
        <f>テーブル1[[#This Row],[名前]]</f>
        <v>​星音ななし</v>
      </c>
      <c r="C62" s="19" t="str">
        <f>テーブル1[[#This Row],[なまえ]]</f>
        <v>そらね ななし</v>
      </c>
      <c r="D62" s="19" t="str">
        <f>テーブル1[[#This Row],[Name]]</f>
        <v>Sorane Nanashi</v>
      </c>
      <c r="E62" s="19" t="str">
        <f>"image/"&amp;テーブル1[[#This Row],[画像]]&amp;".png"</f>
        <v>image/sorane-nanashi.png</v>
      </c>
      <c r="F62" s="19" t="str">
        <f>テーブル1[[#This Row],[リンク]]</f>
        <v>https://rinnneuta.wixsite.com/my-site-2?s=09</v>
      </c>
      <c r="G62" s="19" t="str">
        <f>SUBSTITUTE(テーブル1[[#This Row],[作品タグ]]," ","|")</f>
        <v>#君の心音は星の音</v>
      </c>
      <c r="H62" s="19" t="str">
        <f>テーブル1[[#This Row],[性別]]&amp;""</f>
        <v/>
      </c>
      <c r="I62" s="19" t="str">
        <f>テーブル1[[#This Row],[種族タグ]]&amp;""</f>
        <v/>
      </c>
      <c r="J62" s="19" t="str">
        <f>テーブル1[[#This Row],[職業タグ]]&amp;""</f>
        <v/>
      </c>
      <c r="K62" s="19" t="str">
        <f>テーブル1[[#This Row],[小物タグ]]&amp;""</f>
        <v/>
      </c>
      <c r="L62" s="19" t="str">
        <f>テーブル1[[#This Row],[ワンポイントタグ]]&amp;""</f>
        <v/>
      </c>
    </row>
    <row r="63" spans="1:12" ht="20.149999999999999" customHeight="1" x14ac:dyDescent="0.35">
      <c r="A63" s="19">
        <f>テーブル1[[#This Row],[番号]]</f>
        <v>62</v>
      </c>
      <c r="B63" s="19" t="str">
        <f>テーブル1[[#This Row],[名前]]</f>
        <v>​地守葉風</v>
      </c>
      <c r="C63" s="19" t="str">
        <f>テーブル1[[#This Row],[なまえ]]</f>
        <v>ちもり はかぜ</v>
      </c>
      <c r="D63" s="19" t="str">
        <f>テーブル1[[#This Row],[Name]]</f>
        <v>Chimori Hakaze</v>
      </c>
      <c r="E63" s="19" t="str">
        <f>"image/"&amp;テーブル1[[#This Row],[画像]]&amp;".png"</f>
        <v>image/chimori-hakaze.png</v>
      </c>
      <c r="F63" s="19" t="str">
        <f>テーブル1[[#This Row],[リンク]]</f>
        <v>https://lenskkpb.wixsite.com/len-sakaki-official</v>
      </c>
      <c r="G63" s="19" t="str">
        <f>SUBSTITUTE(テーブル1[[#This Row],[作品タグ]]," ","|")</f>
        <v>#地守葉風</v>
      </c>
      <c r="H63" s="19" t="str">
        <f>テーブル1[[#This Row],[性別]]&amp;""</f>
        <v/>
      </c>
      <c r="I63" s="19" t="str">
        <f>テーブル1[[#This Row],[種族タグ]]&amp;""</f>
        <v/>
      </c>
      <c r="J63" s="19" t="str">
        <f>テーブル1[[#This Row],[職業タグ]]&amp;""</f>
        <v/>
      </c>
      <c r="K63" s="19" t="str">
        <f>テーブル1[[#This Row],[小物タグ]]&amp;""</f>
        <v/>
      </c>
      <c r="L63" s="19" t="str">
        <f>テーブル1[[#This Row],[ワンポイントタグ]]&amp;""</f>
        <v/>
      </c>
    </row>
    <row r="64" spans="1:12" ht="20.149999999999999" customHeight="1" x14ac:dyDescent="0.35">
      <c r="A64" s="19">
        <f>テーブル1[[#This Row],[番号]]</f>
        <v>63</v>
      </c>
      <c r="B64" s="19" t="str">
        <f>テーブル1[[#This Row],[名前]]</f>
        <v>茶歌成</v>
      </c>
      <c r="C64" s="19" t="str">
        <f>テーブル1[[#This Row],[なまえ]]</f>
        <v>ちゃか なり</v>
      </c>
      <c r="D64" s="19" t="str">
        <f>テーブル1[[#This Row],[Name]]</f>
        <v>Chaka Nari</v>
      </c>
      <c r="E64" s="19" t="str">
        <f>"image/"&amp;テーブル1[[#This Row],[画像]]&amp;".png"</f>
        <v>image/chaka-nari.png</v>
      </c>
      <c r="F64" s="19" t="str">
        <f>テーブル1[[#This Row],[リンク]]</f>
        <v>https://chaka000.wixsite.com/chaka</v>
      </c>
      <c r="G64" s="19" t="str">
        <f>SUBSTITUTE(テーブル1[[#This Row],[作品タグ]]," ","|")</f>
        <v>#御茶と歌</v>
      </c>
      <c r="H64" s="19" t="str">
        <f>テーブル1[[#This Row],[性別]]&amp;""</f>
        <v/>
      </c>
      <c r="I64" s="19" t="str">
        <f>テーブル1[[#This Row],[種族タグ]]&amp;""</f>
        <v/>
      </c>
      <c r="J64" s="19" t="str">
        <f>テーブル1[[#This Row],[職業タグ]]&amp;""</f>
        <v/>
      </c>
      <c r="K64" s="19" t="str">
        <f>テーブル1[[#This Row],[小物タグ]]&amp;""</f>
        <v/>
      </c>
      <c r="L64" s="19" t="str">
        <f>テーブル1[[#This Row],[ワンポイントタグ]]&amp;""</f>
        <v/>
      </c>
    </row>
    <row r="65" spans="1:12" ht="20.149999999999999" customHeight="1" x14ac:dyDescent="0.35">
      <c r="A65" s="19">
        <f>テーブル1[[#This Row],[番号]]</f>
        <v>64</v>
      </c>
      <c r="B65" s="19" t="str">
        <f>テーブル1[[#This Row],[名前]]</f>
        <v>ちゃんこ鍋</v>
      </c>
      <c r="C65" s="19" t="str">
        <f>テーブル1[[#This Row],[なまえ]]</f>
        <v>ちゃんこなべ</v>
      </c>
      <c r="D65" s="19" t="str">
        <f>テーブル1[[#This Row],[Name]]</f>
        <v>Chankonabe</v>
      </c>
      <c r="E65" s="19" t="str">
        <f>"image/"&amp;テーブル1[[#This Row],[画像]]&amp;".png"</f>
        <v>image/chankonabe.png</v>
      </c>
      <c r="F65" s="19" t="str">
        <f>テーブル1[[#This Row],[リンク]]</f>
        <v>https://ichistart.wixsite.com/official/respiaker</v>
      </c>
      <c r="G65" s="19" t="str">
        <f>SUBSTITUTE(テーブル1[[#This Row],[作品タグ]]," ","|")</f>
        <v>#ichistar</v>
      </c>
      <c r="H65" s="19" t="str">
        <f>テーブル1[[#This Row],[性別]]&amp;""</f>
        <v>男性</v>
      </c>
      <c r="I65" s="19" t="str">
        <f>テーブル1[[#This Row],[種族タグ]]&amp;""</f>
        <v>機械</v>
      </c>
      <c r="J65" s="19" t="str">
        <f>テーブル1[[#This Row],[職業タグ]]&amp;""</f>
        <v/>
      </c>
      <c r="K65" s="19" t="str">
        <f>テーブル1[[#This Row],[小物タグ]]&amp;""</f>
        <v>ヘッドホン</v>
      </c>
      <c r="L65" s="19" t="str">
        <f>テーブル1[[#This Row],[ワンポイントタグ]]&amp;""</f>
        <v/>
      </c>
    </row>
    <row r="66" spans="1:12" ht="20.149999999999999" customHeight="1" x14ac:dyDescent="0.35">
      <c r="A66" s="19">
        <f>テーブル1[[#This Row],[番号]]</f>
        <v>65</v>
      </c>
      <c r="B66" s="19" t="str">
        <f>テーブル1[[#This Row],[名前]]</f>
        <v>椿音灰鬼</v>
      </c>
      <c r="C66" s="19" t="str">
        <f>テーブル1[[#This Row],[なまえ]]</f>
        <v>ちゅんね はいき</v>
      </c>
      <c r="D66" s="19" t="str">
        <f>テーブル1[[#This Row],[Name]]</f>
        <v>Chunne Haiki</v>
      </c>
      <c r="E66" s="19" t="str">
        <f>"image/"&amp;テーブル1[[#This Row],[画像]]&amp;".png"</f>
        <v>image/chunne-haiki.png</v>
      </c>
      <c r="F66" s="19" t="str">
        <f>テーブル1[[#This Row],[リンク]]</f>
        <v>https://chunyinhui021.wixsite.com/mutyuusaisei</v>
      </c>
      <c r="G66" s="19" t="str">
        <f>SUBSTITUTE(テーブル1[[#This Row],[作品タグ]]," ","|")</f>
        <v>#無中彩声</v>
      </c>
      <c r="H66" s="19" t="str">
        <f>テーブル1[[#This Row],[性別]]&amp;""</f>
        <v/>
      </c>
      <c r="I66" s="19" t="str">
        <f>テーブル1[[#This Row],[種族タグ]]&amp;""</f>
        <v/>
      </c>
      <c r="J66" s="19" t="str">
        <f>テーブル1[[#This Row],[職業タグ]]&amp;""</f>
        <v/>
      </c>
      <c r="K66" s="19" t="str">
        <f>テーブル1[[#This Row],[小物タグ]]&amp;""</f>
        <v/>
      </c>
      <c r="L66" s="19" t="str">
        <f>テーブル1[[#This Row],[ワンポイントタグ]]&amp;""</f>
        <v/>
      </c>
    </row>
    <row r="67" spans="1:12" ht="20.149999999999999" customHeight="1" x14ac:dyDescent="0.35">
      <c r="A67" s="19">
        <f>テーブル1[[#This Row],[番号]]</f>
        <v>66</v>
      </c>
      <c r="B67" s="19" t="str">
        <f>テーブル1[[#This Row],[名前]]</f>
        <v>九十九一音​</v>
      </c>
      <c r="C67" s="19" t="str">
        <f>テーブル1[[#This Row],[なまえ]]</f>
        <v>つくも いちおと</v>
      </c>
      <c r="D67" s="19" t="str">
        <f>テーブル1[[#This Row],[Name]]</f>
        <v>Tsukumo Ichioto</v>
      </c>
      <c r="E67" s="19" t="str">
        <f>"image/"&amp;テーブル1[[#This Row],[画像]]&amp;".png"</f>
        <v>image/tsukumo-ichioto.png</v>
      </c>
      <c r="F67" s="19" t="str">
        <f>テーブル1[[#This Row],[リンク]]</f>
        <v>https://yukiichik.wixsite.com/kokofool/utau</v>
      </c>
      <c r="G67" s="19" t="str">
        <f>SUBSTITUTE(テーブル1[[#This Row],[作品タグ]]," ","|")</f>
        <v>#KODOMEROIDO</v>
      </c>
      <c r="H67" s="19" t="str">
        <f>テーブル1[[#This Row],[性別]]&amp;""</f>
        <v/>
      </c>
      <c r="I67" s="19" t="str">
        <f>テーブル1[[#This Row],[種族タグ]]&amp;""</f>
        <v/>
      </c>
      <c r="J67" s="19" t="str">
        <f>テーブル1[[#This Row],[職業タグ]]&amp;""</f>
        <v/>
      </c>
      <c r="K67" s="19" t="str">
        <f>テーブル1[[#This Row],[小物タグ]]&amp;""</f>
        <v/>
      </c>
      <c r="L67" s="19" t="str">
        <f>テーブル1[[#This Row],[ワンポイントタグ]]&amp;""</f>
        <v/>
      </c>
    </row>
    <row r="68" spans="1:12" ht="20.149999999999999" customHeight="1" x14ac:dyDescent="0.35">
      <c r="A68" s="19">
        <f>テーブル1[[#This Row],[番号]]</f>
        <v>67</v>
      </c>
      <c r="B68" s="19" t="str">
        <f>テーブル1[[#This Row],[名前]]</f>
        <v>創音みか</v>
      </c>
      <c r="C68" s="19" t="str">
        <f>テーブル1[[#This Row],[なまえ]]</f>
        <v>つくりね みか</v>
      </c>
      <c r="D68" s="19" t="str">
        <f>テーブル1[[#This Row],[Name]]</f>
        <v>Tsukurine Mika</v>
      </c>
      <c r="E68" s="19" t="str">
        <f>"image/"&amp;テーブル1[[#This Row],[画像]]&amp;".png"</f>
        <v>image/tsukurine-mika.png</v>
      </c>
      <c r="F68" s="19" t="str">
        <f>テーブル1[[#This Row],[リンク]]</f>
        <v>https://nananasyrup.wixsite.com/13kka</v>
      </c>
      <c r="G68" s="19" t="str">
        <f>SUBSTITUTE(テーブル1[[#This Row],[作品タグ]]," ","|")</f>
        <v>#いちみっか</v>
      </c>
      <c r="H68" s="19" t="str">
        <f>テーブル1[[#This Row],[性別]]&amp;""</f>
        <v/>
      </c>
      <c r="I68" s="19" t="str">
        <f>テーブル1[[#This Row],[種族タグ]]&amp;""</f>
        <v/>
      </c>
      <c r="J68" s="19" t="str">
        <f>テーブル1[[#This Row],[職業タグ]]&amp;""</f>
        <v/>
      </c>
      <c r="K68" s="19" t="str">
        <f>テーブル1[[#This Row],[小物タグ]]&amp;""</f>
        <v/>
      </c>
      <c r="L68" s="19" t="str">
        <f>テーブル1[[#This Row],[ワンポイントタグ]]&amp;""</f>
        <v/>
      </c>
    </row>
    <row r="69" spans="1:12" ht="20.149999999999999" customHeight="1" x14ac:dyDescent="0.35">
      <c r="A69" s="19">
        <f>テーブル1[[#This Row],[番号]]</f>
        <v>68</v>
      </c>
      <c r="B69" s="19" t="str">
        <f>テーブル1[[#This Row],[名前]]</f>
        <v>​弦音ステラ</v>
      </c>
      <c r="C69" s="19" t="str">
        <f>テーブル1[[#This Row],[なまえ]]</f>
        <v>つるね すてら</v>
      </c>
      <c r="D69" s="19" t="str">
        <f>テーブル1[[#This Row],[Name]]</f>
        <v>Tsurune Sutera</v>
      </c>
      <c r="E69" s="19" t="str">
        <f>"image/"&amp;テーブル1[[#This Row],[画像]]&amp;".png"</f>
        <v>image/tsurune-sutera.png</v>
      </c>
      <c r="F69" s="19" t="str">
        <f>テーブル1[[#This Row],[リンク]]</f>
        <v>https://bellsworks.wixsite.com/bellsworks</v>
      </c>
      <c r="G69" s="19" t="str">
        <f>SUBSTITUTE(テーブル1[[#This Row],[作品タグ]]," ","|")</f>
        <v>#べるずわーくす</v>
      </c>
      <c r="H69" s="19" t="str">
        <f>テーブル1[[#This Row],[性別]]&amp;""</f>
        <v/>
      </c>
      <c r="I69" s="19" t="str">
        <f>テーブル1[[#This Row],[種族タグ]]&amp;""</f>
        <v/>
      </c>
      <c r="J69" s="19" t="str">
        <f>テーブル1[[#This Row],[職業タグ]]&amp;""</f>
        <v/>
      </c>
      <c r="K69" s="19" t="str">
        <f>テーブル1[[#This Row],[小物タグ]]&amp;""</f>
        <v/>
      </c>
      <c r="L69" s="19" t="str">
        <f>テーブル1[[#This Row],[ワンポイントタグ]]&amp;""</f>
        <v/>
      </c>
    </row>
    <row r="70" spans="1:12" ht="20.149999999999999" customHeight="1" x14ac:dyDescent="0.35">
      <c r="A70" s="19">
        <f>テーブル1[[#This Row],[番号]]</f>
        <v>69</v>
      </c>
      <c r="B70" s="19" t="str">
        <f>テーブル1[[#This Row],[名前]]</f>
        <v>寺戸ラヴ</v>
      </c>
      <c r="C70" s="19" t="str">
        <f>テーブル1[[#This Row],[なまえ]]</f>
        <v>てらど らぶ</v>
      </c>
      <c r="D70" s="19" t="str">
        <f>テーブル1[[#This Row],[Name]]</f>
        <v>Terado Rabu</v>
      </c>
      <c r="E70" s="19" t="str">
        <f>"image/"&amp;テーブル1[[#This Row],[画像]]&amp;".png"</f>
        <v>image/terado-rabu.png</v>
      </c>
      <c r="F70" s="19" t="str">
        <f>テーブル1[[#This Row],[リンク]]</f>
        <v>https://witchdoll.jimdofree.com</v>
      </c>
      <c r="G70" s="19" t="str">
        <f>SUBSTITUTE(テーブル1[[#This Row],[作品タグ]]," ","|")</f>
        <v>#きちゃーと</v>
      </c>
      <c r="H70" s="19" t="str">
        <f>テーブル1[[#This Row],[性別]]&amp;""</f>
        <v/>
      </c>
      <c r="I70" s="19" t="str">
        <f>テーブル1[[#This Row],[種族タグ]]&amp;""</f>
        <v/>
      </c>
      <c r="J70" s="19" t="str">
        <f>テーブル1[[#This Row],[職業タグ]]&amp;""</f>
        <v/>
      </c>
      <c r="K70" s="19" t="str">
        <f>テーブル1[[#This Row],[小物タグ]]&amp;""</f>
        <v/>
      </c>
      <c r="L70" s="19" t="str">
        <f>テーブル1[[#This Row],[ワンポイントタグ]]&amp;""</f>
        <v/>
      </c>
    </row>
    <row r="71" spans="1:12" ht="20.149999999999999" customHeight="1" x14ac:dyDescent="0.35">
      <c r="A71" s="19">
        <f>テーブル1[[#This Row],[番号]]</f>
        <v>70</v>
      </c>
      <c r="B71" s="19" t="str">
        <f>テーブル1[[#This Row],[名前]]</f>
        <v>寺永十逸</v>
      </c>
      <c r="C71" s="19" t="str">
        <f>テーブル1[[#This Row],[なまえ]]</f>
        <v>てらなが とおいち</v>
      </c>
      <c r="D71" s="19" t="str">
        <f>テーブル1[[#This Row],[Name]]</f>
        <v>Teranaga Toichi</v>
      </c>
      <c r="E71" s="19" t="str">
        <f>"image/"&amp;テーブル1[[#This Row],[画像]]&amp;".png"</f>
        <v>image/teranaga-toichi.png</v>
      </c>
      <c r="F71" s="19" t="str">
        <f>テーブル1[[#This Row],[リンク]]</f>
        <v>https://yukiichik.wixsite.com/kokofool/utau</v>
      </c>
      <c r="G71" s="19" t="str">
        <f>SUBSTITUTE(テーブル1[[#This Row],[作品タグ]]," ","|")</f>
        <v>#KODOMEROIDO</v>
      </c>
      <c r="H71" s="19" t="str">
        <f>テーブル1[[#This Row],[性別]]&amp;""</f>
        <v/>
      </c>
      <c r="I71" s="19" t="str">
        <f>テーブル1[[#This Row],[種族タグ]]&amp;""</f>
        <v/>
      </c>
      <c r="J71" s="19" t="str">
        <f>テーブル1[[#This Row],[職業タグ]]&amp;""</f>
        <v/>
      </c>
      <c r="K71" s="19" t="str">
        <f>テーブル1[[#This Row],[小物タグ]]&amp;""</f>
        <v/>
      </c>
      <c r="L71" s="19" t="str">
        <f>テーブル1[[#This Row],[ワンポイントタグ]]&amp;""</f>
        <v/>
      </c>
    </row>
    <row r="72" spans="1:12" ht="20.149999999999999" customHeight="1" x14ac:dyDescent="0.35">
      <c r="A72" s="19">
        <f>テーブル1[[#This Row],[番号]]</f>
        <v>71</v>
      </c>
      <c r="B72" s="19" t="str">
        <f>テーブル1[[#This Row],[名前]]</f>
        <v>透唄氷雨</v>
      </c>
      <c r="C72" s="19" t="str">
        <f>テーブル1[[#This Row],[なまえ]]</f>
        <v>とうた ひさめ</v>
      </c>
      <c r="D72" s="19" t="str">
        <f>テーブル1[[#This Row],[Name]]</f>
        <v>Tota Hisame</v>
      </c>
      <c r="E72" s="19" t="str">
        <f>"image/"&amp;テーブル1[[#This Row],[画像]]&amp;".png"</f>
        <v>image/tota-hisame.png</v>
      </c>
      <c r="F72" s="19" t="str">
        <f>テーブル1[[#This Row],[リンク]]</f>
        <v>https://suihankinonaka.wixsite.com/my-site-1</v>
      </c>
      <c r="G72" s="19" t="str">
        <f>SUBSTITUTE(テーブル1[[#This Row],[作品タグ]]," ","|")</f>
        <v>#お米炊けたよ</v>
      </c>
      <c r="H72" s="19" t="str">
        <f>テーブル1[[#This Row],[性別]]&amp;""</f>
        <v/>
      </c>
      <c r="I72" s="19" t="str">
        <f>テーブル1[[#This Row],[種族タグ]]&amp;""</f>
        <v/>
      </c>
      <c r="J72" s="19" t="str">
        <f>テーブル1[[#This Row],[職業タグ]]&amp;""</f>
        <v/>
      </c>
      <c r="K72" s="19" t="str">
        <f>テーブル1[[#This Row],[小物タグ]]&amp;""</f>
        <v/>
      </c>
      <c r="L72" s="19" t="str">
        <f>テーブル1[[#This Row],[ワンポイントタグ]]&amp;""</f>
        <v/>
      </c>
    </row>
    <row r="73" spans="1:12" ht="20.149999999999999" customHeight="1" x14ac:dyDescent="0.35">
      <c r="A73" s="19">
        <f>テーブル1[[#This Row],[番号]]</f>
        <v>72</v>
      </c>
      <c r="B73" s="19" t="str">
        <f>テーブル1[[#This Row],[名前]]</f>
        <v>轟まだら</v>
      </c>
      <c r="C73" s="19" t="str">
        <f>テーブル1[[#This Row],[なまえ]]</f>
        <v>とどろき まだら</v>
      </c>
      <c r="D73" s="19" t="str">
        <f>テーブル1[[#This Row],[Name]]</f>
        <v>Todoroki Madara</v>
      </c>
      <c r="E73" s="19" t="str">
        <f>"image/"&amp;テーブル1[[#This Row],[画像]]&amp;".png"</f>
        <v>image/todoroki-madara.png</v>
      </c>
      <c r="F73" s="19" t="str">
        <f>テーブル1[[#This Row],[リンク]]</f>
        <v>https://suihankinonaka.wixsite.com/my-site-1</v>
      </c>
      <c r="G73" s="19" t="str">
        <f>SUBSTITUTE(テーブル1[[#This Row],[作品タグ]]," ","|")</f>
        <v>#お米炊けたよ</v>
      </c>
      <c r="H73" s="19" t="str">
        <f>テーブル1[[#This Row],[性別]]&amp;""</f>
        <v/>
      </c>
      <c r="I73" s="19" t="str">
        <f>テーブル1[[#This Row],[種族タグ]]&amp;""</f>
        <v/>
      </c>
      <c r="J73" s="19" t="str">
        <f>テーブル1[[#This Row],[職業タグ]]&amp;""</f>
        <v/>
      </c>
      <c r="K73" s="19" t="str">
        <f>テーブル1[[#This Row],[小物タグ]]&amp;""</f>
        <v/>
      </c>
      <c r="L73" s="19" t="str">
        <f>テーブル1[[#This Row],[ワンポイントタグ]]&amp;""</f>
        <v/>
      </c>
    </row>
    <row r="74" spans="1:12" ht="20.149999999999999" customHeight="1" x14ac:dyDescent="0.35">
      <c r="A74" s="19">
        <f>テーブル1[[#This Row],[番号]]</f>
        <v>73</v>
      </c>
      <c r="B74" s="19" t="str">
        <f>テーブル1[[#This Row],[名前]]</f>
        <v>駑馬十駕</v>
      </c>
      <c r="C74" s="19" t="str">
        <f>テーブル1[[#This Row],[なまえ]]</f>
        <v>どば じゅうが</v>
      </c>
      <c r="D74" s="19" t="str">
        <f>テーブル1[[#This Row],[Name]]</f>
        <v>Doba Juga</v>
      </c>
      <c r="E74" s="19" t="str">
        <f>"image/"&amp;テーブル1[[#This Row],[画像]]&amp;".png"</f>
        <v>image/doba-juga.png</v>
      </c>
      <c r="F74" s="19" t="str">
        <f>テーブル1[[#This Row],[リンク]]</f>
        <v>https://lit.link/nemukoneko</v>
      </c>
      <c r="G74" s="19" t="str">
        <f>SUBSTITUTE(テーブル1[[#This Row],[作品タグ]]," ","|")</f>
        <v>#十駕走行録</v>
      </c>
      <c r="H74" s="19" t="str">
        <f>テーブル1[[#This Row],[性別]]&amp;""</f>
        <v/>
      </c>
      <c r="I74" s="19" t="str">
        <f>テーブル1[[#This Row],[種族タグ]]&amp;""</f>
        <v/>
      </c>
      <c r="J74" s="19" t="str">
        <f>テーブル1[[#This Row],[職業タグ]]&amp;""</f>
        <v/>
      </c>
      <c r="K74" s="19" t="str">
        <f>テーブル1[[#This Row],[小物タグ]]&amp;""</f>
        <v/>
      </c>
      <c r="L74" s="19" t="str">
        <f>テーブル1[[#This Row],[ワンポイントタグ]]&amp;""</f>
        <v/>
      </c>
    </row>
    <row r="75" spans="1:12" ht="20.149999999999999" customHeight="1" x14ac:dyDescent="0.35">
      <c r="A75" s="19">
        <f>テーブル1[[#This Row],[番号]]</f>
        <v>74</v>
      </c>
      <c r="B75" s="19" t="str">
        <f>テーブル1[[#This Row],[名前]]</f>
        <v>取音テア</v>
      </c>
      <c r="C75" s="19" t="str">
        <f>テーブル1[[#This Row],[なまえ]]</f>
        <v>とるね てあ</v>
      </c>
      <c r="D75" s="19" t="str">
        <f>テーブル1[[#This Row],[Name]]</f>
        <v>Torune Tea</v>
      </c>
      <c r="E75" s="19" t="str">
        <f>"image/"&amp;テーブル1[[#This Row],[画像]]&amp;".png"</f>
        <v>image/torune-tea.png</v>
      </c>
      <c r="F75" s="19" t="str">
        <f>テーブル1[[#This Row],[リンク]]</f>
        <v>https://amiseniamnu.wixsite.com/amisenia</v>
      </c>
      <c r="G75" s="19" t="str">
        <f>SUBSTITUTE(テーブル1[[#This Row],[作品タグ]]," ","|")</f>
        <v>#取音テア</v>
      </c>
      <c r="H75" s="19" t="str">
        <f>テーブル1[[#This Row],[性別]]&amp;""</f>
        <v/>
      </c>
      <c r="I75" s="19" t="str">
        <f>テーブル1[[#This Row],[種族タグ]]&amp;""</f>
        <v/>
      </c>
      <c r="J75" s="19" t="str">
        <f>テーブル1[[#This Row],[職業タグ]]&amp;""</f>
        <v/>
      </c>
      <c r="K75" s="19" t="str">
        <f>テーブル1[[#This Row],[小物タグ]]&amp;""</f>
        <v/>
      </c>
      <c r="L75" s="19" t="str">
        <f>テーブル1[[#This Row],[ワンポイントタグ]]&amp;""</f>
        <v/>
      </c>
    </row>
    <row r="76" spans="1:12" ht="20.149999999999999" customHeight="1" x14ac:dyDescent="0.35">
      <c r="A76" s="19">
        <f>テーブル1[[#This Row],[番号]]</f>
        <v>75</v>
      </c>
      <c r="B76" s="19" t="str">
        <f>テーブル1[[#This Row],[名前]]</f>
        <v>ドルン</v>
      </c>
      <c r="C76" s="19" t="str">
        <f>テーブル1[[#This Row],[なまえ]]</f>
        <v>どるん</v>
      </c>
      <c r="D76" s="19" t="str">
        <f>テーブル1[[#This Row],[Name]]</f>
        <v>Dolln</v>
      </c>
      <c r="E76" s="19" t="str">
        <f>"image/"&amp;テーブル1[[#This Row],[画像]]&amp;".png"</f>
        <v>image/dolln.png</v>
      </c>
      <c r="F76" s="19" t="str">
        <f>テーブル1[[#This Row],[リンク]]</f>
        <v>https://seirentoybox.jimdofree.com</v>
      </c>
      <c r="G76" s="19" t="str">
        <f>SUBSTITUTE(テーブル1[[#This Row],[作品タグ]]," ","|")</f>
        <v>#セレソー作</v>
      </c>
      <c r="H76" s="19" t="str">
        <f>テーブル1[[#This Row],[性別]]&amp;""</f>
        <v>女性</v>
      </c>
      <c r="I76" s="19" t="str">
        <f>テーブル1[[#This Row],[種族タグ]]&amp;""</f>
        <v>人形</v>
      </c>
      <c r="J76" s="19" t="str">
        <f>テーブル1[[#This Row],[職業タグ]]&amp;""</f>
        <v/>
      </c>
      <c r="K76" s="19" t="str">
        <f>テーブル1[[#This Row],[小物タグ]]&amp;""</f>
        <v>リボン</v>
      </c>
      <c r="L76" s="19" t="str">
        <f>テーブル1[[#This Row],[ワンポイントタグ]]&amp;""</f>
        <v/>
      </c>
    </row>
    <row r="77" spans="1:12" ht="20.149999999999999" customHeight="1" x14ac:dyDescent="0.35">
      <c r="A77" s="19">
        <f>テーブル1[[#This Row],[番号]]</f>
        <v>76</v>
      </c>
      <c r="B77" s="19" t="str">
        <f>テーブル1[[#This Row],[名前]]</f>
        <v>ナースロボ_タイプT</v>
      </c>
      <c r="C77" s="19" t="str">
        <f>テーブル1[[#This Row],[なまえ]]</f>
        <v>なーすろぼ_たいぷてぃ</v>
      </c>
      <c r="D77" s="19" t="str">
        <f>テーブル1[[#This Row],[Name]]</f>
        <v>NurseRobot_TypeT</v>
      </c>
      <c r="E77" s="19" t="str">
        <f>"image/"&amp;テーブル1[[#This Row],[画像]]&amp;".png"</f>
        <v>image/nurserobot-typet.png</v>
      </c>
      <c r="F77" s="19" t="str">
        <f>テーブル1[[#This Row],[リンク]]</f>
        <v>https://www.krnr.top</v>
      </c>
      <c r="G77" s="19" t="str">
        <f>SUBSTITUTE(テーブル1[[#This Row],[作品タグ]]," ","|")</f>
        <v>#ナースロボ_タイプＴ</v>
      </c>
      <c r="H77" s="19" t="str">
        <f>テーブル1[[#This Row],[性別]]&amp;""</f>
        <v/>
      </c>
      <c r="I77" s="19" t="str">
        <f>テーブル1[[#This Row],[種族タグ]]&amp;""</f>
        <v/>
      </c>
      <c r="J77" s="19" t="str">
        <f>テーブル1[[#This Row],[職業タグ]]&amp;""</f>
        <v/>
      </c>
      <c r="K77" s="19" t="str">
        <f>テーブル1[[#This Row],[小物タグ]]&amp;""</f>
        <v/>
      </c>
      <c r="L77" s="19" t="str">
        <f>テーブル1[[#This Row],[ワンポイントタグ]]&amp;""</f>
        <v/>
      </c>
    </row>
    <row r="78" spans="1:12" ht="20.149999999999999" customHeight="1" x14ac:dyDescent="0.35">
      <c r="A78" s="19">
        <f>テーブル1[[#This Row],[番号]]</f>
        <v>77</v>
      </c>
      <c r="B78" s="19" t="str">
        <f>テーブル1[[#This Row],[名前]]</f>
        <v>詠冥ミジ</v>
      </c>
      <c r="C78" s="19" t="str">
        <f>テーブル1[[#This Row],[なまえ]]</f>
        <v>ながくら みじ</v>
      </c>
      <c r="D78" s="19" t="str">
        <f>テーブル1[[#This Row],[Name]]</f>
        <v>Nagakura Miji</v>
      </c>
      <c r="E78" s="19" t="str">
        <f>"image/"&amp;テーブル1[[#This Row],[画像]]&amp;".png"</f>
        <v>image/nagakura-miji.png</v>
      </c>
      <c r="F78" s="19" t="str">
        <f>テーブル1[[#This Row],[リンク]]</f>
        <v>https://666not.wixsite.com/partition-voyage</v>
      </c>
      <c r="G78" s="19" t="str">
        <f>SUBSTITUTE(テーブル1[[#This Row],[作品タグ]]," ","|")</f>
        <v>#ミジのみち</v>
      </c>
      <c r="H78" s="19" t="str">
        <f>テーブル1[[#This Row],[性別]]&amp;""</f>
        <v/>
      </c>
      <c r="I78" s="19" t="str">
        <f>テーブル1[[#This Row],[種族タグ]]&amp;""</f>
        <v/>
      </c>
      <c r="J78" s="19" t="str">
        <f>テーブル1[[#This Row],[職業タグ]]&amp;""</f>
        <v/>
      </c>
      <c r="K78" s="19" t="str">
        <f>テーブル1[[#This Row],[小物タグ]]&amp;""</f>
        <v/>
      </c>
      <c r="L78" s="19" t="str">
        <f>テーブル1[[#This Row],[ワンポイントタグ]]&amp;""</f>
        <v/>
      </c>
    </row>
    <row r="79" spans="1:12" ht="20.149999999999999" customHeight="1" x14ac:dyDescent="0.35">
      <c r="A79" s="19">
        <f>テーブル1[[#This Row],[番号]]</f>
        <v>78</v>
      </c>
      <c r="B79" s="19" t="str">
        <f>テーブル1[[#This Row],[名前]]</f>
        <v>流音ナナシ</v>
      </c>
      <c r="C79" s="19" t="str">
        <f>テーブル1[[#This Row],[なまえ]]</f>
        <v>ながれね ななし</v>
      </c>
      <c r="D79" s="19" t="str">
        <f>テーブル1[[#This Row],[Name]]</f>
        <v>Nagarene Nanashi</v>
      </c>
      <c r="E79" s="19" t="str">
        <f>"image/"&amp;テーブル1[[#This Row],[画像]]&amp;".png"</f>
        <v>image/nagarene-nanashi.png</v>
      </c>
      <c r="F79" s="19" t="str">
        <f>テーブル1[[#This Row],[リンク]]</f>
        <v>https://rinnneuta.wixsite.com/my-site-2?s=09</v>
      </c>
      <c r="G79" s="19" t="str">
        <f>SUBSTITUTE(テーブル1[[#This Row],[作品タグ]]," ","|")</f>
        <v>#君の心音は星の音</v>
      </c>
      <c r="H79" s="19" t="str">
        <f>テーブル1[[#This Row],[性別]]&amp;""</f>
        <v/>
      </c>
      <c r="I79" s="19" t="str">
        <f>テーブル1[[#This Row],[種族タグ]]&amp;""</f>
        <v/>
      </c>
      <c r="J79" s="19" t="str">
        <f>テーブル1[[#This Row],[職業タグ]]&amp;""</f>
        <v/>
      </c>
      <c r="K79" s="19" t="str">
        <f>テーブル1[[#This Row],[小物タグ]]&amp;""</f>
        <v/>
      </c>
      <c r="L79" s="19" t="str">
        <f>テーブル1[[#This Row],[ワンポイントタグ]]&amp;""</f>
        <v/>
      </c>
    </row>
    <row r="80" spans="1:12" ht="20.149999999999999" customHeight="1" x14ac:dyDescent="0.35">
      <c r="A80" s="19">
        <f>テーブル1[[#This Row],[番号]]</f>
        <v>79</v>
      </c>
      <c r="B80" s="19" t="str">
        <f>テーブル1[[#This Row],[名前]]</f>
        <v>猫垣一姫</v>
      </c>
      <c r="C80" s="19" t="str">
        <f>テーブル1[[#This Row],[なまえ]]</f>
        <v>なこがき いつき</v>
      </c>
      <c r="D80" s="19" t="str">
        <f>テーブル1[[#This Row],[Name]]</f>
        <v>Nakogaki Itsuki</v>
      </c>
      <c r="E80" s="19" t="str">
        <f>"image/"&amp;テーブル1[[#This Row],[画像]]&amp;".png"</f>
        <v>image/nakogaki-itsuki.png</v>
      </c>
      <c r="F80" s="19" t="str">
        <f>テーブル1[[#This Row],[リンク]]</f>
        <v>http://park2.wakwak.com/~mbox/vo/hk/hkfre.htm</v>
      </c>
      <c r="G80" s="19" t="str">
        <f>SUBSTITUTE(テーブル1[[#This Row],[作品タグ]]," ","|")</f>
        <v>#猫垣一姫</v>
      </c>
      <c r="H80" s="19" t="str">
        <f>テーブル1[[#This Row],[性別]]&amp;""</f>
        <v/>
      </c>
      <c r="I80" s="19" t="str">
        <f>テーブル1[[#This Row],[種族タグ]]&amp;""</f>
        <v/>
      </c>
      <c r="J80" s="19" t="str">
        <f>テーブル1[[#This Row],[職業タグ]]&amp;""</f>
        <v/>
      </c>
      <c r="K80" s="19" t="str">
        <f>テーブル1[[#This Row],[小物タグ]]&amp;""</f>
        <v/>
      </c>
      <c r="L80" s="19" t="str">
        <f>テーブル1[[#This Row],[ワンポイントタグ]]&amp;""</f>
        <v/>
      </c>
    </row>
    <row r="81" spans="1:12" ht="20.149999999999999" customHeight="1" x14ac:dyDescent="0.35">
      <c r="A81" s="19">
        <f>テーブル1[[#This Row],[番号]]</f>
        <v>80</v>
      </c>
      <c r="B81" s="19" t="str">
        <f>テーブル1[[#This Row],[名前]]</f>
        <v>撫音小鞠</v>
      </c>
      <c r="C81" s="19" t="str">
        <f>テーブル1[[#This Row],[なまえ]]</f>
        <v>なでね こまり</v>
      </c>
      <c r="D81" s="19" t="str">
        <f>テーブル1[[#This Row],[Name]]</f>
        <v>Nadene Komari</v>
      </c>
      <c r="E81" s="19" t="str">
        <f>"image/"&amp;テーブル1[[#This Row],[画像]]&amp;".png"</f>
        <v>image/nadene-komari.png</v>
      </c>
      <c r="F81" s="19" t="str">
        <f>テーブル1[[#This Row],[リンク]]</f>
        <v>https://lonelyapple011.wixsite.com/nadenade</v>
      </c>
      <c r="G81" s="19" t="str">
        <f>SUBSTITUTE(テーブル1[[#This Row],[作品タグ]]," ","|")</f>
        <v>#撫音小鞠</v>
      </c>
      <c r="H81" s="19" t="str">
        <f>テーブル1[[#This Row],[性別]]&amp;""</f>
        <v/>
      </c>
      <c r="I81" s="19" t="str">
        <f>テーブル1[[#This Row],[種族タグ]]&amp;""</f>
        <v/>
      </c>
      <c r="J81" s="19" t="str">
        <f>テーブル1[[#This Row],[職業タグ]]&amp;""</f>
        <v/>
      </c>
      <c r="K81" s="19" t="str">
        <f>テーブル1[[#This Row],[小物タグ]]&amp;""</f>
        <v/>
      </c>
      <c r="L81" s="19" t="str">
        <f>テーブル1[[#This Row],[ワンポイントタグ]]&amp;""</f>
        <v/>
      </c>
    </row>
    <row r="82" spans="1:12" ht="20.149999999999999" customHeight="1" x14ac:dyDescent="0.35">
      <c r="A82" s="19">
        <f>テーブル1[[#This Row],[番号]]</f>
        <v>81</v>
      </c>
      <c r="B82" s="19" t="str">
        <f>テーブル1[[#This Row],[名前]]</f>
        <v>猫耳宇宙服</v>
      </c>
      <c r="C82" s="19" t="str">
        <f>テーブル1[[#This Row],[なまえ]]</f>
        <v>ねこみみうちゅうふく</v>
      </c>
      <c r="D82" s="19" t="str">
        <f>テーブル1[[#This Row],[Name]]</f>
        <v>Nekomimiuchufuku</v>
      </c>
      <c r="E82" s="19" t="str">
        <f>"image/"&amp;テーブル1[[#This Row],[画像]]&amp;".png"</f>
        <v>image/nekomimiuchufuku.png</v>
      </c>
      <c r="F82" s="19" t="str">
        <f>テーブル1[[#This Row],[リンク]]</f>
        <v>https://nyaruru.wixsite.com/s-p-w</v>
      </c>
      <c r="G82" s="19" t="str">
        <f>SUBSTITUTE(テーブル1[[#This Row],[作品タグ]]," ","|")</f>
        <v>#mono_猫耳宇宙服</v>
      </c>
      <c r="H82" s="19" t="str">
        <f>テーブル1[[#This Row],[性別]]&amp;""</f>
        <v/>
      </c>
      <c r="I82" s="19" t="str">
        <f>テーブル1[[#This Row],[種族タグ]]&amp;""</f>
        <v/>
      </c>
      <c r="J82" s="19" t="str">
        <f>テーブル1[[#This Row],[職業タグ]]&amp;""</f>
        <v/>
      </c>
      <c r="K82" s="19" t="str">
        <f>テーブル1[[#This Row],[小物タグ]]&amp;""</f>
        <v/>
      </c>
      <c r="L82" s="19" t="str">
        <f>テーブル1[[#This Row],[ワンポイントタグ]]&amp;""</f>
        <v/>
      </c>
    </row>
    <row r="83" spans="1:12" ht="20.149999999999999" customHeight="1" x14ac:dyDescent="0.35">
      <c r="A83" s="19">
        <f>テーブル1[[#This Row],[番号]]</f>
        <v>82</v>
      </c>
      <c r="B83" s="19" t="str">
        <f>テーブル1[[#This Row],[名前]]</f>
        <v>眠井ヨウ</v>
      </c>
      <c r="C83" s="19" t="str">
        <f>テーブル1[[#This Row],[なまえ]]</f>
        <v>ねむい よう</v>
      </c>
      <c r="D83" s="19" t="str">
        <f>テーブル1[[#This Row],[Name]]</f>
        <v>Nemui You</v>
      </c>
      <c r="E83" s="19" t="str">
        <f>"image/"&amp;テーブル1[[#This Row],[画像]]&amp;".png"</f>
        <v>image/nemui-you.png</v>
      </c>
      <c r="F83" s="19" t="str">
        <f>テーブル1[[#This Row],[リンク]]</f>
        <v>https://sysynmnm.wixsite.com/oyasumi-zzz</v>
      </c>
      <c r="G83" s="19" t="str">
        <f>SUBSTITUTE(テーブル1[[#This Row],[作品タグ]]," ","|")</f>
        <v>#ひつじの寝床</v>
      </c>
      <c r="H83" s="19" t="str">
        <f>テーブル1[[#This Row],[性別]]&amp;""</f>
        <v/>
      </c>
      <c r="I83" s="19" t="str">
        <f>テーブル1[[#This Row],[種族タグ]]&amp;""</f>
        <v/>
      </c>
      <c r="J83" s="19" t="str">
        <f>テーブル1[[#This Row],[職業タグ]]&amp;""</f>
        <v/>
      </c>
      <c r="K83" s="19" t="str">
        <f>テーブル1[[#This Row],[小物タグ]]&amp;""</f>
        <v/>
      </c>
      <c r="L83" s="19" t="str">
        <f>テーブル1[[#This Row],[ワンポイントタグ]]&amp;""</f>
        <v/>
      </c>
    </row>
    <row r="84" spans="1:12" ht="20.149999999999999" customHeight="1" x14ac:dyDescent="0.35">
      <c r="A84" s="19">
        <f>テーブル1[[#This Row],[番号]]</f>
        <v>83</v>
      </c>
      <c r="B84" s="19" t="str">
        <f>テーブル1[[#This Row],[名前]]</f>
        <v>寝村ナイ</v>
      </c>
      <c r="C84" s="19" t="str">
        <f>テーブル1[[#This Row],[なまえ]]</f>
        <v>ねむら ない</v>
      </c>
      <c r="D84" s="19" t="str">
        <f>テーブル1[[#This Row],[Name]]</f>
        <v>Nemura Nai</v>
      </c>
      <c r="E84" s="19" t="str">
        <f>"image/"&amp;テーブル1[[#This Row],[画像]]&amp;".png"</f>
        <v>image/nemura-nai.png</v>
      </c>
      <c r="F84" s="19" t="str">
        <f>テーブル1[[#This Row],[リンク]]</f>
        <v>https://sysynmnm.wixsite.com/oyasumi-zzz</v>
      </c>
      <c r="G84" s="19" t="str">
        <f>SUBSTITUTE(テーブル1[[#This Row],[作品タグ]]," ","|")</f>
        <v>#ひつじの寝床</v>
      </c>
      <c r="H84" s="19" t="str">
        <f>テーブル1[[#This Row],[性別]]&amp;""</f>
        <v/>
      </c>
      <c r="I84" s="19" t="str">
        <f>テーブル1[[#This Row],[種族タグ]]&amp;""</f>
        <v/>
      </c>
      <c r="J84" s="19" t="str">
        <f>テーブル1[[#This Row],[職業タグ]]&amp;""</f>
        <v/>
      </c>
      <c r="K84" s="19" t="str">
        <f>テーブル1[[#This Row],[小物タグ]]&amp;""</f>
        <v/>
      </c>
      <c r="L84" s="19" t="str">
        <f>テーブル1[[#This Row],[ワンポイントタグ]]&amp;""</f>
        <v/>
      </c>
    </row>
    <row r="85" spans="1:12" ht="20.149999999999999" customHeight="1" x14ac:dyDescent="0.35">
      <c r="A85" s="19">
        <f>テーブル1[[#This Row],[番号]]</f>
        <v>84</v>
      </c>
      <c r="B85" s="19" t="str">
        <f>テーブル1[[#This Row],[名前]]</f>
        <v>ねんねこ</v>
      </c>
      <c r="C85" s="19" t="str">
        <f>テーブル1[[#This Row],[なまえ]]</f>
        <v>ねんねこ</v>
      </c>
      <c r="D85" s="19" t="str">
        <f>テーブル1[[#This Row],[Name]]</f>
        <v>Nenneko</v>
      </c>
      <c r="E85" s="19" t="str">
        <f>"image/"&amp;テーブル1[[#This Row],[画像]]&amp;".png"</f>
        <v>image/nenneko.png</v>
      </c>
      <c r="F85" s="19" t="str">
        <f>テーブル1[[#This Row],[リンク]]</f>
        <v>https://lit.link/nemukoneko</v>
      </c>
      <c r="G85" s="19" t="str">
        <f>SUBSTITUTE(テーブル1[[#This Row],[作品タグ]]," ","|")</f>
        <v>#ねんねこちゃんろぐ</v>
      </c>
      <c r="H85" s="19" t="str">
        <f>テーブル1[[#This Row],[性別]]&amp;""</f>
        <v/>
      </c>
      <c r="I85" s="19" t="str">
        <f>テーブル1[[#This Row],[種族タグ]]&amp;""</f>
        <v/>
      </c>
      <c r="J85" s="19" t="str">
        <f>テーブル1[[#This Row],[職業タグ]]&amp;""</f>
        <v/>
      </c>
      <c r="K85" s="19" t="str">
        <f>テーブル1[[#This Row],[小物タグ]]&amp;""</f>
        <v/>
      </c>
      <c r="L85" s="19" t="str">
        <f>テーブル1[[#This Row],[ワンポイントタグ]]&amp;""</f>
        <v/>
      </c>
    </row>
    <row r="86" spans="1:12" ht="20.149999999999999" customHeight="1" x14ac:dyDescent="0.35">
      <c r="A86" s="19">
        <f>テーブル1[[#This Row],[番号]]</f>
        <v>85</v>
      </c>
      <c r="B86" s="19" t="str">
        <f>テーブル1[[#This Row],[名前]]</f>
        <v>覗キ視炉</v>
      </c>
      <c r="C86" s="19" t="str">
        <f>テーブル1[[#This Row],[なまえ]]</f>
        <v>のぞき みろ</v>
      </c>
      <c r="D86" s="19" t="str">
        <f>テーブル1[[#This Row],[Name]]</f>
        <v>Nozoki Miro</v>
      </c>
      <c r="E86" s="19" t="str">
        <f>"image/"&amp;テーブル1[[#This Row],[画像]]&amp;".png"</f>
        <v>image/nozoki-miro.png</v>
      </c>
      <c r="F86" s="19" t="str">
        <f>テーブル1[[#This Row],[リンク]]</f>
        <v>-</v>
      </c>
      <c r="G86" s="19" t="str">
        <f>SUBSTITUTE(テーブル1[[#This Row],[作品タグ]]," ","|")</f>
        <v>覗キ視炉(UTAU)</v>
      </c>
      <c r="H86" s="19" t="str">
        <f>テーブル1[[#This Row],[性別]]&amp;""</f>
        <v/>
      </c>
      <c r="I86" s="19" t="str">
        <f>テーブル1[[#This Row],[種族タグ]]&amp;""</f>
        <v/>
      </c>
      <c r="J86" s="19" t="str">
        <f>テーブル1[[#This Row],[職業タグ]]&amp;""</f>
        <v/>
      </c>
      <c r="K86" s="19" t="str">
        <f>テーブル1[[#This Row],[小物タグ]]&amp;""</f>
        <v/>
      </c>
      <c r="L86" s="19" t="str">
        <f>テーブル1[[#This Row],[ワンポイントタグ]]&amp;""</f>
        <v/>
      </c>
    </row>
    <row r="87" spans="1:12" ht="20.149999999999999" customHeight="1" x14ac:dyDescent="0.35">
      <c r="A87" s="19">
        <f>テーブル1[[#This Row],[番号]]</f>
        <v>86</v>
      </c>
      <c r="B87" s="19" t="str">
        <f>テーブル1[[#This Row],[名前]]</f>
        <v>悲檄むりぽ</v>
      </c>
      <c r="C87" s="19" t="str">
        <f>テーブル1[[#This Row],[なまえ]]</f>
        <v>ひげき むりぽ</v>
      </c>
      <c r="D87" s="19" t="str">
        <f>テーブル1[[#This Row],[Name]]</f>
        <v>Higeki Muripo</v>
      </c>
      <c r="E87" s="19" t="str">
        <f>"image/"&amp;テーブル1[[#This Row],[画像]]&amp;".png"</f>
        <v>image/higeki-muripo.png</v>
      </c>
      <c r="F87" s="19" t="str">
        <f>テーブル1[[#This Row],[リンク]]</f>
        <v>https://seirentoybox.jimdofree.com</v>
      </c>
      <c r="G87" s="19" t="str">
        <f>SUBSTITUTE(テーブル1[[#This Row],[作品タグ]]," ","|")</f>
        <v>#セレソー作</v>
      </c>
      <c r="H87" s="19" t="str">
        <f>テーブル1[[#This Row],[性別]]&amp;""</f>
        <v>男性</v>
      </c>
      <c r="I87" s="19" t="str">
        <f>テーブル1[[#This Row],[種族タグ]]&amp;""</f>
        <v>妖精|双子</v>
      </c>
      <c r="J87" s="19" t="str">
        <f>テーブル1[[#This Row],[職業タグ]]&amp;""</f>
        <v>サーカス団員</v>
      </c>
      <c r="K87" s="19" t="str">
        <f>テーブル1[[#This Row],[小物タグ]]&amp;""</f>
        <v>リボン</v>
      </c>
      <c r="L87" s="19" t="str">
        <f>テーブル1[[#This Row],[ワンポイントタグ]]&amp;""</f>
        <v>ギザ歯</v>
      </c>
    </row>
    <row r="88" spans="1:12" ht="20.149999999999999" customHeight="1" x14ac:dyDescent="0.35">
      <c r="A88" s="19">
        <f>テーブル1[[#This Row],[番号]]</f>
        <v>87</v>
      </c>
      <c r="B88" s="19" t="str">
        <f>テーブル1[[#This Row],[名前]]</f>
        <v>フィス</v>
      </c>
      <c r="C88" s="19" t="str">
        <f>テーブル1[[#This Row],[なまえ]]</f>
        <v>ふぃす</v>
      </c>
      <c r="D88" s="19" t="str">
        <f>テーブル1[[#This Row],[Name]]</f>
        <v>Fis</v>
      </c>
      <c r="E88" s="19" t="str">
        <f>"image/"&amp;テーブル1[[#This Row],[画像]]&amp;".png"</f>
        <v>image/fis.png</v>
      </c>
      <c r="F88" s="19" t="str">
        <f>テーブル1[[#This Row],[リンク]]</f>
        <v>https://seirentoybox.jimdofree.com</v>
      </c>
      <c r="G88" s="19" t="str">
        <f>SUBSTITUTE(テーブル1[[#This Row],[作品タグ]]," ","|")</f>
        <v>#セレソー作</v>
      </c>
      <c r="H88" s="19" t="str">
        <f>テーブル1[[#This Row],[性別]]&amp;""</f>
        <v>男性</v>
      </c>
      <c r="I88" s="19" t="str">
        <f>テーブル1[[#This Row],[種族タグ]]&amp;""</f>
        <v>人間</v>
      </c>
      <c r="J88" s="19" t="str">
        <f>テーブル1[[#This Row],[職業タグ]]&amp;""</f>
        <v/>
      </c>
      <c r="K88" s="19" t="str">
        <f>テーブル1[[#This Row],[小物タグ]]&amp;""</f>
        <v>眼鏡</v>
      </c>
      <c r="L88" s="19" t="str">
        <f>テーブル1[[#This Row],[ワンポイントタグ]]&amp;""</f>
        <v>片目隠れ</v>
      </c>
    </row>
    <row r="89" spans="1:12" ht="20.149999999999999" customHeight="1" x14ac:dyDescent="0.35">
      <c r="A89" s="19">
        <f>テーブル1[[#This Row],[番号]]</f>
        <v>88</v>
      </c>
      <c r="B89" s="19" t="str">
        <f>テーブル1[[#This Row],[名前]]</f>
        <v>ふっきんちゃん</v>
      </c>
      <c r="C89" s="19" t="str">
        <f>テーブル1[[#This Row],[なまえ]]</f>
        <v>ふっきんちゃん</v>
      </c>
      <c r="D89" s="19" t="str">
        <f>テーブル1[[#This Row],[Name]]</f>
        <v>Abschan</v>
      </c>
      <c r="E89" s="19" t="str">
        <f>"image/"&amp;テーブル1[[#This Row],[画像]]&amp;".png"</f>
        <v>image/abschan.png</v>
      </c>
      <c r="F89" s="19" t="str">
        <f>テーブル1[[#This Row],[リンク]]</f>
        <v>https://abschandayo.wixsite.com/abschan</v>
      </c>
      <c r="G89" s="19" t="str">
        <f>SUBSTITUTE(テーブル1[[#This Row],[作品タグ]]," ","|")</f>
        <v>#ふきふき見せろ</v>
      </c>
      <c r="H89" s="19" t="str">
        <f>テーブル1[[#This Row],[性別]]&amp;""</f>
        <v/>
      </c>
      <c r="I89" s="19" t="str">
        <f>テーブル1[[#This Row],[種族タグ]]&amp;""</f>
        <v/>
      </c>
      <c r="J89" s="19" t="str">
        <f>テーブル1[[#This Row],[職業タグ]]&amp;""</f>
        <v/>
      </c>
      <c r="K89" s="19" t="str">
        <f>テーブル1[[#This Row],[小物タグ]]&amp;""</f>
        <v/>
      </c>
      <c r="L89" s="19" t="str">
        <f>テーブル1[[#This Row],[ワンポイントタグ]]&amp;""</f>
        <v/>
      </c>
    </row>
    <row r="90" spans="1:12" ht="20.149999999999999" customHeight="1" x14ac:dyDescent="0.35">
      <c r="A90" s="19">
        <f>テーブル1[[#This Row],[番号]]</f>
        <v>89</v>
      </c>
      <c r="B90" s="19" t="str">
        <f>テーブル1[[#This Row],[名前]]</f>
        <v>芳歌ノト</v>
      </c>
      <c r="C90" s="19" t="str">
        <f>テーブル1[[#This Row],[なまえ]]</f>
        <v>ほうが のと</v>
      </c>
      <c r="D90" s="19" t="str">
        <f>テーブル1[[#This Row],[Name]]</f>
        <v>Hoga Not</v>
      </c>
      <c r="E90" s="19" t="str">
        <f>"image/"&amp;テーブル1[[#This Row],[画像]]&amp;".png"</f>
        <v>image/hoga-not.png</v>
      </c>
      <c r="F90" s="19" t="str">
        <f>テーブル1[[#This Row],[リンク]]</f>
        <v>https://uta-tsunagi.jimdofree.com</v>
      </c>
      <c r="G90" s="19" t="str">
        <f>SUBSTITUTE(テーブル1[[#This Row],[作品タグ]]," ","|")</f>
        <v>#歌継荘</v>
      </c>
      <c r="H90" s="19" t="str">
        <f>テーブル1[[#This Row],[性別]]&amp;""</f>
        <v/>
      </c>
      <c r="I90" s="19" t="str">
        <f>テーブル1[[#This Row],[種族タグ]]&amp;""</f>
        <v/>
      </c>
      <c r="J90" s="19" t="str">
        <f>テーブル1[[#This Row],[職業タグ]]&amp;""</f>
        <v/>
      </c>
      <c r="K90" s="19" t="str">
        <f>テーブル1[[#This Row],[小物タグ]]&amp;""</f>
        <v/>
      </c>
      <c r="L90" s="19" t="str">
        <f>テーブル1[[#This Row],[ワンポイントタグ]]&amp;""</f>
        <v/>
      </c>
    </row>
    <row r="91" spans="1:12" ht="20.149999999999999" customHeight="1" x14ac:dyDescent="0.35">
      <c r="A91" s="19">
        <f>テーブル1[[#This Row],[番号]]</f>
        <v>90</v>
      </c>
      <c r="B91" s="19" t="str">
        <f>テーブル1[[#This Row],[名前]]</f>
        <v>星河ティア</v>
      </c>
      <c r="C91" s="19" t="str">
        <f>テーブル1[[#This Row],[なまえ]]</f>
        <v>ほしかわ てぃあ</v>
      </c>
      <c r="D91" s="19" t="str">
        <f>テーブル1[[#This Row],[Name]]</f>
        <v>Hoshikawa Tia</v>
      </c>
      <c r="E91" s="19" t="str">
        <f>"image/"&amp;テーブル1[[#This Row],[画像]]&amp;".png"</f>
        <v>image/hoshikawa-tia.png</v>
      </c>
      <c r="F91" s="19" t="str">
        <f>テーブル1[[#This Row],[リンク]]</f>
        <v>https://nyaruru.wixsite.com/s-p-w</v>
      </c>
      <c r="G91" s="19" t="str">
        <f>SUBSTITUTE(テーブル1[[#This Row],[作品タグ]]," ","|")</f>
        <v>#星河ティア</v>
      </c>
      <c r="H91" s="19" t="str">
        <f>テーブル1[[#This Row],[性別]]&amp;""</f>
        <v/>
      </c>
      <c r="I91" s="19" t="str">
        <f>テーブル1[[#This Row],[種族タグ]]&amp;""</f>
        <v/>
      </c>
      <c r="J91" s="19" t="str">
        <f>テーブル1[[#This Row],[職業タグ]]&amp;""</f>
        <v/>
      </c>
      <c r="K91" s="19" t="str">
        <f>テーブル1[[#This Row],[小物タグ]]&amp;""</f>
        <v/>
      </c>
      <c r="L91" s="19" t="str">
        <f>テーブル1[[#This Row],[ワンポイントタグ]]&amp;""</f>
        <v/>
      </c>
    </row>
    <row r="92" spans="1:12" ht="20.149999999999999" customHeight="1" x14ac:dyDescent="0.35">
      <c r="A92" s="19">
        <f>テーブル1[[#This Row],[番号]]</f>
        <v>91</v>
      </c>
      <c r="B92" s="19" t="str">
        <f>テーブル1[[#This Row],[名前]]</f>
        <v>星河フレア</v>
      </c>
      <c r="C92" s="19" t="str">
        <f>テーブル1[[#This Row],[なまえ]]</f>
        <v>ほしかわ ふれあ</v>
      </c>
      <c r="D92" s="19" t="str">
        <f>テーブル1[[#This Row],[Name]]</f>
        <v>Hoshikawa Furea</v>
      </c>
      <c r="E92" s="19" t="str">
        <f>"image/"&amp;テーブル1[[#This Row],[画像]]&amp;".png"</f>
        <v>image/hoshikawa-furea.png</v>
      </c>
      <c r="F92" s="19" t="str">
        <f>テーブル1[[#This Row],[リンク]]</f>
        <v>https://nyaruru.wixsite.com/s-p-w</v>
      </c>
      <c r="G92" s="19" t="str">
        <f>SUBSTITUTE(テーブル1[[#This Row],[作品タグ]]," ","|")</f>
        <v>#星河フレア</v>
      </c>
      <c r="H92" s="19" t="str">
        <f>テーブル1[[#This Row],[性別]]&amp;""</f>
        <v/>
      </c>
      <c r="I92" s="19" t="str">
        <f>テーブル1[[#This Row],[種族タグ]]&amp;""</f>
        <v/>
      </c>
      <c r="J92" s="19" t="str">
        <f>テーブル1[[#This Row],[職業タグ]]&amp;""</f>
        <v/>
      </c>
      <c r="K92" s="19" t="str">
        <f>テーブル1[[#This Row],[小物タグ]]&amp;""</f>
        <v/>
      </c>
      <c r="L92" s="19" t="str">
        <f>テーブル1[[#This Row],[ワンポイントタグ]]&amp;""</f>
        <v/>
      </c>
    </row>
    <row r="93" spans="1:12" ht="20.149999999999999" customHeight="1" x14ac:dyDescent="0.35">
      <c r="A93" s="19">
        <f>テーブル1[[#This Row],[番号]]</f>
        <v>92</v>
      </c>
      <c r="B93" s="19" t="str">
        <f>テーブル1[[#This Row],[名前]]</f>
        <v>星詠ゆめ</v>
      </c>
      <c r="C93" s="19" t="str">
        <f>テーブル1[[#This Row],[なまえ]]</f>
        <v>ほしよみ ゆめ</v>
      </c>
      <c r="D93" s="19" t="str">
        <f>テーブル1[[#This Row],[Name]]</f>
        <v>Hosiyomi Yume</v>
      </c>
      <c r="E93" s="19" t="str">
        <f>"image/"&amp;テーブル1[[#This Row],[画像]]&amp;".png"</f>
        <v>image/hosiyomi-yume.png</v>
      </c>
      <c r="F93" s="19" t="str">
        <f>テーブル1[[#This Row],[リンク]]</f>
        <v>https://hosiyomi.jimdofree.com</v>
      </c>
      <c r="G93" s="19" t="str">
        <f>SUBSTITUTE(テーブル1[[#This Row],[作品タグ]]," ","|")</f>
        <v>#星詠ゆめ</v>
      </c>
      <c r="H93" s="19" t="str">
        <f>テーブル1[[#This Row],[性別]]&amp;""</f>
        <v/>
      </c>
      <c r="I93" s="19" t="str">
        <f>テーブル1[[#This Row],[種族タグ]]&amp;""</f>
        <v/>
      </c>
      <c r="J93" s="19" t="str">
        <f>テーブル1[[#This Row],[職業タグ]]&amp;""</f>
        <v/>
      </c>
      <c r="K93" s="19" t="str">
        <f>テーブル1[[#This Row],[小物タグ]]&amp;""</f>
        <v/>
      </c>
      <c r="L93" s="19" t="str">
        <f>テーブル1[[#This Row],[ワンポイントタグ]]&amp;""</f>
        <v/>
      </c>
    </row>
    <row r="94" spans="1:12" ht="20.149999999999999" customHeight="1" x14ac:dyDescent="0.35">
      <c r="A94" s="19">
        <f>テーブル1[[#This Row],[番号]]</f>
        <v>93</v>
      </c>
      <c r="B94" s="19" t="str">
        <f>テーブル1[[#This Row],[名前]]</f>
        <v>蛍(ほたる)</v>
      </c>
      <c r="C94" s="19" t="str">
        <f>テーブル1[[#This Row],[なまえ]]</f>
        <v>ほたる</v>
      </c>
      <c r="D94" s="19" t="str">
        <f>テーブル1[[#This Row],[Name]]</f>
        <v>Hotaru</v>
      </c>
      <c r="E94" s="19" t="str">
        <f>"image/"&amp;テーブル1[[#This Row],[画像]]&amp;".png"</f>
        <v>image/hotaru.png</v>
      </c>
      <c r="F94" s="19" t="str">
        <f>テーブル1[[#This Row],[リンク]]</f>
        <v>http://park2.wakwak.com/~mbox/vo/hk/hkfre.htm</v>
      </c>
      <c r="G94" s="19" t="str">
        <f>SUBSTITUTE(テーブル1[[#This Row],[作品タグ]]," ","|")</f>
        <v>#蛍_UTAU</v>
      </c>
      <c r="H94" s="19" t="str">
        <f>テーブル1[[#This Row],[性別]]&amp;""</f>
        <v/>
      </c>
      <c r="I94" s="19" t="str">
        <f>テーブル1[[#This Row],[種族タグ]]&amp;""</f>
        <v/>
      </c>
      <c r="J94" s="19" t="str">
        <f>テーブル1[[#This Row],[職業タグ]]&amp;""</f>
        <v/>
      </c>
      <c r="K94" s="19" t="str">
        <f>テーブル1[[#This Row],[小物タグ]]&amp;""</f>
        <v/>
      </c>
      <c r="L94" s="19" t="str">
        <f>テーブル1[[#This Row],[ワンポイントタグ]]&amp;""</f>
        <v/>
      </c>
    </row>
    <row r="95" spans="1:12" ht="20.149999999999999" customHeight="1" x14ac:dyDescent="0.35">
      <c r="A95" s="19">
        <f>テーブル1[[#This Row],[番号]]</f>
        <v>94</v>
      </c>
      <c r="B95" s="19" t="str">
        <f>テーブル1[[#This Row],[名前]]</f>
        <v>松田っぽいね</v>
      </c>
      <c r="C95" s="19" t="str">
        <f>テーブル1[[#This Row],[なまえ]]</f>
        <v>まつだっぽいね</v>
      </c>
      <c r="D95" s="19" t="str">
        <f>テーブル1[[#This Row],[Name]]</f>
        <v>Matsudappoine</v>
      </c>
      <c r="E95" s="19" t="str">
        <f>"image/"&amp;テーブル1[[#This Row],[画像]]&amp;".png"</f>
        <v>image/matsudappoine.png</v>
      </c>
      <c r="F95" s="19" t="str">
        <f>テーブル1[[#This Row],[リンク]]</f>
        <v>http://lllll17.web.fc2.com/index.html</v>
      </c>
      <c r="G95" s="19" t="str">
        <f>SUBSTITUTE(テーブル1[[#This Row],[作品タグ]]," ","|")</f>
        <v>#松田っぽいね</v>
      </c>
      <c r="H95" s="19" t="str">
        <f>テーブル1[[#This Row],[性別]]&amp;""</f>
        <v/>
      </c>
      <c r="I95" s="19" t="str">
        <f>テーブル1[[#This Row],[種族タグ]]&amp;""</f>
        <v/>
      </c>
      <c r="J95" s="19" t="str">
        <f>テーブル1[[#This Row],[職業タグ]]&amp;""</f>
        <v/>
      </c>
      <c r="K95" s="19" t="str">
        <f>テーブル1[[#This Row],[小物タグ]]&amp;""</f>
        <v/>
      </c>
      <c r="L95" s="19" t="str">
        <f>テーブル1[[#This Row],[ワンポイントタグ]]&amp;""</f>
        <v/>
      </c>
    </row>
    <row r="96" spans="1:12" ht="20.149999999999999" customHeight="1" x14ac:dyDescent="0.35">
      <c r="A96" s="19">
        <f>テーブル1[[#This Row],[番号]]</f>
        <v>95</v>
      </c>
      <c r="B96" s="19" t="str">
        <f>テーブル1[[#This Row],[名前]]</f>
        <v>松田っぽいよ</v>
      </c>
      <c r="C96" s="19" t="str">
        <f>テーブル1[[#This Row],[なまえ]]</f>
        <v>まつだっぽいよ</v>
      </c>
      <c r="D96" s="19" t="str">
        <f>テーブル1[[#This Row],[Name]]</f>
        <v>Matsudappoiyo</v>
      </c>
      <c r="E96" s="19" t="str">
        <f>"image/"&amp;テーブル1[[#This Row],[画像]]&amp;".png"</f>
        <v>image/matsudappoiyo.png</v>
      </c>
      <c r="F96" s="19" t="str">
        <f>テーブル1[[#This Row],[リンク]]</f>
        <v>http://lllll17.web.fc2.com/index.html</v>
      </c>
      <c r="G96" s="19" t="str">
        <f>SUBSTITUTE(テーブル1[[#This Row],[作品タグ]]," ","|")</f>
        <v>#松田っぽいよ</v>
      </c>
      <c r="H96" s="19" t="str">
        <f>テーブル1[[#This Row],[性別]]&amp;""</f>
        <v/>
      </c>
      <c r="I96" s="19" t="str">
        <f>テーブル1[[#This Row],[種族タグ]]&amp;""</f>
        <v/>
      </c>
      <c r="J96" s="19" t="str">
        <f>テーブル1[[#This Row],[職業タグ]]&amp;""</f>
        <v/>
      </c>
      <c r="K96" s="19" t="str">
        <f>テーブル1[[#This Row],[小物タグ]]&amp;""</f>
        <v/>
      </c>
      <c r="L96" s="19" t="str">
        <f>テーブル1[[#This Row],[ワンポイントタグ]]&amp;""</f>
        <v/>
      </c>
    </row>
    <row r="97" spans="1:12" ht="20.149999999999999" customHeight="1" x14ac:dyDescent="0.35">
      <c r="A97" s="19">
        <f>テーブル1[[#This Row],[番号]]</f>
        <v>96</v>
      </c>
      <c r="B97" s="19" t="str">
        <f>テーブル1[[#This Row],[名前]]</f>
        <v>​沫幸チトセ</v>
      </c>
      <c r="C97" s="19" t="str">
        <f>テーブル1[[#This Row],[なまえ]]</f>
        <v>まつゆき ちとせ</v>
      </c>
      <c r="D97" s="19" t="str">
        <f>テーブル1[[#This Row],[Name]]</f>
        <v>Matsuyuki Chitose</v>
      </c>
      <c r="E97" s="19" t="str">
        <f>"image/"&amp;テーブル1[[#This Row],[画像]]&amp;".png"</f>
        <v>image/matsuyuki-chitose.png</v>
      </c>
      <c r="F97" s="19" t="str">
        <f>テーブル1[[#This Row],[リンク]]</f>
        <v>https://nichikuniku1129063.wixsite.com/website-3</v>
      </c>
      <c r="G97" s="19" t="str">
        <f>SUBSTITUTE(テーブル1[[#This Row],[作品タグ]]," ","|")</f>
        <v>#Pietà_</v>
      </c>
      <c r="H97" s="19" t="str">
        <f>テーブル1[[#This Row],[性別]]&amp;""</f>
        <v/>
      </c>
      <c r="I97" s="19" t="str">
        <f>テーブル1[[#This Row],[種族タグ]]&amp;""</f>
        <v/>
      </c>
      <c r="J97" s="19" t="str">
        <f>テーブル1[[#This Row],[職業タグ]]&amp;""</f>
        <v/>
      </c>
      <c r="K97" s="19" t="str">
        <f>テーブル1[[#This Row],[小物タグ]]&amp;""</f>
        <v/>
      </c>
      <c r="L97" s="19" t="str">
        <f>テーブル1[[#This Row],[ワンポイントタグ]]&amp;""</f>
        <v/>
      </c>
    </row>
    <row r="98" spans="1:12" ht="20.149999999999999" customHeight="1" x14ac:dyDescent="0.35">
      <c r="A98" s="19">
        <f>テーブル1[[#This Row],[番号]]</f>
        <v>97</v>
      </c>
      <c r="B98" s="19" t="str">
        <f>テーブル1[[#This Row],[名前]]</f>
        <v>円音春二ノ前</v>
      </c>
      <c r="C98" s="19" t="str">
        <f>テーブル1[[#This Row],[なまえ]]</f>
        <v>まるね しゅんいち</v>
      </c>
      <c r="D98" s="19" t="str">
        <f>テーブル1[[#This Row],[Name]]</f>
        <v>Marune Shunichi</v>
      </c>
      <c r="E98" s="19" t="str">
        <f>"image/"&amp;テーブル1[[#This Row],[画像]]&amp;".png"</f>
        <v>image/marune-shunichi.png</v>
      </c>
      <c r="F98" s="19" t="str">
        <f>テーブル1[[#This Row],[リンク]]</f>
        <v>https://www.postype.com/@utau-deepvocal-dalso</v>
      </c>
      <c r="G98" s="19" t="str">
        <f>SUBSTITUTE(テーブル1[[#This Row],[作品タグ]]," ","|")</f>
        <v>#円音春二ノ前</v>
      </c>
      <c r="H98" s="19" t="str">
        <f>テーブル1[[#This Row],[性別]]&amp;""</f>
        <v/>
      </c>
      <c r="I98" s="19" t="str">
        <f>テーブル1[[#This Row],[種族タグ]]&amp;""</f>
        <v/>
      </c>
      <c r="J98" s="19" t="str">
        <f>テーブル1[[#This Row],[職業タグ]]&amp;""</f>
        <v/>
      </c>
      <c r="K98" s="19" t="str">
        <f>テーブル1[[#This Row],[小物タグ]]&amp;""</f>
        <v/>
      </c>
      <c r="L98" s="19" t="str">
        <f>テーブル1[[#This Row],[ワンポイントタグ]]&amp;""</f>
        <v/>
      </c>
    </row>
    <row r="99" spans="1:12" ht="20.149999999999999" customHeight="1" x14ac:dyDescent="0.35">
      <c r="A99" s="19">
        <f>テーブル1[[#This Row],[番号]]</f>
        <v>98</v>
      </c>
      <c r="B99" s="19" t="str">
        <f>テーブル1[[#This Row],[名前]]</f>
        <v>​みくじ</v>
      </c>
      <c r="C99" s="19" t="str">
        <f>テーブル1[[#This Row],[なまえ]]</f>
        <v>みくじ</v>
      </c>
      <c r="D99" s="19" t="str">
        <f>テーブル1[[#This Row],[Name]]</f>
        <v>mikuji</v>
      </c>
      <c r="E99" s="19" t="str">
        <f>"image/"&amp;テーブル1[[#This Row],[画像]]&amp;".png"</f>
        <v>image/mikuji.png</v>
      </c>
      <c r="F99" s="19" t="str">
        <f>テーブル1[[#This Row],[リンク]]</f>
        <v>https://utauudon.wixsite.com/origamisyokudou</v>
      </c>
      <c r="G99" s="19" t="str">
        <f>SUBSTITUTE(テーブル1[[#This Row],[作品タグ]]," ","|")</f>
        <v>#折紙食堂</v>
      </c>
      <c r="H99" s="19" t="str">
        <f>テーブル1[[#This Row],[性別]]&amp;""</f>
        <v/>
      </c>
      <c r="I99" s="19" t="str">
        <f>テーブル1[[#This Row],[種族タグ]]&amp;""</f>
        <v/>
      </c>
      <c r="J99" s="19" t="str">
        <f>テーブル1[[#This Row],[職業タグ]]&amp;""</f>
        <v/>
      </c>
      <c r="K99" s="19" t="str">
        <f>テーブル1[[#This Row],[小物タグ]]&amp;""</f>
        <v/>
      </c>
      <c r="L99" s="19" t="str">
        <f>テーブル1[[#This Row],[ワンポイントタグ]]&amp;""</f>
        <v/>
      </c>
    </row>
    <row r="100" spans="1:12" ht="20.149999999999999" customHeight="1" x14ac:dyDescent="0.35">
      <c r="A100" s="19">
        <f>テーブル1[[#This Row],[番号]]</f>
        <v>99</v>
      </c>
      <c r="B100" s="19" t="str">
        <f>テーブル1[[#This Row],[名前]]</f>
        <v>Mx.ドリーム</v>
      </c>
      <c r="C100" s="19" t="str">
        <f>テーブル1[[#This Row],[なまえ]]</f>
        <v>みくす どりーむ</v>
      </c>
      <c r="D100" s="19" t="str">
        <f>テーブル1[[#This Row],[Name]]</f>
        <v>Mx.Dream</v>
      </c>
      <c r="E100" s="19" t="str">
        <f>"image/"&amp;テーブル1[[#This Row],[画像]]&amp;".png"</f>
        <v>image/mx-dream.png</v>
      </c>
      <c r="F100" s="19" t="str">
        <f>テーブル1[[#This Row],[リンク]]</f>
        <v>https://utauudon.wixsite.com/origamisyokudou</v>
      </c>
      <c r="G100" s="19" t="str">
        <f>SUBSTITUTE(テーブル1[[#This Row],[作品タグ]]," ","|")</f>
        <v>#折紙食堂</v>
      </c>
      <c r="H100" s="19" t="str">
        <f>テーブル1[[#This Row],[性別]]&amp;""</f>
        <v/>
      </c>
      <c r="I100" s="19" t="str">
        <f>テーブル1[[#This Row],[種族タグ]]&amp;""</f>
        <v/>
      </c>
      <c r="J100" s="19" t="str">
        <f>テーブル1[[#This Row],[職業タグ]]&amp;""</f>
        <v/>
      </c>
      <c r="K100" s="19" t="str">
        <f>テーブル1[[#This Row],[小物タグ]]&amp;""</f>
        <v/>
      </c>
      <c r="L100" s="19" t="str">
        <f>テーブル1[[#This Row],[ワンポイントタグ]]&amp;""</f>
        <v/>
      </c>
    </row>
    <row r="101" spans="1:12" ht="20.149999999999999" customHeight="1" x14ac:dyDescent="0.35">
      <c r="A101" s="19">
        <f>テーブル1[[#This Row],[番号]]</f>
        <v>100</v>
      </c>
      <c r="B101" s="19" t="str">
        <f>テーブル1[[#This Row],[名前]]</f>
        <v>苺愛みゅみゅ</v>
      </c>
      <c r="C101" s="19" t="str">
        <f>テーブル1[[#This Row],[なまえ]]</f>
        <v>めるあ みゅみゅ</v>
      </c>
      <c r="D101" s="19" t="str">
        <f>テーブル1[[#This Row],[Name]]</f>
        <v>Melua Miumiu</v>
      </c>
      <c r="E101" s="19" t="str">
        <f>"image/"&amp;テーブル1[[#This Row],[画像]]&amp;".png"</f>
        <v>image/melua-miumiu.png</v>
      </c>
      <c r="F101" s="19" t="str">
        <f>テーブル1[[#This Row],[リンク]]</f>
        <v>https://utausuzuminnya.jimdofree.com</v>
      </c>
      <c r="G101" s="19" t="str">
        <f>SUBSTITUTE(テーブル1[[#This Row],[作品タグ]]," ","|")</f>
        <v>#みゅみゅあーと</v>
      </c>
      <c r="H101" s="19" t="str">
        <f>テーブル1[[#This Row],[性別]]&amp;""</f>
        <v>女性</v>
      </c>
      <c r="I101" s="19" t="str">
        <f>テーブル1[[#This Row],[種族タグ]]&amp;""</f>
        <v>吸血鬼</v>
      </c>
      <c r="J101" s="19" t="str">
        <f>テーブル1[[#This Row],[職業タグ]]&amp;""</f>
        <v>魔法少女</v>
      </c>
      <c r="K101" s="19" t="str">
        <f>テーブル1[[#This Row],[小物タグ]]&amp;""</f>
        <v>果物</v>
      </c>
      <c r="L101" s="19" t="str">
        <f>テーブル1[[#This Row],[ワンポイントタグ]]&amp;""</f>
        <v>ケモ耳</v>
      </c>
    </row>
    <row r="102" spans="1:12" ht="20.149999999999999" customHeight="1" x14ac:dyDescent="0.35">
      <c r="A102" s="19">
        <f>テーブル1[[#This Row],[番号]]</f>
        <v>101</v>
      </c>
      <c r="B102" s="19" t="str">
        <f>テーブル1[[#This Row],[名前]]</f>
        <v>ykzroid-5000 HSC TG</v>
      </c>
      <c r="C102" s="19" t="str">
        <f>テーブル1[[#This Row],[なまえ]]</f>
        <v>やかずろいど</v>
      </c>
      <c r="D102" s="19" t="str">
        <f>テーブル1[[#This Row],[Name]]</f>
        <v>Yakazuroid</v>
      </c>
      <c r="E102" s="19" t="str">
        <f>"image/"&amp;テーブル1[[#This Row],[画像]]&amp;".png"</f>
        <v>image/yakazuroid.png</v>
      </c>
      <c r="F102" s="19" t="str">
        <f>テーブル1[[#This Row],[リンク]]</f>
        <v>https://moqujc.wixsite.com/mqtop</v>
      </c>
      <c r="G102" s="19" t="str">
        <f>SUBSTITUTE(テーブル1[[#This Row],[作品タグ]]," ","|")</f>
        <v>#MQAW</v>
      </c>
      <c r="H102" s="19" t="str">
        <f>テーブル1[[#This Row],[性別]]&amp;""</f>
        <v/>
      </c>
      <c r="I102" s="19" t="str">
        <f>テーブル1[[#This Row],[種族タグ]]&amp;""</f>
        <v/>
      </c>
      <c r="J102" s="19" t="str">
        <f>テーブル1[[#This Row],[職業タグ]]&amp;""</f>
        <v/>
      </c>
      <c r="K102" s="19" t="str">
        <f>テーブル1[[#This Row],[小物タグ]]&amp;""</f>
        <v/>
      </c>
      <c r="L102" s="19" t="str">
        <f>テーブル1[[#This Row],[ワンポイントタグ]]&amp;""</f>
        <v/>
      </c>
    </row>
    <row r="103" spans="1:12" ht="20.149999999999999" customHeight="1" x14ac:dyDescent="0.35">
      <c r="A103" s="19">
        <f>テーブル1[[#This Row],[番号]]</f>
        <v>102</v>
      </c>
      <c r="B103" s="19" t="str">
        <f>テーブル1[[#This Row],[名前]]</f>
        <v>闇塚黒逸</v>
      </c>
      <c r="C103" s="19" t="str">
        <f>テーブル1[[#This Row],[なまえ]]</f>
        <v>やみつか くろいつ</v>
      </c>
      <c r="D103" s="19" t="str">
        <f>テーブル1[[#This Row],[Name]]</f>
        <v>Yamitsuka Kuroitsu</v>
      </c>
      <c r="E103" s="19" t="str">
        <f>"image/"&amp;テーブル1[[#This Row],[画像]]&amp;".png"</f>
        <v>image/yamitsuka-kuroitsu.png</v>
      </c>
      <c r="F103" s="19" t="str">
        <f>テーブル1[[#This Row],[リンク]]</f>
        <v>https://utau.kurotsuka.xyz</v>
      </c>
      <c r="G103" s="19" t="str">
        <f>SUBSTITUTE(テーブル1[[#This Row],[作品タグ]]," ","|")</f>
        <v>#闇塚亭</v>
      </c>
      <c r="H103" s="19" t="str">
        <f>テーブル1[[#This Row],[性別]]&amp;""</f>
        <v/>
      </c>
      <c r="I103" s="19" t="str">
        <f>テーブル1[[#This Row],[種族タグ]]&amp;""</f>
        <v/>
      </c>
      <c r="J103" s="19" t="str">
        <f>テーブル1[[#This Row],[職業タグ]]&amp;""</f>
        <v/>
      </c>
      <c r="K103" s="19" t="str">
        <f>テーブル1[[#This Row],[小物タグ]]&amp;""</f>
        <v/>
      </c>
      <c r="L103" s="19" t="str">
        <f>テーブル1[[#This Row],[ワンポイントタグ]]&amp;""</f>
        <v/>
      </c>
    </row>
    <row r="104" spans="1:12" ht="20.149999999999999" customHeight="1" x14ac:dyDescent="0.35">
      <c r="A104" s="19">
        <f>テーブル1[[#This Row],[番号]]</f>
        <v>103</v>
      </c>
      <c r="B104" s="19" t="str">
        <f>テーブル1[[#This Row],[名前]]</f>
        <v>夢路語</v>
      </c>
      <c r="C104" s="19" t="str">
        <f>テーブル1[[#This Row],[なまえ]]</f>
        <v>ゆめじ かたり</v>
      </c>
      <c r="D104" s="19" t="str">
        <f>テーブル1[[#This Row],[Name]]</f>
        <v>Yumeji Katari</v>
      </c>
      <c r="E104" s="19" t="str">
        <f>"image/"&amp;テーブル1[[#This Row],[画像]]&amp;".png"</f>
        <v>image/yumeji-katari.png</v>
      </c>
      <c r="F104" s="19" t="str">
        <f>テーブル1[[#This Row],[リンク]]</f>
        <v>https://tourist100f.wixsite.com/utakata-kosyo</v>
      </c>
      <c r="G104" s="19" t="str">
        <f>SUBSTITUTE(テーブル1[[#This Row],[作品タグ]]," ","|")</f>
        <v>#泡沫古書店</v>
      </c>
      <c r="H104" s="19" t="str">
        <f>テーブル1[[#This Row],[性別]]&amp;""</f>
        <v>男性</v>
      </c>
      <c r="I104" s="19" t="str">
        <f>テーブル1[[#This Row],[種族タグ]]&amp;""</f>
        <v>人間</v>
      </c>
      <c r="J104" s="19" t="str">
        <f>テーブル1[[#This Row],[職業タグ]]&amp;""</f>
        <v>書店員</v>
      </c>
      <c r="K104" s="19" t="str">
        <f>テーブル1[[#This Row],[小物タグ]]&amp;""</f>
        <v>眼鏡</v>
      </c>
      <c r="L104" s="19" t="str">
        <f>テーブル1[[#This Row],[ワンポイントタグ]]&amp;""</f>
        <v/>
      </c>
    </row>
    <row r="105" spans="1:12" ht="20.149999999999999" customHeight="1" x14ac:dyDescent="0.35">
      <c r="A105" s="19">
        <f>テーブル1[[#This Row],[番号]]</f>
        <v>104</v>
      </c>
      <c r="B105" s="19" t="str">
        <f>テーブル1[[#This Row],[名前]]</f>
        <v>揺音リオ</v>
      </c>
      <c r="C105" s="19" t="str">
        <f>テーブル1[[#This Row],[なまえ]]</f>
        <v>ゆらぎね りお</v>
      </c>
      <c r="D105" s="19" t="str">
        <f>テーブル1[[#This Row],[Name]]</f>
        <v>Yuragine Rio</v>
      </c>
      <c r="E105" s="19" t="str">
        <f>"image/"&amp;テーブル1[[#This Row],[画像]]&amp;".png"</f>
        <v>image/yuragine-rio.png</v>
      </c>
      <c r="F105" s="19" t="str">
        <f>テーブル1[[#This Row],[リンク]]</f>
        <v>https://nanyuanxiaojieji.wixsite.com/yuragine-kannsokujo</v>
      </c>
      <c r="G105" s="19" t="str">
        <f>SUBSTITUTE(テーブル1[[#This Row],[作品タグ]]," ","|")</f>
        <v>#観測レポートを共有します</v>
      </c>
      <c r="H105" s="19" t="str">
        <f>テーブル1[[#This Row],[性別]]&amp;""</f>
        <v/>
      </c>
      <c r="I105" s="19" t="str">
        <f>テーブル1[[#This Row],[種族タグ]]&amp;""</f>
        <v/>
      </c>
      <c r="J105" s="19" t="str">
        <f>テーブル1[[#This Row],[職業タグ]]&amp;""</f>
        <v/>
      </c>
      <c r="K105" s="19" t="str">
        <f>テーブル1[[#This Row],[小物タグ]]&amp;""</f>
        <v/>
      </c>
      <c r="L105" s="19" t="str">
        <f>テーブル1[[#This Row],[ワンポイントタグ]]&amp;""</f>
        <v/>
      </c>
    </row>
    <row r="106" spans="1:12" ht="20.149999999999999" customHeight="1" x14ac:dyDescent="0.35">
      <c r="A106" s="19">
        <f>テーブル1[[#This Row],[番号]]</f>
        <v>105</v>
      </c>
      <c r="B106" s="19" t="str">
        <f>テーブル1[[#This Row],[名前]]</f>
        <v>欲音ルコ</v>
      </c>
      <c r="C106" s="19" t="str">
        <f>テーブル1[[#This Row],[なまえ]]</f>
        <v>よくね るこ</v>
      </c>
      <c r="D106" s="19" t="str">
        <f>テーブル1[[#This Row],[Name]]</f>
        <v>Yokune Ruko</v>
      </c>
      <c r="E106" s="19" t="str">
        <f>"image/"&amp;テーブル1[[#This Row],[画像]]&amp;".png"</f>
        <v>image/yokune-ruko.png</v>
      </c>
      <c r="F106" s="19" t="str">
        <f>テーブル1[[#This Row],[リンク]]</f>
        <v>https://long-sleeper.net</v>
      </c>
      <c r="G106" s="19" t="str">
        <f>SUBSTITUTE(テーブル1[[#This Row],[作品タグ]]," ","|")</f>
        <v>#欲音ルコ</v>
      </c>
      <c r="H106" s="19" t="str">
        <f>テーブル1[[#This Row],[性別]]&amp;""</f>
        <v/>
      </c>
      <c r="I106" s="19" t="str">
        <f>テーブル1[[#This Row],[種族タグ]]&amp;""</f>
        <v/>
      </c>
      <c r="J106" s="19" t="str">
        <f>テーブル1[[#This Row],[職業タグ]]&amp;""</f>
        <v/>
      </c>
      <c r="K106" s="19" t="str">
        <f>テーブル1[[#This Row],[小物タグ]]&amp;""</f>
        <v/>
      </c>
      <c r="L106" s="19" t="str">
        <f>テーブル1[[#This Row],[ワンポイントタグ]]&amp;""</f>
        <v/>
      </c>
    </row>
    <row r="107" spans="1:12" ht="20.149999999999999" customHeight="1" x14ac:dyDescent="0.35">
      <c r="A107" s="19">
        <f>テーブル1[[#This Row],[番号]]</f>
        <v>106</v>
      </c>
      <c r="B107" s="19" t="str">
        <f>テーブル1[[#This Row],[名前]]</f>
        <v>​四方通ニチ</v>
      </c>
      <c r="C107" s="19" t="str">
        <f>テーブル1[[#This Row],[なまえ]]</f>
        <v>よもつ にち</v>
      </c>
      <c r="D107" s="19" t="str">
        <f>テーブル1[[#This Row],[Name]]</f>
        <v>Yomotsu Nichi</v>
      </c>
      <c r="E107" s="19" t="str">
        <f>"image/"&amp;テーブル1[[#This Row],[画像]]&amp;".png"</f>
        <v>image/yomotsu-nichi.png</v>
      </c>
      <c r="F107" s="19" t="str">
        <f>テーブル1[[#This Row],[リンク]]</f>
        <v>https://nichikuniku1129063.wixsite.com/website-3</v>
      </c>
      <c r="G107" s="19" t="str">
        <f>SUBSTITUTE(テーブル1[[#This Row],[作品タグ]]," ","|")</f>
        <v>#Pietà_</v>
      </c>
      <c r="H107" s="19" t="str">
        <f>テーブル1[[#This Row],[性別]]&amp;""</f>
        <v/>
      </c>
      <c r="I107" s="19" t="str">
        <f>テーブル1[[#This Row],[種族タグ]]&amp;""</f>
        <v/>
      </c>
      <c r="J107" s="19" t="str">
        <f>テーブル1[[#This Row],[職業タグ]]&amp;""</f>
        <v/>
      </c>
      <c r="K107" s="19" t="str">
        <f>テーブル1[[#This Row],[小物タグ]]&amp;""</f>
        <v/>
      </c>
      <c r="L107" s="19" t="str">
        <f>テーブル1[[#This Row],[ワンポイントタグ]]&amp;""</f>
        <v/>
      </c>
    </row>
    <row r="108" spans="1:12" ht="20.149999999999999" customHeight="1" x14ac:dyDescent="0.35">
      <c r="A108" s="19">
        <f>テーブル1[[#This Row],[番号]]</f>
        <v>107</v>
      </c>
      <c r="B108" s="19" t="str">
        <f>テーブル1[[#This Row],[名前]]</f>
        <v>ラロ</v>
      </c>
      <c r="C108" s="19" t="str">
        <f>テーブル1[[#This Row],[なまえ]]</f>
        <v>らろ</v>
      </c>
      <c r="D108" s="19" t="str">
        <f>テーブル1[[#This Row],[Name]]</f>
        <v>Laro</v>
      </c>
      <c r="E108" s="19" t="str">
        <f>"image/"&amp;テーブル1[[#This Row],[画像]]&amp;".png"</f>
        <v>image/laro.png</v>
      </c>
      <c r="F108" s="19" t="str">
        <f>テーブル1[[#This Row],[リンク]]</f>
        <v>https://mareffys.wixsite.com/lalo</v>
      </c>
      <c r="G108" s="19" t="str">
        <f>SUBSTITUTE(テーブル1[[#This Row],[作品タグ]]," ","|")</f>
        <v>#どっかのラララボ</v>
      </c>
      <c r="H108" s="19" t="str">
        <f>テーブル1[[#This Row],[性別]]&amp;""</f>
        <v/>
      </c>
      <c r="I108" s="19" t="str">
        <f>テーブル1[[#This Row],[種族タグ]]&amp;""</f>
        <v/>
      </c>
      <c r="J108" s="19" t="str">
        <f>テーブル1[[#This Row],[職業タグ]]&amp;""</f>
        <v/>
      </c>
      <c r="K108" s="19" t="str">
        <f>テーブル1[[#This Row],[小物タグ]]&amp;""</f>
        <v/>
      </c>
      <c r="L108" s="19" t="str">
        <f>テーブル1[[#This Row],[ワンポイントタグ]]&amp;""</f>
        <v/>
      </c>
    </row>
    <row r="109" spans="1:12" ht="20.149999999999999" customHeight="1" x14ac:dyDescent="0.35">
      <c r="A109" s="19">
        <f>テーブル1[[#This Row],[番号]]</f>
        <v>108</v>
      </c>
      <c r="B109" s="19" t="str">
        <f>テーブル1[[#This Row],[名前]]</f>
        <v>リヴィ・リヴァーチェ</v>
      </c>
      <c r="C109" s="19" t="str">
        <f>テーブル1[[#This Row],[なまえ]]</f>
        <v>りゔぃ りゔぁーちぇ</v>
      </c>
      <c r="D109" s="19" t="str">
        <f>テーブル1[[#This Row],[Name]]</f>
        <v>Rivi Revace</v>
      </c>
      <c r="E109" s="19" t="str">
        <f>"image/"&amp;テーブル1[[#This Row],[画像]]&amp;".png"</f>
        <v>image/rivi-revace.png</v>
      </c>
      <c r="F109" s="19" t="str">
        <f>テーブル1[[#This Row],[リンク]]</f>
        <v>https://seirentoybox.jimdofree.com</v>
      </c>
      <c r="G109" s="19" t="str">
        <f>SUBSTITUTE(テーブル1[[#This Row],[作品タグ]]," ","|")</f>
        <v>#セレソー作</v>
      </c>
      <c r="H109" s="19" t="str">
        <f>テーブル1[[#This Row],[性別]]&amp;""</f>
        <v>男性</v>
      </c>
      <c r="I109" s="19" t="str">
        <f>テーブル1[[#This Row],[種族タグ]]&amp;""</f>
        <v>機械</v>
      </c>
      <c r="J109" s="19" t="str">
        <f>テーブル1[[#This Row],[職業タグ]]&amp;""</f>
        <v>執事</v>
      </c>
      <c r="K109" s="19" t="str">
        <f>テーブル1[[#This Row],[小物タグ]]&amp;""</f>
        <v/>
      </c>
      <c r="L109" s="19" t="str">
        <f>テーブル1[[#This Row],[ワンポイントタグ]]&amp;""</f>
        <v>オッドアイ</v>
      </c>
    </row>
    <row r="110" spans="1:12" ht="20.149999999999999" customHeight="1" x14ac:dyDescent="0.35">
      <c r="A110" s="19">
        <f>テーブル1[[#This Row],[番号]]</f>
        <v>109</v>
      </c>
      <c r="B110" s="19" t="str">
        <f>テーブル1[[#This Row],[名前]]</f>
        <v>緑恵</v>
      </c>
      <c r="C110" s="19" t="str">
        <f>テーブル1[[#This Row],[なまえ]]</f>
        <v>りえ</v>
      </c>
      <c r="D110" s="19" t="str">
        <f>テーブル1[[#This Row],[Name]]</f>
        <v>Rie</v>
      </c>
      <c r="E110" s="19" t="str">
        <f>"image/"&amp;テーブル1[[#This Row],[画像]]&amp;".png"</f>
        <v>image/rie.png</v>
      </c>
      <c r="F110" s="19" t="str">
        <f>テーブル1[[#This Row],[リンク]]</f>
        <v>https://kakokyu102krbs.wixsite.com/greenmilky</v>
      </c>
      <c r="G110" s="19" t="str">
        <f>SUBSTITUTE(テーブル1[[#This Row],[作品タグ]]," ","|")</f>
        <v>#グリーンミルキー</v>
      </c>
      <c r="H110" s="19" t="str">
        <f>テーブル1[[#This Row],[性別]]&amp;""</f>
        <v/>
      </c>
      <c r="I110" s="19" t="str">
        <f>テーブル1[[#This Row],[種族タグ]]&amp;""</f>
        <v/>
      </c>
      <c r="J110" s="19" t="str">
        <f>テーブル1[[#This Row],[職業タグ]]&amp;""</f>
        <v/>
      </c>
      <c r="K110" s="19" t="str">
        <f>テーブル1[[#This Row],[小物タグ]]&amp;""</f>
        <v/>
      </c>
      <c r="L110" s="19" t="str">
        <f>テーブル1[[#This Row],[ワンポイントタグ]]&amp;""</f>
        <v/>
      </c>
    </row>
    <row r="111" spans="1:12" ht="20.149999999999999" customHeight="1" x14ac:dyDescent="0.35">
      <c r="A111" s="19">
        <f>テーブル1[[#This Row],[番号]]</f>
        <v>110</v>
      </c>
      <c r="B111" s="19" t="str">
        <f>テーブル1[[#This Row],[名前]]</f>
        <v>燐葉フォミ</v>
      </c>
      <c r="C111" s="19" t="str">
        <f>テーブル1[[#This Row],[なまえ]]</f>
        <v>りんよう ふぉみ</v>
      </c>
      <c r="D111" s="19" t="str">
        <f>テーブル1[[#This Row],[Name]]</f>
        <v>Rinyou Fuomi</v>
      </c>
      <c r="E111" s="19" t="str">
        <f>"image/"&amp;テーブル1[[#This Row],[画像]]&amp;".png"</f>
        <v>image/rinyou-fuomi.png</v>
      </c>
      <c r="F111" s="19" t="str">
        <f>テーブル1[[#This Row],[リンク]]</f>
        <v>https://tsukimiya0728.wixsite.com/silverbullet</v>
      </c>
      <c r="G111" s="19" t="str">
        <f>SUBSTITUTE(テーブル1[[#This Row],[作品タグ]]," ","|")</f>
        <v>#ツキノファミリー</v>
      </c>
      <c r="H111" s="19" t="str">
        <f>テーブル1[[#This Row],[性別]]&amp;""</f>
        <v/>
      </c>
      <c r="I111" s="19" t="str">
        <f>テーブル1[[#This Row],[種族タグ]]&amp;""</f>
        <v/>
      </c>
      <c r="J111" s="19" t="str">
        <f>テーブル1[[#This Row],[職業タグ]]&amp;""</f>
        <v/>
      </c>
      <c r="K111" s="19" t="str">
        <f>テーブル1[[#This Row],[小物タグ]]&amp;""</f>
        <v/>
      </c>
      <c r="L111" s="19" t="str">
        <f>テーブル1[[#This Row],[ワンポイントタグ]]&amp;""</f>
        <v/>
      </c>
    </row>
    <row r="112" spans="1:12" ht="20.149999999999999" customHeight="1" x14ac:dyDescent="0.35">
      <c r="A112" s="19">
        <f>テーブル1[[#This Row],[番号]]</f>
        <v>111</v>
      </c>
      <c r="B112" s="19" t="str">
        <f>テーブル1[[#This Row],[名前]]</f>
        <v>レインレコード</v>
      </c>
      <c r="C112" s="19" t="str">
        <f>テーブル1[[#This Row],[なまえ]]</f>
        <v>れいんれこーど</v>
      </c>
      <c r="D112" s="19" t="str">
        <f>テーブル1[[#This Row],[Name]]</f>
        <v>Reinrekodo</v>
      </c>
      <c r="E112" s="19" t="str">
        <f>"image/"&amp;テーブル1[[#This Row],[画像]]&amp;".png"</f>
        <v>image/reinrekodo.png</v>
      </c>
      <c r="F112" s="19" t="str">
        <f>テーブル1[[#This Row],[リンク]]</f>
        <v>https://bowlroll.net/user/980255</v>
      </c>
      <c r="G112" s="19" t="str">
        <f>SUBSTITUTE(テーブル1[[#This Row],[作品タグ]]," ","|")</f>
        <v>#歌う雨やどり</v>
      </c>
      <c r="H112" s="19" t="str">
        <f>テーブル1[[#This Row],[性別]]&amp;""</f>
        <v>男性</v>
      </c>
      <c r="I112" s="19" t="str">
        <f>テーブル1[[#This Row],[種族タグ]]&amp;""</f>
        <v>機械</v>
      </c>
      <c r="J112" s="19" t="str">
        <f>テーブル1[[#This Row],[職業タグ]]&amp;""</f>
        <v>司書</v>
      </c>
      <c r="K112" s="19" t="str">
        <f>テーブル1[[#This Row],[小物タグ]]&amp;""</f>
        <v>ゴーグル</v>
      </c>
      <c r="L112" s="19" t="str">
        <f>テーブル1[[#This Row],[ワンポイントタグ]]&amp;""</f>
        <v>両目隠れ</v>
      </c>
    </row>
    <row r="113" spans="1:12" ht="20.149999999999999" customHeight="1" x14ac:dyDescent="0.35">
      <c r="A113" s="19">
        <f>テーブル1[[#This Row],[番号]]</f>
        <v>112</v>
      </c>
      <c r="B113" s="19" t="str">
        <f>テーブル1[[#This Row],[名前]]</f>
        <v>レーヨン</v>
      </c>
      <c r="C113" s="19" t="str">
        <f>テーブル1[[#This Row],[なまえ]]</f>
        <v>れーよん</v>
      </c>
      <c r="D113" s="19" t="str">
        <f>テーブル1[[#This Row],[Name]]</f>
        <v>Rayon</v>
      </c>
      <c r="E113" s="19" t="str">
        <f>"image/"&amp;テーブル1[[#This Row],[画像]]&amp;".png"</f>
        <v>image/rayon.png</v>
      </c>
      <c r="F113" s="19" t="str">
        <f>テーブル1[[#This Row],[リンク]]</f>
        <v>https://cloudcatch1224.wixsite.com/godsfoot</v>
      </c>
      <c r="G113" s="19" t="str">
        <f>SUBSTITUTE(テーブル1[[#This Row],[作品タグ]]," ","|")</f>
        <v>#神様の足元</v>
      </c>
      <c r="H113" s="19" t="str">
        <f>テーブル1[[#This Row],[性別]]&amp;""</f>
        <v>女性</v>
      </c>
      <c r="I113" s="19" t="str">
        <f>テーブル1[[#This Row],[種族タグ]]&amp;""</f>
        <v>人間</v>
      </c>
      <c r="J113" s="19" t="str">
        <f>テーブル1[[#This Row],[職業タグ]]&amp;""</f>
        <v>ソーイングスタッフ</v>
      </c>
      <c r="K113" s="19" t="str">
        <f>テーブル1[[#This Row],[小物タグ]]&amp;""</f>
        <v>エンジェルヘイロゥ|カチューシャ</v>
      </c>
      <c r="L113" s="19" t="str">
        <f>テーブル1[[#This Row],[ワンポイントタグ]]&amp;""</f>
        <v>羽|尖耳|ギザ歯</v>
      </c>
    </row>
    <row r="114" spans="1:12" ht="20.149999999999999" customHeight="1" x14ac:dyDescent="0.35">
      <c r="A114" s="19">
        <f>テーブル1[[#This Row],[番号]]</f>
        <v>113</v>
      </c>
      <c r="B114" s="19" t="str">
        <f>テーブル1[[#This Row],[名前]]</f>
        <v>琴音セツリ</v>
      </c>
      <c r="C114" s="19" t="str">
        <f>テーブル1[[#This Row],[なまえ]]</f>
        <v>ことね せつり</v>
      </c>
      <c r="D114" s="19" t="str">
        <f>テーブル1[[#This Row],[Name]]</f>
        <v>Kotone Setsuri</v>
      </c>
      <c r="E114" s="19" t="str">
        <f>"image/"&amp;テーブル1[[#This Row],[画像]]&amp;".png"</f>
        <v>image/kotone-setsuri.png</v>
      </c>
      <c r="F114" s="19" t="str">
        <f>テーブル1[[#This Row],[リンク]]</f>
        <v>https://bellsworks.wixsite.com/bellsworks</v>
      </c>
      <c r="G114" s="19" t="str">
        <f>SUBSTITUTE(テーブル1[[#This Row],[作品タグ]]," ","|")</f>
        <v>#べるずわーくす</v>
      </c>
      <c r="H114" s="19" t="str">
        <f>テーブル1[[#This Row],[性別]]&amp;""</f>
        <v/>
      </c>
      <c r="I114" s="19" t="str">
        <f>テーブル1[[#This Row],[種族タグ]]&amp;""</f>
        <v/>
      </c>
      <c r="J114" s="19" t="str">
        <f>テーブル1[[#This Row],[職業タグ]]&amp;""</f>
        <v/>
      </c>
      <c r="K114" s="19" t="str">
        <f>テーブル1[[#This Row],[小物タグ]]&amp;""</f>
        <v/>
      </c>
      <c r="L114" s="19" t="str">
        <f>テーブル1[[#This Row],[ワンポイントタグ]]&amp;""</f>
        <v/>
      </c>
    </row>
    <row r="115" spans="1:12" ht="20.149999999999999" customHeight="1" x14ac:dyDescent="0.35">
      <c r="A115" s="19">
        <f>テーブル1[[#This Row],[番号]]</f>
        <v>114</v>
      </c>
      <c r="B115" s="19" t="str">
        <f>テーブル1[[#This Row],[名前]]</f>
        <v>飯音モグ</v>
      </c>
      <c r="C115" s="19" t="str">
        <f>テーブル1[[#This Row],[なまえ]]</f>
        <v>いいね もぐ</v>
      </c>
      <c r="D115" s="19" t="str">
        <f>テーブル1[[#This Row],[Name]]</f>
        <v>Ine Mogu</v>
      </c>
      <c r="E115" s="19" t="str">
        <f>"image/"&amp;テーブル1[[#This Row],[画像]]&amp;".png"</f>
        <v>image/ine-mogu.png</v>
      </c>
      <c r="F115" s="19" t="str">
        <f>テーブル1[[#This Row],[リンク]]</f>
        <v>https://bowlroll.net/file/333777</v>
      </c>
      <c r="G115" s="19" t="str">
        <f>SUBSTITUTE(テーブル1[[#This Row],[作品タグ]]," ","|")</f>
        <v>飯音モグ(UTAU)</v>
      </c>
      <c r="H115" s="19" t="str">
        <f>テーブル1[[#This Row],[性別]]&amp;""</f>
        <v/>
      </c>
      <c r="I115" s="19" t="str">
        <f>テーブル1[[#This Row],[種族タグ]]&amp;""</f>
        <v/>
      </c>
      <c r="J115" s="19" t="str">
        <f>テーブル1[[#This Row],[職業タグ]]&amp;""</f>
        <v/>
      </c>
      <c r="K115" s="19" t="str">
        <f>テーブル1[[#This Row],[小物タグ]]&amp;""</f>
        <v/>
      </c>
      <c r="L115" s="19" t="str">
        <f>テーブル1[[#This Row],[ワンポイントタグ]]&amp;""</f>
        <v/>
      </c>
    </row>
    <row r="116" spans="1:12" ht="20.149999999999999" customHeight="1" x14ac:dyDescent="0.35">
      <c r="A116" s="19">
        <f>テーブル1[[#This Row],[番号]]</f>
        <v>115</v>
      </c>
      <c r="B116" s="19" t="str">
        <f>テーブル1[[#This Row],[名前]]</f>
        <v>寅ノ刻遭愛</v>
      </c>
      <c r="C116" s="19" t="str">
        <f>テーブル1[[#This Row],[なまえ]]</f>
        <v>とらのこく あめ</v>
      </c>
      <c r="D116" s="19" t="str">
        <f>テーブル1[[#This Row],[Name]]</f>
        <v>Toranokoku Ame</v>
      </c>
      <c r="E116" s="19" t="str">
        <f>"image/"&amp;テーブル1[[#This Row],[画像]]&amp;".png"</f>
        <v>image/toranokoku-ame.png</v>
      </c>
      <c r="F116" s="19" t="str">
        <f>テーブル1[[#This Row],[リンク]]</f>
        <v>https://ne510channel.wixsite.com/website</v>
      </c>
      <c r="G116" s="19" t="str">
        <f>SUBSTITUTE(テーブル1[[#This Row],[作品タグ]]," ","|")</f>
        <v>#はなときつねごと|#十二ノ刻</v>
      </c>
      <c r="H116" s="19" t="str">
        <f>テーブル1[[#This Row],[性別]]&amp;""</f>
        <v/>
      </c>
      <c r="I116" s="19" t="str">
        <f>テーブル1[[#This Row],[種族タグ]]&amp;""</f>
        <v/>
      </c>
      <c r="J116" s="19" t="str">
        <f>テーブル1[[#This Row],[職業タグ]]&amp;""</f>
        <v/>
      </c>
      <c r="K116" s="19" t="str">
        <f>テーブル1[[#This Row],[小物タグ]]&amp;""</f>
        <v/>
      </c>
      <c r="L116" s="19" t="str">
        <f>テーブル1[[#This Row],[ワンポイントタグ]]&amp;""</f>
        <v/>
      </c>
    </row>
    <row r="117" spans="1:12" ht="20.149999999999999" customHeight="1" x14ac:dyDescent="0.35">
      <c r="A117" s="19">
        <f>テーブル1[[#This Row],[番号]]</f>
        <v>116</v>
      </c>
      <c r="B117" s="19" t="str">
        <f>テーブル1[[#This Row],[名前]]</f>
        <v>コタロー</v>
      </c>
      <c r="C117" s="19" t="str">
        <f>テーブル1[[#This Row],[なまえ]]</f>
        <v>こたろー</v>
      </c>
      <c r="D117" s="19" t="str">
        <f>テーブル1[[#This Row],[Name]]</f>
        <v>Cotaro</v>
      </c>
      <c r="E117" s="19" t="str">
        <f>"image/"&amp;テーブル1[[#This Row],[画像]]&amp;".png"</f>
        <v>image/cotaro.png</v>
      </c>
      <c r="F117" s="19" t="str">
        <f>テーブル1[[#This Row],[リンク]]</f>
        <v>https://cloudcatch1224.wixsite.com/godsfoot</v>
      </c>
      <c r="G117" s="19" t="str">
        <f>SUBSTITUTE(テーブル1[[#This Row],[作品タグ]]," ","|")</f>
        <v>#神様の足元</v>
      </c>
      <c r="H117" s="19" t="str">
        <f>テーブル1[[#This Row],[性別]]&amp;""</f>
        <v>男性</v>
      </c>
      <c r="I117" s="19" t="str">
        <f>テーブル1[[#This Row],[種族タグ]]&amp;""</f>
        <v>人間|機械</v>
      </c>
      <c r="J117" s="19" t="str">
        <f>テーブル1[[#This Row],[職業タグ]]&amp;""</f>
        <v>地磁気調査</v>
      </c>
      <c r="K117" s="19" t="str">
        <f>テーブル1[[#This Row],[小物タグ]]&amp;""</f>
        <v>イヤーユニット</v>
      </c>
      <c r="L117" s="19" t="str">
        <f>テーブル1[[#This Row],[ワンポイントタグ]]&amp;""</f>
        <v>メッシュ|尻尾</v>
      </c>
    </row>
    <row r="118" spans="1:12" ht="20.149999999999999" customHeight="1" x14ac:dyDescent="0.35">
      <c r="A118" s="19">
        <f>テーブル1[[#This Row],[番号]]</f>
        <v>117</v>
      </c>
      <c r="B118" s="19" t="str">
        <f>テーブル1[[#This Row],[名前]]</f>
        <v>ルテニ</v>
      </c>
      <c r="C118" s="19" t="str">
        <f>テーブル1[[#This Row],[なまえ]]</f>
        <v>るてに</v>
      </c>
      <c r="D118" s="19" t="str">
        <f>テーブル1[[#This Row],[Name]]</f>
        <v>Ruteni</v>
      </c>
      <c r="E118" s="19" t="str">
        <f>"image/"&amp;テーブル1[[#This Row],[画像]]&amp;".png"</f>
        <v>image/ruteni.png</v>
      </c>
      <c r="F118" s="19" t="str">
        <f>テーブル1[[#This Row],[リンク]]</f>
        <v>https://bellsworks.wixsite.com/bellsworks</v>
      </c>
      <c r="G118" s="19" t="str">
        <f>SUBSTITUTE(テーブル1[[#This Row],[作品タグ]]," ","|")</f>
        <v>#べるずわーくす</v>
      </c>
      <c r="H118" s="19" t="str">
        <f>テーブル1[[#This Row],[性別]]&amp;""</f>
        <v/>
      </c>
      <c r="I118" s="19" t="str">
        <f>テーブル1[[#This Row],[種族タグ]]&amp;""</f>
        <v/>
      </c>
      <c r="J118" s="19" t="str">
        <f>テーブル1[[#This Row],[職業タグ]]&amp;""</f>
        <v/>
      </c>
      <c r="K118" s="19" t="str">
        <f>テーブル1[[#This Row],[小物タグ]]&amp;""</f>
        <v/>
      </c>
      <c r="L118" s="19" t="str">
        <f>テーブル1[[#This Row],[ワンポイントタグ]]&amp;""</f>
        <v/>
      </c>
    </row>
    <row r="119" spans="1:12" ht="20.149999999999999" customHeight="1" x14ac:dyDescent="0.35">
      <c r="A119" s="19">
        <f>テーブル1[[#This Row],[番号]]</f>
        <v>118</v>
      </c>
      <c r="B119" s="19" t="str">
        <f>テーブル1[[#This Row],[名前]]</f>
        <v>地獄谷透馬</v>
      </c>
      <c r="C119" s="19" t="str">
        <f>テーブル1[[#This Row],[なまえ]]</f>
        <v>じごくだに とうま</v>
      </c>
      <c r="D119" s="19" t="str">
        <f>テーブル1[[#This Row],[Name]]</f>
        <v>Jigokudani Thoma</v>
      </c>
      <c r="E119" s="19" t="str">
        <f>"image/"&amp;テーブル1[[#This Row],[画像]]&amp;".png"</f>
        <v>image/jigokudani-thoma.png</v>
      </c>
      <c r="F119" s="19" t="str">
        <f>テーブル1[[#This Row],[リンク]]</f>
        <v>https://flowerrocklove.wixsite.com/twilight-crisis</v>
      </c>
      <c r="G119" s="19" t="str">
        <f>SUBSTITUTE(テーブル1[[#This Row],[作品タグ]]," ","|")</f>
        <v>#硫黄荘音源</v>
      </c>
      <c r="H119" s="19" t="str">
        <f>テーブル1[[#This Row],[性別]]&amp;""</f>
        <v/>
      </c>
      <c r="I119" s="19" t="str">
        <f>テーブル1[[#This Row],[種族タグ]]&amp;""</f>
        <v/>
      </c>
      <c r="J119" s="19" t="str">
        <f>テーブル1[[#This Row],[職業タグ]]&amp;""</f>
        <v/>
      </c>
      <c r="K119" s="19" t="str">
        <f>テーブル1[[#This Row],[小物タグ]]&amp;""</f>
        <v/>
      </c>
      <c r="L119" s="19" t="str">
        <f>テーブル1[[#This Row],[ワンポイントタグ]]&amp;""</f>
        <v/>
      </c>
    </row>
    <row r="120" spans="1:12" ht="20.149999999999999" customHeight="1" x14ac:dyDescent="0.35">
      <c r="A120" s="19">
        <f>テーブル1[[#This Row],[番号]]</f>
        <v>119</v>
      </c>
      <c r="B120" s="19" t="str">
        <f>テーブル1[[#This Row],[名前]]</f>
        <v>笛音フエ</v>
      </c>
      <c r="C120" s="19" t="str">
        <f>テーブル1[[#This Row],[なまえ]]</f>
        <v>ふえね ふえ</v>
      </c>
      <c r="D120" s="19" t="str">
        <f>テーブル1[[#This Row],[Name]]</f>
        <v>Fuene Fue</v>
      </c>
      <c r="E120" s="19" t="str">
        <f>"image/"&amp;テーブル1[[#This Row],[画像]]&amp;".png"</f>
        <v>image/fuene-fue.png</v>
      </c>
      <c r="F120" s="19" t="str">
        <f>テーブル1[[#This Row],[リンク]]</f>
        <v>https://bellsworks.wixsite.com/bellsworks</v>
      </c>
      <c r="G120" s="19" t="str">
        <f>SUBSTITUTE(テーブル1[[#This Row],[作品タグ]]," ","|")</f>
        <v>#べるずわーくす</v>
      </c>
      <c r="H120" s="19" t="str">
        <f>テーブル1[[#This Row],[性別]]&amp;""</f>
        <v/>
      </c>
      <c r="I120" s="19" t="str">
        <f>テーブル1[[#This Row],[種族タグ]]&amp;""</f>
        <v/>
      </c>
      <c r="J120" s="19" t="str">
        <f>テーブル1[[#This Row],[職業タグ]]&amp;""</f>
        <v/>
      </c>
      <c r="K120" s="19" t="str">
        <f>テーブル1[[#This Row],[小物タグ]]&amp;""</f>
        <v/>
      </c>
      <c r="L120" s="19" t="str">
        <f>テーブル1[[#This Row],[ワンポイントタグ]]&amp;""</f>
        <v/>
      </c>
    </row>
    <row r="121" spans="1:12" ht="20.149999999999999" customHeight="1" x14ac:dyDescent="0.35">
      <c r="A121" s="19">
        <f>テーブル1[[#This Row],[番号]]</f>
        <v>120</v>
      </c>
      <c r="B121" s="19" t="str">
        <f>テーブル1[[#This Row],[名前]]</f>
        <v>ペチカ</v>
      </c>
      <c r="C121" s="19" t="str">
        <f>テーブル1[[#This Row],[なまえ]]</f>
        <v>ぺちか</v>
      </c>
      <c r="D121" s="19" t="str">
        <f>テーブル1[[#This Row],[Name]]</f>
        <v>Pechka</v>
      </c>
      <c r="E121" s="19" t="str">
        <f>"image/"&amp;テーブル1[[#This Row],[画像]]&amp;".png"</f>
        <v>image/pechka.png</v>
      </c>
      <c r="F121" s="19" t="str">
        <f>テーブル1[[#This Row],[リンク]]</f>
        <v>https://mebisnori.wixsite.com/nori-mebis</v>
      </c>
      <c r="G121" s="19" t="str">
        <f>SUBSTITUTE(テーブル1[[#This Row],[作品タグ]]," ","|")</f>
        <v>#紫陽花ノ楽譜ト</v>
      </c>
      <c r="H121" s="19" t="str">
        <f>テーブル1[[#This Row],[性別]]&amp;""</f>
        <v/>
      </c>
      <c r="I121" s="19" t="str">
        <f>テーブル1[[#This Row],[種族タグ]]&amp;""</f>
        <v/>
      </c>
      <c r="J121" s="19" t="str">
        <f>テーブル1[[#This Row],[職業タグ]]&amp;""</f>
        <v/>
      </c>
      <c r="K121" s="19" t="str">
        <f>テーブル1[[#This Row],[小物タグ]]&amp;""</f>
        <v/>
      </c>
      <c r="L121" s="19" t="str">
        <f>テーブル1[[#This Row],[ワンポイントタグ]]&amp;""</f>
        <v/>
      </c>
    </row>
    <row r="122" spans="1:12" ht="20.149999999999999" customHeight="1" x14ac:dyDescent="0.35">
      <c r="A122" s="19">
        <f>テーブル1[[#This Row],[番号]]</f>
        <v>121</v>
      </c>
      <c r="B122" s="19" t="str">
        <f>テーブル1[[#This Row],[名前]]</f>
        <v>狂威ノイズ</v>
      </c>
      <c r="C122" s="19" t="str">
        <f>テーブル1[[#This Row],[なまえ]]</f>
        <v>くるい のいず</v>
      </c>
      <c r="D122" s="19" t="str">
        <f>テーブル1[[#This Row],[Name]]</f>
        <v>Kurui Noise</v>
      </c>
      <c r="E122" s="19" t="str">
        <f>"image/"&amp;テーブル1[[#This Row],[画像]]&amp;".png"</f>
        <v>image/kurui-noise.png</v>
      </c>
      <c r="F122" s="19" t="str">
        <f>テーブル1[[#This Row],[リンク]]</f>
        <v>https://zakrotsukumo.wixsite.com/utau-zerozero</v>
      </c>
      <c r="G122" s="19" t="str">
        <f>SUBSTITUTE(テーブル1[[#This Row],[作品タグ]]," ","|")</f>
        <v>#狂威家</v>
      </c>
      <c r="H122" s="19" t="str">
        <f>テーブル1[[#This Row],[性別]]&amp;""</f>
        <v/>
      </c>
      <c r="I122" s="19" t="str">
        <f>テーブル1[[#This Row],[種族タグ]]&amp;""</f>
        <v/>
      </c>
      <c r="J122" s="19" t="str">
        <f>テーブル1[[#This Row],[職業タグ]]&amp;""</f>
        <v/>
      </c>
      <c r="K122" s="19" t="str">
        <f>テーブル1[[#This Row],[小物タグ]]&amp;""</f>
        <v/>
      </c>
      <c r="L122" s="19" t="str">
        <f>テーブル1[[#This Row],[ワンポイントタグ]]&amp;""</f>
        <v/>
      </c>
    </row>
    <row r="123" spans="1:12" ht="20.149999999999999" customHeight="1" x14ac:dyDescent="0.35">
      <c r="A123" s="19">
        <f>テーブル1[[#This Row],[番号]]</f>
        <v>122</v>
      </c>
      <c r="B123" s="19" t="str">
        <f>テーブル1[[#This Row],[名前]]</f>
        <v>鼓音ツヅ</v>
      </c>
      <c r="C123" s="19" t="str">
        <f>テーブル1[[#This Row],[なまえ]]</f>
        <v>つづね つづ</v>
      </c>
      <c r="D123" s="19" t="str">
        <f>テーブル1[[#This Row],[Name]]</f>
        <v>Tsuzune Tsuzu</v>
      </c>
      <c r="E123" s="19" t="str">
        <f>"image/"&amp;テーブル1[[#This Row],[画像]]&amp;".png"</f>
        <v>image/tsuzune-tsuzu.png</v>
      </c>
      <c r="F123" s="19" t="str">
        <f>テーブル1[[#This Row],[リンク]]</f>
        <v>https://bellsworks.wixsite.com/bellsworks</v>
      </c>
      <c r="G123" s="19" t="str">
        <f>SUBSTITUTE(テーブル1[[#This Row],[作品タグ]]," ","|")</f>
        <v>#べるずわーくす</v>
      </c>
      <c r="H123" s="19" t="str">
        <f>テーブル1[[#This Row],[性別]]&amp;""</f>
        <v/>
      </c>
      <c r="I123" s="19" t="str">
        <f>テーブル1[[#This Row],[種族タグ]]&amp;""</f>
        <v/>
      </c>
      <c r="J123" s="19" t="str">
        <f>テーブル1[[#This Row],[職業タグ]]&amp;""</f>
        <v/>
      </c>
      <c r="K123" s="19" t="str">
        <f>テーブル1[[#This Row],[小物タグ]]&amp;""</f>
        <v/>
      </c>
      <c r="L123" s="19" t="str">
        <f>テーブル1[[#This Row],[ワンポイントタグ]]&amp;""</f>
        <v/>
      </c>
    </row>
    <row r="124" spans="1:12" ht="20.149999999999999" customHeight="1" x14ac:dyDescent="0.35">
      <c r="A124" s="19">
        <f>テーブル1[[#This Row],[番号]]</f>
        <v>123</v>
      </c>
      <c r="B124" s="19" t="str">
        <f>テーブル1[[#This Row],[名前]]</f>
        <v>​成瀬ミオ</v>
      </c>
      <c r="C124" s="19" t="str">
        <f>テーブル1[[#This Row],[なまえ]]</f>
        <v>なるせ みお</v>
      </c>
      <c r="D124" s="19" t="str">
        <f>テーブル1[[#This Row],[Name]]</f>
        <v>Naruse Mio</v>
      </c>
      <c r="E124" s="19" t="str">
        <f>"image/"&amp;テーブル1[[#This Row],[画像]]&amp;".png"</f>
        <v>image/naruse-mio.png</v>
      </c>
      <c r="F124" s="19" t="str">
        <f>テーブル1[[#This Row],[リンク]]</f>
        <v>https://nanyuanxiaojieji.wixsite.com/yuragine-kannsokujo</v>
      </c>
      <c r="G124" s="19" t="str">
        <f>SUBSTITUTE(テーブル1[[#This Row],[作品タグ]]," ","|")</f>
        <v>#観測レポートを共有します</v>
      </c>
      <c r="H124" s="19" t="str">
        <f>テーブル1[[#This Row],[性別]]&amp;""</f>
        <v/>
      </c>
      <c r="I124" s="19" t="str">
        <f>テーブル1[[#This Row],[種族タグ]]&amp;""</f>
        <v/>
      </c>
      <c r="J124" s="19" t="str">
        <f>テーブル1[[#This Row],[職業タグ]]&amp;""</f>
        <v/>
      </c>
      <c r="K124" s="19" t="str">
        <f>テーブル1[[#This Row],[小物タグ]]&amp;""</f>
        <v/>
      </c>
      <c r="L124" s="19" t="str">
        <f>テーブル1[[#This Row],[ワンポイントタグ]]&amp;""</f>
        <v/>
      </c>
    </row>
    <row r="125" spans="1:12" ht="20.149999999999999" customHeight="1" x14ac:dyDescent="0.35">
      <c r="A125" s="19">
        <f>テーブル1[[#This Row],[番号]]</f>
        <v>124</v>
      </c>
      <c r="B125" s="19" t="str">
        <f>テーブル1[[#This Row],[名前]]</f>
        <v>レイイチロウ</v>
      </c>
      <c r="C125" s="19" t="str">
        <f>テーブル1[[#This Row],[なまえ]]</f>
        <v>れいいちろう</v>
      </c>
      <c r="D125" s="19" t="str">
        <f>テーブル1[[#This Row],[Name]]</f>
        <v>Reiichiro</v>
      </c>
      <c r="E125" s="19" t="str">
        <f>"image/"&amp;テーブル1[[#This Row],[画像]]&amp;".png"</f>
        <v>image/reiichiro.png</v>
      </c>
      <c r="F125" s="19" t="str">
        <f>テーブル1[[#This Row],[リンク]]</f>
        <v>https://mareffys.wixsite.com/lalo</v>
      </c>
      <c r="G125" s="19" t="str">
        <f>SUBSTITUTE(テーブル1[[#This Row],[作品タグ]]," ","|")</f>
        <v>#どっかのラララボ</v>
      </c>
      <c r="H125" s="19" t="str">
        <f>テーブル1[[#This Row],[性別]]&amp;""</f>
        <v/>
      </c>
      <c r="I125" s="19" t="str">
        <f>テーブル1[[#This Row],[種族タグ]]&amp;""</f>
        <v/>
      </c>
      <c r="J125" s="19" t="str">
        <f>テーブル1[[#This Row],[職業タグ]]&amp;""</f>
        <v/>
      </c>
      <c r="K125" s="19" t="str">
        <f>テーブル1[[#This Row],[小物タグ]]&amp;""</f>
        <v/>
      </c>
      <c r="L125" s="19" t="str">
        <f>テーブル1[[#This Row],[ワンポイントタグ]]&amp;""</f>
        <v/>
      </c>
    </row>
    <row r="126" spans="1:12" ht="20.149999999999999" customHeight="1" x14ac:dyDescent="0.35">
      <c r="A126" s="19">
        <f>テーブル1[[#This Row],[番号]]</f>
        <v>125</v>
      </c>
      <c r="B126" s="19" t="str">
        <f>テーブル1[[#This Row],[名前]]</f>
        <v>​諤</v>
      </c>
      <c r="C126" s="19" t="str">
        <f>テーブル1[[#This Row],[なまえ]]</f>
        <v>がく</v>
      </c>
      <c r="D126" s="19" t="str">
        <f>テーブル1[[#This Row],[Name]]</f>
        <v>Gaku</v>
      </c>
      <c r="E126" s="19" t="str">
        <f>"image/"&amp;テーブル1[[#This Row],[画像]]&amp;".png"</f>
        <v>image/gaku.png</v>
      </c>
      <c r="F126" s="19" t="str">
        <f>テーブル1[[#This Row],[リンク]]</f>
        <v>https://shiromeneko162.wixsite.com/shiromean-official</v>
      </c>
      <c r="G126" s="19" t="str">
        <f>SUBSTITUTE(テーブル1[[#This Row],[作品タグ]]," ","|")</f>
        <v>#シロメ人類</v>
      </c>
      <c r="H126" s="19" t="str">
        <f>テーブル1[[#This Row],[性別]]&amp;""</f>
        <v/>
      </c>
      <c r="I126" s="19" t="str">
        <f>テーブル1[[#This Row],[種族タグ]]&amp;""</f>
        <v/>
      </c>
      <c r="J126" s="19" t="str">
        <f>テーブル1[[#This Row],[職業タグ]]&amp;""</f>
        <v/>
      </c>
      <c r="K126" s="19" t="str">
        <f>テーブル1[[#This Row],[小物タグ]]&amp;""</f>
        <v/>
      </c>
      <c r="L126" s="19" t="str">
        <f>テーブル1[[#This Row],[ワンポイントタグ]]&amp;""</f>
        <v/>
      </c>
    </row>
    <row r="127" spans="1:12" ht="20.149999999999999" customHeight="1" x14ac:dyDescent="0.35">
      <c r="A127" s="19">
        <f>テーブル1[[#This Row],[番号]]</f>
        <v>126</v>
      </c>
      <c r="B127" s="19" t="str">
        <f>テーブル1[[#This Row],[名前]]</f>
        <v>ミカワヤ</v>
      </c>
      <c r="C127" s="19" t="str">
        <f>テーブル1[[#This Row],[なまえ]]</f>
        <v>みかわや</v>
      </c>
      <c r="D127" s="19" t="str">
        <f>テーブル1[[#This Row],[Name]]</f>
        <v>Mikawaya</v>
      </c>
      <c r="E127" s="19" t="str">
        <f>"image/"&amp;テーブル1[[#This Row],[画像]]&amp;".png"</f>
        <v>image/mikawaya.png</v>
      </c>
      <c r="F127" s="19" t="str">
        <f>テーブル1[[#This Row],[リンク]]</f>
        <v>https://mikawayanerutoko.jimdofree.com</v>
      </c>
      <c r="G127" s="19" t="str">
        <f>SUBSTITUTE(テーブル1[[#This Row],[作品タグ]]," ","|")</f>
        <v>#nerutoko</v>
      </c>
      <c r="H127" s="19" t="str">
        <f>テーブル1[[#This Row],[性別]]&amp;""</f>
        <v/>
      </c>
      <c r="I127" s="19" t="str">
        <f>テーブル1[[#This Row],[種族タグ]]&amp;""</f>
        <v/>
      </c>
      <c r="J127" s="19" t="str">
        <f>テーブル1[[#This Row],[職業タグ]]&amp;""</f>
        <v/>
      </c>
      <c r="K127" s="19" t="str">
        <f>テーブル1[[#This Row],[小物タグ]]&amp;""</f>
        <v/>
      </c>
      <c r="L127" s="19" t="str">
        <f>テーブル1[[#This Row],[ワンポイントタグ]]&amp;""</f>
        <v/>
      </c>
    </row>
    <row r="128" spans="1:12" ht="20.149999999999999" customHeight="1" x14ac:dyDescent="0.35">
      <c r="A128" s="19">
        <f>テーブル1[[#This Row],[番号]]</f>
        <v>127</v>
      </c>
      <c r="B128" s="19" t="str">
        <f>テーブル1[[#This Row],[名前]]</f>
        <v>コハル</v>
      </c>
      <c r="C128" s="19" t="str">
        <f>テーブル1[[#This Row],[なまえ]]</f>
        <v>こはる</v>
      </c>
      <c r="D128" s="19" t="str">
        <f>テーブル1[[#This Row],[Name]]</f>
        <v>Koharu</v>
      </c>
      <c r="E128" s="19" t="str">
        <f>"image/"&amp;テーブル1[[#This Row],[画像]]&amp;".png"</f>
        <v>image/koharu.png</v>
      </c>
      <c r="F128" s="19" t="str">
        <f>テーブル1[[#This Row],[リンク]]</f>
        <v>https://bellsworks.wixsite.com/bellsworks</v>
      </c>
      <c r="G128" s="19" t="str">
        <f>SUBSTITUTE(テーブル1[[#This Row],[作品タグ]]," ","|")</f>
        <v>#べるずわーくす</v>
      </c>
      <c r="H128" s="19" t="str">
        <f>テーブル1[[#This Row],[性別]]&amp;""</f>
        <v/>
      </c>
      <c r="I128" s="19" t="str">
        <f>テーブル1[[#This Row],[種族タグ]]&amp;""</f>
        <v/>
      </c>
      <c r="J128" s="19" t="str">
        <f>テーブル1[[#This Row],[職業タグ]]&amp;""</f>
        <v/>
      </c>
      <c r="K128" s="19" t="str">
        <f>テーブル1[[#This Row],[小物タグ]]&amp;""</f>
        <v/>
      </c>
      <c r="L128" s="19" t="str">
        <f>テーブル1[[#This Row],[ワンポイントタグ]]&amp;""</f>
        <v/>
      </c>
    </row>
    <row r="129" spans="1:12" ht="20.149999999999999" customHeight="1" x14ac:dyDescent="0.35">
      <c r="A129" s="19">
        <f>テーブル1[[#This Row],[番号]]</f>
        <v>128</v>
      </c>
      <c r="B129" s="19" t="str">
        <f>テーブル1[[#This Row],[名前]]</f>
        <v>黒羽みそら</v>
      </c>
      <c r="C129" s="19" t="str">
        <f>テーブル1[[#This Row],[なまえ]]</f>
        <v>くろはね みそら</v>
      </c>
      <c r="D129" s="19" t="str">
        <f>テーブル1[[#This Row],[Name]]</f>
        <v>Kurohane Misora</v>
      </c>
      <c r="E129" s="19" t="str">
        <f>"image/"&amp;テーブル1[[#This Row],[画像]]&amp;".png"</f>
        <v>image/kurohane-misora.png</v>
      </c>
      <c r="F129" s="19" t="str">
        <f>テーブル1[[#This Row],[リンク]]</f>
        <v>https://bellsworks.wixsite.com/bellsworks</v>
      </c>
      <c r="G129" s="19" t="str">
        <f>SUBSTITUTE(テーブル1[[#This Row],[作品タグ]]," ","|")</f>
        <v>#べるずわーくす</v>
      </c>
      <c r="H129" s="19" t="str">
        <f>テーブル1[[#This Row],[性別]]&amp;""</f>
        <v/>
      </c>
      <c r="I129" s="19" t="str">
        <f>テーブル1[[#This Row],[種族タグ]]&amp;""</f>
        <v/>
      </c>
      <c r="J129" s="19" t="str">
        <f>テーブル1[[#This Row],[職業タグ]]&amp;""</f>
        <v/>
      </c>
      <c r="K129" s="19" t="str">
        <f>テーブル1[[#This Row],[小物タグ]]&amp;""</f>
        <v/>
      </c>
      <c r="L129" s="19" t="str">
        <f>テーブル1[[#This Row],[ワンポイントタグ]]&amp;""</f>
        <v/>
      </c>
    </row>
    <row r="130" spans="1:12" ht="20.149999999999999" customHeight="1" x14ac:dyDescent="0.35">
      <c r="A130" s="19">
        <f>テーブル1[[#This Row],[番号]]</f>
        <v>129</v>
      </c>
      <c r="B130" s="19" t="str">
        <f>テーブル1[[#This Row],[名前]]</f>
        <v>空音響</v>
      </c>
      <c r="C130" s="19" t="str">
        <f>テーブル1[[#This Row],[なまえ]]</f>
        <v>からね ひびく</v>
      </c>
      <c r="D130" s="19" t="str">
        <f>テーブル1[[#This Row],[Name]]</f>
        <v>Karane Hibiku</v>
      </c>
      <c r="E130" s="19" t="str">
        <f>"image/"&amp;テーブル1[[#This Row],[画像]]&amp;".png"</f>
        <v>image/karane-hibiku.png</v>
      </c>
      <c r="F130" s="19" t="str">
        <f>テーブル1[[#This Row],[リンク]]</f>
        <v>https://kaitoramma.chu.jp</v>
      </c>
      <c r="G130" s="19" t="str">
        <f>SUBSTITUTE(テーブル1[[#This Row],[作品タグ]]," ","|")</f>
        <v>#空音絵巻</v>
      </c>
      <c r="H130" s="19" t="str">
        <f>テーブル1[[#This Row],[性別]]&amp;""</f>
        <v/>
      </c>
      <c r="I130" s="19" t="str">
        <f>テーブル1[[#This Row],[種族タグ]]&amp;""</f>
        <v/>
      </c>
      <c r="J130" s="19" t="str">
        <f>テーブル1[[#This Row],[職業タグ]]&amp;""</f>
        <v/>
      </c>
      <c r="K130" s="19" t="str">
        <f>テーブル1[[#This Row],[小物タグ]]&amp;""</f>
        <v/>
      </c>
      <c r="L130" s="19" t="str">
        <f>テーブル1[[#This Row],[ワンポイントタグ]]&amp;""</f>
        <v/>
      </c>
    </row>
    <row r="131" spans="1:12" ht="20.149999999999999" customHeight="1" x14ac:dyDescent="0.35">
      <c r="A131" s="19">
        <f>テーブル1[[#This Row],[番号]]</f>
        <v>130</v>
      </c>
      <c r="B131" s="19" t="str">
        <f>テーブル1[[#This Row],[名前]]</f>
        <v>Wilbur</v>
      </c>
      <c r="C131" s="19" t="str">
        <f>テーブル1[[#This Row],[なまえ]]</f>
        <v>うぃるばー</v>
      </c>
      <c r="D131" s="19" t="str">
        <f>テーブル1[[#This Row],[Name]]</f>
        <v>Wilbur</v>
      </c>
      <c r="E131" s="19" t="str">
        <f>"image/"&amp;テーブル1[[#This Row],[画像]]&amp;".png"</f>
        <v>image/wilbur.png</v>
      </c>
      <c r="F131" s="19" t="str">
        <f>テーブル1[[#This Row],[リンク]]</f>
        <v>https://kuroi9603.wixsite.com/delu-lab-south</v>
      </c>
      <c r="G131" s="19" t="str">
        <f>SUBSTITUTE(テーブル1[[#This Row],[作品タグ]]," ","|")</f>
        <v>#でるらぼ</v>
      </c>
      <c r="H131" s="19" t="str">
        <f>テーブル1[[#This Row],[性別]]&amp;""</f>
        <v>男性</v>
      </c>
      <c r="I131" s="19" t="str">
        <f>テーブル1[[#This Row],[種族タグ]]&amp;""</f>
        <v>人間</v>
      </c>
      <c r="J131" s="19" t="str">
        <f>テーブル1[[#This Row],[職業タグ]]&amp;""</f>
        <v/>
      </c>
      <c r="K131" s="19" t="str">
        <f>テーブル1[[#This Row],[小物タグ]]&amp;""</f>
        <v/>
      </c>
      <c r="L131" s="19" t="str">
        <f>テーブル1[[#This Row],[ワンポイントタグ]]&amp;""</f>
        <v/>
      </c>
    </row>
    <row r="132" spans="1:12" ht="20.149999999999999" customHeight="1" x14ac:dyDescent="0.35">
      <c r="A132" s="19">
        <f>テーブル1[[#This Row],[番号]]</f>
        <v>131</v>
      </c>
      <c r="B132" s="19" t="str">
        <f>テーブル1[[#This Row],[名前]]</f>
        <v>水沫烏有</v>
      </c>
      <c r="C132" s="19" t="str">
        <f>テーブル1[[#This Row],[なまえ]]</f>
        <v>みなあわ うゆう</v>
      </c>
      <c r="D132" s="19" t="str">
        <f>テーブル1[[#This Row],[Name]]</f>
        <v>Minaawa Uyu</v>
      </c>
      <c r="E132" s="19" t="str">
        <f>"image/"&amp;テーブル1[[#This Row],[画像]]&amp;".png"</f>
        <v>image/minaawa-uyu.png</v>
      </c>
      <c r="F132" s="19" t="str">
        <f>テーブル1[[#This Row],[リンク]]</f>
        <v>https://okome32500.wixsite.com/onekomochi</v>
      </c>
      <c r="G132" s="19" t="str">
        <f>SUBSTITUTE(テーブル1[[#This Row],[作品タグ]]," ","|")</f>
        <v>#水沫烏有</v>
      </c>
      <c r="H132" s="19" t="str">
        <f>テーブル1[[#This Row],[性別]]&amp;""</f>
        <v/>
      </c>
      <c r="I132" s="19" t="str">
        <f>テーブル1[[#This Row],[種族タグ]]&amp;""</f>
        <v/>
      </c>
      <c r="J132" s="19" t="str">
        <f>テーブル1[[#This Row],[職業タグ]]&amp;""</f>
        <v/>
      </c>
      <c r="K132" s="19" t="str">
        <f>テーブル1[[#This Row],[小物タグ]]&amp;""</f>
        <v/>
      </c>
      <c r="L132" s="19" t="str">
        <f>テーブル1[[#This Row],[ワンポイントタグ]]&amp;""</f>
        <v/>
      </c>
    </row>
    <row r="133" spans="1:12" ht="20.149999999999999" customHeight="1" x14ac:dyDescent="0.35">
      <c r="A133" s="19">
        <f>テーブル1[[#This Row],[番号]]</f>
        <v>132</v>
      </c>
      <c r="B133" s="19" t="str">
        <f>テーブル1[[#This Row],[名前]]</f>
        <v>籠詞鮫</v>
      </c>
      <c r="C133" s="19" t="str">
        <f>テーブル1[[#This Row],[なまえ]]</f>
        <v>こもりじ きょう</v>
      </c>
      <c r="D133" s="19" t="str">
        <f>テーブル1[[#This Row],[Name]]</f>
        <v>Komoriji Kyo</v>
      </c>
      <c r="E133" s="19" t="str">
        <f>"image/"&amp;テーブル1[[#This Row],[画像]]&amp;".png"</f>
        <v>image/komoriji-kyo.png</v>
      </c>
      <c r="F133" s="19" t="str">
        <f>テーブル1[[#This Row],[リンク]]</f>
        <v>https://suihankinonaka.wixsite.com/my-site-1</v>
      </c>
      <c r="G133" s="19" t="str">
        <f>SUBSTITUTE(テーブル1[[#This Row],[作品タグ]]," ","|")</f>
        <v>#お米炊けたよ</v>
      </c>
      <c r="H133" s="19" t="str">
        <f>テーブル1[[#This Row],[性別]]&amp;""</f>
        <v/>
      </c>
      <c r="I133" s="19" t="str">
        <f>テーブル1[[#This Row],[種族タグ]]&amp;""</f>
        <v/>
      </c>
      <c r="J133" s="19" t="str">
        <f>テーブル1[[#This Row],[職業タグ]]&amp;""</f>
        <v/>
      </c>
      <c r="K133" s="19" t="str">
        <f>テーブル1[[#This Row],[小物タグ]]&amp;""</f>
        <v/>
      </c>
      <c r="L133" s="19" t="str">
        <f>テーブル1[[#This Row],[ワンポイントタグ]]&amp;""</f>
        <v/>
      </c>
    </row>
    <row r="134" spans="1:12" ht="20.149999999999999" customHeight="1" x14ac:dyDescent="0.35">
      <c r="A134" s="19">
        <f>テーブル1[[#This Row],[番号]]</f>
        <v>133</v>
      </c>
      <c r="B134" s="19" t="str">
        <f>テーブル1[[#This Row],[名前]]</f>
        <v>揺音ユイ</v>
      </c>
      <c r="C134" s="19" t="str">
        <f>テーブル1[[#This Row],[なまえ]]</f>
        <v>ゆらぎね ゆい</v>
      </c>
      <c r="D134" s="19" t="str">
        <f>テーブル1[[#This Row],[Name]]</f>
        <v>Yuragine Yui</v>
      </c>
      <c r="E134" s="19" t="str">
        <f>"image/"&amp;テーブル1[[#This Row],[画像]]&amp;".png"</f>
        <v>image/yuragine-yui.png</v>
      </c>
      <c r="F134" s="19" t="str">
        <f>テーブル1[[#This Row],[リンク]]</f>
        <v>https://nanyuanxiaojieji.wixsite.com/yuragine-kannsokujo</v>
      </c>
      <c r="G134" s="19" t="str">
        <f>SUBSTITUTE(テーブル1[[#This Row],[作品タグ]]," ","|")</f>
        <v>#観測レポートを共有します</v>
      </c>
      <c r="H134" s="19" t="str">
        <f>テーブル1[[#This Row],[性別]]&amp;""</f>
        <v/>
      </c>
      <c r="I134" s="19" t="str">
        <f>テーブル1[[#This Row],[種族タグ]]&amp;""</f>
        <v/>
      </c>
      <c r="J134" s="19" t="str">
        <f>テーブル1[[#This Row],[職業タグ]]&amp;""</f>
        <v/>
      </c>
      <c r="K134" s="19" t="str">
        <f>テーブル1[[#This Row],[小物タグ]]&amp;""</f>
        <v/>
      </c>
      <c r="L134" s="19" t="str">
        <f>テーブル1[[#This Row],[ワンポイントタグ]]&amp;""</f>
        <v/>
      </c>
    </row>
    <row r="135" spans="1:12" ht="20.149999999999999" customHeight="1" x14ac:dyDescent="0.35">
      <c r="A135" s="19">
        <f>テーブル1[[#This Row],[番号]]</f>
        <v>134</v>
      </c>
      <c r="B135" s="19" t="str">
        <f>テーブル1[[#This Row],[名前]]</f>
        <v>狐鳴琴陽</v>
      </c>
      <c r="C135" s="19" t="str">
        <f>テーブル1[[#This Row],[なまえ]]</f>
        <v>こなり こはる</v>
      </c>
      <c r="D135" s="19" t="str">
        <f>テーブル1[[#This Row],[Name]]</f>
        <v>Konari Koharu</v>
      </c>
      <c r="E135" s="19" t="str">
        <f>"image/"&amp;テーブル1[[#This Row],[画像]]&amp;".png"</f>
        <v>image/konari-koharu.png</v>
      </c>
      <c r="F135" s="19" t="str">
        <f>テーブル1[[#This Row],[リンク]]</f>
        <v>https://osomatsu-poid.wixsite.com/konari-san-chi</v>
      </c>
      <c r="G135" s="19" t="str">
        <f>SUBSTITUTE(テーブル1[[#This Row],[作品タグ]]," ","|")</f>
        <v>#狐鳴さんち</v>
      </c>
      <c r="H135" s="19" t="str">
        <f>テーブル1[[#This Row],[性別]]&amp;""</f>
        <v/>
      </c>
      <c r="I135" s="19" t="str">
        <f>テーブル1[[#This Row],[種族タグ]]&amp;""</f>
        <v/>
      </c>
      <c r="J135" s="19" t="str">
        <f>テーブル1[[#This Row],[職業タグ]]&amp;""</f>
        <v/>
      </c>
      <c r="K135" s="19" t="str">
        <f>テーブル1[[#This Row],[小物タグ]]&amp;""</f>
        <v/>
      </c>
      <c r="L135" s="19" t="str">
        <f>テーブル1[[#This Row],[ワンポイントタグ]]&amp;""</f>
        <v/>
      </c>
    </row>
    <row r="136" spans="1:12" ht="20.149999999999999" customHeight="1" x14ac:dyDescent="0.35">
      <c r="A136" s="19">
        <f>テーブル1[[#This Row],[番号]]</f>
        <v>135</v>
      </c>
      <c r="B136" s="19" t="str">
        <f>テーブル1[[#This Row],[名前]]</f>
        <v>花束町めら</v>
      </c>
      <c r="C136" s="19" t="str">
        <f>テーブル1[[#This Row],[なまえ]]</f>
        <v>かづかまち めら</v>
      </c>
      <c r="D136" s="19" t="str">
        <f>テーブル1[[#This Row],[Name]]</f>
        <v>kazukamachi Mera</v>
      </c>
      <c r="E136" s="19" t="str">
        <f>"image/"&amp;テーブル1[[#This Row],[画像]]&amp;".png"</f>
        <v>image/kazukamachi-mera.png</v>
      </c>
      <c r="F136" s="19" t="str">
        <f>テーブル1[[#This Row],[リンク]]</f>
        <v>https://sites.google.com/view/fukuma-utau/top</v>
      </c>
      <c r="G136" s="19" t="str">
        <f>SUBSTITUTE(テーブル1[[#This Row],[作品タグ]]," ","|")</f>
        <v>#花束町めら</v>
      </c>
      <c r="H136" s="19" t="str">
        <f>テーブル1[[#This Row],[性別]]&amp;""</f>
        <v/>
      </c>
      <c r="I136" s="19" t="str">
        <f>テーブル1[[#This Row],[種族タグ]]&amp;""</f>
        <v/>
      </c>
      <c r="J136" s="19" t="str">
        <f>テーブル1[[#This Row],[職業タグ]]&amp;""</f>
        <v/>
      </c>
      <c r="K136" s="19" t="str">
        <f>テーブル1[[#This Row],[小物タグ]]&amp;""</f>
        <v/>
      </c>
      <c r="L136" s="19" t="str">
        <f>テーブル1[[#This Row],[ワンポイントタグ]]&amp;""</f>
        <v/>
      </c>
    </row>
    <row r="137" spans="1:12" ht="20.149999999999999" customHeight="1" x14ac:dyDescent="0.35">
      <c r="A137" s="19">
        <f>テーブル1[[#This Row],[番号]]</f>
        <v>136</v>
      </c>
      <c r="B137" s="19" t="str">
        <f>テーブル1[[#This Row],[名前]]</f>
        <v>曖米めろり</v>
      </c>
      <c r="C137" s="19" t="str">
        <f>テーブル1[[#This Row],[なまえ]]</f>
        <v>あいまい めろり</v>
      </c>
      <c r="D137" s="19" t="str">
        <f>テーブル1[[#This Row],[Name]]</f>
        <v>Aimai Merori</v>
      </c>
      <c r="E137" s="19" t="str">
        <f>"image/"&amp;テーブル1[[#This Row],[画像]]&amp;".png"</f>
        <v>image/aimai-merori.png</v>
      </c>
      <c r="F137" s="19" t="str">
        <f>テーブル1[[#This Row],[リンク]]</f>
        <v>https://suihankinonaka.wixsite.com/my-site-1</v>
      </c>
      <c r="G137" s="19" t="str">
        <f>SUBSTITUTE(テーブル1[[#This Row],[作品タグ]]," ","|")</f>
        <v>#お米炊けたよ</v>
      </c>
      <c r="H137" s="19" t="str">
        <f>テーブル1[[#This Row],[性別]]&amp;""</f>
        <v/>
      </c>
      <c r="I137" s="19" t="str">
        <f>テーブル1[[#This Row],[種族タグ]]&amp;""</f>
        <v/>
      </c>
      <c r="J137" s="19" t="str">
        <f>テーブル1[[#This Row],[職業タグ]]&amp;""</f>
        <v/>
      </c>
      <c r="K137" s="19" t="str">
        <f>テーブル1[[#This Row],[小物タグ]]&amp;""</f>
        <v/>
      </c>
      <c r="L137" s="19" t="str">
        <f>テーブル1[[#This Row],[ワンポイントタグ]]&amp;""</f>
        <v/>
      </c>
    </row>
    <row r="138" spans="1:12" ht="20.149999999999999" customHeight="1" x14ac:dyDescent="0.35">
      <c r="A138" s="19">
        <f>テーブル1[[#This Row],[番号]]</f>
        <v>137</v>
      </c>
      <c r="B138" s="19" t="str">
        <f>テーブル1[[#This Row],[名前]]</f>
        <v>形亡ズゥ</v>
      </c>
      <c r="C138" s="19" t="str">
        <f>テーブル1[[#This Row],[なまえ]]</f>
        <v>かたなし ずぅ</v>
      </c>
      <c r="D138" s="19" t="str">
        <f>テーブル1[[#This Row],[Name]]</f>
        <v>Katanashi zu</v>
      </c>
      <c r="E138" s="19" t="str">
        <f>"image/"&amp;テーブル1[[#This Row],[画像]]&amp;".png"</f>
        <v>image/katanashi-zu.png</v>
      </c>
      <c r="F138" s="19" t="str">
        <f>テーブル1[[#This Row],[リンク]]</f>
        <v>https://inudanuki.wixsite.com/gottaniomotyabako</v>
      </c>
      <c r="G138" s="19" t="str">
        <f>SUBSTITUTE(テーブル1[[#This Row],[作品タグ]]," ","|")</f>
        <v>#煮バコ</v>
      </c>
      <c r="H138" s="19" t="str">
        <f>テーブル1[[#This Row],[性別]]&amp;""</f>
        <v>女性</v>
      </c>
      <c r="I138" s="19" t="str">
        <f>テーブル1[[#This Row],[種族タグ]]&amp;""</f>
        <v>故人|ゾンビ</v>
      </c>
      <c r="J138" s="19" t="str">
        <f>テーブル1[[#This Row],[職業タグ]]&amp;""</f>
        <v/>
      </c>
      <c r="K138" s="19" t="str">
        <f>テーブル1[[#This Row],[小物タグ]]&amp;""</f>
        <v>アイバンド</v>
      </c>
      <c r="L138" s="19" t="str">
        <f>テーブル1[[#This Row],[ワンポイントタグ]]&amp;""</f>
        <v>ツートンカラー|片目隠れ</v>
      </c>
    </row>
    <row r="139" spans="1:12" ht="20.149999999999999" customHeight="1" x14ac:dyDescent="0.35">
      <c r="A139" s="19">
        <f>テーブル1[[#This Row],[番号]]</f>
        <v>138</v>
      </c>
      <c r="B139" s="19" t="str">
        <f>テーブル1[[#This Row],[名前]]</f>
        <v>飴唄ニム</v>
      </c>
      <c r="C139" s="19" t="str">
        <f>テーブル1[[#This Row],[なまえ]]</f>
        <v>あめうた にむ</v>
      </c>
      <c r="D139" s="19" t="str">
        <f>テーブル1[[#This Row],[Name]]</f>
        <v>Ameuta Nimu</v>
      </c>
      <c r="E139" s="19" t="str">
        <f>"image/"&amp;テーブル1[[#This Row],[画像]]&amp;".png"</f>
        <v>image/ameuta-nimu.png</v>
      </c>
      <c r="F139" s="19" t="str">
        <f>テーブル1[[#This Row],[リンク]]</f>
        <v>https://ametro.jimdofree.com</v>
      </c>
      <c r="G139" s="19" t="str">
        <f>SUBSTITUTE(テーブル1[[#This Row],[作品タグ]]," ","|")</f>
        <v>#ぞんび線CB</v>
      </c>
      <c r="H139" s="19" t="str">
        <f>テーブル1[[#This Row],[性別]]&amp;""</f>
        <v/>
      </c>
      <c r="I139" s="19" t="str">
        <f>テーブル1[[#This Row],[種族タグ]]&amp;""</f>
        <v/>
      </c>
      <c r="J139" s="19" t="str">
        <f>テーブル1[[#This Row],[職業タグ]]&amp;""</f>
        <v/>
      </c>
      <c r="K139" s="19" t="str">
        <f>テーブル1[[#This Row],[小物タグ]]&amp;""</f>
        <v/>
      </c>
      <c r="L139" s="19" t="str">
        <f>テーブル1[[#This Row],[ワンポイントタグ]]&amp;""</f>
        <v/>
      </c>
    </row>
    <row r="140" spans="1:12" ht="20.149999999999999" customHeight="1" x14ac:dyDescent="0.35">
      <c r="A140" s="19">
        <f>テーブル1[[#This Row],[番号]]</f>
        <v>139</v>
      </c>
      <c r="B140" s="19" t="str">
        <f>テーブル1[[#This Row],[名前]]</f>
        <v>鈴音シオン</v>
      </c>
      <c r="C140" s="19" t="str">
        <f>テーブル1[[#This Row],[なまえ]]</f>
        <v>すずの しおん</v>
      </c>
      <c r="D140" s="19" t="str">
        <f>テーブル1[[#This Row],[Name]]</f>
        <v>Suzuno Shion</v>
      </c>
      <c r="E140" s="19" t="str">
        <f>"image/"&amp;テーブル1[[#This Row],[画像]]&amp;".png"</f>
        <v>image/suzuno-shion.png</v>
      </c>
      <c r="F140" s="19" t="str">
        <f>テーブル1[[#This Row],[リンク]]</f>
        <v>https://bellsworks.wixsite.com/bellsworks</v>
      </c>
      <c r="G140" s="19" t="str">
        <f>SUBSTITUTE(テーブル1[[#This Row],[作品タグ]]," ","|")</f>
        <v>#べるずわーくす</v>
      </c>
      <c r="H140" s="19" t="str">
        <f>テーブル1[[#This Row],[性別]]&amp;""</f>
        <v/>
      </c>
      <c r="I140" s="19" t="str">
        <f>テーブル1[[#This Row],[種族タグ]]&amp;""</f>
        <v/>
      </c>
      <c r="J140" s="19" t="str">
        <f>テーブル1[[#This Row],[職業タグ]]&amp;""</f>
        <v/>
      </c>
      <c r="K140" s="19" t="str">
        <f>テーブル1[[#This Row],[小物タグ]]&amp;""</f>
        <v/>
      </c>
      <c r="L140" s="19" t="str">
        <f>テーブル1[[#This Row],[ワンポイントタグ]]&amp;""</f>
        <v/>
      </c>
    </row>
    <row r="141" spans="1:12" ht="20.149999999999999" customHeight="1" x14ac:dyDescent="0.35">
      <c r="A141" s="19">
        <f>テーブル1[[#This Row],[番号]]</f>
        <v>140</v>
      </c>
      <c r="B141" s="19" t="str">
        <f>テーブル1[[#This Row],[名前]]</f>
        <v>学静ショウ</v>
      </c>
      <c r="C141" s="19" t="str">
        <f>テーブル1[[#This Row],[なまえ]]</f>
        <v>がくせい しょう</v>
      </c>
      <c r="D141" s="19" t="str">
        <f>テーブル1[[#This Row],[Name]]</f>
        <v>Gakusei Sho</v>
      </c>
      <c r="E141" s="19" t="str">
        <f>"image/"&amp;テーブル1[[#This Row],[画像]]&amp;".png"</f>
        <v>image/gakusei-sho.png</v>
      </c>
      <c r="F141" s="19" t="str">
        <f>テーブル1[[#This Row],[リンク]]</f>
        <v>https://bowlroll.net/file/336695</v>
      </c>
      <c r="G141" s="19" t="str">
        <f>SUBSTITUTE(テーブル1[[#This Row],[作品タグ]]," ","|")</f>
        <v>#学静出席簿</v>
      </c>
      <c r="H141" s="19" t="str">
        <f>テーブル1[[#This Row],[性別]]&amp;""</f>
        <v/>
      </c>
      <c r="I141" s="19" t="str">
        <f>テーブル1[[#This Row],[種族タグ]]&amp;""</f>
        <v/>
      </c>
      <c r="J141" s="19" t="str">
        <f>テーブル1[[#This Row],[職業タグ]]&amp;""</f>
        <v/>
      </c>
      <c r="K141" s="19" t="str">
        <f>テーブル1[[#This Row],[小物タグ]]&amp;""</f>
        <v/>
      </c>
      <c r="L141" s="19" t="str">
        <f>テーブル1[[#This Row],[ワンポイントタグ]]&amp;""</f>
        <v/>
      </c>
    </row>
    <row r="142" spans="1:12" ht="20.149999999999999" customHeight="1" x14ac:dyDescent="0.35">
      <c r="A142" s="19">
        <f>テーブル1[[#This Row],[番号]]</f>
        <v>141</v>
      </c>
      <c r="B142" s="19" t="str">
        <f>テーブル1[[#This Row],[名前]]</f>
        <v>六見：Ｑ</v>
      </c>
      <c r="C142" s="19" t="str">
        <f>テーブル1[[#This Row],[なまえ]]</f>
        <v>むつみ きゅう</v>
      </c>
      <c r="D142" s="19" t="str">
        <f>テーブル1[[#This Row],[Name]]</f>
        <v>Mutsumi Q</v>
      </c>
      <c r="E142" s="19" t="str">
        <f>"image/"&amp;テーブル1[[#This Row],[画像]]&amp;".png"</f>
        <v>image/mutsumi-q.png</v>
      </c>
      <c r="F142" s="19" t="str">
        <f>テーブル1[[#This Row],[リンク]]</f>
        <v>https://sites.google.com/view/qsuke-garden/home</v>
      </c>
      <c r="G142" s="19" t="str">
        <f>SUBSTITUTE(テーブル1[[#This Row],[作品タグ]]," ","|")</f>
        <v>#六見Q</v>
      </c>
      <c r="H142" s="19" t="str">
        <f>テーブル1[[#This Row],[性別]]&amp;""</f>
        <v/>
      </c>
      <c r="I142" s="19" t="str">
        <f>テーブル1[[#This Row],[種族タグ]]&amp;""</f>
        <v/>
      </c>
      <c r="J142" s="19" t="str">
        <f>テーブル1[[#This Row],[職業タグ]]&amp;""</f>
        <v/>
      </c>
      <c r="K142" s="19" t="str">
        <f>テーブル1[[#This Row],[小物タグ]]&amp;""</f>
        <v/>
      </c>
      <c r="L142" s="19" t="str">
        <f>テーブル1[[#This Row],[ワンポイントタグ]]&amp;""</f>
        <v/>
      </c>
    </row>
    <row r="143" spans="1:12" ht="20.149999999999999" customHeight="1" x14ac:dyDescent="0.35">
      <c r="A143" s="19">
        <f>テーブル1[[#This Row],[番号]]</f>
        <v>142</v>
      </c>
      <c r="B143" s="19" t="str">
        <f>テーブル1[[#This Row],[名前]]</f>
        <v>悪戯清子</v>
      </c>
      <c r="C143" s="19" t="str">
        <f>テーブル1[[#This Row],[なまえ]]</f>
        <v>いたずら せいこ</v>
      </c>
      <c r="D143" s="19" t="str">
        <f>テーブル1[[#This Row],[Name]]</f>
        <v>Itazura Seiko</v>
      </c>
      <c r="E143" s="19" t="str">
        <f>"image/"&amp;テーブル1[[#This Row],[画像]]&amp;".png"</f>
        <v>image/itazura-seiko.png</v>
      </c>
      <c r="F143" s="19" t="str">
        <f>テーブル1[[#This Row],[リンク]]</f>
        <v>https://bowlroll.net/user/700434</v>
      </c>
      <c r="G143" s="19" t="str">
        <f>SUBSTITUTE(テーブル1[[#This Row],[作品タグ]]," ","|")</f>
        <v>悪戯清子(UTAU)</v>
      </c>
      <c r="H143" s="19" t="str">
        <f>テーブル1[[#This Row],[性別]]&amp;""</f>
        <v/>
      </c>
      <c r="I143" s="19" t="str">
        <f>テーブル1[[#This Row],[種族タグ]]&amp;""</f>
        <v/>
      </c>
      <c r="J143" s="19" t="str">
        <f>テーブル1[[#This Row],[職業タグ]]&amp;""</f>
        <v/>
      </c>
      <c r="K143" s="19" t="str">
        <f>テーブル1[[#This Row],[小物タグ]]&amp;""</f>
        <v/>
      </c>
      <c r="L143" s="19" t="str">
        <f>テーブル1[[#This Row],[ワンポイントタグ]]&amp;""</f>
        <v/>
      </c>
    </row>
    <row r="144" spans="1:12" ht="20.149999999999999" customHeight="1" x14ac:dyDescent="0.35">
      <c r="A144" s="19">
        <f>テーブル1[[#This Row],[番号]]</f>
        <v>143</v>
      </c>
      <c r="B144" s="19" t="str">
        <f>テーブル1[[#This Row],[名前]]</f>
        <v>ウフーロ・ジョホマウ・シフショ</v>
      </c>
      <c r="C144" s="19" t="str">
        <f>テーブル1[[#This Row],[なまえ]]</f>
        <v>うふーろ じょほまう しふしょ</v>
      </c>
      <c r="D144" s="19" t="str">
        <f>テーブル1[[#This Row],[Name]]</f>
        <v>Ufuro Johomau Shifusho</v>
      </c>
      <c r="E144" s="19" t="str">
        <f>"image/"&amp;テーブル1[[#This Row],[画像]]&amp;".png"</f>
        <v>image/ufuro-johomau-shifusho.png</v>
      </c>
      <c r="F144" s="19" t="str">
        <f>テーブル1[[#This Row],[リンク]]</f>
        <v>https://bowlroll.net/user/852117/files</v>
      </c>
      <c r="G144" s="19" t="str">
        <f>SUBSTITUTE(テーブル1[[#This Row],[作品タグ]]," ","|")</f>
        <v>#きのみあーと</v>
      </c>
      <c r="H144" s="19" t="str">
        <f>テーブル1[[#This Row],[性別]]&amp;""</f>
        <v/>
      </c>
      <c r="I144" s="19" t="str">
        <f>テーブル1[[#This Row],[種族タグ]]&amp;""</f>
        <v/>
      </c>
      <c r="J144" s="19" t="str">
        <f>テーブル1[[#This Row],[職業タグ]]&amp;""</f>
        <v/>
      </c>
      <c r="K144" s="19" t="str">
        <f>テーブル1[[#This Row],[小物タグ]]&amp;""</f>
        <v/>
      </c>
      <c r="L144" s="19" t="str">
        <f>テーブル1[[#This Row],[ワンポイントタグ]]&amp;""</f>
        <v/>
      </c>
    </row>
    <row r="145" spans="1:12" ht="20.149999999999999" customHeight="1" x14ac:dyDescent="0.35">
      <c r="A145" s="19">
        <f>テーブル1[[#This Row],[番号]]</f>
        <v>144</v>
      </c>
      <c r="B145" s="19" t="str">
        <f>テーブル1[[#This Row],[名前]]</f>
        <v>鈴音ルオン</v>
      </c>
      <c r="C145" s="19" t="str">
        <f>テーブル1[[#This Row],[なまえ]]</f>
        <v>すずの るおん</v>
      </c>
      <c r="D145" s="19" t="str">
        <f>テーブル1[[#This Row],[Name]]</f>
        <v>Suzuno Ruon</v>
      </c>
      <c r="E145" s="19" t="str">
        <f>"image/"&amp;テーブル1[[#This Row],[画像]]&amp;".png"</f>
        <v>image/suzuno-ruon.png</v>
      </c>
      <c r="F145" s="19" t="str">
        <f>テーブル1[[#This Row],[リンク]]</f>
        <v>https://bellsworks.wixsite.com/bellsworks</v>
      </c>
      <c r="G145" s="19" t="str">
        <f>SUBSTITUTE(テーブル1[[#This Row],[作品タグ]]," ","|")</f>
        <v>#べるずわーくす</v>
      </c>
      <c r="H145" s="19" t="str">
        <f>テーブル1[[#This Row],[性別]]&amp;""</f>
        <v/>
      </c>
      <c r="I145" s="19" t="str">
        <f>テーブル1[[#This Row],[種族タグ]]&amp;""</f>
        <v/>
      </c>
      <c r="J145" s="19" t="str">
        <f>テーブル1[[#This Row],[職業タグ]]&amp;""</f>
        <v/>
      </c>
      <c r="K145" s="19" t="str">
        <f>テーブル1[[#This Row],[小物タグ]]&amp;""</f>
        <v/>
      </c>
      <c r="L145" s="19" t="str">
        <f>テーブル1[[#This Row],[ワンポイントタグ]]&amp;""</f>
        <v/>
      </c>
    </row>
    <row r="146" spans="1:12" ht="20.149999999999999" customHeight="1" x14ac:dyDescent="0.35">
      <c r="A146" s="19">
        <f>テーブル1[[#This Row],[番号]]</f>
        <v>145</v>
      </c>
      <c r="B146" s="19" t="str">
        <f>テーブル1[[#This Row],[名前]]</f>
        <v>空深あくる</v>
      </c>
      <c r="C146" s="19" t="str">
        <f>テーブル1[[#This Row],[なまえ]]</f>
        <v>うつみ あくる</v>
      </c>
      <c r="D146" s="19" t="str">
        <f>テーブル1[[#This Row],[Name]]</f>
        <v>Utsumi Akuru</v>
      </c>
      <c r="E146" s="19" t="str">
        <f>"image/"&amp;テーブル1[[#This Row],[画像]]&amp;".png"</f>
        <v>image/utsumi-akuru.png</v>
      </c>
      <c r="F146" s="19" t="str">
        <f>テーブル1[[#This Row],[リンク]]</f>
        <v>https://kairi0utau.wixsite.com/arugamamanouta</v>
      </c>
      <c r="G146" s="19" t="str">
        <f>SUBSTITUTE(テーブル1[[#This Row],[作品タグ]]," ","|")</f>
        <v>#あるがままのうた</v>
      </c>
      <c r="H146" s="19" t="str">
        <f>テーブル1[[#This Row],[性別]]&amp;""</f>
        <v/>
      </c>
      <c r="I146" s="19" t="str">
        <f>テーブル1[[#This Row],[種族タグ]]&amp;""</f>
        <v/>
      </c>
      <c r="J146" s="19" t="str">
        <f>テーブル1[[#This Row],[職業タグ]]&amp;""</f>
        <v/>
      </c>
      <c r="K146" s="19" t="str">
        <f>テーブル1[[#This Row],[小物タグ]]&amp;""</f>
        <v/>
      </c>
      <c r="L146" s="19" t="str">
        <f>テーブル1[[#This Row],[ワンポイントタグ]]&amp;""</f>
        <v/>
      </c>
    </row>
    <row r="147" spans="1:12" ht="20.149999999999999" customHeight="1" x14ac:dyDescent="0.35">
      <c r="A147" s="19">
        <f>テーブル1[[#This Row],[番号]]</f>
        <v>146</v>
      </c>
      <c r="B147" s="19" t="str">
        <f>テーブル1[[#This Row],[名前]]</f>
        <v>飴唄ニト</v>
      </c>
      <c r="C147" s="19" t="str">
        <f>テーブル1[[#This Row],[なまえ]]</f>
        <v>あめうた にと</v>
      </c>
      <c r="D147" s="19" t="str">
        <f>テーブル1[[#This Row],[Name]]</f>
        <v>Ameuta Nito</v>
      </c>
      <c r="E147" s="19" t="str">
        <f>"image/"&amp;テーブル1[[#This Row],[画像]]&amp;".png"</f>
        <v>image/ameuta-nito.png</v>
      </c>
      <c r="F147" s="19" t="str">
        <f>テーブル1[[#This Row],[リンク]]</f>
        <v>https://ametro.jimdofree.com</v>
      </c>
      <c r="G147" s="19" t="str">
        <f>SUBSTITUTE(テーブル1[[#This Row],[作品タグ]]," ","|")</f>
        <v>#ぞんび線CB</v>
      </c>
      <c r="H147" s="19" t="str">
        <f>テーブル1[[#This Row],[性別]]&amp;""</f>
        <v/>
      </c>
      <c r="I147" s="19" t="str">
        <f>テーブル1[[#This Row],[種族タグ]]&amp;""</f>
        <v/>
      </c>
      <c r="J147" s="19" t="str">
        <f>テーブル1[[#This Row],[職業タグ]]&amp;""</f>
        <v/>
      </c>
      <c r="K147" s="19" t="str">
        <f>テーブル1[[#This Row],[小物タグ]]&amp;""</f>
        <v/>
      </c>
      <c r="L147" s="19" t="str">
        <f>テーブル1[[#This Row],[ワンポイントタグ]]&amp;""</f>
        <v/>
      </c>
    </row>
    <row r="148" spans="1:12" ht="20.149999999999999" customHeight="1" x14ac:dyDescent="0.35">
      <c r="A148" s="19">
        <f>テーブル1[[#This Row],[番号]]</f>
        <v>147</v>
      </c>
      <c r="B148" s="19" t="str">
        <f>テーブル1[[#This Row],[名前]]</f>
        <v>飴彩ねるね</v>
      </c>
      <c r="C148" s="19" t="str">
        <f>テーブル1[[#This Row],[なまえ]]</f>
        <v>あめいろ ねるね</v>
      </c>
      <c r="D148" s="19" t="str">
        <f>テーブル1[[#This Row],[Name]]</f>
        <v>Ameiro Nerune</v>
      </c>
      <c r="E148" s="19" t="str">
        <f>"image/"&amp;テーブル1[[#This Row],[画像]]&amp;".png"</f>
        <v>image/ameiro-nerune.png</v>
      </c>
      <c r="F148" s="19" t="str">
        <f>テーブル1[[#This Row],[リンク]]</f>
        <v>https://inudanuki.wixsite.com/gottaniomotyabako</v>
      </c>
      <c r="G148" s="19" t="str">
        <f>SUBSTITUTE(テーブル1[[#This Row],[作品タグ]]," ","|")</f>
        <v>#煮バコ</v>
      </c>
      <c r="H148" s="19" t="str">
        <f>テーブル1[[#This Row],[性別]]&amp;""</f>
        <v>女性</v>
      </c>
      <c r="I148" s="19" t="str">
        <f>テーブル1[[#This Row],[種族タグ]]&amp;""</f>
        <v>人間</v>
      </c>
      <c r="J148" s="19" t="str">
        <f>テーブル1[[#This Row],[職業タグ]]&amp;""</f>
        <v/>
      </c>
      <c r="K148" s="19" t="str">
        <f>テーブル1[[#This Row],[小物タグ]]&amp;""</f>
        <v/>
      </c>
      <c r="L148" s="19" t="str">
        <f>テーブル1[[#This Row],[ワンポイントタグ]]&amp;""</f>
        <v>グラデーションカラー</v>
      </c>
    </row>
    <row r="149" spans="1:12" ht="20.149999999999999" customHeight="1" x14ac:dyDescent="0.35">
      <c r="A149" s="19">
        <f>テーブル1[[#This Row],[番号]]</f>
        <v>148</v>
      </c>
      <c r="B149" s="19" t="str">
        <f>テーブル1[[#This Row],[名前]]</f>
        <v>クリノクロア</v>
      </c>
      <c r="C149" s="19" t="str">
        <f>テーブル1[[#This Row],[なまえ]]</f>
        <v>くりのくろあ</v>
      </c>
      <c r="D149" s="19" t="str">
        <f>テーブル1[[#This Row],[Name]]</f>
        <v>Clinochlore</v>
      </c>
      <c r="E149" s="19" t="str">
        <f>"image/"&amp;テーブル1[[#This Row],[画像]]&amp;".png"</f>
        <v>image/clinochlore.png</v>
      </c>
      <c r="F149" s="19" t="str">
        <f>テーブル1[[#This Row],[リンク]]</f>
        <v>https://cmamizki.wixsite.com/edelstein</v>
      </c>
      <c r="G149" s="19" t="str">
        <f>SUBSTITUTE(テーブル1[[#This Row],[作品タグ]]," ","|")</f>
        <v>クリノクロア(UTAU)</v>
      </c>
      <c r="H149" s="19" t="str">
        <f>テーブル1[[#This Row],[性別]]&amp;""</f>
        <v/>
      </c>
      <c r="I149" s="19" t="str">
        <f>テーブル1[[#This Row],[種族タグ]]&amp;""</f>
        <v/>
      </c>
      <c r="J149" s="19" t="str">
        <f>テーブル1[[#This Row],[職業タグ]]&amp;""</f>
        <v/>
      </c>
      <c r="K149" s="19" t="str">
        <f>テーブル1[[#This Row],[小物タグ]]&amp;""</f>
        <v/>
      </c>
      <c r="L149" s="19" t="str">
        <f>テーブル1[[#This Row],[ワンポイントタグ]]&amp;""</f>
        <v/>
      </c>
    </row>
    <row r="150" spans="1:12" ht="20.149999999999999" customHeight="1" x14ac:dyDescent="0.35">
      <c r="A150" s="19">
        <f>テーブル1[[#This Row],[番号]]</f>
        <v>149</v>
      </c>
      <c r="B150" s="19" t="str">
        <f>テーブル1[[#This Row],[名前]]</f>
        <v>音々尾ミュー</v>
      </c>
      <c r="C150" s="19" t="str">
        <f>テーブル1[[#This Row],[なまえ]]</f>
        <v>ねねお みゅー</v>
      </c>
      <c r="D150" s="19" t="str">
        <f>テーブル1[[#This Row],[Name]]</f>
        <v>Neneo mu</v>
      </c>
      <c r="E150" s="19" t="str">
        <f>"image/"&amp;テーブル1[[#This Row],[画像]]&amp;".png"</f>
        <v>image/neneo-mu.png</v>
      </c>
      <c r="F150" s="19" t="str">
        <f>テーブル1[[#This Row],[リンク]]</f>
        <v>https://hinoyuzirenraku.wixsite.com/mu-neneo</v>
      </c>
      <c r="G150" s="19" t="str">
        <f>SUBSTITUTE(テーブル1[[#This Row],[作品タグ]]," ","|")</f>
        <v>音々尾ミュー(UTAU)</v>
      </c>
      <c r="H150" s="19" t="str">
        <f>テーブル1[[#This Row],[性別]]&amp;""</f>
        <v/>
      </c>
      <c r="I150" s="19" t="str">
        <f>テーブル1[[#This Row],[種族タグ]]&amp;""</f>
        <v/>
      </c>
      <c r="J150" s="19" t="str">
        <f>テーブル1[[#This Row],[職業タグ]]&amp;""</f>
        <v/>
      </c>
      <c r="K150" s="19" t="str">
        <f>テーブル1[[#This Row],[小物タグ]]&amp;""</f>
        <v/>
      </c>
      <c r="L150" s="19" t="str">
        <f>テーブル1[[#This Row],[ワンポイントタグ]]&amp;""</f>
        <v/>
      </c>
    </row>
    <row r="151" spans="1:12" ht="20.149999999999999" customHeight="1" x14ac:dyDescent="0.35">
      <c r="A151" s="19">
        <f>テーブル1[[#This Row],[番号]]</f>
        <v>150</v>
      </c>
      <c r="B151" s="19" t="str">
        <f>テーブル1[[#This Row],[名前]]</f>
        <v>狂威ネイロ</v>
      </c>
      <c r="C151" s="19" t="str">
        <f>テーブル1[[#This Row],[なまえ]]</f>
        <v>くるい ねいろ</v>
      </c>
      <c r="D151" s="19" t="str">
        <f>テーブル1[[#This Row],[Name]]</f>
        <v>Kurui Neiro</v>
      </c>
      <c r="E151" s="19" t="str">
        <f>"image/"&amp;テーブル1[[#This Row],[画像]]&amp;".png"</f>
        <v>image/kurui-neiro.png</v>
      </c>
      <c r="F151" s="19" t="str">
        <f>テーブル1[[#This Row],[リンク]]</f>
        <v>https://zakrotsukumo.wixsite.com/utau-zerozero</v>
      </c>
      <c r="G151" s="19" t="str">
        <f>SUBSTITUTE(テーブル1[[#This Row],[作品タグ]]," ","|")</f>
        <v>#狂威家</v>
      </c>
      <c r="H151" s="19" t="str">
        <f>テーブル1[[#This Row],[性別]]&amp;""</f>
        <v/>
      </c>
      <c r="I151" s="19" t="str">
        <f>テーブル1[[#This Row],[種族タグ]]&amp;""</f>
        <v/>
      </c>
      <c r="J151" s="19" t="str">
        <f>テーブル1[[#This Row],[職業タグ]]&amp;""</f>
        <v/>
      </c>
      <c r="K151" s="19" t="str">
        <f>テーブル1[[#This Row],[小物タグ]]&amp;""</f>
        <v/>
      </c>
      <c r="L151" s="19" t="str">
        <f>テーブル1[[#This Row],[ワンポイントタグ]]&amp;""</f>
        <v/>
      </c>
    </row>
    <row r="152" spans="1:12" ht="20.149999999999999" customHeight="1" x14ac:dyDescent="0.35">
      <c r="A152" s="19">
        <f>テーブル1[[#This Row],[番号]]</f>
        <v>151</v>
      </c>
      <c r="B152" s="19" t="str">
        <f>テーブル1[[#This Row],[名前]]</f>
        <v>弦音レーヤ</v>
      </c>
      <c r="C152" s="19" t="str">
        <f>テーブル1[[#This Row],[なまえ]]</f>
        <v>つるね れーや</v>
      </c>
      <c r="D152" s="19" t="str">
        <f>テーブル1[[#This Row],[Name]]</f>
        <v>Tsurune Reya</v>
      </c>
      <c r="E152" s="19" t="str">
        <f>"image/"&amp;テーブル1[[#This Row],[画像]]&amp;".png"</f>
        <v>image/tsurune-reya.png</v>
      </c>
      <c r="F152" s="19" t="str">
        <f>テーブル1[[#This Row],[リンク]]</f>
        <v>https://bellsworks.wixsite.com/bellsworks</v>
      </c>
      <c r="G152" s="19" t="str">
        <f>SUBSTITUTE(テーブル1[[#This Row],[作品タグ]]," ","|")</f>
        <v>#べるずわーくす</v>
      </c>
      <c r="H152" s="19" t="str">
        <f>テーブル1[[#This Row],[性別]]&amp;""</f>
        <v/>
      </c>
      <c r="I152" s="19" t="str">
        <f>テーブル1[[#This Row],[種族タグ]]&amp;""</f>
        <v/>
      </c>
      <c r="J152" s="19" t="str">
        <f>テーブル1[[#This Row],[職業タグ]]&amp;""</f>
        <v/>
      </c>
      <c r="K152" s="19" t="str">
        <f>テーブル1[[#This Row],[小物タグ]]&amp;""</f>
        <v/>
      </c>
      <c r="L152" s="19" t="str">
        <f>テーブル1[[#This Row],[ワンポイントタグ]]&amp;""</f>
        <v/>
      </c>
    </row>
    <row r="153" spans="1:12" ht="20.149999999999999" customHeight="1" x14ac:dyDescent="0.35">
      <c r="A153" s="19">
        <f>テーブル1[[#This Row],[番号]]</f>
        <v>152</v>
      </c>
      <c r="B153" s="19" t="str">
        <f>テーブル1[[#This Row],[名前]]</f>
        <v>Alma</v>
      </c>
      <c r="C153" s="19" t="str">
        <f>テーブル1[[#This Row],[なまえ]]</f>
        <v>あるま</v>
      </c>
      <c r="D153" s="19" t="str">
        <f>テーブル1[[#This Row],[Name]]</f>
        <v>Alma</v>
      </c>
      <c r="E153" s="19" t="str">
        <f>"image/"&amp;テーブル1[[#This Row],[画像]]&amp;".png"</f>
        <v>image/alma.png</v>
      </c>
      <c r="F153" s="19" t="str">
        <f>テーブル1[[#This Row],[リンク]]</f>
        <v>https://kairi0utau.wixsite.com/arugamamanouta</v>
      </c>
      <c r="G153" s="19" t="str">
        <f>SUBSTITUTE(テーブル1[[#This Row],[作品タグ]]," ","|")</f>
        <v>#あるがままのうた</v>
      </c>
      <c r="H153" s="19" t="str">
        <f>テーブル1[[#This Row],[性別]]&amp;""</f>
        <v/>
      </c>
      <c r="I153" s="19" t="str">
        <f>テーブル1[[#This Row],[種族タグ]]&amp;""</f>
        <v/>
      </c>
      <c r="J153" s="19" t="str">
        <f>テーブル1[[#This Row],[職業タグ]]&amp;""</f>
        <v/>
      </c>
      <c r="K153" s="19" t="str">
        <f>テーブル1[[#This Row],[小物タグ]]&amp;""</f>
        <v/>
      </c>
      <c r="L153" s="19" t="str">
        <f>テーブル1[[#This Row],[ワンポイントタグ]]&amp;""</f>
        <v/>
      </c>
    </row>
    <row r="154" spans="1:12" ht="20.149999999999999" customHeight="1" x14ac:dyDescent="0.35">
      <c r="A154" s="19">
        <f>テーブル1[[#This Row],[番号]]</f>
        <v>153</v>
      </c>
      <c r="B154" s="19" t="str">
        <f>テーブル1[[#This Row],[名前]]</f>
        <v>不知英</v>
      </c>
      <c r="C154" s="19" t="str">
        <f>テーブル1[[#This Row],[なまえ]]</f>
        <v>しらず はな</v>
      </c>
      <c r="D154" s="19" t="str">
        <f>テーブル1[[#This Row],[Name]]</f>
        <v>Shirazu Hana</v>
      </c>
      <c r="E154" s="19" t="str">
        <f>"image/"&amp;テーブル1[[#This Row],[画像]]&amp;".png"</f>
        <v>image/shirazu-hana.png</v>
      </c>
      <c r="F154" s="19" t="str">
        <f>テーブル1[[#This Row],[リンク]]</f>
        <v>https://makurakue.wixsite.com/kemononokemono</v>
      </c>
      <c r="G154" s="19" t="str">
        <f>SUBSTITUTE(テーブル1[[#This Row],[作品タグ]]," ","|")</f>
        <v>#けもののけもの</v>
      </c>
      <c r="H154" s="19" t="str">
        <f>テーブル1[[#This Row],[性別]]&amp;""</f>
        <v/>
      </c>
      <c r="I154" s="19" t="str">
        <f>テーブル1[[#This Row],[種族タグ]]&amp;""</f>
        <v/>
      </c>
      <c r="J154" s="19" t="str">
        <f>テーブル1[[#This Row],[職業タグ]]&amp;""</f>
        <v/>
      </c>
      <c r="K154" s="19" t="str">
        <f>テーブル1[[#This Row],[小物タグ]]&amp;""</f>
        <v/>
      </c>
      <c r="L154" s="19" t="str">
        <f>テーブル1[[#This Row],[ワンポイントタグ]]&amp;""</f>
        <v/>
      </c>
    </row>
    <row r="155" spans="1:12" ht="20.149999999999999" customHeight="1" x14ac:dyDescent="0.35">
      <c r="A155" s="19">
        <f>テーブル1[[#This Row],[番号]]</f>
        <v>154</v>
      </c>
      <c r="B155" s="19" t="str">
        <f>テーブル1[[#This Row],[名前]]</f>
        <v>徒事解</v>
      </c>
      <c r="C155" s="19" t="str">
        <f>テーブル1[[#This Row],[なまえ]]</f>
        <v>あだごと かい</v>
      </c>
      <c r="D155" s="19" t="str">
        <f>テーブル1[[#This Row],[Name]]</f>
        <v>Adagoto Kai</v>
      </c>
      <c r="E155" s="19" t="str">
        <f>"image/"&amp;テーブル1[[#This Row],[画像]]&amp;".png"</f>
        <v>image/adagoto-kai.png</v>
      </c>
      <c r="F155" s="19" t="str">
        <f>テーブル1[[#This Row],[リンク]]</f>
        <v>https://askdance.wixsite.com/monitor-room/monitor-room</v>
      </c>
      <c r="G155" s="19" t="str">
        <f>SUBSTITUTE(テーブル1[[#This Row],[作品タグ]]," ","|")</f>
        <v>#meta世界より</v>
      </c>
      <c r="H155" s="19" t="str">
        <f>テーブル1[[#This Row],[性別]]&amp;""</f>
        <v/>
      </c>
      <c r="I155" s="19" t="str">
        <f>テーブル1[[#This Row],[種族タグ]]&amp;""</f>
        <v/>
      </c>
      <c r="J155" s="19" t="str">
        <f>テーブル1[[#This Row],[職業タグ]]&amp;""</f>
        <v/>
      </c>
      <c r="K155" s="19" t="str">
        <f>テーブル1[[#This Row],[小物タグ]]&amp;""</f>
        <v/>
      </c>
      <c r="L155" s="19" t="str">
        <f>テーブル1[[#This Row],[ワンポイントタグ]]&amp;""</f>
        <v/>
      </c>
    </row>
    <row r="156" spans="1:12" ht="20.149999999999999" customHeight="1" x14ac:dyDescent="0.35">
      <c r="A156" s="19">
        <f>テーブル1[[#This Row],[番号]]</f>
        <v>155</v>
      </c>
      <c r="B156" s="19" t="str">
        <f>テーブル1[[#This Row],[名前]]</f>
        <v>空音こだま</v>
      </c>
      <c r="C156" s="19" t="str">
        <f>テーブル1[[#This Row],[なまえ]]</f>
        <v>からね こだま</v>
      </c>
      <c r="D156" s="19" t="str">
        <f>テーブル1[[#This Row],[Name]]</f>
        <v>Karane Kodama</v>
      </c>
      <c r="E156" s="19" t="str">
        <f>"image/"&amp;テーブル1[[#This Row],[画像]]&amp;".png"</f>
        <v>image/karane-kodama.png</v>
      </c>
      <c r="F156" s="19" t="str">
        <f>テーブル1[[#This Row],[リンク]]</f>
        <v>https://kaitoramma.chu.jp</v>
      </c>
      <c r="G156" s="19" t="str">
        <f>SUBSTITUTE(テーブル1[[#This Row],[作品タグ]]," ","|")</f>
        <v>#空音絵巻</v>
      </c>
      <c r="H156" s="19" t="str">
        <f>テーブル1[[#This Row],[性別]]&amp;""</f>
        <v/>
      </c>
      <c r="I156" s="19" t="str">
        <f>テーブル1[[#This Row],[種族タグ]]&amp;""</f>
        <v/>
      </c>
      <c r="J156" s="19" t="str">
        <f>テーブル1[[#This Row],[職業タグ]]&amp;""</f>
        <v/>
      </c>
      <c r="K156" s="19" t="str">
        <f>テーブル1[[#This Row],[小物タグ]]&amp;""</f>
        <v/>
      </c>
      <c r="L156" s="19" t="str">
        <f>テーブル1[[#This Row],[ワンポイントタグ]]&amp;""</f>
        <v/>
      </c>
    </row>
    <row r="157" spans="1:12" ht="20.149999999999999" customHeight="1" x14ac:dyDescent="0.35">
      <c r="A157" s="19">
        <f>テーブル1[[#This Row],[番号]]</f>
        <v>156</v>
      </c>
      <c r="B157" s="19" t="str">
        <f>テーブル1[[#This Row],[名前]]</f>
        <v>芯零須キシル</v>
      </c>
      <c r="C157" s="19" t="str">
        <f>テーブル1[[#This Row],[なまえ]]</f>
        <v>しんれす きしる</v>
      </c>
      <c r="D157" s="19" t="str">
        <f>テーブル1[[#This Row],[Name]]</f>
        <v>Shinresu Kishiru</v>
      </c>
      <c r="E157" s="19" t="str">
        <f>"image/"&amp;テーブル1[[#This Row],[画像]]&amp;".png"</f>
        <v>image/shinresu-kishiru.png</v>
      </c>
      <c r="F157" s="19" t="str">
        <f>テーブル1[[#This Row],[リンク]]</f>
        <v>https://bowlroll.net/user/973681</v>
      </c>
      <c r="G157" s="19" t="str">
        <f>SUBSTITUTE(テーブル1[[#This Row],[作品タグ]]," ","|")</f>
        <v>#芯零須キシル</v>
      </c>
      <c r="H157" s="19" t="str">
        <f>テーブル1[[#This Row],[性別]]&amp;""</f>
        <v/>
      </c>
      <c r="I157" s="19" t="str">
        <f>テーブル1[[#This Row],[種族タグ]]&amp;""</f>
        <v/>
      </c>
      <c r="J157" s="19" t="str">
        <f>テーブル1[[#This Row],[職業タグ]]&amp;""</f>
        <v/>
      </c>
      <c r="K157" s="19" t="str">
        <f>テーブル1[[#This Row],[小物タグ]]&amp;""</f>
        <v/>
      </c>
      <c r="L157" s="19" t="str">
        <f>テーブル1[[#This Row],[ワンポイントタグ]]&amp;""</f>
        <v/>
      </c>
    </row>
    <row r="158" spans="1:12" ht="20.149999999999999" customHeight="1" x14ac:dyDescent="0.35">
      <c r="A158" s="19">
        <f>テーブル1[[#This Row],[番号]]</f>
        <v>157</v>
      </c>
      <c r="B158" s="19" t="str">
        <f>テーブル1[[#This Row],[名前]]</f>
        <v>Key.Flow</v>
      </c>
      <c r="C158" s="19" t="str">
        <f>テーブル1[[#This Row],[なまえ]]</f>
        <v>きーふろー</v>
      </c>
      <c r="D158" s="19" t="str">
        <f>テーブル1[[#This Row],[Name]]</f>
        <v>Key.Flow</v>
      </c>
      <c r="E158" s="19" t="str">
        <f>"image/"&amp;テーブル1[[#This Row],[画像]]&amp;".png"</f>
        <v>image/key-flow.png</v>
      </c>
      <c r="F158" s="19" t="str">
        <f>テーブル1[[#This Row],[リンク]]</f>
        <v>https://nyaruru.wixsite.com/s-p-w</v>
      </c>
      <c r="G158" s="19" t="str">
        <f>SUBSTITUTE(テーブル1[[#This Row],[作品タグ]]," ","|")</f>
        <v>#UTA打KyeFlow</v>
      </c>
      <c r="H158" s="19" t="str">
        <f>テーブル1[[#This Row],[性別]]&amp;""</f>
        <v/>
      </c>
      <c r="I158" s="19" t="str">
        <f>テーブル1[[#This Row],[種族タグ]]&amp;""</f>
        <v/>
      </c>
      <c r="J158" s="19" t="str">
        <f>テーブル1[[#This Row],[職業タグ]]&amp;""</f>
        <v/>
      </c>
      <c r="K158" s="19" t="str">
        <f>テーブル1[[#This Row],[小物タグ]]&amp;""</f>
        <v/>
      </c>
      <c r="L158" s="19" t="str">
        <f>テーブル1[[#This Row],[ワンポイントタグ]]&amp;""</f>
        <v/>
      </c>
    </row>
    <row r="159" spans="1:12" ht="20.149999999999999" customHeight="1" x14ac:dyDescent="0.35">
      <c r="A159" s="19">
        <f>テーブル1[[#This Row],[番号]]</f>
        <v>158</v>
      </c>
      <c r="B159" s="19" t="str">
        <f>テーブル1[[#This Row],[名前]]</f>
        <v>Silver Destrudo</v>
      </c>
      <c r="C159" s="19" t="str">
        <f>テーブル1[[#This Row],[なまえ]]</f>
        <v>しるばー ですとりゅーどー</v>
      </c>
      <c r="D159" s="19" t="str">
        <f>テーブル1[[#This Row],[Name]]</f>
        <v>Silver Destrudo</v>
      </c>
      <c r="E159" s="19" t="str">
        <f>"image/"&amp;テーブル1[[#This Row],[画像]]&amp;".png"</f>
        <v>image/silver-destrudo.png</v>
      </c>
      <c r="F159" s="19" t="str">
        <f>テーブル1[[#This Row],[リンク]]</f>
        <v>https://flowerrocklove.wixsite.com/twilight-crisis</v>
      </c>
      <c r="G159" s="19" t="str">
        <f>SUBSTITUTE(テーブル1[[#This Row],[作品タグ]]," ","|")</f>
        <v>#硫黄荘音源</v>
      </c>
      <c r="H159" s="19" t="str">
        <f>テーブル1[[#This Row],[性別]]&amp;""</f>
        <v/>
      </c>
      <c r="I159" s="19" t="str">
        <f>テーブル1[[#This Row],[種族タグ]]&amp;""</f>
        <v/>
      </c>
      <c r="J159" s="19" t="str">
        <f>テーブル1[[#This Row],[職業タグ]]&amp;""</f>
        <v/>
      </c>
      <c r="K159" s="19" t="str">
        <f>テーブル1[[#This Row],[小物タグ]]&amp;""</f>
        <v/>
      </c>
      <c r="L159" s="19" t="str">
        <f>テーブル1[[#This Row],[ワンポイントタグ]]&amp;""</f>
        <v/>
      </c>
    </row>
    <row r="160" spans="1:12" ht="20.149999999999999" customHeight="1" x14ac:dyDescent="0.35">
      <c r="A160" s="19">
        <f>テーブル1[[#This Row],[番号]]</f>
        <v>159</v>
      </c>
      <c r="B160" s="19" t="str">
        <f>テーブル1[[#This Row],[名前]]</f>
        <v>マック音サイ</v>
      </c>
      <c r="C160" s="19" t="str">
        <f>テーブル1[[#This Row],[なまえ]]</f>
        <v>まっくね さい</v>
      </c>
      <c r="D160" s="19" t="str">
        <f>テーブル1[[#This Row],[Name]]</f>
        <v>Mackne Sai</v>
      </c>
      <c r="E160" s="19" t="str">
        <f>"image/"&amp;テーブル1[[#This Row],[画像]]&amp;".png"</f>
        <v>image/mackne-sai.png</v>
      </c>
      <c r="F160" s="19" t="str">
        <f>テーブル1[[#This Row],[リンク]]</f>
        <v>https://www.mackhouse-soft.com</v>
      </c>
      <c r="G160" s="19" t="str">
        <f>SUBSTITUTE(テーブル1[[#This Row],[作品タグ]]," ","|")</f>
        <v>マック音サイ(UTAU)</v>
      </c>
      <c r="H160" s="19" t="str">
        <f>テーブル1[[#This Row],[性別]]&amp;""</f>
        <v/>
      </c>
      <c r="I160" s="19" t="str">
        <f>テーブル1[[#This Row],[種族タグ]]&amp;""</f>
        <v/>
      </c>
      <c r="J160" s="19" t="str">
        <f>テーブル1[[#This Row],[職業タグ]]&amp;""</f>
        <v/>
      </c>
      <c r="K160" s="19" t="str">
        <f>テーブル1[[#This Row],[小物タグ]]&amp;""</f>
        <v/>
      </c>
      <c r="L160" s="19" t="str">
        <f>テーブル1[[#This Row],[ワンポイントタグ]]&amp;""</f>
        <v/>
      </c>
    </row>
    <row r="161" spans="1:12" ht="20.149999999999999" customHeight="1" x14ac:dyDescent="0.35">
      <c r="A161" s="19">
        <f>テーブル1[[#This Row],[番号]]</f>
        <v>160</v>
      </c>
      <c r="B161" s="19" t="str">
        <f>テーブル1[[#This Row],[名前]]</f>
        <v>鈴音ユオン</v>
      </c>
      <c r="C161" s="19" t="str">
        <f>テーブル1[[#This Row],[なまえ]]</f>
        <v>すずの ゆおん</v>
      </c>
      <c r="D161" s="19" t="str">
        <f>テーブル1[[#This Row],[Name]]</f>
        <v>Suzuno Yuon</v>
      </c>
      <c r="E161" s="19" t="str">
        <f>"image/"&amp;テーブル1[[#This Row],[画像]]&amp;".png"</f>
        <v>image/suzuno-yuon.png</v>
      </c>
      <c r="F161" s="19" t="str">
        <f>テーブル1[[#This Row],[リンク]]</f>
        <v>https://bellsworks.wixsite.com/bellsworks</v>
      </c>
      <c r="G161" s="19" t="str">
        <f>SUBSTITUTE(テーブル1[[#This Row],[作品タグ]]," ","|")</f>
        <v>#べるずわーくす</v>
      </c>
      <c r="H161" s="19" t="str">
        <f>テーブル1[[#This Row],[性別]]&amp;""</f>
        <v/>
      </c>
      <c r="I161" s="19" t="str">
        <f>テーブル1[[#This Row],[種族タグ]]&amp;""</f>
        <v/>
      </c>
      <c r="J161" s="19" t="str">
        <f>テーブル1[[#This Row],[職業タグ]]&amp;""</f>
        <v/>
      </c>
      <c r="K161" s="19" t="str">
        <f>テーブル1[[#This Row],[小物タグ]]&amp;""</f>
        <v/>
      </c>
      <c r="L161" s="19" t="str">
        <f>テーブル1[[#This Row],[ワンポイントタグ]]&amp;""</f>
        <v/>
      </c>
    </row>
    <row r="162" spans="1:12" ht="20.149999999999999" customHeight="1" x14ac:dyDescent="0.35">
      <c r="A162" s="19">
        <f>テーブル1[[#This Row],[番号]]</f>
        <v>161</v>
      </c>
      <c r="B162" s="19" t="str">
        <f>テーブル1[[#This Row],[名前]]</f>
        <v>澳音ぱす</v>
      </c>
      <c r="C162" s="19" t="str">
        <f>テーブル1[[#This Row],[なまえ]]</f>
        <v>おくと ぱす</v>
      </c>
      <c r="D162" s="19" t="str">
        <f>テーブル1[[#This Row],[Name]]</f>
        <v>Okuto Pasu</v>
      </c>
      <c r="E162" s="19" t="str">
        <f>"image/"&amp;テーブル1[[#This Row],[画像]]&amp;".png"</f>
        <v>image/okuto-pasu.png</v>
      </c>
      <c r="F162" s="19" t="str">
        <f>テーブル1[[#This Row],[リンク]]</f>
        <v>https://teapartyandmugshelf.wixsite.com/my-site-1</v>
      </c>
      <c r="G162" s="19" t="str">
        <f>SUBSTITUTE(テーブル1[[#This Row],[作品タグ]]," ","|")</f>
        <v>澳音ぱす(UTAU)</v>
      </c>
      <c r="H162" s="19" t="str">
        <f>テーブル1[[#This Row],[性別]]&amp;""</f>
        <v/>
      </c>
      <c r="I162" s="19" t="str">
        <f>テーブル1[[#This Row],[種族タグ]]&amp;""</f>
        <v/>
      </c>
      <c r="J162" s="19" t="str">
        <f>テーブル1[[#This Row],[職業タグ]]&amp;""</f>
        <v/>
      </c>
      <c r="K162" s="19" t="str">
        <f>テーブル1[[#This Row],[小物タグ]]&amp;""</f>
        <v/>
      </c>
      <c r="L162" s="19" t="str">
        <f>テーブル1[[#This Row],[ワンポイントタグ]]&amp;""</f>
        <v/>
      </c>
    </row>
    <row r="163" spans="1:12" ht="20.149999999999999" customHeight="1" x14ac:dyDescent="0.35">
      <c r="A163" s="19">
        <f>テーブル1[[#This Row],[番号]]</f>
        <v>162</v>
      </c>
      <c r="B163" s="19" t="str">
        <f>テーブル1[[#This Row],[名前]]</f>
        <v>ペルム</v>
      </c>
      <c r="C163" s="19" t="str">
        <f>テーブル1[[#This Row],[なまえ]]</f>
        <v>ぺるむ</v>
      </c>
      <c r="D163" s="19" t="str">
        <f>テーブル1[[#This Row],[Name]]</f>
        <v>Pelum</v>
      </c>
      <c r="E163" s="19" t="str">
        <f>"image/"&amp;テーブル1[[#This Row],[画像]]&amp;".png"</f>
        <v>image/pelum.png</v>
      </c>
      <c r="F163" s="19" t="str">
        <f>テーブル1[[#This Row],[リンク]]</f>
        <v>https://ne510channel.wixsite.com/website</v>
      </c>
      <c r="G163" s="19" t="str">
        <f>SUBSTITUTE(テーブル1[[#This Row],[作品タグ]]," ","|")</f>
        <v>#はなときつねごと</v>
      </c>
      <c r="H163" s="19" t="str">
        <f>テーブル1[[#This Row],[性別]]&amp;""</f>
        <v/>
      </c>
      <c r="I163" s="19" t="str">
        <f>テーブル1[[#This Row],[種族タグ]]&amp;""</f>
        <v/>
      </c>
      <c r="J163" s="19" t="str">
        <f>テーブル1[[#This Row],[職業タグ]]&amp;""</f>
        <v/>
      </c>
      <c r="K163" s="19" t="str">
        <f>テーブル1[[#This Row],[小物タグ]]&amp;""</f>
        <v/>
      </c>
      <c r="L163" s="19" t="str">
        <f>テーブル1[[#This Row],[ワンポイントタグ]]&amp;""</f>
        <v/>
      </c>
    </row>
    <row r="164" spans="1:12" ht="20.149999999999999" customHeight="1" x14ac:dyDescent="0.35">
      <c r="A164" s="19">
        <f>テーブル1[[#This Row],[番号]]</f>
        <v>163</v>
      </c>
      <c r="B164" s="19" t="str">
        <f>テーブル1[[#This Row],[名前]]</f>
        <v>​棺依ハク</v>
      </c>
      <c r="C164" s="19" t="str">
        <f>テーブル1[[#This Row],[なまえ]]</f>
        <v>かんい はく</v>
      </c>
      <c r="D164" s="19" t="str">
        <f>テーブル1[[#This Row],[Name]]</f>
        <v>Kani Haku</v>
      </c>
      <c r="E164" s="19" t="str">
        <f>"image/"&amp;テーブル1[[#This Row],[画像]]&amp;".png"</f>
        <v>image/kani-haku.png</v>
      </c>
      <c r="F164" s="19" t="str">
        <f>テーブル1[[#This Row],[リンク]]</f>
        <v>https://inumokoco.wixsite.com/sleep-church</v>
      </c>
      <c r="G164" s="19" t="str">
        <f>SUBSTITUTE(テーブル1[[#This Row],[作品タグ]]," ","|")</f>
        <v>#楽園の子守唄</v>
      </c>
      <c r="H164" s="19" t="str">
        <f>テーブル1[[#This Row],[性別]]&amp;""</f>
        <v/>
      </c>
      <c r="I164" s="19" t="str">
        <f>テーブル1[[#This Row],[種族タグ]]&amp;""</f>
        <v/>
      </c>
      <c r="J164" s="19" t="str">
        <f>テーブル1[[#This Row],[職業タグ]]&amp;""</f>
        <v/>
      </c>
      <c r="K164" s="19" t="str">
        <f>テーブル1[[#This Row],[小物タグ]]&amp;""</f>
        <v/>
      </c>
      <c r="L164" s="19" t="str">
        <f>テーブル1[[#This Row],[ワンポイントタグ]]&amp;""</f>
        <v/>
      </c>
    </row>
    <row r="165" spans="1:12" ht="20.149999999999999" customHeight="1" x14ac:dyDescent="0.35">
      <c r="A165" s="19">
        <f>テーブル1[[#This Row],[番号]]</f>
        <v>164</v>
      </c>
      <c r="B165" s="19" t="str">
        <f>テーブル1[[#This Row],[名前]]</f>
        <v>律時シドク</v>
      </c>
      <c r="C165" s="19" t="str">
        <f>テーブル1[[#This Row],[なまえ]]</f>
        <v>りつどき しどく</v>
      </c>
      <c r="D165" s="19" t="str">
        <f>テーブル1[[#This Row],[Name]]</f>
        <v xml:space="preserve">	​Ritsudoki Shidoku</v>
      </c>
      <c r="E165" s="19" t="str">
        <f>"image/"&amp;テーブル1[[#This Row],[画像]]&amp;".png"</f>
        <v>image/	​ritsudoki-shidoku.png</v>
      </c>
      <c r="F165" s="19" t="str">
        <f>テーブル1[[#This Row],[リンク]]</f>
        <v>https://zaregotohitori.wixsite.com/ritsudokishidoku</v>
      </c>
      <c r="G165" s="19" t="str">
        <f>SUBSTITUTE(テーブル1[[#This Row],[作品タグ]]," ","|")</f>
        <v>律時シドク(UTAU)</v>
      </c>
      <c r="H165" s="19" t="str">
        <f>テーブル1[[#This Row],[性別]]&amp;""</f>
        <v/>
      </c>
      <c r="I165" s="19" t="str">
        <f>テーブル1[[#This Row],[種族タグ]]&amp;""</f>
        <v/>
      </c>
      <c r="J165" s="19" t="str">
        <f>テーブル1[[#This Row],[職業タグ]]&amp;""</f>
        <v/>
      </c>
      <c r="K165" s="19" t="str">
        <f>テーブル1[[#This Row],[小物タグ]]&amp;""</f>
        <v/>
      </c>
      <c r="L165" s="19" t="str">
        <f>テーブル1[[#This Row],[ワンポイントタグ]]&amp;""</f>
        <v/>
      </c>
    </row>
    <row r="166" spans="1:12" ht="20.149999999999999" customHeight="1" x14ac:dyDescent="0.35">
      <c r="A166" s="19">
        <f>テーブル1[[#This Row],[番号]]</f>
        <v>165</v>
      </c>
      <c r="B166" s="19" t="str">
        <f>テーブル1[[#This Row],[名前]]</f>
        <v>吟児</v>
      </c>
      <c r="C166" s="19" t="str">
        <f>テーブル1[[#This Row],[なまえ]]</f>
        <v>ぎんじ</v>
      </c>
      <c r="D166" s="19" t="str">
        <f>テーブル1[[#This Row],[Name]]</f>
        <v>Ginji</v>
      </c>
      <c r="E166" s="19" t="str">
        <f>"image/"&amp;テーブル1[[#This Row],[画像]]&amp;".png"</f>
        <v>image/ginji.png</v>
      </c>
      <c r="F166" s="19" t="str">
        <f>テーブル1[[#This Row],[リンク]]</f>
        <v>https://yautau.wixsite.com/0909</v>
      </c>
      <c r="G166" s="19" t="str">
        <f>SUBSTITUTE(テーブル1[[#This Row],[作品タグ]]," ","|")</f>
        <v>吟児(UTAU)</v>
      </c>
      <c r="H166" s="19" t="str">
        <f>テーブル1[[#This Row],[性別]]&amp;""</f>
        <v/>
      </c>
      <c r="I166" s="19" t="str">
        <f>テーブル1[[#This Row],[種族タグ]]&amp;""</f>
        <v/>
      </c>
      <c r="J166" s="19" t="str">
        <f>テーブル1[[#This Row],[職業タグ]]&amp;""</f>
        <v/>
      </c>
      <c r="K166" s="19" t="str">
        <f>テーブル1[[#This Row],[小物タグ]]&amp;""</f>
        <v/>
      </c>
      <c r="L166" s="19" t="str">
        <f>テーブル1[[#This Row],[ワンポイントタグ]]&amp;""</f>
        <v/>
      </c>
    </row>
    <row r="167" spans="1:12" ht="20.149999999999999" customHeight="1" x14ac:dyDescent="0.35">
      <c r="A167" s="19">
        <f>テーブル1[[#This Row],[番号]]</f>
        <v>166</v>
      </c>
      <c r="B167" s="19" t="str">
        <f>テーブル1[[#This Row],[名前]]</f>
        <v>田村春</v>
      </c>
      <c r="C167" s="19" t="str">
        <f>テーブル1[[#This Row],[なまえ]]</f>
        <v>たむら しゅん</v>
      </c>
      <c r="D167" s="19" t="str">
        <f>テーブル1[[#This Row],[Name]]</f>
        <v>Tamura Shun</v>
      </c>
      <c r="E167" s="19" t="str">
        <f>"image/"&amp;テーブル1[[#This Row],[画像]]&amp;".png"</f>
        <v>image/tamura-shun.png</v>
      </c>
      <c r="F167" s="19" t="str">
        <f>テーブル1[[#This Row],[リンク]]</f>
        <v>https://piku.page/@toitoitoi23</v>
      </c>
      <c r="G167" s="19" t="str">
        <f>SUBSTITUTE(テーブル1[[#This Row],[作品タグ]]," ","|")</f>
        <v>#めんのこ</v>
      </c>
      <c r="H167" s="19" t="str">
        <f>テーブル1[[#This Row],[性別]]&amp;""</f>
        <v/>
      </c>
      <c r="I167" s="19" t="str">
        <f>テーブル1[[#This Row],[種族タグ]]&amp;""</f>
        <v/>
      </c>
      <c r="J167" s="19" t="str">
        <f>テーブル1[[#This Row],[職業タグ]]&amp;""</f>
        <v/>
      </c>
      <c r="K167" s="19" t="str">
        <f>テーブル1[[#This Row],[小物タグ]]&amp;""</f>
        <v/>
      </c>
      <c r="L167" s="19" t="str">
        <f>テーブル1[[#This Row],[ワンポイントタグ]]&amp;""</f>
        <v/>
      </c>
    </row>
    <row r="168" spans="1:12" ht="20.149999999999999" customHeight="1" x14ac:dyDescent="0.35">
      <c r="A168" s="19">
        <f>テーブル1[[#This Row],[番号]]</f>
        <v>167</v>
      </c>
      <c r="B168" s="19" t="str">
        <f>テーブル1[[#This Row],[名前]]</f>
        <v>八雲しお</v>
      </c>
      <c r="C168" s="19" t="str">
        <f>テーブル1[[#This Row],[なまえ]]</f>
        <v>やくも しお</v>
      </c>
      <c r="D168" s="19" t="str">
        <f>テーブル1[[#This Row],[Name]]</f>
        <v>Yakumo Shio</v>
      </c>
      <c r="E168" s="19" t="str">
        <f>"image/"&amp;テーブル1[[#This Row],[画像]]&amp;".png"</f>
        <v>image/yakumo-shio.png</v>
      </c>
      <c r="F168" s="19" t="str">
        <f>テーブル1[[#This Row],[リンク]]</f>
        <v>https://makurakue.wixsite.com/kemononokemono</v>
      </c>
      <c r="G168" s="19" t="str">
        <f>SUBSTITUTE(テーブル1[[#This Row],[作品タグ]]," ","|")</f>
        <v>#けもののけもの</v>
      </c>
      <c r="H168" s="19" t="str">
        <f>テーブル1[[#This Row],[性別]]&amp;""</f>
        <v/>
      </c>
      <c r="I168" s="19" t="str">
        <f>テーブル1[[#This Row],[種族タグ]]&amp;""</f>
        <v/>
      </c>
      <c r="J168" s="19" t="str">
        <f>テーブル1[[#This Row],[職業タグ]]&amp;""</f>
        <v/>
      </c>
      <c r="K168" s="19" t="str">
        <f>テーブル1[[#This Row],[小物タグ]]&amp;""</f>
        <v/>
      </c>
      <c r="L168" s="19" t="str">
        <f>テーブル1[[#This Row],[ワンポイントタグ]]&amp;""</f>
        <v/>
      </c>
    </row>
    <row r="169" spans="1:12" ht="20.149999999999999" customHeight="1" x14ac:dyDescent="0.35">
      <c r="A169" s="19">
        <f>テーブル1[[#This Row],[番号]]</f>
        <v>168</v>
      </c>
      <c r="B169" s="19">
        <f>テーブル1[[#This Row],[名前]]</f>
        <v>626</v>
      </c>
      <c r="C169" s="19" t="str">
        <f>テーブル1[[#This Row],[なまえ]]</f>
        <v>むつろ</v>
      </c>
      <c r="D169" s="19" t="str">
        <f>テーブル1[[#This Row],[Name]]</f>
        <v>Mutsuro</v>
      </c>
      <c r="E169" s="19" t="str">
        <f>"image/"&amp;テーブル1[[#This Row],[画像]]&amp;".png"</f>
        <v>image/mutsuro.png</v>
      </c>
      <c r="F169" s="19" t="str">
        <f>テーブル1[[#This Row],[リンク]]</f>
        <v>https://nanarabo626.studio.site</v>
      </c>
      <c r="G169" s="19" t="str">
        <f>SUBSTITUTE(テーブル1[[#This Row],[作品タグ]]," ","|")</f>
        <v>#製造番号626</v>
      </c>
      <c r="H169" s="19" t="str">
        <f>テーブル1[[#This Row],[性別]]&amp;""</f>
        <v/>
      </c>
      <c r="I169" s="19" t="str">
        <f>テーブル1[[#This Row],[種族タグ]]&amp;""</f>
        <v/>
      </c>
      <c r="J169" s="19" t="str">
        <f>テーブル1[[#This Row],[職業タグ]]&amp;""</f>
        <v/>
      </c>
      <c r="K169" s="19" t="str">
        <f>テーブル1[[#This Row],[小物タグ]]&amp;""</f>
        <v/>
      </c>
      <c r="L169" s="19" t="str">
        <f>テーブル1[[#This Row],[ワンポイントタグ]]&amp;""</f>
        <v/>
      </c>
    </row>
    <row r="170" spans="1:12" ht="20.149999999999999" customHeight="1" x14ac:dyDescent="0.35">
      <c r="A170" s="19">
        <f>テーブル1[[#This Row],[番号]]</f>
        <v>169</v>
      </c>
      <c r="B170" s="19" t="str">
        <f>テーブル1[[#This Row],[名前]]</f>
        <v>踊弦コレ</v>
      </c>
      <c r="C170" s="19" t="str">
        <f>テーブル1[[#This Row],[なまえ]]</f>
        <v>ようげん これ</v>
      </c>
      <c r="D170" s="19" t="str">
        <f>テーブル1[[#This Row],[Name]]</f>
        <v>Yogen Kore</v>
      </c>
      <c r="E170" s="19" t="str">
        <f>"image/"&amp;テーブル1[[#This Row],[画像]]&amp;".png"</f>
        <v>image/yogen-kore.png</v>
      </c>
      <c r="F170" s="19" t="str">
        <f>テーブル1[[#This Row],[リンク]]</f>
        <v>https://kaedekatusaki.wixsite.com/yanagiroutyou</v>
      </c>
      <c r="G170" s="19" t="str">
        <f>SUBSTITUTE(テーブル1[[#This Row],[作品タグ]]," ","|")</f>
        <v>#柳楼町観測所</v>
      </c>
      <c r="H170" s="19" t="str">
        <f>テーブル1[[#This Row],[性別]]&amp;""</f>
        <v/>
      </c>
      <c r="I170" s="19" t="str">
        <f>テーブル1[[#This Row],[種族タグ]]&amp;""</f>
        <v/>
      </c>
      <c r="J170" s="19" t="str">
        <f>テーブル1[[#This Row],[職業タグ]]&amp;""</f>
        <v/>
      </c>
      <c r="K170" s="19" t="str">
        <f>テーブル1[[#This Row],[小物タグ]]&amp;""</f>
        <v/>
      </c>
      <c r="L170" s="19" t="str">
        <f>テーブル1[[#This Row],[ワンポイントタグ]]&amp;""</f>
        <v/>
      </c>
    </row>
    <row r="171" spans="1:12" ht="20.149999999999999" customHeight="1" x14ac:dyDescent="0.35">
      <c r="A171" s="19">
        <f>テーブル1[[#This Row],[番号]]</f>
        <v>170</v>
      </c>
      <c r="B171" s="19" t="str">
        <f>テーブル1[[#This Row],[名前]]</f>
        <v>閉路</v>
      </c>
      <c r="C171" s="19" t="str">
        <f>テーブル1[[#This Row],[なまえ]]</f>
        <v>へいろ</v>
      </c>
      <c r="D171" s="19" t="str">
        <f>テーブル1[[#This Row],[Name]]</f>
        <v>Heiro</v>
      </c>
      <c r="E171" s="19" t="str">
        <f>"image/"&amp;テーブル1[[#This Row],[画像]]&amp;".png"</f>
        <v>image/heiro.png</v>
      </c>
      <c r="F171" s="19" t="str">
        <f>テーブル1[[#This Row],[リンク]]</f>
        <v>https://cloudcatch1224.wixsite.com/godsfoot</v>
      </c>
      <c r="G171" s="19" t="str">
        <f>SUBSTITUTE(テーブル1[[#This Row],[作品タグ]]," ","|")</f>
        <v>#神様の足元</v>
      </c>
      <c r="H171" s="19" t="str">
        <f>テーブル1[[#This Row],[性別]]&amp;""</f>
        <v>男性</v>
      </c>
      <c r="I171" s="19" t="str">
        <f>テーブル1[[#This Row],[種族タグ]]&amp;""</f>
        <v>バーチャル</v>
      </c>
      <c r="J171" s="19" t="str">
        <f>テーブル1[[#This Row],[職業タグ]]&amp;""</f>
        <v/>
      </c>
      <c r="K171" s="19" t="str">
        <f>テーブル1[[#This Row],[小物タグ]]&amp;""</f>
        <v>エンジェルヘイロゥ</v>
      </c>
      <c r="L171" s="19" t="str">
        <f>テーブル1[[#This Row],[ワンポイントタグ]]&amp;""</f>
        <v>メッシュ</v>
      </c>
    </row>
    <row r="172" spans="1:12" ht="20.149999999999999" customHeight="1" x14ac:dyDescent="0.35">
      <c r="A172" s="19">
        <f>テーブル1[[#This Row],[番号]]</f>
        <v>171</v>
      </c>
      <c r="B172" s="19" t="str">
        <f>テーブル1[[#This Row],[名前]]</f>
        <v>九作：Ｑ</v>
      </c>
      <c r="C172" s="19" t="str">
        <f>テーブル1[[#This Row],[なまえ]]</f>
        <v>きゅうさく きゅう</v>
      </c>
      <c r="D172" s="19" t="str">
        <f>テーブル1[[#This Row],[Name]]</f>
        <v>Kyusaku Q</v>
      </c>
      <c r="E172" s="19" t="str">
        <f>"image/"&amp;テーブル1[[#This Row],[画像]]&amp;".png"</f>
        <v>image/kyusaku-q.png</v>
      </c>
      <c r="F172" s="19" t="str">
        <f>テーブル1[[#This Row],[リンク]]</f>
        <v>https://sites.google.com/view/qsuke-garden/home</v>
      </c>
      <c r="G172" s="19" t="str">
        <f>SUBSTITUTE(テーブル1[[#This Row],[作品タグ]]," ","|")</f>
        <v>#九作Q</v>
      </c>
      <c r="H172" s="19" t="str">
        <f>テーブル1[[#This Row],[性別]]&amp;""</f>
        <v/>
      </c>
      <c r="I172" s="19" t="str">
        <f>テーブル1[[#This Row],[種族タグ]]&amp;""</f>
        <v/>
      </c>
      <c r="J172" s="19" t="str">
        <f>テーブル1[[#This Row],[職業タグ]]&amp;""</f>
        <v/>
      </c>
      <c r="K172" s="19" t="str">
        <f>テーブル1[[#This Row],[小物タグ]]&amp;""</f>
        <v/>
      </c>
      <c r="L172" s="19" t="str">
        <f>テーブル1[[#This Row],[ワンポイントタグ]]&amp;""</f>
        <v/>
      </c>
    </row>
    <row r="173" spans="1:12" ht="20.149999999999999" customHeight="1" x14ac:dyDescent="0.35">
      <c r="A173" s="19">
        <f>テーブル1[[#This Row],[番号]]</f>
        <v>172</v>
      </c>
      <c r="B173" s="19">
        <f>テーブル1[[#This Row],[名前]]</f>
        <v>116</v>
      </c>
      <c r="C173" s="19" t="str">
        <f>テーブル1[[#This Row],[なまえ]]</f>
        <v>ひいろ</v>
      </c>
      <c r="D173" s="19" t="str">
        <f>テーブル1[[#This Row],[Name]]</f>
        <v>Hiiro</v>
      </c>
      <c r="E173" s="19" t="str">
        <f>"image/"&amp;テーブル1[[#This Row],[画像]]&amp;".png"</f>
        <v>image/hiiro.png</v>
      </c>
      <c r="F173" s="19" t="str">
        <f>テーブル1[[#This Row],[リンク]]</f>
        <v>https://nanarabo626.studio.site</v>
      </c>
      <c r="G173" s="19" t="str">
        <f>SUBSTITUTE(テーブル1[[#This Row],[作品タグ]]," ","|")</f>
        <v>#ひーろーあーと</v>
      </c>
      <c r="H173" s="19" t="str">
        <f>テーブル1[[#This Row],[性別]]&amp;""</f>
        <v/>
      </c>
      <c r="I173" s="19" t="str">
        <f>テーブル1[[#This Row],[種族タグ]]&amp;""</f>
        <v/>
      </c>
      <c r="J173" s="19" t="str">
        <f>テーブル1[[#This Row],[職業タグ]]&amp;""</f>
        <v/>
      </c>
      <c r="K173" s="19" t="str">
        <f>テーブル1[[#This Row],[小物タグ]]&amp;""</f>
        <v/>
      </c>
      <c r="L173" s="19" t="str">
        <f>テーブル1[[#This Row],[ワンポイントタグ]]&amp;""</f>
        <v/>
      </c>
    </row>
    <row r="174" spans="1:12" ht="20.149999999999999" customHeight="1" x14ac:dyDescent="0.35">
      <c r="A174" s="19">
        <f>テーブル1[[#This Row],[番号]]</f>
        <v>173</v>
      </c>
      <c r="B174" s="19" t="str">
        <f>テーブル1[[#This Row],[名前]]</f>
        <v>ジド</v>
      </c>
      <c r="C174" s="19" t="str">
        <f>テーブル1[[#This Row],[なまえ]]</f>
        <v>じど</v>
      </c>
      <c r="D174" s="19" t="str">
        <f>テーブル1[[#This Row],[Name]]</f>
        <v>Jido</v>
      </c>
      <c r="E174" s="19" t="str">
        <f>"image/"&amp;テーブル1[[#This Row],[画像]]&amp;".png"</f>
        <v>image/jido.png</v>
      </c>
      <c r="F174" s="19" t="str">
        <f>テーブル1[[#This Row],[リンク]]</f>
        <v>https://makaron3264.wixsite.com/utauotoohana</v>
      </c>
      <c r="G174" s="19" t="str">
        <f>SUBSTITUTE(テーブル1[[#This Row],[作品タグ]]," ","|")</f>
        <v>#奈落の天蓋</v>
      </c>
      <c r="H174" s="19" t="str">
        <f>テーブル1[[#This Row],[性別]]&amp;""</f>
        <v/>
      </c>
      <c r="I174" s="19" t="str">
        <f>テーブル1[[#This Row],[種族タグ]]&amp;""</f>
        <v/>
      </c>
      <c r="J174" s="19" t="str">
        <f>テーブル1[[#This Row],[職業タグ]]&amp;""</f>
        <v/>
      </c>
      <c r="K174" s="19" t="str">
        <f>テーブル1[[#This Row],[小物タグ]]&amp;""</f>
        <v/>
      </c>
      <c r="L174" s="19" t="str">
        <f>テーブル1[[#This Row],[ワンポイントタグ]]&amp;""</f>
        <v/>
      </c>
    </row>
    <row r="175" spans="1:12" ht="20.149999999999999" customHeight="1" x14ac:dyDescent="0.35">
      <c r="A175" s="19">
        <f>テーブル1[[#This Row],[番号]]</f>
        <v>174</v>
      </c>
      <c r="B175" s="19" t="str">
        <f>テーブル1[[#This Row],[名前]]</f>
        <v>守智歌ピノ</v>
      </c>
      <c r="C175" s="19" t="str">
        <f>テーブル1[[#This Row],[なまえ]]</f>
        <v>しゅちか ぴの</v>
      </c>
      <c r="D175" s="19" t="str">
        <f>テーブル1[[#This Row],[Name]]</f>
        <v>Shuchika Pino</v>
      </c>
      <c r="E175" s="19" t="str">
        <f>"image/"&amp;テーブル1[[#This Row],[画像]]&amp;".png"</f>
        <v>image/shuchika-pino.png</v>
      </c>
      <c r="F175" s="19" t="str">
        <f>テーブル1[[#This Row],[リンク]]</f>
        <v>https://bowlroll.net/user/973681</v>
      </c>
      <c r="G175" s="19" t="str">
        <f>SUBSTITUTE(テーブル1[[#This Row],[作品タグ]]," ","|")</f>
        <v>#守智歌ピノ</v>
      </c>
      <c r="H175" s="19" t="str">
        <f>テーブル1[[#This Row],[性別]]&amp;""</f>
        <v/>
      </c>
      <c r="I175" s="19" t="str">
        <f>テーブル1[[#This Row],[種族タグ]]&amp;""</f>
        <v/>
      </c>
      <c r="J175" s="19" t="str">
        <f>テーブル1[[#This Row],[職業タグ]]&amp;""</f>
        <v/>
      </c>
      <c r="K175" s="19" t="str">
        <f>テーブル1[[#This Row],[小物タグ]]&amp;""</f>
        <v/>
      </c>
      <c r="L175" s="19" t="str">
        <f>テーブル1[[#This Row],[ワンポイントタグ]]&amp;""</f>
        <v/>
      </c>
    </row>
    <row r="176" spans="1:12" ht="20.149999999999999" customHeight="1" x14ac:dyDescent="0.35">
      <c r="A176" s="19">
        <f>テーブル1[[#This Row],[番号]]</f>
        <v>175</v>
      </c>
      <c r="B176" s="19" t="str">
        <f>テーブル1[[#This Row],[名前]]</f>
        <v>轟雪マチ丸</v>
      </c>
      <c r="C176" s="19" t="str">
        <f>テーブル1[[#This Row],[なまえ]]</f>
        <v>ごうせつ まちまる</v>
      </c>
      <c r="D176" s="19" t="str">
        <f>テーブル1[[#This Row],[Name]]</f>
        <v>Gosetsu Machimaru</v>
      </c>
      <c r="E176" s="19" t="str">
        <f>"image/"&amp;テーブル1[[#This Row],[画像]]&amp;".png"</f>
        <v>image/gosetsu-machimaru.png</v>
      </c>
      <c r="F176" s="19" t="str">
        <f>テーブル1[[#This Row],[リンク]]</f>
        <v>https://zsxcvhjnhh.wixsite.com/yukirakira</v>
      </c>
      <c r="G176" s="19" t="str">
        <f>SUBSTITUTE(テーブル1[[#This Row],[作品タグ]]," ","|")</f>
        <v>#轟雪マチ丸</v>
      </c>
      <c r="H176" s="19" t="str">
        <f>テーブル1[[#This Row],[性別]]&amp;""</f>
        <v/>
      </c>
      <c r="I176" s="19" t="str">
        <f>テーブル1[[#This Row],[種族タグ]]&amp;""</f>
        <v/>
      </c>
      <c r="J176" s="19" t="str">
        <f>テーブル1[[#This Row],[職業タグ]]&amp;""</f>
        <v/>
      </c>
      <c r="K176" s="19" t="str">
        <f>テーブル1[[#This Row],[小物タグ]]&amp;""</f>
        <v/>
      </c>
      <c r="L176" s="19" t="str">
        <f>テーブル1[[#This Row],[ワンポイントタグ]]&amp;""</f>
        <v/>
      </c>
    </row>
    <row r="177" spans="1:12" ht="20.149999999999999" customHeight="1" x14ac:dyDescent="0.35">
      <c r="A177" s="19">
        <f>テーブル1[[#This Row],[番号]]</f>
        <v>176</v>
      </c>
      <c r="B177" s="19" t="str">
        <f>テーブル1[[#This Row],[名前]]</f>
        <v>桃沼</v>
      </c>
      <c r="C177" s="19" t="str">
        <f>テーブル1[[#This Row],[なまえ]]</f>
        <v>ももぬま</v>
      </c>
      <c r="D177" s="19" t="str">
        <f>テーブル1[[#This Row],[Name]]</f>
        <v>Momonuma</v>
      </c>
      <c r="E177" s="19" t="str">
        <f>"image/"&amp;テーブル1[[#This Row],[画像]]&amp;".png"</f>
        <v>image/momonuma.png</v>
      </c>
      <c r="F177" s="19" t="str">
        <f>テーブル1[[#This Row],[リンク]]</f>
        <v>https://tropicalsamejima.wixsite.com/oyutau</v>
      </c>
      <c r="G177" s="19" t="str">
        <f>SUBSTITUTE(テーブル1[[#This Row],[作品タグ]]," ","|")</f>
        <v>桃沼(UTAU)</v>
      </c>
      <c r="H177" s="19" t="str">
        <f>テーブル1[[#This Row],[性別]]&amp;""</f>
        <v/>
      </c>
      <c r="I177" s="19" t="str">
        <f>テーブル1[[#This Row],[種族タグ]]&amp;""</f>
        <v/>
      </c>
      <c r="J177" s="19" t="str">
        <f>テーブル1[[#This Row],[職業タグ]]&amp;""</f>
        <v/>
      </c>
      <c r="K177" s="19" t="str">
        <f>テーブル1[[#This Row],[小物タグ]]&amp;""</f>
        <v/>
      </c>
      <c r="L177" s="19" t="str">
        <f>テーブル1[[#This Row],[ワンポイントタグ]]&amp;""</f>
        <v/>
      </c>
    </row>
    <row r="178" spans="1:12" ht="20.149999999999999" customHeight="1" x14ac:dyDescent="0.35">
      <c r="A178" s="19">
        <f>テーブル1[[#This Row],[番号]]</f>
        <v>177</v>
      </c>
      <c r="B178" s="19" t="str">
        <f>テーブル1[[#This Row],[名前]]</f>
        <v>鼓音コハク</v>
      </c>
      <c r="C178" s="19" t="str">
        <f>テーブル1[[#This Row],[なまえ]]</f>
        <v>つづね こはく</v>
      </c>
      <c r="D178" s="19" t="str">
        <f>テーブル1[[#This Row],[Name]]</f>
        <v>Tsuzune Kohaku</v>
      </c>
      <c r="E178" s="19" t="str">
        <f>"image/"&amp;テーブル1[[#This Row],[画像]]&amp;".png"</f>
        <v>image/tsuzune-kohaku.png</v>
      </c>
      <c r="F178" s="19" t="str">
        <f>テーブル1[[#This Row],[リンク]]</f>
        <v>https://bellsworks.wixsite.com/bellsworks</v>
      </c>
      <c r="G178" s="19" t="str">
        <f>SUBSTITUTE(テーブル1[[#This Row],[作品タグ]]," ","|")</f>
        <v>#べるずわーくす</v>
      </c>
      <c r="H178" s="19" t="str">
        <f>テーブル1[[#This Row],[性別]]&amp;""</f>
        <v/>
      </c>
      <c r="I178" s="19" t="str">
        <f>テーブル1[[#This Row],[種族タグ]]&amp;""</f>
        <v/>
      </c>
      <c r="J178" s="19" t="str">
        <f>テーブル1[[#This Row],[職業タグ]]&amp;""</f>
        <v/>
      </c>
      <c r="K178" s="19" t="str">
        <f>テーブル1[[#This Row],[小物タグ]]&amp;""</f>
        <v/>
      </c>
      <c r="L178" s="19" t="str">
        <f>テーブル1[[#This Row],[ワンポイントタグ]]&amp;""</f>
        <v/>
      </c>
    </row>
    <row r="179" spans="1:12" ht="20.149999999999999" customHeight="1" x14ac:dyDescent="0.35">
      <c r="A179" s="19">
        <f>テーブル1[[#This Row],[番号]]</f>
        <v>178</v>
      </c>
      <c r="B179" s="19" t="str">
        <f>テーブル1[[#This Row],[名前]]</f>
        <v>マック音ヒトキ</v>
      </c>
      <c r="C179" s="19" t="str">
        <f>テーブル1[[#This Row],[なまえ]]</f>
        <v>まっくね ひとき</v>
      </c>
      <c r="D179" s="19" t="str">
        <f>テーブル1[[#This Row],[Name]]</f>
        <v>Mackne Hitoki</v>
      </c>
      <c r="E179" s="19" t="str">
        <f>"image/"&amp;テーブル1[[#This Row],[画像]]&amp;".png"</f>
        <v>image/mackne-hitoki.png</v>
      </c>
      <c r="F179" s="19" t="str">
        <f>テーブル1[[#This Row],[リンク]]</f>
        <v>https://www.mackhouse-soft.com</v>
      </c>
      <c r="G179" s="19" t="str">
        <f>SUBSTITUTE(テーブル1[[#This Row],[作品タグ]]," ","|")</f>
        <v>マック音ヒトキ(UTAU)</v>
      </c>
      <c r="H179" s="19" t="str">
        <f>テーブル1[[#This Row],[性別]]&amp;""</f>
        <v/>
      </c>
      <c r="I179" s="19" t="str">
        <f>テーブル1[[#This Row],[種族タグ]]&amp;""</f>
        <v/>
      </c>
      <c r="J179" s="19" t="str">
        <f>テーブル1[[#This Row],[職業タグ]]&amp;""</f>
        <v/>
      </c>
      <c r="K179" s="19" t="str">
        <f>テーブル1[[#This Row],[小物タグ]]&amp;""</f>
        <v/>
      </c>
      <c r="L179" s="19" t="str">
        <f>テーブル1[[#This Row],[ワンポイントタグ]]&amp;""</f>
        <v/>
      </c>
    </row>
    <row r="180" spans="1:12" ht="20.149999999999999" customHeight="1" x14ac:dyDescent="0.35">
      <c r="A180" s="19">
        <f>テーブル1[[#This Row],[番号]]</f>
        <v>179</v>
      </c>
      <c r="B180" s="19" t="str">
        <f>テーブル1[[#This Row],[名前]]</f>
        <v>山名</v>
      </c>
      <c r="C180" s="19" t="str">
        <f>テーブル1[[#This Row],[なまえ]]</f>
        <v>やまな</v>
      </c>
      <c r="D180" s="19" t="str">
        <f>テーブル1[[#This Row],[Name]]</f>
        <v>Yamana</v>
      </c>
      <c r="E180" s="19" t="str">
        <f>"image/"&amp;テーブル1[[#This Row],[画像]]&amp;".png"</f>
        <v>image/yamana.png</v>
      </c>
      <c r="F180" s="19" t="str">
        <f>テーブル1[[#This Row],[リンク]]</f>
        <v>https://lit.link/sereinrain</v>
      </c>
      <c r="G180" s="19" t="str">
        <f>SUBSTITUTE(テーブル1[[#This Row],[作品タグ]]," ","|")</f>
        <v>#6月の放課後_山名</v>
      </c>
      <c r="H180" s="19" t="str">
        <f>テーブル1[[#This Row],[性別]]&amp;""</f>
        <v/>
      </c>
      <c r="I180" s="19" t="str">
        <f>テーブル1[[#This Row],[種族タグ]]&amp;""</f>
        <v/>
      </c>
      <c r="J180" s="19" t="str">
        <f>テーブル1[[#This Row],[職業タグ]]&amp;""</f>
        <v/>
      </c>
      <c r="K180" s="19" t="str">
        <f>テーブル1[[#This Row],[小物タグ]]&amp;""</f>
        <v/>
      </c>
      <c r="L180" s="19" t="str">
        <f>テーブル1[[#This Row],[ワンポイントタグ]]&amp;""</f>
        <v/>
      </c>
    </row>
    <row r="181" spans="1:12" ht="20.149999999999999" customHeight="1" x14ac:dyDescent="0.35">
      <c r="A181" s="19">
        <f>テーブル1[[#This Row],[番号]]</f>
        <v>180</v>
      </c>
      <c r="B181" s="19" t="str">
        <f>テーブル1[[#This Row],[名前]]</f>
        <v>刹葬セツリ</v>
      </c>
      <c r="C181" s="19" t="str">
        <f>テーブル1[[#This Row],[なまえ]]</f>
        <v>せっそう せつり</v>
      </c>
      <c r="D181" s="19" t="str">
        <f>テーブル1[[#This Row],[Name]]</f>
        <v>Sessou Setsuri</v>
      </c>
      <c r="E181" s="19" t="str">
        <f>"image/"&amp;テーブル1[[#This Row],[画像]]&amp;".png"</f>
        <v>image/sessou-setsuri.png</v>
      </c>
      <c r="F181" s="19" t="str">
        <f>テーブル1[[#This Row],[リンク]]</f>
        <v>https://ma2bana7.wixsite.com/sssr</v>
      </c>
      <c r="G181" s="19" t="str">
        <f>SUBSTITUTE(テーブル1[[#This Row],[作品タグ]]," ","|")</f>
        <v>#刹葬セツリ</v>
      </c>
      <c r="H181" s="19" t="str">
        <f>テーブル1[[#This Row],[性別]]&amp;""</f>
        <v/>
      </c>
      <c r="I181" s="19" t="str">
        <f>テーブル1[[#This Row],[種族タグ]]&amp;""</f>
        <v/>
      </c>
      <c r="J181" s="19" t="str">
        <f>テーブル1[[#This Row],[職業タグ]]&amp;""</f>
        <v/>
      </c>
      <c r="K181" s="19" t="str">
        <f>テーブル1[[#This Row],[小物タグ]]&amp;""</f>
        <v/>
      </c>
      <c r="L181" s="19" t="str">
        <f>テーブル1[[#This Row],[ワンポイントタグ]]&amp;""</f>
        <v/>
      </c>
    </row>
    <row r="182" spans="1:12" ht="20.149999999999999" customHeight="1" x14ac:dyDescent="0.35">
      <c r="A182" s="19">
        <f>テーブル1[[#This Row],[番号]]</f>
        <v>181</v>
      </c>
      <c r="B182" s="19" t="str">
        <f>テーブル1[[#This Row],[名前]]</f>
        <v>波音リツ</v>
      </c>
      <c r="C182" s="19" t="str">
        <f>テーブル1[[#This Row],[なまえ]]</f>
        <v>なみね りつ</v>
      </c>
      <c r="D182" s="19" t="str">
        <f>テーブル1[[#This Row],[Name]]</f>
        <v>Namine Ritsu</v>
      </c>
      <c r="E182" s="19" t="str">
        <f>"image/"&amp;テーブル1[[#This Row],[画像]]&amp;".png"</f>
        <v>image/namine-ritsu.png</v>
      </c>
      <c r="F182" s="19" t="str">
        <f>テーブル1[[#This Row],[リンク]]</f>
        <v>https://www.canon-voice.com</v>
      </c>
      <c r="G182" s="19" t="str">
        <f>SUBSTITUTE(テーブル1[[#This Row],[作品タグ]]," ","|")</f>
        <v>#波音リツ</v>
      </c>
      <c r="H182" s="19" t="str">
        <f>テーブル1[[#This Row],[性別]]&amp;""</f>
        <v/>
      </c>
      <c r="I182" s="19" t="str">
        <f>テーブル1[[#This Row],[種族タグ]]&amp;""</f>
        <v/>
      </c>
      <c r="J182" s="19" t="str">
        <f>テーブル1[[#This Row],[職業タグ]]&amp;""</f>
        <v/>
      </c>
      <c r="K182" s="19" t="str">
        <f>テーブル1[[#This Row],[小物タグ]]&amp;""</f>
        <v/>
      </c>
      <c r="L182" s="19" t="str">
        <f>テーブル1[[#This Row],[ワンポイントタグ]]&amp;""</f>
        <v/>
      </c>
    </row>
    <row r="183" spans="1:12" ht="20.149999999999999" customHeight="1" x14ac:dyDescent="0.35">
      <c r="A183" s="19">
        <f>テーブル1[[#This Row],[番号]]</f>
        <v>182</v>
      </c>
      <c r="B183" s="19" t="str">
        <f>テーブル1[[#This Row],[名前]]</f>
        <v>緑音翡翠</v>
      </c>
      <c r="C183" s="19" t="str">
        <f>テーブル1[[#This Row],[なまえ]]</f>
        <v>みどりね ひすい</v>
      </c>
      <c r="D183" s="19" t="str">
        <f>テーブル1[[#This Row],[Name]]</f>
        <v>Midorine Hisui</v>
      </c>
      <c r="E183" s="19" t="str">
        <f>"image/"&amp;テーブル1[[#This Row],[画像]]&amp;".png"</f>
        <v>image/midorine-hisui.png</v>
      </c>
      <c r="F183" s="19" t="str">
        <f>テーブル1[[#This Row],[リンク]]</f>
        <v>https://todosho1192.wixsite.com/my-site-3</v>
      </c>
      <c r="G183" s="19" t="str">
        <f>SUBSTITUTE(テーブル1[[#This Row],[作品タグ]]," ","|")</f>
        <v>#緑音翡翠</v>
      </c>
      <c r="H183" s="19" t="str">
        <f>テーブル1[[#This Row],[性別]]&amp;""</f>
        <v/>
      </c>
      <c r="I183" s="19" t="str">
        <f>テーブル1[[#This Row],[種族タグ]]&amp;""</f>
        <v/>
      </c>
      <c r="J183" s="19" t="str">
        <f>テーブル1[[#This Row],[職業タグ]]&amp;""</f>
        <v/>
      </c>
      <c r="K183" s="19" t="str">
        <f>テーブル1[[#This Row],[小物タグ]]&amp;""</f>
        <v/>
      </c>
      <c r="L183" s="19" t="str">
        <f>テーブル1[[#This Row],[ワンポイントタグ]]&amp;""</f>
        <v/>
      </c>
    </row>
    <row r="184" spans="1:12" ht="20.149999999999999" customHeight="1" x14ac:dyDescent="0.35">
      <c r="A184" s="19">
        <f>テーブル1[[#This Row],[番号]]</f>
        <v>183</v>
      </c>
      <c r="B184" s="19" t="str">
        <f>テーブル1[[#This Row],[名前]]</f>
        <v>飴唄ニレチ</v>
      </c>
      <c r="C184" s="19" t="str">
        <f>テーブル1[[#This Row],[なまえ]]</f>
        <v>あめうた にれち</v>
      </c>
      <c r="D184" s="19" t="str">
        <f>テーブル1[[#This Row],[Name]]</f>
        <v>Ameuta Nirechi</v>
      </c>
      <c r="E184" s="19" t="str">
        <f>"image/"&amp;テーブル1[[#This Row],[画像]]&amp;".png"</f>
        <v>image/ameuta-nirechi.png</v>
      </c>
      <c r="F184" s="19" t="str">
        <f>テーブル1[[#This Row],[リンク]]</f>
        <v>https://ametro.jimdofree.com</v>
      </c>
      <c r="G184" s="19" t="str">
        <f>SUBSTITUTE(テーブル1[[#This Row],[作品タグ]]," ","|")</f>
        <v>#ぞんび線CB</v>
      </c>
      <c r="H184" s="19" t="str">
        <f>テーブル1[[#This Row],[性別]]&amp;""</f>
        <v/>
      </c>
      <c r="I184" s="19" t="str">
        <f>テーブル1[[#This Row],[種族タグ]]&amp;""</f>
        <v/>
      </c>
      <c r="J184" s="19" t="str">
        <f>テーブル1[[#This Row],[職業タグ]]&amp;""</f>
        <v/>
      </c>
      <c r="K184" s="19" t="str">
        <f>テーブル1[[#This Row],[小物タグ]]&amp;""</f>
        <v/>
      </c>
      <c r="L184" s="19" t="str">
        <f>テーブル1[[#This Row],[ワンポイントタグ]]&amp;""</f>
        <v/>
      </c>
    </row>
    <row r="185" spans="1:12" ht="20.149999999999999" customHeight="1" x14ac:dyDescent="0.35">
      <c r="A185" s="19">
        <f>テーブル1[[#This Row],[番号]]</f>
        <v>184</v>
      </c>
      <c r="B185" s="19" t="str">
        <f>テーブル1[[#This Row],[名前]]</f>
        <v>ドット・ペル</v>
      </c>
      <c r="C185" s="19" t="str">
        <f>テーブル1[[#This Row],[なまえ]]</f>
        <v>どっと ぺる</v>
      </c>
      <c r="D185" s="19" t="str">
        <f>テーブル1[[#This Row],[Name]]</f>
        <v>Dot Pell</v>
      </c>
      <c r="E185" s="19" t="str">
        <f>"image/"&amp;テーブル1[[#This Row],[画像]]&amp;".png"</f>
        <v>image/dot-pell.png</v>
      </c>
      <c r="F185" s="19" t="str">
        <f>テーブル1[[#This Row],[リンク]]</f>
        <v>https://bowlroll.net/user/980255</v>
      </c>
      <c r="G185" s="19" t="str">
        <f>SUBSTITUTE(テーブル1[[#This Row],[作品タグ]]," ","|")</f>
        <v>#歌う雨やどり</v>
      </c>
      <c r="H185" s="19" t="str">
        <f>テーブル1[[#This Row],[性別]]&amp;""</f>
        <v>男性</v>
      </c>
      <c r="I185" s="19" t="str">
        <f>テーブル1[[#This Row],[種族タグ]]&amp;""</f>
        <v>人間</v>
      </c>
      <c r="J185" s="19" t="str">
        <f>テーブル1[[#This Row],[職業タグ]]&amp;""</f>
        <v>科学者</v>
      </c>
      <c r="K185" s="19" t="str">
        <f>テーブル1[[#This Row],[小物タグ]]&amp;""</f>
        <v>ゴーグル</v>
      </c>
      <c r="L185" s="19" t="str">
        <f>テーブル1[[#This Row],[ワンポイントタグ]]&amp;""</f>
        <v>両目隠れ</v>
      </c>
    </row>
    <row r="186" spans="1:12" ht="20.149999999999999" customHeight="1" x14ac:dyDescent="0.35">
      <c r="A186" s="19">
        <f>テーブル1[[#This Row],[番号]]</f>
        <v>185</v>
      </c>
      <c r="B186" s="19" t="str">
        <f>テーブル1[[#This Row],[名前]]</f>
        <v>鈴音レオン</v>
      </c>
      <c r="C186" s="19" t="str">
        <f>テーブル1[[#This Row],[なまえ]]</f>
        <v>すずの れおん</v>
      </c>
      <c r="D186" s="19" t="str">
        <f>テーブル1[[#This Row],[Name]]</f>
        <v>Suzuno Reon</v>
      </c>
      <c r="E186" s="19" t="str">
        <f>"image/"&amp;テーブル1[[#This Row],[画像]]&amp;".png"</f>
        <v>image/suzuno-reon.png</v>
      </c>
      <c r="F186" s="19" t="str">
        <f>テーブル1[[#This Row],[リンク]]</f>
        <v>https://bellsworks.wixsite.com/bellsworks</v>
      </c>
      <c r="G186" s="19" t="str">
        <f>SUBSTITUTE(テーブル1[[#This Row],[作品タグ]]," ","|")</f>
        <v>#べるずわーくす</v>
      </c>
      <c r="H186" s="19" t="str">
        <f>テーブル1[[#This Row],[性別]]&amp;""</f>
        <v/>
      </c>
      <c r="I186" s="19" t="str">
        <f>テーブル1[[#This Row],[種族タグ]]&amp;""</f>
        <v/>
      </c>
      <c r="J186" s="19" t="str">
        <f>テーブル1[[#This Row],[職業タグ]]&amp;""</f>
        <v/>
      </c>
      <c r="K186" s="19" t="str">
        <f>テーブル1[[#This Row],[小物タグ]]&amp;""</f>
        <v/>
      </c>
      <c r="L186" s="19" t="str">
        <f>テーブル1[[#This Row],[ワンポイントタグ]]&amp;""</f>
        <v/>
      </c>
    </row>
    <row r="187" spans="1:12" ht="20.149999999999999" customHeight="1" x14ac:dyDescent="0.35">
      <c r="A187" s="19">
        <f>テーブル1[[#This Row],[番号]]</f>
        <v>186</v>
      </c>
      <c r="B187" s="19" t="str">
        <f>テーブル1[[#This Row],[名前]]</f>
        <v>シロツメ</v>
      </c>
      <c r="C187" s="19" t="str">
        <f>テーブル1[[#This Row],[なまえ]]</f>
        <v>しろつめ</v>
      </c>
      <c r="D187" s="19" t="str">
        <f>テーブル1[[#This Row],[Name]]</f>
        <v>Shirotsume</v>
      </c>
      <c r="E187" s="19" t="str">
        <f>"image/"&amp;テーブル1[[#This Row],[画像]]&amp;".png"</f>
        <v>image/shirotsume.png</v>
      </c>
      <c r="F187" s="19" t="str">
        <f>テーブル1[[#This Row],[リンク]]</f>
        <v>https://seirentoybox.jimdofree.com</v>
      </c>
      <c r="G187" s="19" t="str">
        <f>SUBSTITUTE(テーブル1[[#This Row],[作品タグ]]," ","|")</f>
        <v>#セレソー作</v>
      </c>
      <c r="H187" s="19" t="str">
        <f>テーブル1[[#This Row],[性別]]&amp;""</f>
        <v>不明</v>
      </c>
      <c r="I187" s="19" t="str">
        <f>テーブル1[[#This Row],[種族タグ]]&amp;""</f>
        <v>人間|双子|故人</v>
      </c>
      <c r="J187" s="19" t="str">
        <f>テーブル1[[#This Row],[職業タグ]]&amp;""</f>
        <v>元ヤン</v>
      </c>
      <c r="K187" s="19" t="str">
        <f>テーブル1[[#This Row],[小物タグ]]&amp;""</f>
        <v/>
      </c>
      <c r="L187" s="19" t="str">
        <f>テーブル1[[#This Row],[ワンポイントタグ]]&amp;""</f>
        <v/>
      </c>
    </row>
    <row r="188" spans="1:12" ht="20.149999999999999" customHeight="1" x14ac:dyDescent="0.35">
      <c r="A188" s="19">
        <f>テーブル1[[#This Row],[番号]]</f>
        <v>187</v>
      </c>
      <c r="B188" s="19" t="str">
        <f>テーブル1[[#This Row],[名前]]</f>
        <v>プシュケ＝サリー</v>
      </c>
      <c r="C188" s="19" t="str">
        <f>テーブル1[[#This Row],[なまえ]]</f>
        <v>ぷしゅけ=さりー</v>
      </c>
      <c r="D188" s="19" t="str">
        <f>テーブル1[[#This Row],[Name]]</f>
        <v>Psyche=Sally</v>
      </c>
      <c r="E188" s="19" t="str">
        <f>"image/"&amp;テーブル1[[#This Row],[画像]]&amp;".png"</f>
        <v>image/psyche-sally.png</v>
      </c>
      <c r="F188" s="19" t="str">
        <f>テーブル1[[#This Row],[リンク]]</f>
        <v>https://maybeanglo0mochi.wixsite.com/mochiyanosouko</v>
      </c>
      <c r="G188" s="19" t="str">
        <f>SUBSTITUTE(テーブル1[[#This Row],[作品タグ]]," ","|")</f>
        <v>#めいあんぐ</v>
      </c>
      <c r="H188" s="19" t="str">
        <f>テーブル1[[#This Row],[性別]]&amp;""</f>
        <v/>
      </c>
      <c r="I188" s="19" t="str">
        <f>テーブル1[[#This Row],[種族タグ]]&amp;""</f>
        <v/>
      </c>
      <c r="J188" s="19" t="str">
        <f>テーブル1[[#This Row],[職業タグ]]&amp;""</f>
        <v/>
      </c>
      <c r="K188" s="19" t="str">
        <f>テーブル1[[#This Row],[小物タグ]]&amp;""</f>
        <v/>
      </c>
      <c r="L188" s="19" t="str">
        <f>テーブル1[[#This Row],[ワンポイントタグ]]&amp;""</f>
        <v/>
      </c>
    </row>
    <row r="189" spans="1:12" ht="20.149999999999999" customHeight="1" x14ac:dyDescent="0.35">
      <c r="A189" s="19">
        <f>テーブル1[[#This Row],[番号]]</f>
        <v>188</v>
      </c>
      <c r="B189" s="19" t="str">
        <f>テーブル1[[#This Row],[名前]]</f>
        <v>琴音レスト</v>
      </c>
      <c r="C189" s="19" t="str">
        <f>テーブル1[[#This Row],[なまえ]]</f>
        <v>ことね れすと</v>
      </c>
      <c r="D189" s="19" t="str">
        <f>テーブル1[[#This Row],[Name]]</f>
        <v>Kotone Resuto</v>
      </c>
      <c r="E189" s="19" t="str">
        <f>"image/"&amp;テーブル1[[#This Row],[画像]]&amp;".png"</f>
        <v>image/kotone-resuto.png</v>
      </c>
      <c r="F189" s="19" t="str">
        <f>テーブル1[[#This Row],[リンク]]</f>
        <v>https://bellsworks.wixsite.com/bellsworks</v>
      </c>
      <c r="G189" s="19" t="str">
        <f>SUBSTITUTE(テーブル1[[#This Row],[作品タグ]]," ","|")</f>
        <v>#べるずわーくす</v>
      </c>
      <c r="H189" s="19" t="str">
        <f>テーブル1[[#This Row],[性別]]&amp;""</f>
        <v/>
      </c>
      <c r="I189" s="19" t="str">
        <f>テーブル1[[#This Row],[種族タグ]]&amp;""</f>
        <v/>
      </c>
      <c r="J189" s="19" t="str">
        <f>テーブル1[[#This Row],[職業タグ]]&amp;""</f>
        <v/>
      </c>
      <c r="K189" s="19" t="str">
        <f>テーブル1[[#This Row],[小物タグ]]&amp;""</f>
        <v/>
      </c>
      <c r="L189" s="19" t="str">
        <f>テーブル1[[#This Row],[ワンポイントタグ]]&amp;""</f>
        <v/>
      </c>
    </row>
    <row r="190" spans="1:12" ht="20.149999999999999" customHeight="1" x14ac:dyDescent="0.35">
      <c r="A190" s="19">
        <f>テーブル1[[#This Row],[番号]]</f>
        <v>189</v>
      </c>
      <c r="B190" s="19" t="str">
        <f>テーブル1[[#This Row],[名前]]</f>
        <v>テトリー</v>
      </c>
      <c r="C190" s="19" t="str">
        <f>テーブル1[[#This Row],[なまえ]]</f>
        <v>てとりー</v>
      </c>
      <c r="D190" s="19" t="str">
        <f>テーブル1[[#This Row],[Name]]</f>
        <v>Tetly</v>
      </c>
      <c r="E190" s="19" t="str">
        <f>"image/"&amp;テーブル1[[#This Row],[画像]]&amp;".png"</f>
        <v>image/tetly.png</v>
      </c>
      <c r="F190" s="19" t="str">
        <f>テーブル1[[#This Row],[リンク]]</f>
        <v>https://hakutoujelly.booth.pm/items/6496885</v>
      </c>
      <c r="G190" s="19" t="str">
        <f>SUBSTITUTE(テーブル1[[#This Row],[作品タグ]]," ","|")</f>
        <v>#保冷安室</v>
      </c>
      <c r="H190" s="19" t="str">
        <f>テーブル1[[#This Row],[性別]]&amp;""</f>
        <v/>
      </c>
      <c r="I190" s="19" t="str">
        <f>テーブル1[[#This Row],[種族タグ]]&amp;""</f>
        <v/>
      </c>
      <c r="J190" s="19" t="str">
        <f>テーブル1[[#This Row],[職業タグ]]&amp;""</f>
        <v/>
      </c>
      <c r="K190" s="19" t="str">
        <f>テーブル1[[#This Row],[小物タグ]]&amp;""</f>
        <v/>
      </c>
      <c r="L190" s="19" t="str">
        <f>テーブル1[[#This Row],[ワンポイントタグ]]&amp;""</f>
        <v/>
      </c>
    </row>
    <row r="191" spans="1:12" ht="20.149999999999999" customHeight="1" x14ac:dyDescent="0.35">
      <c r="A191" s="19">
        <f>テーブル1[[#This Row],[番号]]</f>
        <v>190</v>
      </c>
      <c r="B191" s="19" t="str">
        <f>テーブル1[[#This Row],[名前]]</f>
        <v>騒呂助</v>
      </c>
      <c r="C191" s="19" t="str">
        <f>テーブル1[[#This Row],[なまえ]]</f>
        <v>さわぐ りょすけ</v>
      </c>
      <c r="D191" s="19" t="str">
        <f>テーブル1[[#This Row],[Name]]</f>
        <v>Sawagu Ryosuke</v>
      </c>
      <c r="E191" s="19" t="str">
        <f>"image/"&amp;テーブル1[[#This Row],[画像]]&amp;".png"</f>
        <v>image/sawagu-ryosuke.png</v>
      </c>
      <c r="F191" s="19" t="str">
        <f>テーブル1[[#This Row],[リンク]]</f>
        <v>https://grskmot8.wixsite.com/kdarock</v>
      </c>
      <c r="G191" s="19" t="str">
        <f>SUBSTITUTE(テーブル1[[#This Row],[作品タグ]]," ","|")</f>
        <v>#喜怒哀ROCK</v>
      </c>
      <c r="H191" s="19" t="str">
        <f>テーブル1[[#This Row],[性別]]&amp;""</f>
        <v/>
      </c>
      <c r="I191" s="19" t="str">
        <f>テーブル1[[#This Row],[種族タグ]]&amp;""</f>
        <v/>
      </c>
      <c r="J191" s="19" t="str">
        <f>テーブル1[[#This Row],[職業タグ]]&amp;""</f>
        <v/>
      </c>
      <c r="K191" s="19" t="str">
        <f>テーブル1[[#This Row],[小物タグ]]&amp;""</f>
        <v/>
      </c>
      <c r="L191" s="19" t="str">
        <f>テーブル1[[#This Row],[ワンポイントタグ]]&amp;""</f>
        <v/>
      </c>
    </row>
    <row r="192" spans="1:12" ht="20.149999999999999" customHeight="1" x14ac:dyDescent="0.35">
      <c r="A192" s="19">
        <f>テーブル1[[#This Row],[番号]]</f>
        <v>191</v>
      </c>
      <c r="B192" s="19" t="str">
        <f>テーブル1[[#This Row],[名前]]</f>
        <v>日出</v>
      </c>
      <c r="C192" s="19" t="str">
        <f>テーブル1[[#This Row],[なまえ]]</f>
        <v>ひので</v>
      </c>
      <c r="D192" s="19" t="str">
        <f>テーブル1[[#This Row],[Name]]</f>
        <v>Hinode</v>
      </c>
      <c r="E192" s="19" t="str">
        <f>"image/"&amp;テーブル1[[#This Row],[画像]]&amp;".png"</f>
        <v>image/hinode.png</v>
      </c>
      <c r="F192" s="19" t="str">
        <f>テーブル1[[#This Row],[リンク]]</f>
        <v>https://lit.link/sereinrain</v>
      </c>
      <c r="G192" s="19" t="str">
        <f>SUBSTITUTE(テーブル1[[#This Row],[作品タグ]]," ","|")</f>
        <v>#6月の放課後_日出</v>
      </c>
      <c r="H192" s="19" t="str">
        <f>テーブル1[[#This Row],[性別]]&amp;""</f>
        <v/>
      </c>
      <c r="I192" s="19" t="str">
        <f>テーブル1[[#This Row],[種族タグ]]&amp;""</f>
        <v/>
      </c>
      <c r="J192" s="19" t="str">
        <f>テーブル1[[#This Row],[職業タグ]]&amp;""</f>
        <v/>
      </c>
      <c r="K192" s="19" t="str">
        <f>テーブル1[[#This Row],[小物タグ]]&amp;""</f>
        <v/>
      </c>
      <c r="L192" s="19" t="str">
        <f>テーブル1[[#This Row],[ワンポイントタグ]]&amp;""</f>
        <v/>
      </c>
    </row>
    <row r="193" spans="1:12" ht="20.149999999999999" customHeight="1" x14ac:dyDescent="0.35">
      <c r="A193" s="19">
        <f>テーブル1[[#This Row],[番号]]</f>
        <v>192</v>
      </c>
      <c r="B193" s="19" t="str">
        <f>テーブル1[[#This Row],[名前]]</f>
        <v>Sn&amp;Cl</v>
      </c>
      <c r="C193" s="19" t="str">
        <f>テーブル1[[#This Row],[なまえ]]</f>
        <v>すず &amp; せる</v>
      </c>
      <c r="D193" s="19" t="str">
        <f>テーブル1[[#This Row],[Name]]</f>
        <v>Suzu &amp; Cell</v>
      </c>
      <c r="E193" s="19" t="str">
        <f>"image/"&amp;テーブル1[[#This Row],[画像]]&amp;".png"</f>
        <v>image/suzu-cell.png</v>
      </c>
      <c r="F193" s="19" t="str">
        <f>テーブル1[[#This Row],[リンク]]</f>
        <v>https://bellsworks.wixsite.com/bellsworks</v>
      </c>
      <c r="G193" s="19" t="str">
        <f>SUBSTITUTE(テーブル1[[#This Row],[作品タグ]]," ","|")</f>
        <v>#べるずわーくす</v>
      </c>
      <c r="H193" s="19" t="str">
        <f>テーブル1[[#This Row],[性別]]&amp;""</f>
        <v/>
      </c>
      <c r="I193" s="19" t="str">
        <f>テーブル1[[#This Row],[種族タグ]]&amp;""</f>
        <v/>
      </c>
      <c r="J193" s="19" t="str">
        <f>テーブル1[[#This Row],[職業タグ]]&amp;""</f>
        <v/>
      </c>
      <c r="K193" s="19" t="str">
        <f>テーブル1[[#This Row],[小物タグ]]&amp;""</f>
        <v/>
      </c>
      <c r="L193" s="19" t="str">
        <f>テーブル1[[#This Row],[ワンポイントタグ]]&amp;""</f>
        <v/>
      </c>
    </row>
    <row r="194" spans="1:12" ht="20.149999999999999" customHeight="1" x14ac:dyDescent="0.35">
      <c r="A194" s="19">
        <f>テーブル1[[#This Row],[番号]]</f>
        <v>193</v>
      </c>
      <c r="B194" s="19" t="str">
        <f>テーブル1[[#This Row],[名前]]</f>
        <v>KuragE</v>
      </c>
      <c r="C194" s="19" t="str">
        <f>テーブル1[[#This Row],[なまえ]]</f>
        <v>くらげ</v>
      </c>
      <c r="D194" s="19" t="str">
        <f>テーブル1[[#This Row],[Name]]</f>
        <v>Kurage</v>
      </c>
      <c r="E194" s="19" t="str">
        <f>"image/"&amp;テーブル1[[#This Row],[画像]]&amp;".png"</f>
        <v>image/kurage.png</v>
      </c>
      <c r="F194" s="19" t="str">
        <f>テーブル1[[#This Row],[リンク]]</f>
        <v>https://moqujc.wixsite.com/mqtop</v>
      </c>
      <c r="G194" s="19" t="str">
        <f>SUBSTITUTE(テーブル1[[#This Row],[作品タグ]]," ","|")</f>
        <v>#MQAW</v>
      </c>
      <c r="H194" s="19" t="str">
        <f>テーブル1[[#This Row],[性別]]&amp;""</f>
        <v/>
      </c>
      <c r="I194" s="19" t="str">
        <f>テーブル1[[#This Row],[種族タグ]]&amp;""</f>
        <v/>
      </c>
      <c r="J194" s="19" t="str">
        <f>テーブル1[[#This Row],[職業タグ]]&amp;""</f>
        <v/>
      </c>
      <c r="K194" s="19" t="str">
        <f>テーブル1[[#This Row],[小物タグ]]&amp;""</f>
        <v/>
      </c>
      <c r="L194" s="19" t="str">
        <f>テーブル1[[#This Row],[ワンポイントタグ]]&amp;""</f>
        <v/>
      </c>
    </row>
    <row r="195" spans="1:12" ht="20.149999999999999" customHeight="1" x14ac:dyDescent="0.35">
      <c r="A195" s="19">
        <f>テーブル1[[#This Row],[番号]]</f>
        <v>194</v>
      </c>
      <c r="B195" s="19" t="str">
        <f>テーブル1[[#This Row],[名前]]</f>
        <v>鈴音ネオン</v>
      </c>
      <c r="C195" s="19" t="str">
        <f>テーブル1[[#This Row],[なまえ]]</f>
        <v>すずの ねおん</v>
      </c>
      <c r="D195" s="19" t="str">
        <f>テーブル1[[#This Row],[Name]]</f>
        <v>Suzuno Neon</v>
      </c>
      <c r="E195" s="19" t="str">
        <f>"image/"&amp;テーブル1[[#This Row],[画像]]&amp;".png"</f>
        <v>image/suzuno-neon.png</v>
      </c>
      <c r="F195" s="19" t="str">
        <f>テーブル1[[#This Row],[リンク]]</f>
        <v>https://bellsworks.wixsite.com/bellsworks</v>
      </c>
      <c r="G195" s="19" t="str">
        <f>SUBSTITUTE(テーブル1[[#This Row],[作品タグ]]," ","|")</f>
        <v>#べるずわーくす</v>
      </c>
      <c r="H195" s="19" t="str">
        <f>テーブル1[[#This Row],[性別]]&amp;""</f>
        <v/>
      </c>
      <c r="I195" s="19" t="str">
        <f>テーブル1[[#This Row],[種族タグ]]&amp;""</f>
        <v/>
      </c>
      <c r="J195" s="19" t="str">
        <f>テーブル1[[#This Row],[職業タグ]]&amp;""</f>
        <v/>
      </c>
      <c r="K195" s="19" t="str">
        <f>テーブル1[[#This Row],[小物タグ]]&amp;""</f>
        <v/>
      </c>
      <c r="L195" s="19" t="str">
        <f>テーブル1[[#This Row],[ワンポイントタグ]]&amp;""</f>
        <v/>
      </c>
    </row>
    <row r="196" spans="1:12" ht="20.149999999999999" customHeight="1" x14ac:dyDescent="0.35">
      <c r="A196" s="19">
        <f>テーブル1[[#This Row],[番号]]</f>
        <v>195</v>
      </c>
      <c r="B196" s="19" t="str">
        <f>テーブル1[[#This Row],[名前]]</f>
        <v>ソリシア</v>
      </c>
      <c r="C196" s="19" t="str">
        <f>テーブル1[[#This Row],[なまえ]]</f>
        <v>そりしあ</v>
      </c>
      <c r="D196" s="19" t="str">
        <f>テーブル1[[#This Row],[Name]]</f>
        <v>Solisia</v>
      </c>
      <c r="E196" s="19" t="str">
        <f>"image/"&amp;テーブル1[[#This Row],[画像]]&amp;".png"</f>
        <v>image/solisia.png</v>
      </c>
      <c r="F196" s="19" t="str">
        <f>テーブル1[[#This Row],[リンク]]</f>
        <v>https://mebisnori.wixsite.com/nori-mebis</v>
      </c>
      <c r="G196" s="19" t="str">
        <f>SUBSTITUTE(テーブル1[[#This Row],[作品タグ]]," ","|")</f>
        <v>#紫陽花ノ楽譜ト</v>
      </c>
      <c r="H196" s="19" t="str">
        <f>テーブル1[[#This Row],[性別]]&amp;""</f>
        <v/>
      </c>
      <c r="I196" s="19" t="str">
        <f>テーブル1[[#This Row],[種族タグ]]&amp;""</f>
        <v/>
      </c>
      <c r="J196" s="19" t="str">
        <f>テーブル1[[#This Row],[職業タグ]]&amp;""</f>
        <v/>
      </c>
      <c r="K196" s="19" t="str">
        <f>テーブル1[[#This Row],[小物タグ]]&amp;""</f>
        <v/>
      </c>
      <c r="L196" s="19" t="str">
        <f>テーブル1[[#This Row],[ワンポイントタグ]]&amp;""</f>
        <v/>
      </c>
    </row>
    <row r="197" spans="1:12" ht="20.149999999999999" customHeight="1" x14ac:dyDescent="0.35">
      <c r="A197" s="19">
        <f>テーブル1[[#This Row],[番号]]</f>
        <v>196</v>
      </c>
      <c r="B197" s="19" t="str">
        <f>テーブル1[[#This Row],[名前]]</f>
        <v>泡歌マカナ</v>
      </c>
      <c r="C197" s="19" t="str">
        <f>テーブル1[[#This Row],[なまえ]]</f>
        <v>あわか まかな</v>
      </c>
      <c r="D197" s="19" t="str">
        <f>テーブル1[[#This Row],[Name]]</f>
        <v>Awaka Makana</v>
      </c>
      <c r="E197" s="19" t="str">
        <f>"image/"&amp;テーブル1[[#This Row],[画像]]&amp;".png"</f>
        <v>image/awaka-makana.png</v>
      </c>
      <c r="F197" s="19" t="str">
        <f>テーブル1[[#This Row],[リンク]]</f>
        <v>https://mashimo0330.wixsite.com/awaka-utau</v>
      </c>
      <c r="G197" s="19" t="str">
        <f>SUBSTITUTE(テーブル1[[#This Row],[作品タグ]]," ","|")</f>
        <v>#泡沫の青ヰハル</v>
      </c>
      <c r="H197" s="19" t="str">
        <f>テーブル1[[#This Row],[性別]]&amp;""</f>
        <v/>
      </c>
      <c r="I197" s="19" t="str">
        <f>テーブル1[[#This Row],[種族タグ]]&amp;""</f>
        <v/>
      </c>
      <c r="J197" s="19" t="str">
        <f>テーブル1[[#This Row],[職業タグ]]&amp;""</f>
        <v/>
      </c>
      <c r="K197" s="19" t="str">
        <f>テーブル1[[#This Row],[小物タグ]]&amp;""</f>
        <v/>
      </c>
      <c r="L197" s="19" t="str">
        <f>テーブル1[[#This Row],[ワンポイントタグ]]&amp;""</f>
        <v/>
      </c>
    </row>
    <row r="198" spans="1:12" ht="20.149999999999999" customHeight="1" x14ac:dyDescent="0.35">
      <c r="A198" s="19">
        <f>テーブル1[[#This Row],[番号]]</f>
        <v>197</v>
      </c>
      <c r="B198" s="19" t="str">
        <f>テーブル1[[#This Row],[名前]]</f>
        <v>鈴音リオン</v>
      </c>
      <c r="C198" s="19" t="str">
        <f>テーブル1[[#This Row],[なまえ]]</f>
        <v>すずの りおん</v>
      </c>
      <c r="D198" s="19" t="str">
        <f>テーブル1[[#This Row],[Name]]</f>
        <v>Suzuno Rion</v>
      </c>
      <c r="E198" s="19" t="str">
        <f>"image/"&amp;テーブル1[[#This Row],[画像]]&amp;".png"</f>
        <v>image/suzuno-rion.png</v>
      </c>
      <c r="F198" s="19" t="str">
        <f>テーブル1[[#This Row],[リンク]]</f>
        <v>https://bellsworks.wixsite.com/bellsworks</v>
      </c>
      <c r="G198" s="19" t="str">
        <f>SUBSTITUTE(テーブル1[[#This Row],[作品タグ]]," ","|")</f>
        <v>#べるずわーくす</v>
      </c>
      <c r="H198" s="19" t="str">
        <f>テーブル1[[#This Row],[性別]]&amp;""</f>
        <v/>
      </c>
      <c r="I198" s="19" t="str">
        <f>テーブル1[[#This Row],[種族タグ]]&amp;""</f>
        <v/>
      </c>
      <c r="J198" s="19" t="str">
        <f>テーブル1[[#This Row],[職業タグ]]&amp;""</f>
        <v/>
      </c>
      <c r="K198" s="19" t="str">
        <f>テーブル1[[#This Row],[小物タグ]]&amp;""</f>
        <v/>
      </c>
      <c r="L198" s="19" t="str">
        <f>テーブル1[[#This Row],[ワンポイントタグ]]&amp;""</f>
        <v/>
      </c>
    </row>
    <row r="199" spans="1:12" ht="20.149999999999999" customHeight="1" x14ac:dyDescent="0.35">
      <c r="A199" s="19">
        <f>テーブル1[[#This Row],[番号]]</f>
        <v>198</v>
      </c>
      <c r="B199" s="19" t="str">
        <f>テーブル1[[#This Row],[名前]]</f>
        <v>青葉アオ</v>
      </c>
      <c r="C199" s="19" t="str">
        <f>テーブル1[[#This Row],[なまえ]]</f>
        <v>あおば あお</v>
      </c>
      <c r="D199" s="19" t="str">
        <f>テーブル1[[#This Row],[Name]]</f>
        <v>Aoba Ao</v>
      </c>
      <c r="E199" s="19" t="str">
        <f>"image/"&amp;テーブル1[[#This Row],[画像]]&amp;".png"</f>
        <v>image/aoba-ao.png</v>
      </c>
      <c r="F199" s="19" t="str">
        <f>テーブル1[[#This Row],[リンク]]</f>
        <v>http://shadeofgreen.web.fc2.com</v>
      </c>
      <c r="G199" s="19" t="str">
        <f>SUBSTITUTE(テーブル1[[#This Row],[作品タグ]]," ","|")</f>
        <v>#玖夏参伏|</v>
      </c>
      <c r="H199" s="19" t="str">
        <f>テーブル1[[#This Row],[性別]]&amp;""</f>
        <v/>
      </c>
      <c r="I199" s="19" t="str">
        <f>テーブル1[[#This Row],[種族タグ]]&amp;""</f>
        <v/>
      </c>
      <c r="J199" s="19" t="str">
        <f>テーブル1[[#This Row],[職業タグ]]&amp;""</f>
        <v/>
      </c>
      <c r="K199" s="19" t="str">
        <f>テーブル1[[#This Row],[小物タグ]]&amp;""</f>
        <v/>
      </c>
      <c r="L199" s="19" t="str">
        <f>テーブル1[[#This Row],[ワンポイントタグ]]&amp;""</f>
        <v/>
      </c>
    </row>
    <row r="200" spans="1:12" ht="20.149999999999999" customHeight="1" x14ac:dyDescent="0.35">
      <c r="A200" s="19">
        <f>テーブル1[[#This Row],[番号]]</f>
        <v>199</v>
      </c>
      <c r="B200" s="19" t="str">
        <f>テーブル1[[#This Row],[名前]]</f>
        <v>霜咲れあに</v>
      </c>
      <c r="C200" s="19" t="str">
        <f>テーブル1[[#This Row],[なまえ]]</f>
        <v>そうさき れあに</v>
      </c>
      <c r="D200" s="19" t="str">
        <f>テーブル1[[#This Row],[Name]]</f>
        <v>Sousaki Reani</v>
      </c>
      <c r="E200" s="19" t="str">
        <f>"image/"&amp;テーブル1[[#This Row],[画像]]&amp;".png"</f>
        <v>image/sousaki-reani.png</v>
      </c>
      <c r="F200" s="19" t="str">
        <f>テーブル1[[#This Row],[リンク]]</f>
        <v>https://yukimiyashimusho.jimdofree.com</v>
      </c>
      <c r="G200" s="19" t="str">
        <f>SUBSTITUTE(テーブル1[[#This Row],[作品タグ]]," ","|")</f>
        <v>#行宮事務所</v>
      </c>
      <c r="H200" s="19" t="str">
        <f>テーブル1[[#This Row],[性別]]&amp;""</f>
        <v/>
      </c>
      <c r="I200" s="19" t="str">
        <f>テーブル1[[#This Row],[種族タグ]]&amp;""</f>
        <v/>
      </c>
      <c r="J200" s="19" t="str">
        <f>テーブル1[[#This Row],[職業タグ]]&amp;""</f>
        <v/>
      </c>
      <c r="K200" s="19" t="str">
        <f>テーブル1[[#This Row],[小物タグ]]&amp;""</f>
        <v/>
      </c>
      <c r="L200" s="19" t="str">
        <f>テーブル1[[#This Row],[ワンポイントタグ]]&amp;""</f>
        <v/>
      </c>
    </row>
    <row r="201" spans="1:12" ht="20.149999999999999" customHeight="1" x14ac:dyDescent="0.35">
      <c r="A201" s="19">
        <f>テーブル1[[#This Row],[番号]]</f>
        <v>200</v>
      </c>
      <c r="B201" s="19" t="str">
        <f>テーブル1[[#This Row],[名前]]</f>
        <v>秋太</v>
      </c>
      <c r="C201" s="19" t="str">
        <f>テーブル1[[#This Row],[なまえ]]</f>
        <v>あきた</v>
      </c>
      <c r="D201" s="19" t="str">
        <f>テーブル1[[#This Row],[Name]]</f>
        <v>Akita</v>
      </c>
      <c r="E201" s="19" t="str">
        <f>"image/"&amp;テーブル1[[#This Row],[画像]]&amp;".png"</f>
        <v>image/akita.png</v>
      </c>
      <c r="F201" s="19" t="str">
        <f>テーブル1[[#This Row],[リンク]]</f>
        <v>https://jiwajiwakirinn.wixsite.com/sakurada</v>
      </c>
      <c r="G201" s="19" t="str">
        <f>SUBSTITUTE(テーブル1[[#This Row],[作品タグ]]," ","|")</f>
        <v>#秋太を目撃しました</v>
      </c>
      <c r="H201" s="19" t="str">
        <f>テーブル1[[#This Row],[性別]]&amp;""</f>
        <v/>
      </c>
      <c r="I201" s="19" t="str">
        <f>テーブル1[[#This Row],[種族タグ]]&amp;""</f>
        <v/>
      </c>
      <c r="J201" s="19" t="str">
        <f>テーブル1[[#This Row],[職業タグ]]&amp;""</f>
        <v/>
      </c>
      <c r="K201" s="19" t="str">
        <f>テーブル1[[#This Row],[小物タグ]]&amp;""</f>
        <v/>
      </c>
      <c r="L201" s="19" t="str">
        <f>テーブル1[[#This Row],[ワンポイントタグ]]&amp;""</f>
        <v/>
      </c>
    </row>
    <row r="202" spans="1:12" ht="20.149999999999999" customHeight="1" x14ac:dyDescent="0.35">
      <c r="A202" s="19">
        <f>テーブル1[[#This Row],[番号]]</f>
        <v>201</v>
      </c>
      <c r="B202" s="19" t="str">
        <f>テーブル1[[#This Row],[名前]]</f>
        <v>血音ヤン</v>
      </c>
      <c r="C202" s="19" t="str">
        <f>テーブル1[[#This Row],[なまえ]]</f>
        <v>ちぬ やん</v>
      </c>
      <c r="D202" s="19" t="str">
        <f>テーブル1[[#This Row],[Name]]</f>
        <v>Chine Yan</v>
      </c>
      <c r="E202" s="19" t="str">
        <f>"image/"&amp;テーブル1[[#This Row],[画像]]&amp;".png"</f>
        <v>image/chine-yan.png</v>
      </c>
      <c r="F202" s="19" t="str">
        <f>テーブル1[[#This Row],[リンク]]</f>
        <v>https://m.blog.naver.com/string_legacy/224045016399</v>
      </c>
      <c r="G202" s="19" t="str">
        <f>SUBSTITUTE(テーブル1[[#This Row],[作品タグ]]," ","|")</f>
        <v>#血音ヤン</v>
      </c>
      <c r="H202" s="19" t="str">
        <f>テーブル1[[#This Row],[性別]]&amp;""</f>
        <v/>
      </c>
      <c r="I202" s="19" t="str">
        <f>テーブル1[[#This Row],[種族タグ]]&amp;""</f>
        <v/>
      </c>
      <c r="J202" s="19" t="str">
        <f>テーブル1[[#This Row],[職業タグ]]&amp;""</f>
        <v/>
      </c>
      <c r="K202" s="19" t="str">
        <f>テーブル1[[#This Row],[小物タグ]]&amp;""</f>
        <v/>
      </c>
      <c r="L202" s="19" t="str">
        <f>テーブル1[[#This Row],[ワンポイントタグ]]&amp;""</f>
        <v/>
      </c>
    </row>
    <row r="203" spans="1:12" ht="20.149999999999999" customHeight="1" x14ac:dyDescent="0.35">
      <c r="A203" s="19">
        <f>テーブル1[[#This Row],[番号]]</f>
        <v>202</v>
      </c>
      <c r="B203" s="19" t="str">
        <f>テーブル1[[#This Row],[名前]]</f>
        <v>悩音Blue</v>
      </c>
      <c r="C203" s="19" t="str">
        <f>テーブル1[[#This Row],[なまえ]]</f>
        <v>なやね ぶるー</v>
      </c>
      <c r="D203" s="19" t="str">
        <f>テーブル1[[#This Row],[Name]]</f>
        <v>Nayane Blue</v>
      </c>
      <c r="E203" s="19" t="str">
        <f>"image/"&amp;テーブル1[[#This Row],[画像]]&amp;".png"</f>
        <v>image/nayane-blue.png</v>
      </c>
      <c r="F203" s="19" t="str">
        <f>テーブル1[[#This Row],[リンク]]</f>
        <v>https://abiencearray.carrd.co</v>
      </c>
      <c r="G203" s="19" t="str">
        <f>SUBSTITUTE(テーブル1[[#This Row],[作品タグ]]," ","|")</f>
        <v>#悩音Blue</v>
      </c>
      <c r="H203" s="19" t="str">
        <f>テーブル1[[#This Row],[性別]]&amp;""</f>
        <v/>
      </c>
      <c r="I203" s="19" t="str">
        <f>テーブル1[[#This Row],[種族タグ]]&amp;""</f>
        <v/>
      </c>
      <c r="J203" s="19" t="str">
        <f>テーブル1[[#This Row],[職業タグ]]&amp;""</f>
        <v/>
      </c>
      <c r="K203" s="19" t="str">
        <f>テーブル1[[#This Row],[小物タグ]]&amp;""</f>
        <v/>
      </c>
      <c r="L203" s="19" t="str">
        <f>テーブル1[[#This Row],[ワンポイントタグ]]&amp;""</f>
        <v/>
      </c>
    </row>
    <row r="204" spans="1:12" ht="20.149999999999999" customHeight="1" x14ac:dyDescent="0.35">
      <c r="A204" s="19">
        <f>テーブル1[[#This Row],[番号]]</f>
        <v>203</v>
      </c>
      <c r="B204" s="19" t="str">
        <f>テーブル1[[#This Row],[名前]]</f>
        <v>グウ</v>
      </c>
      <c r="C204" s="19" t="str">
        <f>テーブル1[[#This Row],[なまえ]]</f>
        <v>ぐう</v>
      </c>
      <c r="D204" s="19" t="str">
        <f>テーブル1[[#This Row],[Name]]</f>
        <v>Gu</v>
      </c>
      <c r="E204" s="19" t="str">
        <f>"image/"&amp;テーブル1[[#This Row],[画像]]&amp;".png"</f>
        <v>image/gu.png</v>
      </c>
      <c r="F204" s="19" t="str">
        <f>テーブル1[[#This Row],[リンク]]</f>
        <v>https://todosho1192.wixsite.com/my-site-3</v>
      </c>
      <c r="G204" s="19" t="str">
        <f>SUBSTITUTE(テーブル1[[#This Row],[作品タグ]]," ","|")</f>
        <v>#グウ|(UTAU)</v>
      </c>
      <c r="H204" s="19" t="str">
        <f>テーブル1[[#This Row],[性別]]&amp;""</f>
        <v/>
      </c>
      <c r="I204" s="19" t="str">
        <f>テーブル1[[#This Row],[種族タグ]]&amp;""</f>
        <v/>
      </c>
      <c r="J204" s="19" t="str">
        <f>テーブル1[[#This Row],[職業タグ]]&amp;""</f>
        <v/>
      </c>
      <c r="K204" s="19" t="str">
        <f>テーブル1[[#This Row],[小物タグ]]&amp;""</f>
        <v/>
      </c>
      <c r="L204" s="19" t="str">
        <f>テーブル1[[#This Row],[ワンポイントタグ]]&amp;""</f>
        <v/>
      </c>
    </row>
    <row r="205" spans="1:12" ht="20.149999999999999" customHeight="1" x14ac:dyDescent="0.35">
      <c r="A205" s="19">
        <f>テーブル1[[#This Row],[番号]]</f>
        <v>204</v>
      </c>
      <c r="B205" s="19" t="str">
        <f>テーブル1[[#This Row],[名前]]</f>
        <v>申暋慧</v>
      </c>
      <c r="C205" s="19" t="str">
        <f>テーブル1[[#This Row],[なまえ]]</f>
        <v>しん みんへ</v>
      </c>
      <c r="D205" s="19" t="str">
        <f>テーブル1[[#This Row],[Name]]</f>
        <v>Shin Min Hye</v>
      </c>
      <c r="E205" s="19" t="str">
        <f>"image/"&amp;テーブル1[[#This Row],[画像]]&amp;".png"</f>
        <v>image/shin-min-hye.png</v>
      </c>
      <c r="F205" s="19" t="str">
        <f>テーブル1[[#This Row],[リンク]]</f>
        <v>https://twisibi.notion.site/1e947481a8ac80a59110fa6b43bf6319</v>
      </c>
      <c r="G205" s="19" t="str">
        <f>SUBSTITUTE(テーブル1[[#This Row],[作品タグ]]," ","|")</f>
        <v>#신민혜</v>
      </c>
      <c r="H205" s="19" t="str">
        <f>テーブル1[[#This Row],[性別]]&amp;""</f>
        <v/>
      </c>
      <c r="I205" s="19" t="str">
        <f>テーブル1[[#This Row],[種族タグ]]&amp;""</f>
        <v/>
      </c>
      <c r="J205" s="19" t="str">
        <f>テーブル1[[#This Row],[職業タグ]]&amp;""</f>
        <v/>
      </c>
      <c r="K205" s="19" t="str">
        <f>テーブル1[[#This Row],[小物タグ]]&amp;""</f>
        <v/>
      </c>
      <c r="L205" s="19" t="str">
        <f>テーブル1[[#This Row],[ワンポイントタグ]]&amp;""</f>
        <v/>
      </c>
    </row>
    <row r="206" spans="1:12" ht="20.149999999999999" customHeight="1" x14ac:dyDescent="0.35">
      <c r="A206" s="19">
        <f>テーブル1[[#This Row],[番号]]</f>
        <v>205</v>
      </c>
      <c r="B206" s="19" t="str">
        <f>テーブル1[[#This Row],[名前]]</f>
        <v>轟音ロキ</v>
      </c>
      <c r="C206" s="19" t="str">
        <f>テーブル1[[#This Row],[なまえ]]</f>
        <v>ごうおん ろき</v>
      </c>
      <c r="D206" s="19" t="str">
        <f>テーブル1[[#This Row],[Name]]</f>
        <v>Gouon Roki</v>
      </c>
      <c r="E206" s="19" t="str">
        <f>"image/"&amp;テーブル1[[#This Row],[画像]]&amp;".png"</f>
        <v>image/gouon-roki.png</v>
      </c>
      <c r="F206" s="19" t="str">
        <f>テーブル1[[#This Row],[リンク]]</f>
        <v>https://todosho1192.wixsite.com/my-site-3</v>
      </c>
      <c r="G206" s="19" t="str">
        <f>SUBSTITUTE(テーブル1[[#This Row],[作品タグ]]," ","|")</f>
        <v>#轟音ロキ</v>
      </c>
      <c r="H206" s="19" t="str">
        <f>テーブル1[[#This Row],[性別]]&amp;""</f>
        <v/>
      </c>
      <c r="I206" s="19" t="str">
        <f>テーブル1[[#This Row],[種族タグ]]&amp;""</f>
        <v/>
      </c>
      <c r="J206" s="19" t="str">
        <f>テーブル1[[#This Row],[職業タグ]]&amp;""</f>
        <v/>
      </c>
      <c r="K206" s="19" t="str">
        <f>テーブル1[[#This Row],[小物タグ]]&amp;""</f>
        <v/>
      </c>
      <c r="L206" s="19" t="str">
        <f>テーブル1[[#This Row],[ワンポイントタグ]]&amp;""</f>
        <v>セクションカラー</v>
      </c>
    </row>
    <row r="207" spans="1:12" ht="20.149999999999999" customHeight="1" x14ac:dyDescent="0.35">
      <c r="A207" s="19">
        <f>テーブル1[[#This Row],[番号]]</f>
        <v>206</v>
      </c>
      <c r="B207" s="19" t="str">
        <f>テーブル1[[#This Row],[名前]]</f>
        <v>16号</v>
      </c>
      <c r="C207" s="19" t="str">
        <f>テーブル1[[#This Row],[なまえ]]</f>
        <v>じゅうろくごう</v>
      </c>
      <c r="D207" s="19" t="str">
        <f>テーブル1[[#This Row],[Name]]</f>
        <v>No.16</v>
      </c>
      <c r="E207" s="19" t="str">
        <f>"image/"&amp;テーブル1[[#This Row],[画像]]&amp;".png"</f>
        <v>image/no-16.png</v>
      </c>
      <c r="F207" s="19" t="str">
        <f>テーブル1[[#This Row],[リンク]]</f>
        <v>https://sites.google.com/view/ronku99</v>
      </c>
      <c r="G207" s="19" t="str">
        <f>SUBSTITUTE(テーブル1[[#This Row],[作品タグ]]," ","|")</f>
        <v>16号(UTAU)</v>
      </c>
      <c r="H207" s="19" t="str">
        <f>テーブル1[[#This Row],[性別]]&amp;""</f>
        <v/>
      </c>
      <c r="I207" s="19" t="str">
        <f>テーブル1[[#This Row],[種族タグ]]&amp;""</f>
        <v/>
      </c>
      <c r="J207" s="19" t="str">
        <f>テーブル1[[#This Row],[職業タグ]]&amp;""</f>
        <v/>
      </c>
      <c r="K207" s="19" t="str">
        <f>テーブル1[[#This Row],[小物タグ]]&amp;""</f>
        <v/>
      </c>
      <c r="L207" s="19" t="str">
        <f>テーブル1[[#This Row],[ワンポイントタグ]]&amp;""</f>
        <v/>
      </c>
    </row>
    <row r="208" spans="1:12" ht="20.149999999999999" customHeight="1" x14ac:dyDescent="0.35">
      <c r="A208" s="19">
        <f>テーブル1[[#This Row],[番号]]</f>
        <v>207</v>
      </c>
      <c r="B208" s="19" t="str">
        <f>テーブル1[[#This Row],[名前]]</f>
        <v>シズルう</v>
      </c>
      <c r="C208" s="19" t="str">
        <f>テーブル1[[#This Row],[なまえ]]</f>
        <v>しずるう</v>
      </c>
      <c r="D208" s="19" t="str">
        <f>テーブル1[[#This Row],[Name]]</f>
        <v>Shizuruu</v>
      </c>
      <c r="E208" s="19" t="str">
        <f>"image/"&amp;テーブル1[[#This Row],[画像]]&amp;".png"</f>
        <v>image/shizuruu.png</v>
      </c>
      <c r="F208" s="19" t="str">
        <f>テーブル1[[#This Row],[リンク]]</f>
        <v>https://utau.fandom.com/wiki/Shizuruu</v>
      </c>
      <c r="G208" s="19" t="str">
        <f>SUBSTITUTE(テーブル1[[#This Row],[作品タグ]]," ","|")</f>
        <v>シズルう(UTAU)</v>
      </c>
      <c r="H208" s="19" t="str">
        <f>テーブル1[[#This Row],[性別]]&amp;""</f>
        <v/>
      </c>
      <c r="I208" s="19" t="str">
        <f>テーブル1[[#This Row],[種族タグ]]&amp;""</f>
        <v/>
      </c>
      <c r="J208" s="19" t="str">
        <f>テーブル1[[#This Row],[職業タグ]]&amp;""</f>
        <v/>
      </c>
      <c r="K208" s="19" t="str">
        <f>テーブル1[[#This Row],[小物タグ]]&amp;""</f>
        <v/>
      </c>
      <c r="L208" s="19" t="str">
        <f>テーブル1[[#This Row],[ワンポイントタグ]]&amp;""</f>
        <v/>
      </c>
    </row>
    <row r="209" spans="1:12" ht="20.149999999999999" customHeight="1" x14ac:dyDescent="0.35">
      <c r="A209" s="19">
        <f>テーブル1[[#This Row],[番号]]</f>
        <v>208</v>
      </c>
      <c r="B209" s="19" t="str">
        <f>テーブル1[[#This Row],[名前]]</f>
        <v>琴音コト</v>
      </c>
      <c r="C209" s="19" t="str">
        <f>テーブル1[[#This Row],[なまえ]]</f>
        <v>ことね こと</v>
      </c>
      <c r="D209" s="19" t="str">
        <f>テーブル1[[#This Row],[Name]]</f>
        <v>Kotone Koto</v>
      </c>
      <c r="E209" s="19" t="str">
        <f>"image/"&amp;テーブル1[[#This Row],[画像]]&amp;".png"</f>
        <v>image/kotone-koto.png</v>
      </c>
      <c r="F209" s="19" t="str">
        <f>テーブル1[[#This Row],[リンク]]</f>
        <v>https://bellsworks.wixsite.com/bellsworks</v>
      </c>
      <c r="G209" s="19" t="str">
        <f>SUBSTITUTE(テーブル1[[#This Row],[作品タグ]]," ","|")</f>
        <v>#べるずわーくす</v>
      </c>
      <c r="H209" s="19" t="str">
        <f>テーブル1[[#This Row],[性別]]&amp;""</f>
        <v/>
      </c>
      <c r="I209" s="19" t="str">
        <f>テーブル1[[#This Row],[種族タグ]]&amp;""</f>
        <v/>
      </c>
      <c r="J209" s="19" t="str">
        <f>テーブル1[[#This Row],[職業タグ]]&amp;""</f>
        <v/>
      </c>
      <c r="K209" s="19" t="str">
        <f>テーブル1[[#This Row],[小物タグ]]&amp;""</f>
        <v/>
      </c>
      <c r="L209" s="19" t="str">
        <f>テーブル1[[#This Row],[ワンポイントタグ]]&amp;""</f>
        <v/>
      </c>
    </row>
    <row r="210" spans="1:12" ht="20.149999999999999" customHeight="1" x14ac:dyDescent="0.35">
      <c r="A210" s="19">
        <f>テーブル1[[#This Row],[番号]]</f>
        <v>209</v>
      </c>
      <c r="B210" s="19" t="str">
        <f>テーブル1[[#This Row],[名前]]</f>
        <v>ろんく1号</v>
      </c>
      <c r="C210" s="19" t="str">
        <f>テーブル1[[#This Row],[なまえ]]</f>
        <v>ろんく いちごう</v>
      </c>
      <c r="D210" s="19" t="str">
        <f>テーブル1[[#This Row],[Name]]</f>
        <v>Ronku No.1</v>
      </c>
      <c r="E210" s="19" t="str">
        <f>"image/"&amp;テーブル1[[#This Row],[画像]]&amp;".png"</f>
        <v>image/ronku-no-1.png</v>
      </c>
      <c r="F210" s="19" t="str">
        <f>テーブル1[[#This Row],[リンク]]</f>
        <v>https://sites.google.com/view/ronku99</v>
      </c>
      <c r="G210" s="19" t="str">
        <f>SUBSTITUTE(テーブル1[[#This Row],[作品タグ]]," ","|")</f>
        <v>ろんく1号(UTAU)</v>
      </c>
      <c r="H210" s="19" t="str">
        <f>テーブル1[[#This Row],[性別]]&amp;""</f>
        <v/>
      </c>
      <c r="I210" s="19" t="str">
        <f>テーブル1[[#This Row],[種族タグ]]&amp;""</f>
        <v/>
      </c>
      <c r="J210" s="19" t="str">
        <f>テーブル1[[#This Row],[職業タグ]]&amp;""</f>
        <v/>
      </c>
      <c r="K210" s="19" t="str">
        <f>テーブル1[[#This Row],[小物タグ]]&amp;""</f>
        <v/>
      </c>
      <c r="L210" s="19" t="str">
        <f>テーブル1[[#This Row],[ワンポイントタグ]]&amp;""</f>
        <v/>
      </c>
    </row>
    <row r="211" spans="1:12" ht="20.149999999999999" customHeight="1" x14ac:dyDescent="0.35">
      <c r="A211" s="19">
        <f>テーブル1[[#This Row],[番号]]</f>
        <v>210</v>
      </c>
      <c r="B211" s="19" t="str">
        <f>テーブル1[[#This Row],[名前]]</f>
        <v>おろかめし</v>
      </c>
      <c r="C211" s="19" t="str">
        <f>テーブル1[[#This Row],[なまえ]]</f>
        <v>おろかめし</v>
      </c>
      <c r="D211" s="19" t="str">
        <f>テーブル1[[#This Row],[Name]]</f>
        <v>Orokameshi</v>
      </c>
      <c r="E211" s="19" t="str">
        <f>"image/"&amp;テーブル1[[#This Row],[画像]]&amp;".png"</f>
        <v>image/orokameshi.png</v>
      </c>
      <c r="F211" s="19" t="str">
        <f>テーブル1[[#This Row],[リンク]]</f>
        <v>https://cgamy40.wixsite.com/tsuraiuroyoi</v>
      </c>
      <c r="G211" s="19" t="str">
        <f>SUBSTITUTE(テーブル1[[#This Row],[作品タグ]]," ","|")</f>
        <v>#モノクロの火葬場</v>
      </c>
      <c r="H211" s="19" t="str">
        <f>テーブル1[[#This Row],[性別]]&amp;""</f>
        <v/>
      </c>
      <c r="I211" s="19" t="str">
        <f>テーブル1[[#This Row],[種族タグ]]&amp;""</f>
        <v/>
      </c>
      <c r="J211" s="19" t="str">
        <f>テーブル1[[#This Row],[職業タグ]]&amp;""</f>
        <v/>
      </c>
      <c r="K211" s="19" t="str">
        <f>テーブル1[[#This Row],[小物タグ]]&amp;""</f>
        <v/>
      </c>
      <c r="L211" s="19" t="str">
        <f>テーブル1[[#This Row],[ワンポイントタグ]]&amp;""</f>
        <v/>
      </c>
    </row>
    <row r="212" spans="1:12" ht="20.149999999999999" customHeight="1" x14ac:dyDescent="0.35">
      <c r="A212" s="19">
        <f>テーブル1[[#This Row],[番号]]</f>
        <v>211</v>
      </c>
      <c r="B212" s="19" t="str">
        <f>テーブル1[[#This Row],[名前]]</f>
        <v>Tくん</v>
      </c>
      <c r="C212" s="19" t="str">
        <f>テーブル1[[#This Row],[なまえ]]</f>
        <v>てぃーくん</v>
      </c>
      <c r="D212" s="19" t="str">
        <f>テーブル1[[#This Row],[Name]]</f>
        <v>T kun</v>
      </c>
      <c r="E212" s="19" t="str">
        <f>"image/"&amp;テーブル1[[#This Row],[画像]]&amp;".png"</f>
        <v>image/t-kun.png</v>
      </c>
      <c r="F212" s="19" t="str">
        <f>テーブル1[[#This Row],[リンク]]</f>
        <v>https://mackerel178.wixsite.com/yuusensuizokukan</v>
      </c>
      <c r="G212" s="19" t="str">
        <f>SUBSTITUTE(テーブル1[[#This Row],[作品タグ]]," ","|")</f>
        <v>#有線水族館</v>
      </c>
      <c r="H212" s="19" t="str">
        <f>テーブル1[[#This Row],[性別]]&amp;""</f>
        <v>男性</v>
      </c>
      <c r="I212" s="19" t="str">
        <f>テーブル1[[#This Row],[種族タグ]]&amp;""</f>
        <v>人間</v>
      </c>
      <c r="J212" s="19" t="str">
        <f>テーブル1[[#This Row],[職業タグ]]&amp;""</f>
        <v/>
      </c>
      <c r="K212" s="19" t="str">
        <f>テーブル1[[#This Row],[小物タグ]]&amp;""</f>
        <v>ヘッドセット</v>
      </c>
      <c r="L212" s="19" t="str">
        <f>テーブル1[[#This Row],[ワンポイントタグ]]&amp;""</f>
        <v/>
      </c>
    </row>
    <row r="213" spans="1:12" ht="20.149999999999999" customHeight="1" x14ac:dyDescent="0.35">
      <c r="A213" s="19">
        <f>テーブル1[[#This Row],[番号]]</f>
        <v>212</v>
      </c>
      <c r="B213" s="19">
        <f>テーブル1[[#This Row],[名前]]</f>
        <v>316</v>
      </c>
      <c r="C213" s="19" t="str">
        <f>テーブル1[[#This Row],[なまえ]]</f>
        <v>さいろ</v>
      </c>
      <c r="D213" s="19" t="str">
        <f>テーブル1[[#This Row],[Name]]</f>
        <v>Sairo</v>
      </c>
      <c r="E213" s="19" t="str">
        <f>"image/"&amp;テーブル1[[#This Row],[画像]]&amp;".png"</f>
        <v>image/sairo.png</v>
      </c>
      <c r="F213" s="19" t="str">
        <f>テーブル1[[#This Row],[リンク]]</f>
        <v>https://mackerel178.wixsite.com/yuusensuizokukan</v>
      </c>
      <c r="G213" s="19" t="str">
        <f>SUBSTITUTE(テーブル1[[#This Row],[作品タグ]]," ","|")</f>
        <v>#有線水族館</v>
      </c>
      <c r="H213" s="19" t="str">
        <f>テーブル1[[#This Row],[性別]]&amp;""</f>
        <v>無性別</v>
      </c>
      <c r="I213" s="19" t="str">
        <f>テーブル1[[#This Row],[種族タグ]]&amp;""</f>
        <v>人造人間</v>
      </c>
      <c r="J213" s="19" t="str">
        <f>テーブル1[[#This Row],[職業タグ]]&amp;""</f>
        <v/>
      </c>
      <c r="K213" s="19" t="str">
        <f>テーブル1[[#This Row],[小物タグ]]&amp;""</f>
        <v>ヘッドホン</v>
      </c>
      <c r="L213" s="19" t="str">
        <f>テーブル1[[#This Row],[ワンポイントタグ]]&amp;""</f>
        <v>アホ毛|オッドアイ|尻尾</v>
      </c>
    </row>
    <row r="214" spans="1:12" ht="20.149999999999999" customHeight="1" x14ac:dyDescent="0.35">
      <c r="A214" s="19">
        <f>テーブル1[[#This Row],[番号]]</f>
        <v>213</v>
      </c>
      <c r="B214" s="19" t="str">
        <f>テーブル1[[#This Row],[名前]]</f>
        <v>深海マリン</v>
      </c>
      <c r="C214" s="19" t="str">
        <f>テーブル1[[#This Row],[なまえ]]</f>
        <v>ふかみ まりん</v>
      </c>
      <c r="D214" s="19" t="str">
        <f>テーブル1[[#This Row],[Name]]</f>
        <v>Fukami Marine</v>
      </c>
      <c r="E214" s="19" t="str">
        <f>"image/"&amp;テーブル1[[#This Row],[画像]]&amp;".png"</f>
        <v>image/fukami-marine.png</v>
      </c>
      <c r="F214" s="19" t="str">
        <f>テーブル1[[#This Row],[リンク]]</f>
        <v>https://komagatabone.fc2.page</v>
      </c>
      <c r="G214" s="19" t="str">
        <f>SUBSTITUTE(テーブル1[[#This Row],[作品タグ]]," ","|")</f>
        <v>#深海マリン</v>
      </c>
      <c r="H214" s="19" t="str">
        <f>テーブル1[[#This Row],[性別]]&amp;""</f>
        <v/>
      </c>
      <c r="I214" s="19" t="str">
        <f>テーブル1[[#This Row],[種族タグ]]&amp;""</f>
        <v/>
      </c>
      <c r="J214" s="19" t="str">
        <f>テーブル1[[#This Row],[職業タグ]]&amp;""</f>
        <v/>
      </c>
      <c r="K214" s="19" t="str">
        <f>テーブル1[[#This Row],[小物タグ]]&amp;""</f>
        <v/>
      </c>
      <c r="L214" s="19" t="str">
        <f>テーブル1[[#This Row],[ワンポイントタグ]]&amp;""</f>
        <v/>
      </c>
    </row>
    <row r="215" spans="1:12" ht="20.149999999999999" customHeight="1" x14ac:dyDescent="0.35">
      <c r="A215" s="19">
        <f>テーブル1[[#This Row],[番号]]</f>
        <v>214</v>
      </c>
      <c r="B215" s="19" t="str">
        <f>テーブル1[[#This Row],[名前]]</f>
        <v>カラフル・シュガースプリンクル</v>
      </c>
      <c r="C215" s="19" t="str">
        <f>テーブル1[[#This Row],[なまえ]]</f>
        <v>からふる しゅがーすぷりんくる</v>
      </c>
      <c r="D215" s="19" t="str">
        <f>テーブル1[[#This Row],[Name]]</f>
        <v>Colorful Sugar Sprinkle</v>
      </c>
      <c r="E215" s="19" t="str">
        <f>"image/"&amp;テーブル1[[#This Row],[画像]]&amp;".png"</f>
        <v>image/colorful-sugar-sprinkle.png</v>
      </c>
      <c r="F215" s="19" t="str">
        <f>テーブル1[[#This Row],[リンク]]</f>
        <v>https://bowlroll.net/user/946776</v>
      </c>
      <c r="G215" s="19" t="str">
        <f>SUBSTITUTE(テーブル1[[#This Row],[作品タグ]]," ","|")</f>
        <v>#カラフル・シュガースプリンクル</v>
      </c>
      <c r="H215" s="19" t="str">
        <f>テーブル1[[#This Row],[性別]]&amp;""</f>
        <v/>
      </c>
      <c r="I215" s="19" t="str">
        <f>テーブル1[[#This Row],[種族タグ]]&amp;""</f>
        <v/>
      </c>
      <c r="J215" s="19" t="str">
        <f>テーブル1[[#This Row],[職業タグ]]&amp;""</f>
        <v/>
      </c>
      <c r="K215" s="19" t="str">
        <f>テーブル1[[#This Row],[小物タグ]]&amp;""</f>
        <v/>
      </c>
      <c r="L215" s="19" t="str">
        <f>テーブル1[[#This Row],[ワンポイントタグ]]&amp;""</f>
        <v/>
      </c>
    </row>
    <row r="216" spans="1:12" ht="20.149999999999999" customHeight="1" x14ac:dyDescent="0.35">
      <c r="A216" s="19">
        <f>テーブル1[[#This Row],[番号]]</f>
        <v>215</v>
      </c>
      <c r="B216" s="19" t="str">
        <f>テーブル1[[#This Row],[名前]]</f>
        <v>客寄せRiley</v>
      </c>
      <c r="C216" s="19" t="str">
        <f>テーブル1[[#This Row],[なまえ]]</f>
        <v>きゃくよせ らいりー</v>
      </c>
      <c r="D216" s="19" t="str">
        <f>テーブル1[[#This Row],[Name]]</f>
        <v>Kyakuyose Riley</v>
      </c>
      <c r="E216" s="19" t="str">
        <f>"image/"&amp;テーブル1[[#This Row],[画像]]&amp;".png"</f>
        <v>image/kyakuyose-riley.png</v>
      </c>
      <c r="F216" s="19" t="str">
        <f>テーブル1[[#This Row],[リンク]]</f>
        <v>https://bowlroll.net/user/980255</v>
      </c>
      <c r="G216" s="19" t="str">
        <f>SUBSTITUTE(テーブル1[[#This Row],[作品タグ]]," ","|")</f>
        <v>#歌う雨やどり</v>
      </c>
      <c r="H216" s="19" t="str">
        <f>テーブル1[[#This Row],[性別]]&amp;""</f>
        <v>男性</v>
      </c>
      <c r="I216" s="19" t="str">
        <f>テーブル1[[#This Row],[種族タグ]]&amp;""</f>
        <v>バーチャル</v>
      </c>
      <c r="J216" s="19" t="str">
        <f>テーブル1[[#This Row],[職業タグ]]&amp;""</f>
        <v/>
      </c>
      <c r="K216" s="19" t="str">
        <f>テーブル1[[#This Row],[小物タグ]]&amp;""</f>
        <v>眼鏡</v>
      </c>
      <c r="L216" s="19" t="str">
        <f>テーブル1[[#This Row],[ワンポイントタグ]]&amp;""</f>
        <v>黒肌</v>
      </c>
    </row>
    <row r="217" spans="1:12" ht="20.149999999999999" customHeight="1" x14ac:dyDescent="0.35">
      <c r="A217" s="19">
        <f>テーブル1[[#This Row],[番号]]</f>
        <v>216</v>
      </c>
      <c r="B217" s="19" t="str">
        <f>テーブル1[[#This Row],[名前]]</f>
        <v>ネコナリ</v>
      </c>
      <c r="C217" s="19" t="str">
        <f>テーブル1[[#This Row],[なまえ]]</f>
        <v>ねこなり</v>
      </c>
      <c r="D217" s="19" t="str">
        <f>テーブル1[[#This Row],[Name]]</f>
        <v>Nekonari</v>
      </c>
      <c r="E217" s="19" t="str">
        <f>"image/"&amp;テーブル1[[#This Row],[画像]]&amp;".png"</f>
        <v>image/nekonari.png</v>
      </c>
      <c r="F217" s="19" t="str">
        <f>テーブル1[[#This Row],[リンク]]</f>
        <v>https://piku.page/@toitoitoi23</v>
      </c>
      <c r="G217" s="19" t="str">
        <f>SUBSTITUTE(テーブル1[[#This Row],[作品タグ]]," ","|")</f>
        <v>#ネコナリ</v>
      </c>
      <c r="H217" s="19" t="str">
        <f>テーブル1[[#This Row],[性別]]&amp;""</f>
        <v/>
      </c>
      <c r="I217" s="19" t="str">
        <f>テーブル1[[#This Row],[種族タグ]]&amp;""</f>
        <v/>
      </c>
      <c r="J217" s="19" t="str">
        <f>テーブル1[[#This Row],[職業タグ]]&amp;""</f>
        <v/>
      </c>
      <c r="K217" s="19" t="str">
        <f>テーブル1[[#This Row],[小物タグ]]&amp;""</f>
        <v/>
      </c>
      <c r="L217" s="19" t="str">
        <f>テーブル1[[#This Row],[ワンポイントタグ]]&amp;""</f>
        <v/>
      </c>
    </row>
    <row r="218" spans="1:12" ht="20.149999999999999" customHeight="1" x14ac:dyDescent="0.35">
      <c r="A218" s="19">
        <f>テーブル1[[#This Row],[番号]]</f>
        <v>217</v>
      </c>
      <c r="B218" s="19" t="str">
        <f>テーブル1[[#This Row],[名前]]</f>
        <v>メガネコ・ミッケタ</v>
      </c>
      <c r="C218" s="19" t="str">
        <f>テーブル1[[#This Row],[なまえ]]</f>
        <v>めがねこ みっけた</v>
      </c>
      <c r="D218" s="19" t="str">
        <f>テーブル1[[#This Row],[Name]]</f>
        <v>Meganeko Mikketa</v>
      </c>
      <c r="E218" s="19" t="str">
        <f>"image/"&amp;テーブル1[[#This Row],[画像]]&amp;".png"</f>
        <v>image/meganeko-mikketa.png</v>
      </c>
      <c r="F218" s="19" t="str">
        <f>テーブル1[[#This Row],[リンク]]</f>
        <v>https://seirentoybox.jimdofree.com</v>
      </c>
      <c r="G218" s="19" t="str">
        <f>SUBSTITUTE(テーブル1[[#This Row],[作品タグ]]," ","|")</f>
        <v>#セレソー作</v>
      </c>
      <c r="H218" s="19" t="str">
        <f>テーブル1[[#This Row],[性別]]&amp;""</f>
        <v>男性</v>
      </c>
      <c r="I218" s="19" t="str">
        <f>テーブル1[[#This Row],[種族タグ]]&amp;""</f>
        <v>人間</v>
      </c>
      <c r="J218" s="19" t="str">
        <f>テーブル1[[#This Row],[職業タグ]]&amp;""</f>
        <v>科学者</v>
      </c>
      <c r="K218" s="19" t="str">
        <f>テーブル1[[#This Row],[小物タグ]]&amp;""</f>
        <v>眼鏡</v>
      </c>
      <c r="L218" s="19" t="str">
        <f>テーブル1[[#This Row],[ワンポイントタグ]]&amp;""</f>
        <v>褐色肌</v>
      </c>
    </row>
    <row r="219" spans="1:12" ht="20.149999999999999" customHeight="1" x14ac:dyDescent="0.35">
      <c r="A219" s="19">
        <f>テーブル1[[#This Row],[番号]]</f>
        <v>218</v>
      </c>
      <c r="B219" s="19" t="str">
        <f>テーブル1[[#This Row],[名前]]</f>
        <v>アスター・フローレス</v>
      </c>
      <c r="C219" s="19" t="str">
        <f>テーブル1[[#This Row],[なまえ]]</f>
        <v>あすたー ふろーれす</v>
      </c>
      <c r="D219" s="19" t="str">
        <f>テーブル1[[#This Row],[Name]]</f>
        <v>Aster・Flores</v>
      </c>
      <c r="E219" s="19" t="str">
        <f>"image/"&amp;テーブル1[[#This Row],[画像]]&amp;".png"</f>
        <v>image/aster-flores.png</v>
      </c>
      <c r="F219" s="19" t="str">
        <f>テーブル1[[#This Row],[リンク]]</f>
        <v>https://mitoristu.wixsite.com/kousaibako</v>
      </c>
      <c r="G219" s="19" t="str">
        <f>SUBSTITUTE(テーブル1[[#This Row],[作品タグ]]," ","|")</f>
        <v>#虹彩箱</v>
      </c>
      <c r="H219" s="19" t="str">
        <f>テーブル1[[#This Row],[性別]]&amp;""</f>
        <v/>
      </c>
      <c r="I219" s="19" t="str">
        <f>テーブル1[[#This Row],[種族タグ]]&amp;""</f>
        <v/>
      </c>
      <c r="J219" s="19" t="str">
        <f>テーブル1[[#This Row],[職業タグ]]&amp;""</f>
        <v/>
      </c>
      <c r="K219" s="19" t="str">
        <f>テーブル1[[#This Row],[小物タグ]]&amp;""</f>
        <v/>
      </c>
      <c r="L219" s="19" t="str">
        <f>テーブル1[[#This Row],[ワンポイントタグ]]&amp;""</f>
        <v/>
      </c>
    </row>
    <row r="220" spans="1:12" ht="20.149999999999999" customHeight="1" x14ac:dyDescent="0.35">
      <c r="A220" s="19">
        <f>テーブル1[[#This Row],[番号]]</f>
        <v>219</v>
      </c>
      <c r="B220" s="19" t="str">
        <f>テーブル1[[#This Row],[名前]]</f>
        <v>宵月未雲</v>
      </c>
      <c r="C220" s="19" t="str">
        <f>テーブル1[[#This Row],[なまえ]]</f>
        <v>よいづき みくも</v>
      </c>
      <c r="D220" s="19" t="str">
        <f>テーブル1[[#This Row],[Name]]</f>
        <v>Yoizuki Mikumo</v>
      </c>
      <c r="E220" s="19" t="str">
        <f>"image/"&amp;テーブル1[[#This Row],[画像]]&amp;".png"</f>
        <v>image/yoizuki-mikumo.png</v>
      </c>
      <c r="F220" s="19" t="str">
        <f>テーブル1[[#This Row],[リンク]]</f>
        <v>https://vividseekers.utau.sorairomarch.com</v>
      </c>
      <c r="G220" s="19" t="str">
        <f>SUBSTITUTE(テーブル1[[#This Row],[作品タグ]]," ","|")</f>
        <v>#そらいろマーチ</v>
      </c>
      <c r="H220" s="19" t="str">
        <f>テーブル1[[#This Row],[性別]]&amp;""</f>
        <v>女性</v>
      </c>
      <c r="I220" s="19" t="str">
        <f>テーブル1[[#This Row],[種族タグ]]&amp;""</f>
        <v>バーチャル</v>
      </c>
      <c r="J220" s="19" t="str">
        <f>テーブル1[[#This Row],[職業タグ]]&amp;""</f>
        <v/>
      </c>
      <c r="K220" s="19" t="str">
        <f>テーブル1[[#This Row],[小物タグ]]&amp;""</f>
        <v>ヘアピン</v>
      </c>
      <c r="L220" s="19" t="str">
        <f>テーブル1[[#This Row],[ワンポイントタグ]]&amp;""</f>
        <v/>
      </c>
    </row>
    <row r="221" spans="1:12" ht="20.149999999999999" customHeight="1" x14ac:dyDescent="0.35">
      <c r="A221" s="19">
        <f>テーブル1[[#This Row],[番号]]</f>
        <v>220</v>
      </c>
      <c r="B221" s="19" t="str">
        <f>テーブル1[[#This Row],[名前]]</f>
        <v>姜運心</v>
      </c>
      <c r="C221" s="19" t="str">
        <f>テーブル1[[#This Row],[なまえ]]</f>
        <v>かん うんしむ</v>
      </c>
      <c r="D221" s="19" t="str">
        <f>テーブル1[[#This Row],[Name]]</f>
        <v>Kang Unshim</v>
      </c>
      <c r="E221" s="19" t="str">
        <f>"image/"&amp;テーブル1[[#This Row],[画像]]&amp;".png"</f>
        <v>image/kang-unshim.png</v>
      </c>
      <c r="F221" s="19" t="str">
        <f>テーブル1[[#This Row],[リンク]]</f>
        <v>https://magnawitch.wixsite.com/seong-ah</v>
      </c>
      <c r="G221" s="19" t="str">
        <f>SUBSTITUTE(テーブル1[[#This Row],[作品タグ]]," ","|")</f>
        <v>#Kang_UTAU</v>
      </c>
      <c r="H221" s="19" t="str">
        <f>テーブル1[[#This Row],[性別]]&amp;""</f>
        <v/>
      </c>
      <c r="I221" s="19" t="str">
        <f>テーブル1[[#This Row],[種族タグ]]&amp;""</f>
        <v/>
      </c>
      <c r="J221" s="19" t="str">
        <f>テーブル1[[#This Row],[職業タグ]]&amp;""</f>
        <v/>
      </c>
      <c r="K221" s="19" t="str">
        <f>テーブル1[[#This Row],[小物タグ]]&amp;""</f>
        <v/>
      </c>
      <c r="L221" s="19" t="str">
        <f>テーブル1[[#This Row],[ワンポイントタグ]]&amp;""</f>
        <v/>
      </c>
    </row>
    <row r="222" spans="1:12" ht="20.149999999999999" customHeight="1" x14ac:dyDescent="0.35">
      <c r="A222" s="19">
        <f>テーブル1[[#This Row],[番号]]</f>
        <v>221</v>
      </c>
      <c r="B222" s="19" t="str">
        <f>テーブル1[[#This Row],[名前]]</f>
        <v>オプティマ-215</v>
      </c>
      <c r="C222" s="19" t="str">
        <f>テーブル1[[#This Row],[なまえ]]</f>
        <v>おぷてぃま-215</v>
      </c>
      <c r="D222" s="19" t="str">
        <f>テーブル1[[#This Row],[Name]]</f>
        <v>OPTIMA-215</v>
      </c>
      <c r="E222" s="19" t="str">
        <f>"image/"&amp;テーブル1[[#This Row],[画像]]&amp;".png"</f>
        <v>image/optima-215.png</v>
      </c>
      <c r="F222" s="19" t="str">
        <f>テーブル1[[#This Row],[リンク]]</f>
        <v>https://magnawitch.wixsite.com/seong-ah</v>
      </c>
      <c r="G222" s="19" t="str">
        <f>SUBSTITUTE(テーブル1[[#This Row],[作品タグ]]," ","|")</f>
        <v>#OPTIMA_UTAU</v>
      </c>
      <c r="H222" s="19" t="str">
        <f>テーブル1[[#This Row],[性別]]&amp;""</f>
        <v/>
      </c>
      <c r="I222" s="19" t="str">
        <f>テーブル1[[#This Row],[種族タグ]]&amp;""</f>
        <v/>
      </c>
      <c r="J222" s="19" t="str">
        <f>テーブル1[[#This Row],[職業タグ]]&amp;""</f>
        <v/>
      </c>
      <c r="K222" s="19" t="str">
        <f>テーブル1[[#This Row],[小物タグ]]&amp;""</f>
        <v/>
      </c>
      <c r="L222" s="19" t="str">
        <f>テーブル1[[#This Row],[ワンポイントタグ]]&amp;""</f>
        <v/>
      </c>
    </row>
    <row r="223" spans="1:12" ht="20.149999999999999" customHeight="1" x14ac:dyDescent="0.35">
      <c r="A223" s="19">
        <f>テーブル1[[#This Row],[番号]]</f>
        <v>222</v>
      </c>
      <c r="B223" s="19" t="str">
        <f>テーブル1[[#This Row],[名前]]</f>
        <v>カイル・タイラー</v>
      </c>
      <c r="C223" s="19" t="str">
        <f>テーブル1[[#This Row],[なまえ]]</f>
        <v>かいる たいらー</v>
      </c>
      <c r="D223" s="19" t="str">
        <f>テーブル1[[#This Row],[Name]]</f>
        <v>Kyle Tyler</v>
      </c>
      <c r="E223" s="19" t="str">
        <f>"image/"&amp;テーブル1[[#This Row],[画像]]&amp;".png"</f>
        <v>image/kyle-tyler.png</v>
      </c>
      <c r="F223" s="19" t="str">
        <f>テーブル1[[#This Row],[リンク]]</f>
        <v>https://magnawitch.wixsite.com/seong-ah</v>
      </c>
      <c r="G223" s="19" t="str">
        <f>SUBSTITUTE(テーブル1[[#This Row],[作品タグ]]," ","|")</f>
        <v>カイル・タイラー(UTAU)</v>
      </c>
      <c r="H223" s="19" t="str">
        <f>テーブル1[[#This Row],[性別]]&amp;""</f>
        <v/>
      </c>
      <c r="I223" s="19" t="str">
        <f>テーブル1[[#This Row],[種族タグ]]&amp;""</f>
        <v/>
      </c>
      <c r="J223" s="19" t="str">
        <f>テーブル1[[#This Row],[職業タグ]]&amp;""</f>
        <v/>
      </c>
      <c r="K223" s="19" t="str">
        <f>テーブル1[[#This Row],[小物タグ]]&amp;""</f>
        <v/>
      </c>
      <c r="L223" s="19" t="str">
        <f>テーブル1[[#This Row],[ワンポイントタグ]]&amp;""</f>
        <v/>
      </c>
    </row>
    <row r="224" spans="1:12" ht="20.149999999999999" customHeight="1" x14ac:dyDescent="0.35">
      <c r="A224" s="19">
        <f>テーブル1[[#This Row],[番号]]</f>
        <v>223</v>
      </c>
      <c r="B224" s="19" t="str">
        <f>テーブル1[[#This Row],[名前]]</f>
        <v>通音トオ</v>
      </c>
      <c r="C224" s="19" t="str">
        <f>テーブル1[[#This Row],[なまえ]]</f>
        <v>とおね とお</v>
      </c>
      <c r="D224" s="19" t="str">
        <f>テーブル1[[#This Row],[Name]]</f>
        <v>Tone Too</v>
      </c>
      <c r="E224" s="19" t="str">
        <f>"image/"&amp;テーブル1[[#This Row],[画像]]&amp;".png"</f>
        <v>image/tone-too.png</v>
      </c>
      <c r="F224" s="19" t="str">
        <f>テーブル1[[#This Row],[リンク]]</f>
        <v>https://toooru421.booth.pm/items/8151791</v>
      </c>
      <c r="G224" s="19" t="str">
        <f>SUBSTITUTE(テーブル1[[#This Row],[作品タグ]]," ","|")</f>
        <v>#通音トオ|#utau_tonetoo</v>
      </c>
      <c r="H224" s="19" t="str">
        <f>テーブル1[[#This Row],[性別]]&amp;""</f>
        <v/>
      </c>
      <c r="I224" s="19" t="str">
        <f>テーブル1[[#This Row],[種族タグ]]&amp;""</f>
        <v/>
      </c>
      <c r="J224" s="19" t="str">
        <f>テーブル1[[#This Row],[職業タグ]]&amp;""</f>
        <v/>
      </c>
      <c r="K224" s="19" t="str">
        <f>テーブル1[[#This Row],[小物タグ]]&amp;""</f>
        <v/>
      </c>
      <c r="L224" s="19" t="str">
        <f>テーブル1[[#This Row],[ワンポイントタグ]]&amp;""</f>
        <v/>
      </c>
    </row>
    <row r="225" spans="1:12" ht="20.149999999999999" customHeight="1" x14ac:dyDescent="0.35">
      <c r="A225" s="19">
        <f>テーブル1[[#This Row],[番号]]</f>
        <v>224</v>
      </c>
      <c r="B225" s="19" t="str">
        <f>テーブル1[[#This Row],[名前]]</f>
        <v>不破マリア</v>
      </c>
      <c r="C225" s="19" t="str">
        <f>テーブル1[[#This Row],[なまえ]]</f>
        <v>ふわ まりあ</v>
      </c>
      <c r="D225" s="19" t="str">
        <f>テーブル1[[#This Row],[Name]]</f>
        <v>Fuwa Maria</v>
      </c>
      <c r="E225" s="19" t="str">
        <f>"image/"&amp;テーブル1[[#This Row],[画像]]&amp;".png"</f>
        <v>image/fuwa-maria.png</v>
      </c>
      <c r="F225" s="19" t="str">
        <f>テーブル1[[#This Row],[リンク]]</f>
        <v>https://strife-horizon.weebly.com</v>
      </c>
      <c r="G225" s="19" t="str">
        <f>SUBSTITUTE(テーブル1[[#This Row],[作品タグ]]," ","|")</f>
        <v>#不破マリア</v>
      </c>
      <c r="H225" s="19" t="str">
        <f>テーブル1[[#This Row],[性別]]&amp;""</f>
        <v/>
      </c>
      <c r="I225" s="19" t="str">
        <f>テーブル1[[#This Row],[種族タグ]]&amp;""</f>
        <v/>
      </c>
      <c r="J225" s="19" t="str">
        <f>テーブル1[[#This Row],[職業タグ]]&amp;""</f>
        <v/>
      </c>
      <c r="K225" s="19" t="str">
        <f>テーブル1[[#This Row],[小物タグ]]&amp;""</f>
        <v/>
      </c>
      <c r="L225" s="19" t="str">
        <f>テーブル1[[#This Row],[ワンポイントタグ]]&amp;""</f>
        <v/>
      </c>
    </row>
    <row r="226" spans="1:12" ht="20.149999999999999" customHeight="1" x14ac:dyDescent="0.35">
      <c r="A226" s="19">
        <f>テーブル1[[#This Row],[番号]]</f>
        <v>225</v>
      </c>
      <c r="B226" s="19" t="str">
        <f>テーブル1[[#This Row],[名前]]</f>
        <v>マルアリア</v>
      </c>
      <c r="C226" s="19" t="str">
        <f>テーブル1[[#This Row],[なまえ]]</f>
        <v>あるまりあ</v>
      </c>
      <c r="D226" s="19" t="str">
        <f>テーブル1[[#This Row],[Name]]</f>
        <v>Maruaria</v>
      </c>
      <c r="E226" s="19" t="str">
        <f>"image/"&amp;テーブル1[[#This Row],[画像]]&amp;".png"</f>
        <v>image/maruaria.png</v>
      </c>
      <c r="F226" s="19" t="str">
        <f>テーブル1[[#This Row],[リンク]]</f>
        <v>https://bowlroll.net/user/946776</v>
      </c>
      <c r="G226" s="19" t="str">
        <f>SUBSTITUTE(テーブル1[[#This Row],[作品タグ]]," ","|")</f>
        <v>#マルアリア</v>
      </c>
      <c r="H226" s="19" t="str">
        <f>テーブル1[[#This Row],[性別]]&amp;""</f>
        <v/>
      </c>
      <c r="I226" s="19" t="str">
        <f>テーブル1[[#This Row],[種族タグ]]&amp;""</f>
        <v/>
      </c>
      <c r="J226" s="19" t="str">
        <f>テーブル1[[#This Row],[職業タグ]]&amp;""</f>
        <v/>
      </c>
      <c r="K226" s="19" t="str">
        <f>テーブル1[[#This Row],[小物タグ]]&amp;""</f>
        <v/>
      </c>
      <c r="L226" s="19" t="str">
        <f>テーブル1[[#This Row],[ワンポイントタグ]]&amp;""</f>
        <v/>
      </c>
    </row>
    <row r="227" spans="1:12" ht="20.149999999999999" customHeight="1" x14ac:dyDescent="0.35">
      <c r="A227" s="19">
        <f>テーブル1[[#This Row],[番号]]</f>
        <v>226</v>
      </c>
      <c r="B227" s="19" t="str">
        <f>テーブル1[[#This Row],[名前]]</f>
        <v>サニティ・ドゥーユー</v>
      </c>
      <c r="C227" s="19" t="str">
        <f>テーブル1[[#This Row],[なまえ]]</f>
        <v>さにてぃ・どぅーゆー</v>
      </c>
      <c r="D227" s="19" t="str">
        <f>テーブル1[[#This Row],[Name]]</f>
        <v>Sanity Doyou</v>
      </c>
      <c r="E227" s="19" t="str">
        <f>"image/"&amp;テーブル1[[#This Row],[画像]]&amp;".png"</f>
        <v>image/sanity-doyou.png</v>
      </c>
      <c r="F227" s="19" t="str">
        <f>テーブル1[[#This Row],[リンク]]</f>
        <v>https://bowlroll.net/user/946776</v>
      </c>
      <c r="G227" s="19" t="str">
        <f>SUBSTITUTE(テーブル1[[#This Row],[作品タグ]]," ","|")</f>
        <v>#サニティ・ドゥーユー</v>
      </c>
      <c r="H227" s="19" t="str">
        <f>テーブル1[[#This Row],[性別]]&amp;""</f>
        <v/>
      </c>
      <c r="I227" s="19" t="str">
        <f>テーブル1[[#This Row],[種族タグ]]&amp;""</f>
        <v/>
      </c>
      <c r="J227" s="19" t="str">
        <f>テーブル1[[#This Row],[職業タグ]]&amp;""</f>
        <v/>
      </c>
      <c r="K227" s="19" t="str">
        <f>テーブル1[[#This Row],[小物タグ]]&amp;""</f>
        <v/>
      </c>
      <c r="L227" s="19" t="str">
        <f>テーブル1[[#This Row],[ワンポイントタグ]]&amp;""</f>
        <v/>
      </c>
    </row>
    <row r="228" spans="1:12" ht="20.149999999999999" customHeight="1" x14ac:dyDescent="0.35">
      <c r="A228" s="19">
        <f>テーブル1[[#This Row],[番号]]</f>
        <v>227</v>
      </c>
      <c r="B228" s="19" t="str">
        <f>テーブル1[[#This Row],[名前]]</f>
        <v>いるやるい</v>
      </c>
      <c r="C228" s="19" t="str">
        <f>テーブル1[[#This Row],[なまえ]]</f>
        <v>いるや るい</v>
      </c>
      <c r="D228" s="19" t="str">
        <f>テーブル1[[#This Row],[Name]]</f>
        <v>Iruya Rui</v>
      </c>
      <c r="E228" s="19" t="str">
        <f>"image/"&amp;テーブル1[[#This Row],[画像]]&amp;".png"</f>
        <v>image/iruya-rui.png</v>
      </c>
      <c r="F228" s="19" t="str">
        <f>テーブル1[[#This Row],[リンク]]</f>
        <v>https://lclcofficial6565.wixsite.com/lclc</v>
      </c>
      <c r="G228" s="19" t="str">
        <f>SUBSTITUTE(テーブル1[[#This Row],[作品タグ]]," ","|")</f>
        <v>#LCLCみてみて</v>
      </c>
      <c r="H228" s="19" t="str">
        <f>テーブル1[[#This Row],[性別]]&amp;""</f>
        <v>女性</v>
      </c>
      <c r="I228" s="19" t="str">
        <f>テーブル1[[#This Row],[種族タグ]]&amp;""</f>
        <v>バーチャル</v>
      </c>
      <c r="J228" s="19" t="str">
        <f>テーブル1[[#This Row],[職業タグ]]&amp;""</f>
        <v>オタク</v>
      </c>
      <c r="K228" s="19" t="str">
        <f>テーブル1[[#This Row],[小物タグ]]&amp;""</f>
        <v>イヤーユニット|鍵</v>
      </c>
      <c r="L228" s="19" t="str">
        <f>テーブル1[[#This Row],[ワンポイントタグ]]&amp;""</f>
        <v>グラデーションカラー|まろ眉</v>
      </c>
    </row>
    <row r="229" spans="1:12" ht="20.149999999999999" customHeight="1" x14ac:dyDescent="0.35">
      <c r="A229" s="19">
        <f>テーブル1[[#This Row],[番号]]</f>
        <v>228</v>
      </c>
      <c r="B229" s="19" t="str">
        <f>テーブル1[[#This Row],[名前]]</f>
        <v>刃華音メタ</v>
      </c>
      <c r="C229" s="19" t="str">
        <f>テーブル1[[#This Row],[なまえ]]</f>
        <v>はがね めた</v>
      </c>
      <c r="D229" s="19" t="str">
        <f>テーブル1[[#This Row],[Name]]</f>
        <v>​Hagane Meta</v>
      </c>
      <c r="E229" s="19" t="str">
        <f>"image/"&amp;テーブル1[[#This Row],[画像]]&amp;".png"</f>
        <v>image/​hagane-meta.png</v>
      </c>
      <c r="F229" s="19" t="str">
        <f>テーブル1[[#This Row],[リンク]]</f>
        <v>​https://kagerou009.hatenablog.com</v>
      </c>
      <c r="G229" s="19" t="str">
        <f>SUBSTITUTE(テーブル1[[#This Row],[作品タグ]]," ","|")</f>
        <v>#夕焼け研究所</v>
      </c>
      <c r="H229" s="19" t="str">
        <f>テーブル1[[#This Row],[性別]]&amp;""</f>
        <v>女性</v>
      </c>
      <c r="I229" s="19" t="str">
        <f>テーブル1[[#This Row],[種族タグ]]&amp;""</f>
        <v>人間</v>
      </c>
      <c r="J229" s="19" t="str">
        <f>テーブル1[[#This Row],[職業タグ]]&amp;""</f>
        <v/>
      </c>
      <c r="K229" s="19" t="str">
        <f>テーブル1[[#This Row],[小物タグ]]&amp;""</f>
        <v>ヘッドホン</v>
      </c>
      <c r="L229" s="19" t="str">
        <f>テーブル1[[#This Row],[ワンポイントタグ]]&amp;""</f>
        <v/>
      </c>
    </row>
    <row r="230" spans="1:12" ht="20.149999999999999" customHeight="1" x14ac:dyDescent="0.35">
      <c r="A230" s="19">
        <f>テーブル1[[#This Row],[番号]]</f>
        <v>229</v>
      </c>
      <c r="B230" s="19" t="str">
        <f>テーブル1[[#This Row],[名前]]</f>
        <v>さすらいのユーフォリア</v>
      </c>
      <c r="C230" s="19" t="str">
        <f>テーブル1[[#This Row],[なまえ]]</f>
        <v>さすらいのゆーふぉりあ</v>
      </c>
      <c r="D230" s="19" t="str">
        <f>テーブル1[[#This Row],[Name]]</f>
        <v>The Bard Euphoria</v>
      </c>
      <c r="E230" s="19" t="str">
        <f>"image/"&amp;テーブル1[[#This Row],[画像]]&amp;".png"</f>
        <v>image/the-bard-euphoria.png</v>
      </c>
      <c r="F230" s="19" t="str">
        <f>テーブル1[[#This Row],[リンク]]</f>
        <v>https://pessieuph.wixsite.com/meusycaseuphoria</v>
      </c>
      <c r="G230" s="19" t="str">
        <f>SUBSTITUTE(テーブル1[[#This Row],[作品タグ]]," ","|")</f>
        <v>#ムジカの友人たち</v>
      </c>
      <c r="H230" s="19" t="str">
        <f>テーブル1[[#This Row],[性別]]&amp;""</f>
        <v>不明</v>
      </c>
      <c r="I230" s="19" t="str">
        <f>テーブル1[[#This Row],[種族タグ]]&amp;""</f>
        <v>人間</v>
      </c>
      <c r="J230" s="19" t="str">
        <f>テーブル1[[#This Row],[職業タグ]]&amp;""</f>
        <v>吟遊詩人</v>
      </c>
      <c r="K230" s="19" t="str">
        <f>テーブル1[[#This Row],[小物タグ]]&amp;""</f>
        <v/>
      </c>
      <c r="L230" s="19" t="str">
        <f>テーブル1[[#This Row],[ワンポイントタグ]]&amp;""</f>
        <v/>
      </c>
    </row>
    <row r="231" spans="1:12" ht="20.149999999999999" customHeight="1" x14ac:dyDescent="0.35">
      <c r="A231" s="19">
        <f>テーブル1[[#This Row],[番号]]</f>
        <v>230</v>
      </c>
      <c r="B231" s="19" t="str">
        <f>テーブル1[[#This Row],[名前]]</f>
        <v>主音サラサ</v>
      </c>
      <c r="C231" s="19" t="str">
        <f>テーブル1[[#This Row],[なまえ]]</f>
        <v>あるじね さらさ</v>
      </c>
      <c r="D231" s="19" t="str">
        <f>テーブル1[[#This Row],[Name]]</f>
        <v>Arujine Sarasa</v>
      </c>
      <c r="E231" s="19" t="str">
        <f>"image/"&amp;テーブル1[[#This Row],[画像]]&amp;".png"</f>
        <v>image/arujine-sarasa.png</v>
      </c>
      <c r="F231" s="19" t="str">
        <f>テーブル1[[#This Row],[リンク]]</f>
        <v>https://arujinesarasa.wixsite.com/official</v>
      </c>
      <c r="G231" s="19" t="str">
        <f>SUBSTITUTE(テーブル1[[#This Row],[作品タグ]]," ","|")</f>
        <v>#主音サラサ</v>
      </c>
      <c r="H231" s="19" t="str">
        <f>テーブル1[[#This Row],[性別]]&amp;""</f>
        <v>男性</v>
      </c>
      <c r="I231" s="19" t="str">
        <f>テーブル1[[#This Row],[種族タグ]]&amp;""</f>
        <v>狼</v>
      </c>
      <c r="J231" s="19" t="str">
        <f>テーブル1[[#This Row],[職業タグ]]&amp;""</f>
        <v/>
      </c>
      <c r="K231" s="19" t="str">
        <f>テーブル1[[#This Row],[小物タグ]]&amp;""</f>
        <v>ピアス|首輪</v>
      </c>
      <c r="L231" s="19" t="str">
        <f>テーブル1[[#This Row],[ワンポイントタグ]]&amp;""</f>
        <v>ケモ耳|尻尾</v>
      </c>
    </row>
    <row r="232" spans="1:12" ht="20.149999999999999" customHeight="1" x14ac:dyDescent="0.35">
      <c r="A232" s="19">
        <f>テーブル1[[#This Row],[番号]]</f>
        <v>231</v>
      </c>
      <c r="B232" s="19" t="str">
        <f>テーブル1[[#This Row],[名前]]</f>
        <v>雨歌エル</v>
      </c>
      <c r="C232" s="19" t="str">
        <f>テーブル1[[#This Row],[なまえ]]</f>
        <v>あまが える</v>
      </c>
      <c r="D232" s="19" t="str">
        <f>テーブル1[[#This Row],[Name]]</f>
        <v>Amaga Eru</v>
      </c>
      <c r="E232" s="19" t="str">
        <f>"image/"&amp;テーブル1[[#This Row],[画像]]&amp;".png"</f>
        <v>image/amaga-eru.png</v>
      </c>
      <c r="F232" s="19" t="str">
        <f>テーブル1[[#This Row],[リンク]]</f>
        <v>https://www.mizuiro.info/amagaelu</v>
      </c>
      <c r="G232" s="19" t="str">
        <f>SUBSTITUTE(テーブル1[[#This Row],[作品タグ]]," ","|")</f>
        <v>#雨歌エル</v>
      </c>
      <c r="H232" s="19" t="str">
        <f>テーブル1[[#This Row],[性別]]&amp;""</f>
        <v>女性</v>
      </c>
      <c r="I232" s="19" t="str">
        <f>テーブル1[[#This Row],[種族タグ]]&amp;""</f>
        <v>人間</v>
      </c>
      <c r="J232" s="19" t="str">
        <f>テーブル1[[#This Row],[職業タグ]]&amp;""</f>
        <v/>
      </c>
      <c r="K232" s="19" t="str">
        <f>テーブル1[[#This Row],[小物タグ]]&amp;""</f>
        <v>ヘアピン</v>
      </c>
      <c r="L232" s="19" t="str">
        <f>テーブル1[[#This Row],[ワンポイントタグ]]&amp;""</f>
        <v/>
      </c>
    </row>
    <row r="233" spans="1:12" ht="20.149999999999999" customHeight="1" x14ac:dyDescent="0.35">
      <c r="A233" s="34">
        <f>テーブル1[[#This Row],[番号]]</f>
        <v>232</v>
      </c>
      <c r="B233" s="34" t="str">
        <f>テーブル1[[#This Row],[名前]]</f>
        <v>鳴上キョウ</v>
      </c>
      <c r="C233" s="34" t="str">
        <f>テーブル1[[#This Row],[なまえ]]</f>
        <v>なるかみ きょう</v>
      </c>
      <c r="D233" s="34" t="str">
        <f>テーブル1[[#This Row],[Name]]</f>
        <v>Narukami Kyou</v>
      </c>
      <c r="E233" s="34" t="str">
        <f>"image/"&amp;テーブル1[[#This Row],[画像]]&amp;".png"</f>
        <v>image/narukami-kyou.png</v>
      </c>
      <c r="F233" s="34" t="str">
        <f>テーブル1[[#This Row],[リンク]]</f>
        <v>https://sites.google.com/view/arcobaleno-utau/home</v>
      </c>
      <c r="G233" s="34" t="str">
        <f>SUBSTITUTE(テーブル1[[#This Row],[作品タグ]]," ","|")</f>
        <v>鳴上キョウ(UTAU)</v>
      </c>
      <c r="H233" s="34" t="str">
        <f>テーブル1[[#This Row],[性別]]&amp;""</f>
        <v>男性</v>
      </c>
      <c r="I233" s="34" t="str">
        <f>テーブル1[[#This Row],[種族タグ]]&amp;""</f>
        <v>人間</v>
      </c>
      <c r="J233" s="34" t="str">
        <f>テーブル1[[#This Row],[職業タグ]]&amp;""</f>
        <v/>
      </c>
      <c r="K233" s="34" t="str">
        <f>テーブル1[[#This Row],[小物タグ]]&amp;""</f>
        <v/>
      </c>
      <c r="L233" s="34" t="str">
        <f>テーブル1[[#This Row],[ワンポイントタグ]]&amp;""</f>
        <v/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キャラ情報</vt:lpstr>
      <vt:lpstr>ガチャ</vt:lpstr>
      <vt:lpstr>csv変換</vt:lpstr>
      <vt:lpstr>ワンポイントタグ</vt:lpstr>
      <vt:lpstr>種族タグ</vt:lpstr>
      <vt:lpstr>小物タグ</vt:lpstr>
      <vt:lpstr>職業タグ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02 nyaruru</dc:creator>
  <cp:keywords/>
  <dc:description/>
  <cp:lastModifiedBy>02 nyaruru</cp:lastModifiedBy>
  <cp:revision/>
  <dcterms:created xsi:type="dcterms:W3CDTF">2025-07-21T00:50:01Z</dcterms:created>
  <dcterms:modified xsi:type="dcterms:W3CDTF">2026-06-19T04:07:03Z</dcterms:modified>
  <cp:category/>
  <cp:contentStatus/>
</cp:coreProperties>
</file>