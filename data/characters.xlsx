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EB811F6E-7934-4226-AB52-18E71157BFAE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4" i="1"/>
  <c r="P234" i="1"/>
  <c r="T234" i="1"/>
  <c r="V234" i="1"/>
  <c r="W234" i="1"/>
  <c r="X234" i="1"/>
  <c r="Y234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1" i="1"/>
  <c r="G310" i="1"/>
  <c r="G283" i="1"/>
  <c r="G281" i="1"/>
  <c r="G258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5" i="1"/>
  <c r="P236" i="1"/>
  <c r="T235" i="1"/>
  <c r="T236" i="1"/>
  <c r="V235" i="1"/>
  <c r="V236" i="1"/>
  <c r="W235" i="1"/>
  <c r="W236" i="1"/>
  <c r="X235" i="1"/>
  <c r="X236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4" i="1"/>
  <c r="T274" i="1"/>
  <c r="P391" i="1"/>
  <c r="T391" i="1"/>
  <c r="P295" i="1"/>
  <c r="T295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0" i="1"/>
  <c r="T240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5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5" i="1"/>
  <c r="T275" i="1"/>
  <c r="P182" i="1"/>
  <c r="T182" i="1"/>
  <c r="P424" i="1"/>
  <c r="T424" i="1"/>
  <c r="P13" i="1"/>
  <c r="P17" i="1"/>
  <c r="P18" i="1"/>
  <c r="P86" i="1"/>
  <c r="P106" i="1"/>
  <c r="P353" i="1"/>
  <c r="P266" i="1"/>
  <c r="P321" i="1"/>
  <c r="P95" i="1"/>
  <c r="P96" i="1"/>
  <c r="P290" i="1"/>
  <c r="P40" i="1"/>
  <c r="P61" i="1"/>
  <c r="P80" i="1"/>
  <c r="P94" i="1"/>
  <c r="P199" i="1"/>
  <c r="P239" i="1"/>
  <c r="P238" i="1"/>
  <c r="P432" i="1"/>
  <c r="P78" i="1"/>
  <c r="P278" i="1"/>
  <c r="P89" i="1"/>
  <c r="P316" i="1"/>
  <c r="P415" i="1"/>
  <c r="P147" i="1"/>
  <c r="P253" i="1"/>
  <c r="P254" i="1"/>
  <c r="P139" i="1"/>
  <c r="P184" i="1"/>
  <c r="P248" i="1"/>
  <c r="P257" i="1"/>
  <c r="P249" i="1"/>
  <c r="P251" i="1"/>
  <c r="P256" i="1"/>
  <c r="P255" i="1"/>
  <c r="P252" i="1"/>
  <c r="P247" i="1"/>
  <c r="P250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7" i="1"/>
  <c r="P241" i="1"/>
  <c r="P386" i="1"/>
  <c r="P285" i="1"/>
  <c r="P245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4" i="1"/>
  <c r="P354" i="1"/>
  <c r="P176" i="1"/>
  <c r="P115" i="1"/>
  <c r="P141" i="1"/>
  <c r="P280" i="1"/>
  <c r="P307" i="1"/>
  <c r="P350" i="1"/>
  <c r="P373" i="1"/>
  <c r="P279" i="1"/>
  <c r="P143" i="1"/>
  <c r="P265" i="1"/>
  <c r="P28" i="1"/>
  <c r="P34" i="1"/>
  <c r="P294" i="1"/>
  <c r="P144" i="1"/>
  <c r="P355" i="1"/>
  <c r="P325" i="1"/>
  <c r="P298" i="1"/>
  <c r="P411" i="1"/>
  <c r="P324" i="1"/>
  <c r="P175" i="1"/>
  <c r="P157" i="1"/>
  <c r="P216" i="1"/>
  <c r="P185" i="1"/>
  <c r="P22" i="1"/>
  <c r="P112" i="1"/>
  <c r="P300" i="1"/>
  <c r="P291" i="1"/>
  <c r="P282" i="1"/>
  <c r="P334" i="1"/>
  <c r="P54" i="1"/>
  <c r="P103" i="1"/>
  <c r="P64" i="1"/>
  <c r="P44" i="1"/>
  <c r="P66" i="1"/>
  <c r="P369" i="1"/>
  <c r="P347" i="1"/>
  <c r="P305" i="1"/>
  <c r="P333" i="1"/>
  <c r="P4" i="1"/>
  <c r="P113" i="1"/>
  <c r="P117" i="1"/>
  <c r="P171" i="1"/>
  <c r="P286" i="1"/>
  <c r="P281" i="1"/>
  <c r="P289" i="1"/>
  <c r="P149" i="1"/>
  <c r="P310" i="1"/>
  <c r="P340" i="1"/>
  <c r="P356" i="1"/>
  <c r="P416" i="1"/>
  <c r="P417" i="1"/>
  <c r="P422" i="1"/>
  <c r="P425" i="1"/>
  <c r="P426" i="1"/>
  <c r="P299" i="1"/>
  <c r="P410" i="1"/>
  <c r="P237" i="1"/>
  <c r="P119" i="1"/>
  <c r="P322" i="1"/>
  <c r="P323" i="1"/>
  <c r="P159" i="1"/>
  <c r="P352" i="1"/>
  <c r="P348" i="1"/>
  <c r="P332" i="1"/>
  <c r="P370" i="1"/>
  <c r="P293" i="1"/>
  <c r="P364" i="1"/>
  <c r="P191" i="1"/>
  <c r="P341" i="1"/>
  <c r="P335" i="1"/>
  <c r="P190" i="1"/>
  <c r="P317" i="1"/>
  <c r="P318" i="1"/>
  <c r="P360" i="1"/>
  <c r="P319" i="1"/>
  <c r="P311" i="1"/>
  <c r="P46" i="1"/>
  <c r="P306" i="1"/>
  <c r="P378" i="1"/>
  <c r="P331" i="1"/>
  <c r="P246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3" i="1"/>
  <c r="P374" i="1"/>
  <c r="P389" i="1"/>
  <c r="P244" i="1"/>
  <c r="P272" i="1"/>
  <c r="P273" i="1"/>
  <c r="P276" i="1"/>
  <c r="P292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2" i="1"/>
  <c r="P303" i="1"/>
  <c r="P7" i="1"/>
  <c r="P131" i="1"/>
  <c r="P336" i="1"/>
  <c r="P23" i="1"/>
  <c r="P42" i="1"/>
  <c r="P63" i="1"/>
  <c r="P312" i="1"/>
  <c r="P243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59" i="1"/>
  <c r="P154" i="1"/>
  <c r="P359" i="1"/>
  <c r="P168" i="1"/>
  <c r="P412" i="1"/>
  <c r="P108" i="1"/>
  <c r="P125" i="1"/>
  <c r="P421" i="1"/>
  <c r="P197" i="1"/>
  <c r="P261" i="1"/>
  <c r="P121" i="1"/>
  <c r="P196" i="1"/>
  <c r="P5" i="1"/>
  <c r="P127" i="1"/>
  <c r="P57" i="1"/>
  <c r="P2" i="1"/>
  <c r="P242" i="1"/>
  <c r="P330" i="1"/>
  <c r="P25" i="1"/>
  <c r="P102" i="1"/>
  <c r="P271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8" i="1"/>
  <c r="P309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6" i="1"/>
  <c r="P136" i="1"/>
  <c r="P314" i="1"/>
  <c r="P313" i="1"/>
  <c r="P172" i="1"/>
  <c r="P142" i="1"/>
  <c r="P263" i="1"/>
  <c r="P405" i="1"/>
  <c r="P262" i="1"/>
  <c r="P404" i="1"/>
  <c r="P14" i="1"/>
  <c r="P39" i="1"/>
  <c r="P72" i="1"/>
  <c r="P73" i="1"/>
  <c r="P133" i="1"/>
  <c r="P137" i="1"/>
  <c r="P337" i="1"/>
  <c r="P349" i="1"/>
  <c r="P408" i="1"/>
  <c r="P284" i="1"/>
  <c r="P407" i="1"/>
  <c r="P83" i="1"/>
  <c r="P84" i="1"/>
  <c r="P301" i="1"/>
  <c r="P342" i="1"/>
  <c r="P162" i="1"/>
  <c r="P320" i="1"/>
  <c r="P400" i="1"/>
  <c r="P6" i="1"/>
  <c r="P15" i="1"/>
  <c r="P270" i="1"/>
  <c r="P269" i="1"/>
  <c r="P268" i="1"/>
  <c r="P288" i="1"/>
  <c r="P402" i="1"/>
  <c r="P358" i="1"/>
  <c r="P315" i="1"/>
  <c r="P277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8" i="1"/>
  <c r="P166" i="1"/>
  <c r="P409" i="1"/>
  <c r="P351" i="1"/>
  <c r="P380" i="1"/>
  <c r="P392" i="1"/>
  <c r="P67" i="1"/>
  <c r="P71" i="1"/>
  <c r="P267" i="1"/>
  <c r="P393" i="1"/>
  <c r="P390" i="1"/>
  <c r="P287" i="1"/>
  <c r="P375" i="1"/>
  <c r="P260" i="1"/>
  <c r="P419" i="1"/>
  <c r="P200" i="1"/>
  <c r="P338" i="1"/>
  <c r="P418" i="1"/>
  <c r="P376" i="1"/>
  <c r="P394" i="1"/>
  <c r="P413" i="1"/>
  <c r="P264" i="1"/>
  <c r="P122" i="1"/>
  <c r="P151" i="1"/>
  <c r="T283" i="1"/>
  <c r="T388" i="1"/>
  <c r="T383" i="1"/>
  <c r="T346" i="1"/>
  <c r="T201" i="1"/>
  <c r="T325" i="1"/>
  <c r="T303" i="1"/>
  <c r="T302" i="1"/>
  <c r="T164" i="1"/>
  <c r="T364" i="1"/>
  <c r="T395" i="1"/>
  <c r="T382" i="1"/>
  <c r="T368" i="1"/>
  <c r="T397" i="1"/>
  <c r="T367" i="1"/>
  <c r="T243" i="1"/>
  <c r="T312" i="1"/>
  <c r="T298" i="1"/>
  <c r="T313" i="1"/>
  <c r="T314" i="1"/>
  <c r="T269" i="1"/>
  <c r="T268" i="1"/>
  <c r="T288" i="1"/>
  <c r="T402" i="1"/>
  <c r="T358" i="1"/>
  <c r="T315" i="1"/>
  <c r="T277" i="1"/>
  <c r="T431" i="1"/>
  <c r="T343" i="1"/>
  <c r="T345" i="1"/>
  <c r="T387" i="1"/>
  <c r="T372" i="1"/>
  <c r="T381" i="1"/>
  <c r="T270" i="1"/>
  <c r="T190" i="1"/>
  <c r="T385" i="1"/>
  <c r="T357" i="1"/>
  <c r="T335" i="1"/>
  <c r="T316" i="1"/>
  <c r="T307" i="1"/>
  <c r="T290" i="1"/>
  <c r="T246" i="1"/>
  <c r="T331" i="1"/>
  <c r="T378" i="1"/>
  <c r="T306" i="1"/>
  <c r="T135" i="1"/>
  <c r="T309" i="1"/>
  <c r="T308" i="1"/>
  <c r="T404" i="1"/>
  <c r="T262" i="1"/>
  <c r="T405" i="1"/>
  <c r="T263" i="1"/>
  <c r="T392" i="1"/>
  <c r="T380" i="1"/>
  <c r="T351" i="1"/>
  <c r="T409" i="1"/>
  <c r="T166" i="1"/>
  <c r="T258" i="1"/>
  <c r="T423" i="1"/>
  <c r="T427" i="1"/>
  <c r="T311" i="1"/>
  <c r="T319" i="1"/>
  <c r="T360" i="1"/>
  <c r="T318" i="1"/>
  <c r="T317" i="1"/>
  <c r="T264" i="1"/>
  <c r="T413" i="1"/>
  <c r="T394" i="1"/>
  <c r="T376" i="1"/>
  <c r="T418" i="1"/>
  <c r="T338" i="1"/>
  <c r="T200" i="1"/>
  <c r="T419" i="1"/>
  <c r="T260" i="1"/>
  <c r="T375" i="1"/>
  <c r="T287" i="1"/>
  <c r="T390" i="1"/>
  <c r="T393" i="1"/>
  <c r="T267" i="1"/>
  <c r="T322" i="1"/>
  <c r="T323" i="1"/>
  <c r="T159" i="1"/>
  <c r="T352" i="1"/>
  <c r="T348" i="1"/>
  <c r="T332" i="1"/>
  <c r="T370" i="1"/>
  <c r="T293" i="1"/>
  <c r="T410" i="1"/>
  <c r="T237" i="1"/>
  <c r="T286" i="1"/>
  <c r="T369" i="1"/>
  <c r="T347" i="1"/>
  <c r="T305" i="1"/>
  <c r="T333" i="1"/>
  <c r="T300" i="1"/>
  <c r="T291" i="1"/>
  <c r="T282" i="1"/>
  <c r="T144" i="1"/>
  <c r="T355" i="1"/>
  <c r="T294" i="1"/>
  <c r="T297" i="1"/>
  <c r="T241" i="1"/>
  <c r="T386" i="1"/>
  <c r="T285" i="1"/>
  <c r="T245" i="1"/>
  <c r="T363" i="1"/>
  <c r="T429" i="1"/>
  <c r="T414" i="1"/>
  <c r="T327" i="1"/>
  <c r="T401" i="1"/>
  <c r="T326" i="1"/>
  <c r="T403" i="1"/>
  <c r="T399" i="1"/>
  <c r="T428" i="1"/>
  <c r="T344" i="1"/>
  <c r="T253" i="1"/>
  <c r="T254" i="1"/>
  <c r="T139" i="1"/>
  <c r="T184" i="1"/>
  <c r="T248" i="1"/>
  <c r="T257" i="1"/>
  <c r="T249" i="1"/>
  <c r="T251" i="1"/>
  <c r="T256" i="1"/>
  <c r="T255" i="1"/>
  <c r="T252" i="1"/>
  <c r="T247" i="1"/>
  <c r="T250" i="1"/>
  <c r="T238" i="1"/>
  <c r="T266" i="1"/>
  <c r="T407" i="1"/>
  <c r="T284" i="1"/>
  <c r="T408" i="1"/>
  <c r="T349" i="1"/>
  <c r="T337" i="1"/>
  <c r="T353" i="1"/>
  <c r="T176" i="1"/>
  <c r="T334" i="1"/>
  <c r="T430" i="1"/>
  <c r="T433" i="1"/>
  <c r="T432" i="1"/>
  <c r="T304" i="1"/>
  <c r="T373" i="1"/>
  <c r="T350" i="1"/>
  <c r="T354" i="1"/>
  <c r="T339" i="1"/>
  <c r="T420" i="1"/>
  <c r="T292" i="1"/>
  <c r="T276" i="1"/>
  <c r="T244" i="1"/>
  <c r="T272" i="1"/>
  <c r="T273" i="1"/>
  <c r="T170" i="1"/>
  <c r="T181" i="1"/>
  <c r="T412" i="1"/>
  <c r="T359" i="1"/>
  <c r="T259" i="1"/>
  <c r="T154" i="1"/>
  <c r="T168" i="1"/>
  <c r="T289" i="1"/>
  <c r="T422" i="1"/>
  <c r="T425" i="1"/>
  <c r="T417" i="1"/>
  <c r="T149" i="1"/>
  <c r="T340" i="1"/>
  <c r="T356" i="1"/>
  <c r="T426" i="1"/>
  <c r="T281" i="1"/>
  <c r="T310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39" i="1"/>
  <c r="T278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0" i="1"/>
  <c r="T279" i="1"/>
  <c r="T143" i="1"/>
  <c r="T265" i="1"/>
  <c r="T411" i="1"/>
  <c r="T324" i="1"/>
  <c r="T175" i="1"/>
  <c r="T157" i="1"/>
  <c r="T216" i="1"/>
  <c r="T185" i="1"/>
  <c r="T117" i="1"/>
  <c r="T171" i="1"/>
  <c r="T299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1" i="1"/>
  <c r="T196" i="1"/>
  <c r="T121" i="1"/>
  <c r="T127" i="1"/>
  <c r="T242" i="1"/>
  <c r="T330" i="1"/>
  <c r="T271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6" i="1"/>
  <c r="T136" i="1"/>
  <c r="T172" i="1"/>
  <c r="T142" i="1"/>
  <c r="T137" i="1"/>
  <c r="T133" i="1"/>
  <c r="T301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33" i="9" l="1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5" i="1"/>
  <c r="Q93" i="1"/>
  <c r="Q156" i="1"/>
  <c r="Q415" i="1"/>
  <c r="Q172" i="1"/>
  <c r="Q21" i="1"/>
  <c r="Q245" i="1"/>
  <c r="Q351" i="1"/>
  <c r="Q107" i="1"/>
  <c r="Q16" i="1"/>
  <c r="Q285" i="1"/>
  <c r="Q35" i="1"/>
  <c r="Q412" i="1"/>
  <c r="Q341" i="1"/>
  <c r="Q106" i="1"/>
  <c r="Q349" i="1"/>
  <c r="Q55" i="1"/>
  <c r="Q307" i="1"/>
  <c r="Q90" i="1"/>
  <c r="Q25" i="1"/>
  <c r="Q364" i="1"/>
  <c r="Q297" i="1"/>
  <c r="Q137" i="1"/>
  <c r="Q154" i="1"/>
  <c r="Q324" i="1"/>
  <c r="Q380" i="1"/>
  <c r="Q279" i="1"/>
  <c r="Q250" i="1"/>
  <c r="Q386" i="1"/>
  <c r="Q241" i="1"/>
  <c r="Q280" i="1"/>
  <c r="Q369" i="1"/>
  <c r="Q101" i="1"/>
  <c r="Q22" i="1"/>
  <c r="Q89" i="1"/>
  <c r="Q247" i="1"/>
  <c r="Q338" i="1"/>
  <c r="Q112" i="1"/>
  <c r="Q407" i="1"/>
  <c r="Q395" i="1"/>
  <c r="Q195" i="1"/>
  <c r="Q9" i="1"/>
  <c r="Q108" i="1"/>
  <c r="Q335" i="1"/>
  <c r="Q376" i="1"/>
  <c r="Q62" i="1"/>
  <c r="Q244" i="1"/>
  <c r="Q193" i="1"/>
  <c r="Q288" i="1"/>
  <c r="Q168" i="1"/>
  <c r="Q425" i="1"/>
  <c r="Q86" i="1"/>
  <c r="Q309" i="1"/>
  <c r="Q374" i="1"/>
  <c r="Q347" i="1"/>
  <c r="Q432" i="1"/>
  <c r="Q126" i="1"/>
  <c r="Q243" i="1"/>
  <c r="Q129" i="1"/>
  <c r="Q117" i="1"/>
  <c r="Q125" i="1"/>
  <c r="Q113" i="1"/>
  <c r="Q394" i="1"/>
  <c r="Q313" i="1"/>
  <c r="Q20" i="1"/>
  <c r="Q373" i="1"/>
  <c r="Q408" i="1"/>
  <c r="Q379" i="1"/>
  <c r="Q278" i="1"/>
  <c r="Q53" i="1"/>
  <c r="Q157" i="1"/>
  <c r="Q258" i="1"/>
  <c r="Q367" i="1"/>
  <c r="Q209" i="1"/>
  <c r="Q269" i="1"/>
  <c r="Q330" i="1"/>
  <c r="Q141" i="1"/>
  <c r="Q410" i="1"/>
  <c r="Q33" i="1"/>
  <c r="Q65" i="1"/>
  <c r="Q344" i="1"/>
  <c r="Q358" i="1"/>
  <c r="Q194" i="1"/>
  <c r="Q4" i="1"/>
  <c r="Q251" i="1"/>
  <c r="Q314" i="1"/>
  <c r="Q110" i="1"/>
  <c r="Q350" i="1"/>
  <c r="Q31" i="1"/>
  <c r="Q397" i="1"/>
  <c r="Q305" i="1"/>
  <c r="Q128" i="1"/>
  <c r="Q48" i="1"/>
  <c r="Q37" i="1"/>
  <c r="Q111" i="1"/>
  <c r="Q417" i="1"/>
  <c r="Q238" i="1"/>
  <c r="Q363" i="1"/>
  <c r="Q316" i="1"/>
  <c r="Q185" i="1"/>
  <c r="Q97" i="1"/>
  <c r="Q426" i="1"/>
  <c r="Q418" i="1"/>
  <c r="Q136" i="1"/>
  <c r="Q389" i="1"/>
  <c r="Q252" i="1"/>
  <c r="Q268" i="1"/>
  <c r="Q359" i="1"/>
  <c r="Q422" i="1"/>
  <c r="Q18" i="1"/>
  <c r="Q308" i="1"/>
  <c r="Q283" i="1"/>
  <c r="Q414" i="1"/>
  <c r="Q161" i="1"/>
  <c r="Q430" i="1"/>
  <c r="Q273" i="1"/>
  <c r="Q246" i="1"/>
  <c r="Q79" i="1"/>
  <c r="Q272" i="1"/>
  <c r="Q140" i="1"/>
  <c r="Q409" i="1"/>
  <c r="Q271" i="1"/>
  <c r="Q333" i="1"/>
  <c r="Q259" i="1"/>
  <c r="Q102" i="1"/>
  <c r="Q191" i="1"/>
  <c r="Q78" i="1"/>
  <c r="Q296" i="1"/>
  <c r="Q43" i="1"/>
  <c r="Q175" i="1"/>
  <c r="Q423" i="1"/>
  <c r="Q38" i="1"/>
  <c r="Q293" i="1"/>
  <c r="Q256" i="1"/>
  <c r="Q143" i="1"/>
  <c r="Q433" i="1"/>
  <c r="Q190" i="1"/>
  <c r="Q266" i="1"/>
  <c r="Q284" i="1"/>
  <c r="Q382" i="1"/>
  <c r="Q299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6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4" i="1"/>
  <c r="R234" i="1" s="1"/>
  <c r="Q277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2" i="1"/>
  <c r="Q292" i="1"/>
  <c r="Q148" i="1"/>
  <c r="Q318" i="1"/>
  <c r="Q237" i="1"/>
  <c r="Q171" i="1"/>
  <c r="Q300" i="1"/>
  <c r="Q265" i="1"/>
  <c r="Q198" i="1"/>
  <c r="Q429" i="1"/>
  <c r="Q399" i="1"/>
  <c r="Q147" i="1"/>
  <c r="Q95" i="1"/>
  <c r="Q264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4" i="1"/>
  <c r="Q290" i="1"/>
  <c r="Q411" i="1"/>
  <c r="Q151" i="1"/>
  <c r="Q71" i="1"/>
  <c r="Q100" i="1"/>
  <c r="Q343" i="1"/>
  <c r="Q301" i="1"/>
  <c r="Q405" i="1"/>
  <c r="Q24" i="1"/>
  <c r="Q91" i="1"/>
  <c r="Q173" i="1"/>
  <c r="Q261" i="1"/>
  <c r="Q85" i="1"/>
  <c r="Q303" i="1"/>
  <c r="Q339" i="1"/>
  <c r="Q138" i="1"/>
  <c r="Q360" i="1"/>
  <c r="Q119" i="1"/>
  <c r="Q286" i="1"/>
  <c r="Q291" i="1"/>
  <c r="Q28" i="1"/>
  <c r="Q145" i="1"/>
  <c r="Q58" i="1"/>
  <c r="Q428" i="1"/>
  <c r="Q253" i="1"/>
  <c r="Q96" i="1"/>
  <c r="Q312" i="1"/>
  <c r="Q122" i="1"/>
  <c r="Q67" i="1"/>
  <c r="Q99" i="1"/>
  <c r="Q431" i="1"/>
  <c r="Q84" i="1"/>
  <c r="Q263" i="1"/>
  <c r="Q8" i="1"/>
  <c r="Q82" i="1"/>
  <c r="Q222" i="1"/>
  <c r="Q221" i="1"/>
  <c r="Q235" i="1"/>
  <c r="Q236" i="1"/>
  <c r="Q220" i="1"/>
  <c r="Q439" i="1"/>
  <c r="Q438" i="1"/>
  <c r="Q437" i="1"/>
  <c r="Q219" i="1"/>
  <c r="Q196" i="1"/>
  <c r="Q50" i="1"/>
  <c r="Q131" i="1"/>
  <c r="Q420" i="1"/>
  <c r="Q26" i="1"/>
  <c r="Q311" i="1"/>
  <c r="Q323" i="1"/>
  <c r="Q289" i="1"/>
  <c r="Q334" i="1"/>
  <c r="Q294" i="1"/>
  <c r="Q178" i="1"/>
  <c r="Q69" i="1"/>
  <c r="Q326" i="1"/>
  <c r="Q139" i="1"/>
  <c r="Q40" i="1"/>
  <c r="Q388" i="1"/>
  <c r="Q267" i="1"/>
  <c r="Q51" i="1"/>
  <c r="Q345" i="1"/>
  <c r="Q342" i="1"/>
  <c r="Q262" i="1"/>
  <c r="Q32" i="1"/>
  <c r="Q92" i="1"/>
  <c r="Q169" i="1"/>
  <c r="Q121" i="1"/>
  <c r="Q3" i="1"/>
  <c r="Q7" i="1"/>
  <c r="Q170" i="1"/>
  <c r="Q164" i="1"/>
  <c r="Q319" i="1"/>
  <c r="Q322" i="1"/>
  <c r="Q281" i="1"/>
  <c r="Q282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4" i="1"/>
  <c r="Q361" i="1"/>
  <c r="Q295" i="1"/>
  <c r="Q391" i="1"/>
  <c r="Q204" i="1"/>
  <c r="Q206" i="1"/>
  <c r="Q183" i="1"/>
  <c r="Q165" i="1"/>
  <c r="Q150" i="1"/>
  <c r="Q177" i="1"/>
  <c r="Q362" i="1"/>
  <c r="Q398" i="1"/>
  <c r="Q240" i="1"/>
  <c r="Q365" i="1"/>
  <c r="Q371" i="1"/>
  <c r="Q329" i="1"/>
  <c r="Q328" i="1"/>
  <c r="Q174" i="1"/>
  <c r="Q188" i="1"/>
  <c r="Q406" i="1"/>
  <c r="Q182" i="1"/>
  <c r="Q275" i="1"/>
  <c r="Q424" i="1"/>
  <c r="Q56" i="1"/>
  <c r="Q133" i="1"/>
  <c r="Q130" i="1"/>
  <c r="Q135" i="1"/>
  <c r="Q163" i="1"/>
  <c r="Q377" i="1"/>
  <c r="Q242" i="1"/>
  <c r="Q13" i="1"/>
  <c r="Q200" i="1"/>
  <c r="Q17" i="1"/>
  <c r="Q419" i="1"/>
  <c r="Q427" i="1"/>
  <c r="Q52" i="1"/>
  <c r="Q270" i="1"/>
  <c r="Q416" i="1"/>
  <c r="Q260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8" i="1"/>
  <c r="Q176" i="1"/>
  <c r="Q123" i="1"/>
  <c r="Q155" i="1"/>
  <c r="Q249" i="1"/>
  <c r="Q199" i="1"/>
  <c r="Q239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7" i="1"/>
  <c r="Q94" i="1"/>
  <c r="Q370" i="1"/>
  <c r="Q287" i="1"/>
  <c r="Q160" i="1"/>
  <c r="Q381" i="1"/>
  <c r="Q400" i="1"/>
  <c r="Q39" i="1"/>
  <c r="Q88" i="1"/>
  <c r="Q132" i="1"/>
  <c r="Q118" i="1"/>
  <c r="Q75" i="1"/>
  <c r="Q248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6" i="1"/>
  <c r="Q352" i="1"/>
  <c r="Q310" i="1"/>
  <c r="Q103" i="1"/>
  <c r="Q355" i="1"/>
  <c r="Q304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5" i="1"/>
  <c r="R380" i="1"/>
  <c r="R279" i="1"/>
  <c r="R255" i="1"/>
  <c r="R337" i="1"/>
  <c r="R237" i="1"/>
  <c r="R244" i="1"/>
  <c r="R288" i="1"/>
  <c r="R309" i="1"/>
  <c r="R347" i="1"/>
  <c r="R330" i="1"/>
  <c r="R369" i="1"/>
  <c r="R238" i="1"/>
  <c r="R425" i="1"/>
  <c r="R335" i="1"/>
  <c r="R243" i="1"/>
  <c r="R412" i="1"/>
  <c r="R373" i="1"/>
  <c r="R386" i="1"/>
  <c r="R338" i="1"/>
  <c r="R280" i="1"/>
  <c r="R410" i="1"/>
  <c r="R350" i="1"/>
  <c r="R297" i="1"/>
  <c r="R245" i="1"/>
  <c r="R394" i="1"/>
  <c r="R351" i="1"/>
  <c r="R278" i="1"/>
  <c r="R433" i="1"/>
  <c r="R382" i="1"/>
  <c r="R402" i="1"/>
  <c r="R366" i="1"/>
  <c r="R252" i="1"/>
  <c r="R423" i="1"/>
  <c r="R321" i="1"/>
  <c r="R430" i="1"/>
  <c r="R246" i="1"/>
  <c r="R353" i="1"/>
  <c r="R271" i="1"/>
  <c r="R317" i="1"/>
  <c r="R368" i="1"/>
  <c r="R359" i="1"/>
  <c r="R308" i="1"/>
  <c r="R293" i="1"/>
  <c r="R409" i="1"/>
  <c r="R268" i="1"/>
  <c r="R283" i="1"/>
  <c r="R414" i="1"/>
  <c r="R363" i="1"/>
  <c r="R273" i="1"/>
  <c r="R284" i="1"/>
  <c r="R250" i="1"/>
  <c r="R408" i="1"/>
  <c r="R379" i="1"/>
  <c r="R247" i="1"/>
  <c r="R389" i="1"/>
  <c r="R241" i="1"/>
  <c r="R422" i="1"/>
  <c r="R324" i="1"/>
  <c r="R395" i="1"/>
  <c r="R314" i="1"/>
  <c r="R307" i="1"/>
  <c r="R364" i="1"/>
  <c r="R417" i="1"/>
  <c r="R407" i="1"/>
  <c r="R344" i="1"/>
  <c r="R313" i="1"/>
  <c r="R251" i="1"/>
  <c r="R333" i="1"/>
  <c r="R418" i="1"/>
  <c r="R305" i="1"/>
  <c r="R258" i="1"/>
  <c r="R367" i="1"/>
  <c r="R269" i="1"/>
  <c r="R397" i="1"/>
  <c r="R272" i="1"/>
  <c r="R259" i="1"/>
  <c r="R415" i="1"/>
  <c r="R316" i="1"/>
  <c r="R266" i="1"/>
  <c r="R299" i="1"/>
  <c r="R376" i="1"/>
  <c r="R374" i="1"/>
  <c r="R256" i="1"/>
  <c r="R349" i="1"/>
  <c r="R358" i="1"/>
  <c r="R426" i="1"/>
  <c r="R296" i="1"/>
  <c r="R432" i="1"/>
  <c r="R413" i="1"/>
  <c r="R384" i="1"/>
  <c r="R276" i="1"/>
  <c r="R315" i="1"/>
  <c r="R421" i="1"/>
  <c r="R277" i="1"/>
  <c r="R399" i="1"/>
  <c r="R290" i="1"/>
  <c r="R411" i="1"/>
  <c r="R343" i="1"/>
  <c r="R301" i="1"/>
  <c r="R254" i="1"/>
  <c r="R318" i="1"/>
  <c r="R302" i="1"/>
  <c r="R292" i="1"/>
  <c r="R429" i="1"/>
  <c r="R265" i="1"/>
  <c r="R300" i="1"/>
  <c r="R392" i="1"/>
  <c r="R264" i="1"/>
  <c r="R360" i="1"/>
  <c r="R312" i="1"/>
  <c r="R405" i="1"/>
  <c r="R428" i="1"/>
  <c r="R286" i="1"/>
  <c r="R253" i="1"/>
  <c r="R261" i="1"/>
  <c r="R303" i="1"/>
  <c r="R339" i="1"/>
  <c r="R291" i="1"/>
  <c r="R263" i="1"/>
  <c r="R431" i="1"/>
  <c r="R401" i="1"/>
  <c r="R326" i="1"/>
  <c r="R438" i="1"/>
  <c r="R437" i="1"/>
  <c r="R420" i="1"/>
  <c r="R282" i="1"/>
  <c r="R342" i="1"/>
  <c r="R322" i="1"/>
  <c r="R345" i="1"/>
  <c r="R235" i="1"/>
  <c r="R236" i="1"/>
  <c r="R311" i="1"/>
  <c r="R262" i="1"/>
  <c r="R334" i="1"/>
  <c r="R267" i="1"/>
  <c r="R281" i="1"/>
  <c r="R439" i="1"/>
  <c r="R289" i="1"/>
  <c r="R294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4" i="1"/>
  <c r="R371" i="1"/>
  <c r="R406" i="1"/>
  <c r="R377" i="1"/>
  <c r="R295" i="1"/>
  <c r="R329" i="1"/>
  <c r="R240" i="1"/>
  <c r="R361" i="1"/>
  <c r="R391" i="1"/>
  <c r="R365" i="1"/>
  <c r="R275" i="1"/>
  <c r="R419" i="1"/>
  <c r="R427" i="1"/>
  <c r="R332" i="1"/>
  <c r="R249" i="1"/>
  <c r="R375" i="1"/>
  <c r="R242" i="1"/>
  <c r="R356" i="1"/>
  <c r="R416" i="1"/>
  <c r="R270" i="1"/>
  <c r="R239" i="1"/>
  <c r="R260" i="1"/>
  <c r="R385" i="1"/>
  <c r="R383" i="1"/>
  <c r="R298" i="1"/>
  <c r="R403" i="1"/>
  <c r="R336" i="1"/>
  <c r="C17" i="6"/>
  <c r="C11" i="6"/>
  <c r="B18" i="6"/>
  <c r="R340" i="1"/>
  <c r="R257" i="1"/>
  <c r="R400" i="1"/>
  <c r="R310" i="1"/>
  <c r="R325" i="1"/>
  <c r="R287" i="1"/>
  <c r="R390" i="1"/>
  <c r="R357" i="1"/>
  <c r="R346" i="1"/>
  <c r="R354" i="1"/>
  <c r="R370" i="1"/>
  <c r="R378" i="1"/>
  <c r="R248" i="1"/>
  <c r="R372" i="1"/>
  <c r="R320" i="1"/>
  <c r="R348" i="1"/>
  <c r="R327" i="1"/>
  <c r="R381" i="1"/>
  <c r="R352" i="1"/>
  <c r="R304" i="1"/>
  <c r="R355" i="1"/>
  <c r="R306" i="1"/>
  <c r="C5" i="6" l="1"/>
  <c r="C4" i="6" s="1"/>
  <c r="C6" i="6"/>
</calcChain>
</file>

<file path=xl/sharedStrings.xml><?xml version="1.0" encoding="utf-8"?>
<sst xmlns="http://schemas.openxmlformats.org/spreadsheetml/2006/main" count="3293" uniqueCount="1857">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</sst>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3" totalsRowShown="0" headerRowDxfId="18" dataDxfId="17">
  <autoFilter ref="A1:M233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28" Type="http://schemas.openxmlformats.org/officeDocument/2006/relationships/hyperlink" Target="https://kakokyu102krbs.wixsite.com/greenmilky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table" Target="../tables/table1.xm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36" activePane="bottomLeft" state="frozen"/>
      <selection activeCell="E1" sqref="E1"/>
      <selection pane="bottomLeft" activeCell="I442" sqref="I442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1615</v>
      </c>
      <c r="H1" s="1" t="s">
        <v>1614</v>
      </c>
      <c r="I1" s="1" t="s">
        <v>1619</v>
      </c>
      <c r="J1" s="1" t="s">
        <v>1760</v>
      </c>
      <c r="K1" s="1" t="s">
        <v>1620</v>
      </c>
      <c r="L1" s="1" t="s">
        <v>1621</v>
      </c>
      <c r="M1" s="1" t="s">
        <v>1622</v>
      </c>
      <c r="N1" s="1" t="s">
        <v>1509</v>
      </c>
      <c r="O1" s="1" t="s">
        <v>710</v>
      </c>
      <c r="P1" s="1" t="s">
        <v>1326</v>
      </c>
      <c r="Q1" s="17" t="s">
        <v>1327</v>
      </c>
      <c r="R1" s="22" t="s">
        <v>770</v>
      </c>
      <c r="S1" s="1" t="s">
        <v>6</v>
      </c>
      <c r="T1" s="1" t="s">
        <v>771</v>
      </c>
      <c r="U1" s="1" t="s">
        <v>1540</v>
      </c>
      <c r="V1" s="1" t="s">
        <v>1541</v>
      </c>
      <c r="W1" s="1" t="s">
        <v>1542</v>
      </c>
      <c r="X1" s="1" t="s">
        <v>1543</v>
      </c>
      <c r="Y1" s="1" t="s">
        <v>1544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1616</v>
      </c>
      <c r="I2" s="23" t="s">
        <v>1623</v>
      </c>
      <c r="M2" s="23" t="s">
        <v>1628</v>
      </c>
      <c r="N2" s="1" t="s">
        <v>1507</v>
      </c>
      <c r="O2" s="1" t="s">
        <v>1433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1617</v>
      </c>
      <c r="I3" s="23" t="s">
        <v>1626</v>
      </c>
      <c r="K3" s="23" t="s">
        <v>1625</v>
      </c>
      <c r="L3" s="23" t="s">
        <v>1627</v>
      </c>
      <c r="M3" s="23" t="s">
        <v>1668</v>
      </c>
      <c r="O3" s="1" t="s">
        <v>1433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1617</v>
      </c>
      <c r="I4" s="23" t="s">
        <v>1629</v>
      </c>
      <c r="J4" s="23" t="s">
        <v>1756</v>
      </c>
      <c r="K4" s="23" t="s">
        <v>1630</v>
      </c>
      <c r="M4" s="23" t="s">
        <v>1631</v>
      </c>
      <c r="N4" s="1" t="s">
        <v>1508</v>
      </c>
      <c r="O4" s="1" t="s">
        <v>1433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1616</v>
      </c>
      <c r="I5" s="23" t="s">
        <v>1644</v>
      </c>
      <c r="L5" s="23" t="s">
        <v>1636</v>
      </c>
      <c r="O5" s="1" t="s">
        <v>1433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1616</v>
      </c>
      <c r="I6" s="23" t="s">
        <v>1645</v>
      </c>
      <c r="J6" s="23" t="s">
        <v>1757</v>
      </c>
      <c r="L6" s="23" t="s">
        <v>1831</v>
      </c>
      <c r="M6" s="23" t="s">
        <v>1647</v>
      </c>
      <c r="O6" s="1" t="s">
        <v>1433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1651</v>
      </c>
      <c r="I7" s="23" t="s">
        <v>1626</v>
      </c>
      <c r="O7" s="1" t="s">
        <v>1433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1653</v>
      </c>
      <c r="I8" s="23" t="s">
        <v>1639</v>
      </c>
      <c r="L8" s="23" t="s">
        <v>1627</v>
      </c>
      <c r="M8" s="23" t="s">
        <v>1655</v>
      </c>
      <c r="N8" s="1" t="s">
        <v>1507</v>
      </c>
      <c r="O8" s="1" t="s">
        <v>1433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1616</v>
      </c>
      <c r="I9" s="23" t="s">
        <v>1669</v>
      </c>
      <c r="M9" s="23" t="s">
        <v>1647</v>
      </c>
      <c r="O9" s="1" t="s">
        <v>1433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1616</v>
      </c>
      <c r="I10" s="23" t="s">
        <v>1626</v>
      </c>
      <c r="J10" s="23" t="s">
        <v>1758</v>
      </c>
      <c r="L10" s="23" t="s">
        <v>1751</v>
      </c>
      <c r="M10" s="23" t="s">
        <v>1671</v>
      </c>
      <c r="O10" s="1" t="s">
        <v>1433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1617</v>
      </c>
      <c r="I11" s="23" t="s">
        <v>1675</v>
      </c>
      <c r="M11" s="23" t="s">
        <v>1672</v>
      </c>
      <c r="O11" s="1" t="s">
        <v>1433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1616</v>
      </c>
      <c r="I12" s="23" t="s">
        <v>1626</v>
      </c>
      <c r="K12" s="23" t="s">
        <v>1679</v>
      </c>
      <c r="L12" s="23" t="s">
        <v>1627</v>
      </c>
      <c r="O12" s="1" t="s">
        <v>1433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1616</v>
      </c>
      <c r="L13" s="23" t="s">
        <v>1681</v>
      </c>
      <c r="N13" s="1" t="s">
        <v>1505</v>
      </c>
      <c r="O13" s="1" t="s">
        <v>1433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1616</v>
      </c>
      <c r="I14" s="23" t="s">
        <v>1682</v>
      </c>
      <c r="J14" s="23" t="s">
        <v>1759</v>
      </c>
      <c r="M14" s="23" t="s">
        <v>1683</v>
      </c>
      <c r="O14" s="1" t="s">
        <v>1433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1617</v>
      </c>
      <c r="I15" s="23" t="s">
        <v>1648</v>
      </c>
      <c r="K15" s="23" t="s">
        <v>1649</v>
      </c>
      <c r="M15" s="23" t="s">
        <v>1650</v>
      </c>
      <c r="O15" s="1" t="s">
        <v>1433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1616</v>
      </c>
      <c r="I16" s="23" t="s">
        <v>1684</v>
      </c>
      <c r="K16" s="23" t="s">
        <v>1685</v>
      </c>
      <c r="M16" s="23" t="s">
        <v>1642</v>
      </c>
      <c r="N16" s="1" t="s">
        <v>1507</v>
      </c>
      <c r="O16" s="1" t="s">
        <v>1433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1506</v>
      </c>
      <c r="D17" s="23" t="s">
        <v>409</v>
      </c>
      <c r="E17" s="23" t="s">
        <v>410</v>
      </c>
      <c r="F17" s="15" t="s">
        <v>1527</v>
      </c>
      <c r="G17" s="23" t="s">
        <v>411</v>
      </c>
      <c r="H17" s="23" t="s">
        <v>1653</v>
      </c>
      <c r="I17" s="23" t="s">
        <v>1639</v>
      </c>
      <c r="N17" s="1" t="s">
        <v>1507</v>
      </c>
      <c r="O17" s="1" t="s">
        <v>1433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1527</v>
      </c>
      <c r="G18" s="23" t="s">
        <v>411</v>
      </c>
      <c r="H18" s="23" t="s">
        <v>1653</v>
      </c>
      <c r="I18" s="23" t="s">
        <v>1639</v>
      </c>
      <c r="K18" s="23" t="s">
        <v>1688</v>
      </c>
      <c r="N18" s="1" t="s">
        <v>1507</v>
      </c>
      <c r="O18" s="1" t="s">
        <v>1433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1689</v>
      </c>
      <c r="G19" s="23" t="s">
        <v>46</v>
      </c>
      <c r="H19" s="23" t="s">
        <v>1616</v>
      </c>
      <c r="L19" s="23" t="s">
        <v>1690</v>
      </c>
      <c r="N19" s="1" t="s">
        <v>1508</v>
      </c>
      <c r="O19" s="1" t="s">
        <v>1433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1694</v>
      </c>
      <c r="I20" s="23" t="s">
        <v>1639</v>
      </c>
      <c r="L20" s="23" t="s">
        <v>1636</v>
      </c>
      <c r="O20" s="1" t="s">
        <v>1433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1694</v>
      </c>
      <c r="I21" s="23" t="s">
        <v>1639</v>
      </c>
      <c r="O21" s="1" t="s">
        <v>1433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1396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1616</v>
      </c>
      <c r="I22" s="23" t="s">
        <v>1695</v>
      </c>
      <c r="M22" s="23" t="s">
        <v>1696</v>
      </c>
      <c r="N22" s="1" t="s">
        <v>1507</v>
      </c>
      <c r="O22" s="1" t="s">
        <v>1433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1617</v>
      </c>
      <c r="I23" s="23" t="s">
        <v>1626</v>
      </c>
      <c r="K23" s="23" t="s">
        <v>1768</v>
      </c>
      <c r="L23" s="23" t="s">
        <v>1769</v>
      </c>
      <c r="M23" s="23" t="s">
        <v>1662</v>
      </c>
      <c r="N23" s="1" t="s">
        <v>1579</v>
      </c>
      <c r="O23" s="1" t="s">
        <v>1433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1397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1652</v>
      </c>
      <c r="I24" s="23" t="s">
        <v>1665</v>
      </c>
      <c r="L24" s="23" t="s">
        <v>1627</v>
      </c>
      <c r="N24" s="1" t="s">
        <v>1507</v>
      </c>
      <c r="O24" s="1" t="s">
        <v>1433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1398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1617</v>
      </c>
      <c r="I25" s="23" t="s">
        <v>1644</v>
      </c>
      <c r="L25" s="23" t="s">
        <v>1772</v>
      </c>
      <c r="M25" s="23" t="s">
        <v>1662</v>
      </c>
      <c r="N25" s="1" t="s">
        <v>1579</v>
      </c>
      <c r="O25" s="1" t="s">
        <v>1433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1616</v>
      </c>
      <c r="I26" s="23" t="s">
        <v>1626</v>
      </c>
      <c r="K26" s="23" t="s">
        <v>1778</v>
      </c>
      <c r="M26" s="23" t="s">
        <v>1779</v>
      </c>
      <c r="N26" s="1" t="s">
        <v>1579</v>
      </c>
      <c r="O26" s="1" t="s">
        <v>1433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1617</v>
      </c>
      <c r="I27" s="23" t="s">
        <v>1626</v>
      </c>
      <c r="K27" s="23" t="s">
        <v>1778</v>
      </c>
      <c r="M27" s="23" t="s">
        <v>1781</v>
      </c>
      <c r="N27" s="1" t="s">
        <v>1579</v>
      </c>
      <c r="O27" s="1" t="s">
        <v>1433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1783</v>
      </c>
      <c r="F28" s="15" t="s">
        <v>1782</v>
      </c>
      <c r="G28" s="23" t="s">
        <v>63</v>
      </c>
      <c r="H28" s="23" t="s">
        <v>1652</v>
      </c>
      <c r="I28" s="23" t="s">
        <v>1626</v>
      </c>
      <c r="J28" s="23" t="s">
        <v>1785</v>
      </c>
      <c r="K28" s="23" t="s">
        <v>1784</v>
      </c>
      <c r="N28" s="1" t="s">
        <v>1507</v>
      </c>
      <c r="O28" s="1" t="s">
        <v>1433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1616</v>
      </c>
      <c r="I29" s="23" t="s">
        <v>1626</v>
      </c>
      <c r="O29" s="1" t="s">
        <v>1433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1400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1653</v>
      </c>
      <c r="I30" s="23" t="s">
        <v>1626</v>
      </c>
      <c r="L30" s="23" t="s">
        <v>1796</v>
      </c>
      <c r="O30" s="1" t="s">
        <v>1433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1401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1616</v>
      </c>
      <c r="I31" s="23" t="s">
        <v>1691</v>
      </c>
      <c r="O31" s="1" t="s">
        <v>1433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1402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1616</v>
      </c>
      <c r="I32" s="23" t="s">
        <v>1656</v>
      </c>
      <c r="K32" s="23" t="s">
        <v>1657</v>
      </c>
      <c r="L32" s="23" t="s">
        <v>1659</v>
      </c>
      <c r="M32" s="23" t="s">
        <v>1660</v>
      </c>
      <c r="N32" s="1" t="s">
        <v>1507</v>
      </c>
      <c r="O32" s="1" t="s">
        <v>1433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1617</v>
      </c>
      <c r="I33" s="23" t="s">
        <v>1800</v>
      </c>
      <c r="K33" s="23" t="s">
        <v>1801</v>
      </c>
      <c r="L33" s="23" t="s">
        <v>1802</v>
      </c>
      <c r="M33" s="23" t="s">
        <v>1803</v>
      </c>
      <c r="N33" s="1" t="s">
        <v>1579</v>
      </c>
      <c r="O33" s="1" t="s">
        <v>1433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1786</v>
      </c>
      <c r="F34" s="2" t="s">
        <v>1782</v>
      </c>
      <c r="G34" s="23" t="s">
        <v>63</v>
      </c>
      <c r="H34" s="23" t="s">
        <v>1616</v>
      </c>
      <c r="I34" s="23" t="s">
        <v>1626</v>
      </c>
      <c r="L34" s="23" t="s">
        <v>1787</v>
      </c>
      <c r="M34" s="23" t="s">
        <v>1813</v>
      </c>
      <c r="N34" s="1" t="s">
        <v>1507</v>
      </c>
      <c r="O34" s="1" t="s">
        <v>1433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1403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1617</v>
      </c>
      <c r="I35" s="23" t="s">
        <v>1675</v>
      </c>
      <c r="K35" s="23" t="s">
        <v>1799</v>
      </c>
      <c r="L35" s="23" t="s">
        <v>1798</v>
      </c>
      <c r="M35" s="23" t="s">
        <v>1650</v>
      </c>
      <c r="O35" s="1" t="s">
        <v>1433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1617</v>
      </c>
      <c r="I36" s="23" t="s">
        <v>1856</v>
      </c>
      <c r="K36" s="23" t="s">
        <v>1804</v>
      </c>
      <c r="L36" s="23" t="s">
        <v>1772</v>
      </c>
      <c r="M36" s="23" t="s">
        <v>1805</v>
      </c>
      <c r="N36" s="1" t="s">
        <v>1579</v>
      </c>
      <c r="O36" s="1" t="s">
        <v>1433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1617</v>
      </c>
      <c r="I37" s="23" t="s">
        <v>1626</v>
      </c>
      <c r="K37" s="23" t="s">
        <v>1777</v>
      </c>
      <c r="L37" s="23" t="s">
        <v>1751</v>
      </c>
      <c r="N37" s="1" t="s">
        <v>1507</v>
      </c>
      <c r="O37" s="1" t="s">
        <v>1433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1404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1616</v>
      </c>
      <c r="I38" s="23" t="s">
        <v>1644</v>
      </c>
      <c r="K38" s="23" t="s">
        <v>1814</v>
      </c>
      <c r="M38" s="23" t="s">
        <v>1815</v>
      </c>
      <c r="N38" s="1" t="s">
        <v>1579</v>
      </c>
      <c r="O38" s="1" t="s">
        <v>1433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1617</v>
      </c>
      <c r="I39" s="23" t="s">
        <v>1626</v>
      </c>
      <c r="O39" s="1" t="s">
        <v>1433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1617</v>
      </c>
      <c r="I40" s="23" t="s">
        <v>1626</v>
      </c>
      <c r="K40" s="23" t="s">
        <v>1808</v>
      </c>
      <c r="N40" s="1" t="s">
        <v>1508</v>
      </c>
      <c r="O40" s="1" t="s">
        <v>1433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1617</v>
      </c>
      <c r="I41" s="23" t="s">
        <v>1626</v>
      </c>
      <c r="O41" s="1" t="s">
        <v>1433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1616</v>
      </c>
      <c r="I42" s="23" t="s">
        <v>1626</v>
      </c>
      <c r="L42" s="23" t="s">
        <v>1770</v>
      </c>
      <c r="M42" s="23" t="s">
        <v>1771</v>
      </c>
      <c r="N42" s="1" t="s">
        <v>1579</v>
      </c>
      <c r="O42" s="1" t="s">
        <v>1433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1617</v>
      </c>
      <c r="I43" s="23" t="s">
        <v>1626</v>
      </c>
      <c r="N43" s="1" t="s">
        <v>1579</v>
      </c>
      <c r="O43" s="1" t="s">
        <v>1433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1617</v>
      </c>
      <c r="I44" s="23" t="s">
        <v>1828</v>
      </c>
      <c r="J44" s="23" t="s">
        <v>1827</v>
      </c>
      <c r="M44" s="23" t="s">
        <v>1826</v>
      </c>
      <c r="N44" s="1" t="s">
        <v>1508</v>
      </c>
      <c r="O44" s="1" t="s">
        <v>1433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1406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1616</v>
      </c>
      <c r="I45" s="23" t="s">
        <v>1626</v>
      </c>
      <c r="K45" s="23" t="s">
        <v>1808</v>
      </c>
      <c r="L45" s="23" t="s">
        <v>1646</v>
      </c>
      <c r="O45" s="1" t="s">
        <v>1433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1616</v>
      </c>
      <c r="I46" s="23" t="s">
        <v>1626</v>
      </c>
      <c r="K46" s="23" t="s">
        <v>1843</v>
      </c>
      <c r="L46" s="23" t="s">
        <v>1844</v>
      </c>
      <c r="N46" s="1" t="s">
        <v>1507</v>
      </c>
      <c r="O46" s="1" t="s">
        <v>1433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1408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1409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1616</v>
      </c>
      <c r="I48" s="23" t="s">
        <v>1816</v>
      </c>
      <c r="L48" s="23" t="s">
        <v>1767</v>
      </c>
      <c r="M48" s="23" t="s">
        <v>1817</v>
      </c>
      <c r="N48" s="1" t="s">
        <v>1579</v>
      </c>
      <c r="O48" s="1" t="s">
        <v>1433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1410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1411</v>
      </c>
      <c r="D51" s="23" t="s">
        <v>386</v>
      </c>
      <c r="E51" s="23" t="s">
        <v>1412</v>
      </c>
      <c r="F51" s="2" t="s">
        <v>387</v>
      </c>
      <c r="G51" s="23" t="s">
        <v>388</v>
      </c>
      <c r="O51" s="1" t="s">
        <v>1433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1413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1414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1617</v>
      </c>
      <c r="I53" s="23" t="s">
        <v>1644</v>
      </c>
      <c r="K53" s="23" t="s">
        <v>1810</v>
      </c>
      <c r="N53" s="1" t="s">
        <v>1579</v>
      </c>
      <c r="O53" s="1" t="s">
        <v>1433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1415</v>
      </c>
      <c r="D54" s="23" t="s">
        <v>72</v>
      </c>
      <c r="E54" s="23" t="s">
        <v>73</v>
      </c>
      <c r="F54" s="15" t="s">
        <v>1618</v>
      </c>
      <c r="G54" s="23" t="s">
        <v>74</v>
      </c>
      <c r="N54" s="1" t="s">
        <v>1508</v>
      </c>
      <c r="O54" s="1" t="s">
        <v>1433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1616</v>
      </c>
      <c r="I55" s="28" t="s">
        <v>1626</v>
      </c>
      <c r="J55" s="28"/>
      <c r="K55" s="28"/>
      <c r="L55" s="28"/>
      <c r="M55" s="28" t="s">
        <v>1825</v>
      </c>
      <c r="N55" s="1" t="s">
        <v>1579</v>
      </c>
      <c r="O55" s="1" t="s">
        <v>1433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1417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1508</v>
      </c>
      <c r="O58" s="1" t="s">
        <v>1433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1508</v>
      </c>
      <c r="O59" s="1" t="s">
        <v>1433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1617</v>
      </c>
      <c r="I61" s="23" t="s">
        <v>1822</v>
      </c>
      <c r="J61" s="23" t="s">
        <v>1823</v>
      </c>
      <c r="N61" s="1" t="s">
        <v>1508</v>
      </c>
      <c r="O61" s="1" t="s">
        <v>1433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1466</v>
      </c>
      <c r="D62" s="23" t="s">
        <v>276</v>
      </c>
      <c r="E62" s="23" t="s">
        <v>1467</v>
      </c>
      <c r="F62" s="2" t="s">
        <v>277</v>
      </c>
      <c r="G62" s="23" t="s">
        <v>278</v>
      </c>
      <c r="O62" s="1" t="s">
        <v>1433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1263</v>
      </c>
      <c r="D63" s="23" t="s">
        <v>172</v>
      </c>
      <c r="E63" s="23" t="s">
        <v>173</v>
      </c>
      <c r="F63" s="15" t="s">
        <v>174</v>
      </c>
      <c r="G63" s="23" t="s">
        <v>175</v>
      </c>
      <c r="O63" s="1" t="s">
        <v>1433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1507</v>
      </c>
      <c r="O64" s="1" t="s">
        <v>1433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1617</v>
      </c>
      <c r="I65" s="23" t="s">
        <v>1644</v>
      </c>
      <c r="L65" s="23" t="s">
        <v>1686</v>
      </c>
      <c r="N65" s="1" t="s">
        <v>1507</v>
      </c>
      <c r="O65" s="1" t="s">
        <v>1433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1470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1616</v>
      </c>
      <c r="I66" s="23" t="s">
        <v>1670</v>
      </c>
      <c r="M66" s="23" t="s">
        <v>1829</v>
      </c>
      <c r="N66" s="1" t="s">
        <v>1508</v>
      </c>
      <c r="O66" s="1" t="s">
        <v>1433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1471</v>
      </c>
      <c r="D67" s="23" t="s">
        <v>401</v>
      </c>
      <c r="E67" s="23" t="s">
        <v>1472</v>
      </c>
      <c r="F67" s="2" t="s">
        <v>402</v>
      </c>
      <c r="G67" s="23" t="s">
        <v>403</v>
      </c>
      <c r="O67" s="1" t="s">
        <v>1433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1473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1508</v>
      </c>
      <c r="O69" s="1" t="s">
        <v>1433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1474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1475</v>
      </c>
      <c r="D71" s="23" t="s">
        <v>404</v>
      </c>
      <c r="E71" s="23" t="s">
        <v>1476</v>
      </c>
      <c r="F71" s="2" t="s">
        <v>402</v>
      </c>
      <c r="G71" s="23" t="s">
        <v>403</v>
      </c>
      <c r="O71" s="1" t="s">
        <v>1433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1477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1478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1479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1507</v>
      </c>
      <c r="O75" s="1" t="s">
        <v>1433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1480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1616</v>
      </c>
      <c r="I76" s="23" t="s">
        <v>1661</v>
      </c>
      <c r="L76" s="23" t="s">
        <v>1658</v>
      </c>
      <c r="N76" s="1" t="s">
        <v>1507</v>
      </c>
      <c r="O76" s="1" t="s">
        <v>1433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1507</v>
      </c>
      <c r="O78" s="1" t="s">
        <v>1433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1481</v>
      </c>
      <c r="F79" s="2" t="s">
        <v>277</v>
      </c>
      <c r="G79" s="23" t="s">
        <v>278</v>
      </c>
      <c r="O79" s="1" t="s">
        <v>1433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1616</v>
      </c>
      <c r="I80" s="23" t="s">
        <v>1762</v>
      </c>
      <c r="J80" s="23" t="s">
        <v>1824</v>
      </c>
      <c r="L80" s="23" t="s">
        <v>1658</v>
      </c>
      <c r="M80" s="23" t="s">
        <v>1742</v>
      </c>
      <c r="N80" s="1" t="s">
        <v>1508</v>
      </c>
      <c r="O80" s="1" t="s">
        <v>1433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1653</v>
      </c>
      <c r="I82" s="23" t="s">
        <v>1773</v>
      </c>
      <c r="J82" s="23" t="s">
        <v>1806</v>
      </c>
      <c r="M82" s="23" t="s">
        <v>1807</v>
      </c>
      <c r="N82" s="1" t="s">
        <v>1579</v>
      </c>
      <c r="O82" s="1" t="s">
        <v>1433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1507</v>
      </c>
      <c r="O86" s="1" t="s">
        <v>1433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1482</v>
      </c>
      <c r="F87" s="2" t="s">
        <v>289</v>
      </c>
      <c r="G87" s="23" t="s">
        <v>290</v>
      </c>
      <c r="H87" s="23" t="s">
        <v>1617</v>
      </c>
      <c r="I87" s="23" t="s">
        <v>1656</v>
      </c>
      <c r="K87" s="23" t="s">
        <v>1657</v>
      </c>
      <c r="L87" s="23" t="s">
        <v>1659</v>
      </c>
      <c r="M87" s="23" t="s">
        <v>1660</v>
      </c>
      <c r="N87" s="1" t="s">
        <v>1507</v>
      </c>
      <c r="O87" s="1" t="s">
        <v>1433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1617</v>
      </c>
      <c r="I88" s="23" t="s">
        <v>1626</v>
      </c>
      <c r="L88" s="23" t="s">
        <v>1627</v>
      </c>
      <c r="M88" s="23" t="s">
        <v>1662</v>
      </c>
      <c r="N88" s="1" t="s">
        <v>1507</v>
      </c>
      <c r="O88" s="1" t="s">
        <v>1433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1507</v>
      </c>
      <c r="O89" s="1" t="s">
        <v>1433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1616</v>
      </c>
      <c r="I91" s="23" t="s">
        <v>1773</v>
      </c>
      <c r="K91" s="23" t="s">
        <v>1808</v>
      </c>
      <c r="L91" s="23" t="s">
        <v>1687</v>
      </c>
      <c r="N91" s="1" t="s">
        <v>1579</v>
      </c>
      <c r="O91" s="1" t="s">
        <v>1433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1616</v>
      </c>
      <c r="I92" s="23" t="s">
        <v>1773</v>
      </c>
      <c r="K92" s="23" t="s">
        <v>1804</v>
      </c>
      <c r="L92" s="23" t="s">
        <v>1751</v>
      </c>
      <c r="N92" s="1" t="s">
        <v>1579</v>
      </c>
      <c r="O92" s="1" t="s">
        <v>1433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1507</v>
      </c>
      <c r="O93" s="1" t="s">
        <v>1433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1616</v>
      </c>
      <c r="I94" s="23" t="s">
        <v>1626</v>
      </c>
      <c r="K94" s="23" t="s">
        <v>1808</v>
      </c>
      <c r="N94" s="1" t="s">
        <v>1508</v>
      </c>
      <c r="O94" s="1" t="s">
        <v>1433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1507</v>
      </c>
      <c r="O95" s="1" t="s">
        <v>1433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1507</v>
      </c>
      <c r="O96" s="1" t="s">
        <v>1433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1616</v>
      </c>
      <c r="I97" s="23" t="s">
        <v>1626</v>
      </c>
      <c r="K97" s="23" t="s">
        <v>1818</v>
      </c>
      <c r="M97" s="23" t="s">
        <v>1819</v>
      </c>
      <c r="N97" s="1" t="s">
        <v>1579</v>
      </c>
      <c r="O97" s="1" t="s">
        <v>1433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1617</v>
      </c>
      <c r="I99" s="23" t="s">
        <v>1626</v>
      </c>
      <c r="M99" s="23" t="s">
        <v>1841</v>
      </c>
      <c r="O99" s="1" t="s">
        <v>1433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1653</v>
      </c>
      <c r="I100" s="23" t="s">
        <v>1797</v>
      </c>
      <c r="K100" s="23" t="s">
        <v>1842</v>
      </c>
      <c r="O100" s="1" t="s">
        <v>1433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1616</v>
      </c>
      <c r="I101" s="23" t="s">
        <v>1670</v>
      </c>
      <c r="J101" s="23" t="s">
        <v>1766</v>
      </c>
      <c r="K101" s="23" t="s">
        <v>1790</v>
      </c>
      <c r="L101" s="23" t="s">
        <v>1855</v>
      </c>
      <c r="O101" s="1" t="s">
        <v>1433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1617</v>
      </c>
      <c r="I102" s="23" t="s">
        <v>1644</v>
      </c>
      <c r="L102" s="23" t="s">
        <v>1698</v>
      </c>
      <c r="M102" s="23" t="s">
        <v>1650</v>
      </c>
      <c r="N102" s="1" t="s">
        <v>1579</v>
      </c>
      <c r="O102" s="1" t="s">
        <v>1433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1618</v>
      </c>
      <c r="G103" s="23" t="s">
        <v>74</v>
      </c>
      <c r="N103" s="1" t="s">
        <v>1508</v>
      </c>
      <c r="O103" s="1" t="s">
        <v>1433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1617</v>
      </c>
      <c r="I104" s="23" t="s">
        <v>1626</v>
      </c>
      <c r="K104" s="23" t="s">
        <v>1679</v>
      </c>
      <c r="L104" s="23" t="s">
        <v>1627</v>
      </c>
      <c r="O104" s="1" t="s">
        <v>1433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1395</v>
      </c>
      <c r="G106" s="23" t="s">
        <v>422</v>
      </c>
      <c r="O106" s="1" t="s">
        <v>1433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1616</v>
      </c>
      <c r="I107" s="23" t="s">
        <v>1820</v>
      </c>
      <c r="K107" s="23" t="s">
        <v>1821</v>
      </c>
      <c r="L107" s="23" t="s">
        <v>1769</v>
      </c>
      <c r="M107" s="23" t="s">
        <v>1668</v>
      </c>
      <c r="N107" s="1" t="s">
        <v>1579</v>
      </c>
      <c r="O107" s="1" t="s">
        <v>1433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1617</v>
      </c>
      <c r="I109" s="23" t="s">
        <v>1644</v>
      </c>
      <c r="K109" s="23" t="s">
        <v>1663</v>
      </c>
      <c r="M109" s="23" t="s">
        <v>1654</v>
      </c>
      <c r="N109" s="1" t="s">
        <v>1507</v>
      </c>
      <c r="O109" s="1" t="s">
        <v>1433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1617</v>
      </c>
      <c r="M110" s="23" t="s">
        <v>1780</v>
      </c>
      <c r="N110" s="1" t="s">
        <v>1579</v>
      </c>
      <c r="O110" s="1" t="s">
        <v>1433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1617</v>
      </c>
      <c r="I112" s="23" t="s">
        <v>1644</v>
      </c>
      <c r="K112" s="23" t="s">
        <v>1697</v>
      </c>
      <c r="L112" s="23" t="s">
        <v>1699</v>
      </c>
      <c r="M112" s="23" t="s">
        <v>1650</v>
      </c>
      <c r="N112" s="1" t="s">
        <v>1507</v>
      </c>
      <c r="O112" s="1" t="s">
        <v>1433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1616</v>
      </c>
      <c r="I113" s="23" t="s">
        <v>1626</v>
      </c>
      <c r="K113" s="23" t="s">
        <v>1632</v>
      </c>
      <c r="L113" s="23" t="s">
        <v>1633</v>
      </c>
      <c r="M113" s="23" t="s">
        <v>1634</v>
      </c>
      <c r="N113" s="1" t="s">
        <v>1508</v>
      </c>
      <c r="O113" s="1" t="s">
        <v>1433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1493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1508</v>
      </c>
      <c r="O114" s="1" t="s">
        <v>1433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1507</v>
      </c>
      <c r="O115" s="1" t="s">
        <v>1433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1617</v>
      </c>
      <c r="I117" s="23" t="s">
        <v>1629</v>
      </c>
      <c r="J117" s="23" t="s">
        <v>1761</v>
      </c>
      <c r="K117" s="23" t="s">
        <v>1635</v>
      </c>
      <c r="L117" s="23" t="s">
        <v>1637</v>
      </c>
      <c r="M117" s="23" t="s">
        <v>1638</v>
      </c>
      <c r="N117" s="1" t="s">
        <v>1508</v>
      </c>
      <c r="O117" s="1" t="s">
        <v>1433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1508</v>
      </c>
      <c r="O118" s="1" t="s">
        <v>1433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1507</v>
      </c>
      <c r="O119" s="1" t="s">
        <v>1433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1494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1508</v>
      </c>
      <c r="O120" s="1" t="s">
        <v>1433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1495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1508</v>
      </c>
      <c r="O123" s="1" t="s">
        <v>1433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1496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1508</v>
      </c>
      <c r="O128" s="1" t="s">
        <v>1433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1497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1508</v>
      </c>
      <c r="O129" s="1" t="s">
        <v>1433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1617</v>
      </c>
      <c r="I130" s="23" t="s">
        <v>1626</v>
      </c>
      <c r="L130" s="23" t="s">
        <v>1796</v>
      </c>
      <c r="O130" s="1" t="s">
        <v>1433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1617</v>
      </c>
      <c r="I131" s="23" t="s">
        <v>1626</v>
      </c>
      <c r="O131" s="1" t="s">
        <v>1433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1616</v>
      </c>
      <c r="I138" s="23" t="s">
        <v>1674</v>
      </c>
      <c r="L138" s="23" t="s">
        <v>1678</v>
      </c>
      <c r="M138" s="23" t="s">
        <v>1676</v>
      </c>
      <c r="O138" s="1" t="s">
        <v>1433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1507</v>
      </c>
      <c r="O139" s="1" t="s">
        <v>1433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1508</v>
      </c>
      <c r="O140" s="1" t="s">
        <v>1433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1507</v>
      </c>
      <c r="O141" s="1" t="s">
        <v>1433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1507</v>
      </c>
      <c r="O143" s="1" t="s">
        <v>1433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1788</v>
      </c>
      <c r="F144" s="2" t="s">
        <v>1782</v>
      </c>
      <c r="G144" s="23" t="s">
        <v>63</v>
      </c>
      <c r="H144" s="23" t="s">
        <v>1616</v>
      </c>
      <c r="I144" s="23" t="s">
        <v>1793</v>
      </c>
      <c r="K144" s="23" t="s">
        <v>1790</v>
      </c>
      <c r="L144" s="23" t="s">
        <v>1789</v>
      </c>
      <c r="N144" s="1" t="s">
        <v>1507</v>
      </c>
      <c r="O144" s="1" t="s">
        <v>1433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1498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1508</v>
      </c>
      <c r="O145" s="1" t="s">
        <v>1433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1507</v>
      </c>
      <c r="O147" s="1" t="s">
        <v>1433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1616</v>
      </c>
      <c r="I148" s="23" t="s">
        <v>1626</v>
      </c>
      <c r="J148" s="23" t="s">
        <v>1758</v>
      </c>
      <c r="M148" s="23" t="s">
        <v>1677</v>
      </c>
      <c r="O148" s="1" t="s">
        <v>1433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1507</v>
      </c>
      <c r="O149" s="1" t="s">
        <v>1433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1382</v>
      </c>
      <c r="D150" s="23" t="s">
        <v>1383</v>
      </c>
      <c r="E150" s="23" t="s">
        <v>1384</v>
      </c>
      <c r="F150" s="15" t="s">
        <v>1385</v>
      </c>
      <c r="G150" s="23" t="s">
        <v>1386</v>
      </c>
      <c r="N150" s="1" t="s">
        <v>1507</v>
      </c>
      <c r="O150" s="1" t="s">
        <v>1433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1499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1508</v>
      </c>
      <c r="O152" s="1" t="s">
        <v>1433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1507</v>
      </c>
      <c r="O155" s="1" t="s">
        <v>1433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1616</v>
      </c>
      <c r="I156" s="23" t="s">
        <v>1797</v>
      </c>
      <c r="O156" s="1" t="s">
        <v>1433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1507</v>
      </c>
      <c r="O157" s="1" t="s">
        <v>1433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1653</v>
      </c>
      <c r="I158" s="23" t="s">
        <v>1644</v>
      </c>
      <c r="J158" s="23" t="s">
        <v>1809</v>
      </c>
      <c r="K158" s="23" t="s">
        <v>1811</v>
      </c>
      <c r="M158" s="23" t="s">
        <v>1683</v>
      </c>
      <c r="N158" s="1" t="s">
        <v>1579</v>
      </c>
      <c r="O158" s="1" t="s">
        <v>1433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1507</v>
      </c>
      <c r="O159" s="1" t="s">
        <v>1433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1508</v>
      </c>
      <c r="O161" s="1" t="s">
        <v>1433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1393</v>
      </c>
      <c r="D164" s="23" t="s">
        <v>1291</v>
      </c>
      <c r="E164" s="23" t="s">
        <v>1394</v>
      </c>
      <c r="F164" s="15" t="s">
        <v>1292</v>
      </c>
      <c r="G164" s="23" t="s">
        <v>1293</v>
      </c>
      <c r="O164" s="1" t="s">
        <v>1433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1387</v>
      </c>
      <c r="D165" s="23" t="s">
        <v>1388</v>
      </c>
      <c r="E165" s="23" t="s">
        <v>1389</v>
      </c>
      <c r="F165" s="2" t="s">
        <v>1390</v>
      </c>
      <c r="G165" s="23" t="s">
        <v>1391</v>
      </c>
      <c r="O165" s="1" t="s">
        <v>1433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1500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1617</v>
      </c>
      <c r="I171" s="23" t="s">
        <v>1640</v>
      </c>
      <c r="L171" s="23" t="s">
        <v>1641</v>
      </c>
      <c r="M171" s="23" t="s">
        <v>1642</v>
      </c>
      <c r="N171" s="1" t="s">
        <v>1508</v>
      </c>
      <c r="O171" s="1" t="s">
        <v>1433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1346</v>
      </c>
      <c r="D174" s="23" t="s">
        <v>1347</v>
      </c>
      <c r="E174" s="23" t="s">
        <v>1348</v>
      </c>
      <c r="F174" s="15" t="s">
        <v>1392</v>
      </c>
      <c r="G174" s="23" t="s">
        <v>1349</v>
      </c>
      <c r="O174" s="1" t="s">
        <v>1433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1507</v>
      </c>
      <c r="O175" s="1" t="s">
        <v>1433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1376</v>
      </c>
      <c r="G176" s="23" t="s">
        <v>893</v>
      </c>
      <c r="O176" s="1" t="s">
        <v>1433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1377</v>
      </c>
      <c r="D177" s="23" t="s">
        <v>1378</v>
      </c>
      <c r="E177" s="23" t="s">
        <v>1379</v>
      </c>
      <c r="F177" s="15" t="s">
        <v>1380</v>
      </c>
      <c r="G177" s="23" t="s">
        <v>1381</v>
      </c>
      <c r="O177" s="1" t="s">
        <v>1433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1501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1508</v>
      </c>
      <c r="O178" s="1" t="s">
        <v>1433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1332</v>
      </c>
      <c r="D182" s="23" t="s">
        <v>1335</v>
      </c>
      <c r="E182" s="23" t="s">
        <v>1334</v>
      </c>
      <c r="F182" s="15" t="s">
        <v>1333</v>
      </c>
      <c r="G182" s="23" t="s">
        <v>1336</v>
      </c>
      <c r="O182" s="1" t="s">
        <v>1433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1423</v>
      </c>
      <c r="D183" s="23" t="s">
        <v>1425</v>
      </c>
      <c r="E183" s="23" t="s">
        <v>1424</v>
      </c>
      <c r="F183" s="15" t="s">
        <v>1422</v>
      </c>
      <c r="G183" s="23" t="s">
        <v>1431</v>
      </c>
      <c r="O183" s="1" t="s">
        <v>1433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1507</v>
      </c>
      <c r="O184" s="1" t="s">
        <v>1433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1617</v>
      </c>
      <c r="I185" s="23" t="s">
        <v>1626</v>
      </c>
      <c r="K185" s="23" t="s">
        <v>1624</v>
      </c>
      <c r="L185" s="23" t="s">
        <v>1698</v>
      </c>
      <c r="M185" s="23" t="s">
        <v>1650</v>
      </c>
      <c r="N185" s="1" t="s">
        <v>1507</v>
      </c>
      <c r="O185" s="1" t="s">
        <v>1433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1508</v>
      </c>
      <c r="O186" s="1" t="s">
        <v>1433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1652</v>
      </c>
      <c r="I187" s="23" t="s">
        <v>1666</v>
      </c>
      <c r="K187" s="23" t="s">
        <v>1664</v>
      </c>
      <c r="N187" s="1" t="s">
        <v>1507</v>
      </c>
      <c r="O187" s="1" t="s">
        <v>1433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1350</v>
      </c>
      <c r="D188" s="23" t="s">
        <v>1351</v>
      </c>
      <c r="E188" s="23" t="s">
        <v>1352</v>
      </c>
      <c r="F188" s="2" t="s">
        <v>1353</v>
      </c>
      <c r="G188" s="23" t="s">
        <v>1354</v>
      </c>
      <c r="O188" s="1" t="s">
        <v>1433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1502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1508</v>
      </c>
      <c r="O189" s="1" t="s">
        <v>1433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1449</v>
      </c>
      <c r="F190" s="15" t="s">
        <v>1201</v>
      </c>
      <c r="G190" s="23" t="s">
        <v>1199</v>
      </c>
      <c r="N190" s="1" t="s">
        <v>1507</v>
      </c>
      <c r="O190" s="1" t="s">
        <v>1433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1508</v>
      </c>
      <c r="O191" s="1" t="s">
        <v>1433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1503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1508</v>
      </c>
      <c r="O193" s="1" t="s">
        <v>1433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1616</v>
      </c>
      <c r="I194" s="23" t="s">
        <v>1773</v>
      </c>
      <c r="J194" s="23" t="s">
        <v>1774</v>
      </c>
      <c r="M194" s="23" t="s">
        <v>1775</v>
      </c>
      <c r="N194" s="1" t="s">
        <v>1579</v>
      </c>
      <c r="O194" s="1" t="s">
        <v>1433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1504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1508</v>
      </c>
      <c r="O195" s="1" t="s">
        <v>1433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1508</v>
      </c>
      <c r="O198" s="1" t="s">
        <v>1433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1507</v>
      </c>
      <c r="O199" s="1" t="s">
        <v>1433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1308</v>
      </c>
      <c r="D201" s="23" t="s">
        <v>1310</v>
      </c>
      <c r="E201" s="23" t="s">
        <v>1309</v>
      </c>
      <c r="F201" s="15" t="s">
        <v>1311</v>
      </c>
      <c r="G201" s="23" t="s">
        <v>1312</v>
      </c>
      <c r="O201" s="1" t="s">
        <v>1433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1488</v>
      </c>
      <c r="D202" s="23" t="s">
        <v>1489</v>
      </c>
      <c r="E202" s="23" t="s">
        <v>1490</v>
      </c>
      <c r="F202" s="2" t="s">
        <v>1491</v>
      </c>
      <c r="G202" s="23" t="s">
        <v>1492</v>
      </c>
      <c r="O202" s="1" t="s">
        <v>1433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1458</v>
      </c>
      <c r="D203" s="23" t="s">
        <v>1459</v>
      </c>
      <c r="E203" s="23" t="s">
        <v>1460</v>
      </c>
      <c r="F203" s="15" t="s">
        <v>1461</v>
      </c>
      <c r="G203" s="23" t="s">
        <v>1462</v>
      </c>
      <c r="N203" s="1" t="s">
        <v>1507</v>
      </c>
      <c r="O203" s="1" t="s">
        <v>1433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1426</v>
      </c>
      <c r="D204" s="23" t="s">
        <v>1427</v>
      </c>
      <c r="E204" s="23" t="s">
        <v>1428</v>
      </c>
      <c r="F204" s="15" t="s">
        <v>1422</v>
      </c>
      <c r="G204" s="23" t="s">
        <v>1432</v>
      </c>
      <c r="O204" s="1" t="s">
        <v>1433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1483</v>
      </c>
      <c r="D205" s="23" t="s">
        <v>1485</v>
      </c>
      <c r="E205" s="23" t="s">
        <v>1484</v>
      </c>
      <c r="F205" s="2" t="s">
        <v>1486</v>
      </c>
      <c r="G205" s="23" t="s">
        <v>1487</v>
      </c>
      <c r="O205" s="1" t="s">
        <v>1433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1429</v>
      </c>
      <c r="D206" s="23" t="s">
        <v>1420</v>
      </c>
      <c r="E206" s="23" t="s">
        <v>1421</v>
      </c>
      <c r="F206" s="15" t="s">
        <v>1422</v>
      </c>
      <c r="G206" s="23" t="s">
        <v>1430</v>
      </c>
      <c r="M206" s="23" t="s">
        <v>1673</v>
      </c>
      <c r="O206" s="1" t="s">
        <v>1433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1454</v>
      </c>
      <c r="D207" s="23" t="s">
        <v>1457</v>
      </c>
      <c r="E207" s="23" t="s">
        <v>1455</v>
      </c>
      <c r="F207" s="15" t="s">
        <v>1456</v>
      </c>
      <c r="G207" s="23" t="str">
        <f>テーブル1[[#This Row],[名前]]&amp;"(UTAU)"</f>
        <v>16号(UTAU)</v>
      </c>
      <c r="O207" s="1" t="s">
        <v>1433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1450</v>
      </c>
      <c r="D208" s="23" t="s">
        <v>1451</v>
      </c>
      <c r="E208" s="23" t="s">
        <v>1452</v>
      </c>
      <c r="F208" s="15" t="s">
        <v>1453</v>
      </c>
      <c r="G208" s="23" t="str">
        <f>テーブル1[[#This Row],[名前]]&amp;"(UTAU)"</f>
        <v>シズルう(UTAU)</v>
      </c>
      <c r="O208" s="1" t="s">
        <v>1433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1508</v>
      </c>
      <c r="O209" s="1" t="s">
        <v>1433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1463</v>
      </c>
      <c r="D210" s="23" t="s">
        <v>1465</v>
      </c>
      <c r="E210" s="23" t="s">
        <v>1464</v>
      </c>
      <c r="F210" s="15" t="s">
        <v>1456</v>
      </c>
      <c r="G210" s="23" t="str">
        <f>テーブル1[[#This Row],[名前]]&amp;"(UTAU)"</f>
        <v>ろんく1号(UTAU)</v>
      </c>
      <c r="O210" s="1" t="s">
        <v>1433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1511</v>
      </c>
      <c r="D211" s="23" t="s">
        <v>1510</v>
      </c>
      <c r="E211" s="23" t="s">
        <v>1512</v>
      </c>
      <c r="F211" s="26" t="s">
        <v>1521</v>
      </c>
      <c r="G211" s="23" t="s">
        <v>1513</v>
      </c>
      <c r="N211" s="1" t="s">
        <v>1507</v>
      </c>
      <c r="O211" s="1" t="s">
        <v>1433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1744</v>
      </c>
      <c r="D212" s="23" t="s">
        <v>1515</v>
      </c>
      <c r="E212" s="23" t="s">
        <v>1516</v>
      </c>
      <c r="F212" s="15" t="s">
        <v>1517</v>
      </c>
      <c r="G212" s="23" t="s">
        <v>1520</v>
      </c>
      <c r="H212" s="23" t="s">
        <v>1617</v>
      </c>
      <c r="I212" s="23" t="s">
        <v>1626</v>
      </c>
      <c r="L212" s="23" t="s">
        <v>1680</v>
      </c>
      <c r="N212" s="1" t="s">
        <v>1508</v>
      </c>
      <c r="O212" s="1" t="s">
        <v>1433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1518</v>
      </c>
      <c r="E213" s="23" t="s">
        <v>1519</v>
      </c>
      <c r="F213" s="15" t="s">
        <v>1517</v>
      </c>
      <c r="G213" s="23" t="s">
        <v>1520</v>
      </c>
      <c r="H213" s="23" t="s">
        <v>1653</v>
      </c>
      <c r="I213" s="23" t="s">
        <v>1745</v>
      </c>
      <c r="L213" s="23" t="s">
        <v>1714</v>
      </c>
      <c r="M213" s="23" t="s">
        <v>1835</v>
      </c>
      <c r="N213" s="1" t="s">
        <v>1508</v>
      </c>
      <c r="O213" s="1" t="s">
        <v>1433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1522</v>
      </c>
      <c r="D214" s="23" t="s">
        <v>1523</v>
      </c>
      <c r="E214" s="23" t="s">
        <v>1524</v>
      </c>
      <c r="F214" s="15" t="s">
        <v>1526</v>
      </c>
      <c r="G214" s="23" t="s">
        <v>1525</v>
      </c>
      <c r="N214" s="1" t="s">
        <v>1507</v>
      </c>
      <c r="O214" s="1" t="s">
        <v>1433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1528</v>
      </c>
      <c r="D215" s="23" t="s">
        <v>1537</v>
      </c>
      <c r="E215" s="23" t="s">
        <v>1529</v>
      </c>
      <c r="F215" s="15" t="s">
        <v>1600</v>
      </c>
      <c r="G215" s="23" t="s">
        <v>1530</v>
      </c>
      <c r="N215" s="1" t="s">
        <v>1507</v>
      </c>
      <c r="O215" s="1" t="s">
        <v>1433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1617</v>
      </c>
      <c r="I216" s="23" t="s">
        <v>1639</v>
      </c>
      <c r="L216" s="23" t="s">
        <v>1627</v>
      </c>
      <c r="M216" s="23" t="s">
        <v>1700</v>
      </c>
      <c r="N216" s="1" t="s">
        <v>1507</v>
      </c>
      <c r="O216" s="1" t="s">
        <v>1433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1531</v>
      </c>
      <c r="D217" s="23" t="s">
        <v>1532</v>
      </c>
      <c r="E217" s="23" t="s">
        <v>1533</v>
      </c>
      <c r="F217" s="15" t="s">
        <v>1534</v>
      </c>
      <c r="G217" s="23" t="s">
        <v>1535</v>
      </c>
      <c r="N217" s="1" t="s">
        <v>1507</v>
      </c>
      <c r="O217" s="1" t="s">
        <v>1433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1536</v>
      </c>
      <c r="D218" s="23" t="s">
        <v>1538</v>
      </c>
      <c r="E218" s="23" t="s">
        <v>1539</v>
      </c>
      <c r="F218" s="15" t="s">
        <v>289</v>
      </c>
      <c r="G218" s="23" t="s">
        <v>290</v>
      </c>
      <c r="H218" s="23" t="s">
        <v>1617</v>
      </c>
      <c r="I218" s="23" t="s">
        <v>1626</v>
      </c>
      <c r="K218" s="23" t="s">
        <v>1624</v>
      </c>
      <c r="L218" s="23" t="s">
        <v>1627</v>
      </c>
      <c r="M218" s="23" t="s">
        <v>1667</v>
      </c>
      <c r="N218" s="1" t="s">
        <v>1507</v>
      </c>
      <c r="O218" s="1" t="s">
        <v>1433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1554</v>
      </c>
      <c r="D219" s="23" t="s">
        <v>1556</v>
      </c>
      <c r="E219" s="23" t="s">
        <v>1555</v>
      </c>
      <c r="F219" s="2" t="s">
        <v>212</v>
      </c>
      <c r="G219" s="23" t="s">
        <v>213</v>
      </c>
      <c r="N219" s="1" t="s">
        <v>1507</v>
      </c>
      <c r="O219" s="1" t="s">
        <v>1433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1565</v>
      </c>
      <c r="D220" s="23" t="s">
        <v>1568</v>
      </c>
      <c r="E220" s="23" t="s">
        <v>1569</v>
      </c>
      <c r="F220" s="15" t="s">
        <v>1527</v>
      </c>
      <c r="G220" s="23" t="s">
        <v>411</v>
      </c>
      <c r="H220" s="23" t="s">
        <v>1616</v>
      </c>
      <c r="I220" s="23" t="s">
        <v>1639</v>
      </c>
      <c r="L220" s="23" t="s">
        <v>1687</v>
      </c>
      <c r="N220" s="1" t="s">
        <v>1507</v>
      </c>
      <c r="O220" s="1" t="s">
        <v>1433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1574</v>
      </c>
      <c r="D221" s="23" t="s">
        <v>1575</v>
      </c>
      <c r="E221" s="23" t="s">
        <v>1576</v>
      </c>
      <c r="F221" s="15" t="s">
        <v>1577</v>
      </c>
      <c r="G221" s="23" t="s">
        <v>1578</v>
      </c>
      <c r="N221" s="1" t="s">
        <v>1579</v>
      </c>
      <c r="O221" s="1" t="s">
        <v>1433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1580</v>
      </c>
      <c r="D222" s="23" t="s">
        <v>1581</v>
      </c>
      <c r="E222" s="23" t="s">
        <v>1582</v>
      </c>
      <c r="F222" s="15" t="s">
        <v>1577</v>
      </c>
      <c r="G222" s="23" t="s">
        <v>1583</v>
      </c>
      <c r="N222" s="1" t="s">
        <v>1579</v>
      </c>
      <c r="O222" s="1" t="s">
        <v>1433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1584</v>
      </c>
      <c r="D223" s="23" t="s">
        <v>1585</v>
      </c>
      <c r="E223" s="23" t="s">
        <v>1586</v>
      </c>
      <c r="F223" s="15" t="s">
        <v>1577</v>
      </c>
      <c r="G223" s="23" t="str">
        <f>テーブル1[[#This Row],[名前]]&amp;"(UTAU)"</f>
        <v>カイル・タイラー(UTAU)</v>
      </c>
      <c r="N223" s="1" t="s">
        <v>1579</v>
      </c>
      <c r="O223" s="1" t="s">
        <v>1433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1587</v>
      </c>
      <c r="D224" s="23" t="s">
        <v>1588</v>
      </c>
      <c r="E224" s="23" t="s">
        <v>1589</v>
      </c>
      <c r="F224" s="15" t="s">
        <v>1590</v>
      </c>
      <c r="G224" s="23" t="s">
        <v>1591</v>
      </c>
      <c r="O224" s="1" t="s">
        <v>1433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1592</v>
      </c>
      <c r="D225" s="23" t="s">
        <v>1593</v>
      </c>
      <c r="E225" s="23" t="s">
        <v>1594</v>
      </c>
      <c r="F225" s="15" t="s">
        <v>1595</v>
      </c>
      <c r="G225" s="23" t="s">
        <v>1596</v>
      </c>
      <c r="N225" s="1" t="s">
        <v>1579</v>
      </c>
      <c r="O225" s="1" t="s">
        <v>1433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1597</v>
      </c>
      <c r="D226" s="23" t="s">
        <v>1598</v>
      </c>
      <c r="E226" s="23" t="s">
        <v>1599</v>
      </c>
      <c r="F226" s="15" t="s">
        <v>1600</v>
      </c>
      <c r="G226" s="23" t="s">
        <v>1601</v>
      </c>
      <c r="N226" s="1" t="s">
        <v>1579</v>
      </c>
      <c r="O226" s="1" t="s">
        <v>1433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1602</v>
      </c>
      <c r="D227" s="23" t="s">
        <v>1603</v>
      </c>
      <c r="E227" s="23" t="s">
        <v>1604</v>
      </c>
      <c r="F227" s="15" t="s">
        <v>1600</v>
      </c>
      <c r="G227" s="23" t="s">
        <v>1605</v>
      </c>
      <c r="N227" s="1" t="s">
        <v>1579</v>
      </c>
      <c r="O227" s="1" t="s">
        <v>1433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1702</v>
      </c>
      <c r="D228" s="23" t="s">
        <v>1703</v>
      </c>
      <c r="E228" s="23" t="s">
        <v>1704</v>
      </c>
      <c r="F228" s="15" t="s">
        <v>1705</v>
      </c>
      <c r="G228" s="23" t="s">
        <v>1706</v>
      </c>
      <c r="H228" s="23" t="s">
        <v>1616</v>
      </c>
      <c r="I228" s="23" t="s">
        <v>1639</v>
      </c>
      <c r="K228" s="23" t="s">
        <v>1707</v>
      </c>
      <c r="L228" s="23" t="s">
        <v>1708</v>
      </c>
      <c r="M228" s="23" t="s">
        <v>1722</v>
      </c>
      <c r="N228" s="1" t="s">
        <v>1579</v>
      </c>
      <c r="O228" s="1" t="s">
        <v>1433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1709</v>
      </c>
      <c r="D229" s="23" t="s">
        <v>1710</v>
      </c>
      <c r="E229" s="23" t="s">
        <v>1711</v>
      </c>
      <c r="F229" s="3" t="s">
        <v>1712</v>
      </c>
      <c r="G229" s="23" t="s">
        <v>1713</v>
      </c>
      <c r="H229" s="23" t="s">
        <v>1616</v>
      </c>
      <c r="I229" s="23" t="s">
        <v>1626</v>
      </c>
      <c r="L229" s="23" t="s">
        <v>1714</v>
      </c>
      <c r="N229" s="1" t="s">
        <v>1715</v>
      </c>
      <c r="O229" s="1" t="s">
        <v>1433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1727</v>
      </c>
      <c r="D230" s="23" t="s">
        <v>1728</v>
      </c>
      <c r="E230" s="23" t="s">
        <v>1729</v>
      </c>
      <c r="F230" s="29" t="s">
        <v>1735</v>
      </c>
      <c r="G230" s="23" t="s">
        <v>1731</v>
      </c>
      <c r="H230" s="23" t="s">
        <v>1652</v>
      </c>
      <c r="I230" s="23" t="s">
        <v>1626</v>
      </c>
      <c r="K230" s="23" t="s">
        <v>1730</v>
      </c>
      <c r="N230" s="1" t="s">
        <v>1579</v>
      </c>
      <c r="O230" s="1" t="s">
        <v>1433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1736</v>
      </c>
      <c r="D231" s="23" t="s">
        <v>1737</v>
      </c>
      <c r="E231" s="23" t="s">
        <v>1738</v>
      </c>
      <c r="F231" s="29" t="s">
        <v>1739</v>
      </c>
      <c r="G231" s="23" t="s">
        <v>1740</v>
      </c>
      <c r="H231" s="23" t="s">
        <v>1617</v>
      </c>
      <c r="I231" s="23" t="s">
        <v>1762</v>
      </c>
      <c r="J231" s="23" t="s">
        <v>1741</v>
      </c>
      <c r="L231" s="23" t="s">
        <v>1743</v>
      </c>
      <c r="M231" s="23" t="s">
        <v>1742</v>
      </c>
      <c r="N231" s="1" t="s">
        <v>1579</v>
      </c>
      <c r="O231" s="1" t="s">
        <v>1433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1746</v>
      </c>
      <c r="D232" s="23" t="s">
        <v>1747</v>
      </c>
      <c r="E232" s="23" t="s">
        <v>1748</v>
      </c>
      <c r="F232" s="29" t="s">
        <v>1749</v>
      </c>
      <c r="G232" s="23" t="s">
        <v>1750</v>
      </c>
      <c r="H232" s="23" t="s">
        <v>1616</v>
      </c>
      <c r="I232" s="23" t="s">
        <v>1626</v>
      </c>
      <c r="J232" s="23" t="s">
        <v>1763</v>
      </c>
      <c r="L232" s="23" t="s">
        <v>1767</v>
      </c>
      <c r="N232" s="1" t="s">
        <v>1579</v>
      </c>
      <c r="O232" s="1" t="s">
        <v>1433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1752</v>
      </c>
      <c r="D233" s="23" t="s">
        <v>1753</v>
      </c>
      <c r="E233" s="23" t="s">
        <v>1754</v>
      </c>
      <c r="F233" s="29" t="s">
        <v>1755</v>
      </c>
      <c r="G233" s="23" t="str">
        <f>テーブル1[[#This Row],[名前]]&amp;"(UTAU)"</f>
        <v>鳴上キョウ(UTAU)</v>
      </c>
      <c r="H233" s="23" t="s">
        <v>1617</v>
      </c>
      <c r="I233" s="23" t="s">
        <v>1626</v>
      </c>
      <c r="N233" s="1" t="s">
        <v>1579</v>
      </c>
      <c r="O233" s="1" t="s">
        <v>1433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4" s="24" t="s">
        <v>1732</v>
      </c>
      <c r="D234" s="23" t="s">
        <v>1733</v>
      </c>
      <c r="E234" s="23" t="s">
        <v>1734</v>
      </c>
      <c r="F234" s="3" t="s">
        <v>1735</v>
      </c>
      <c r="G234" s="23" t="s">
        <v>1731</v>
      </c>
      <c r="H234" s="23" t="s">
        <v>1616</v>
      </c>
      <c r="I234" s="23" t="s">
        <v>1626</v>
      </c>
      <c r="N234" s="1" t="s">
        <v>1579</v>
      </c>
      <c r="P234" s="24" t="str">
        <f>テーブル1[[#This Row],[リンク]]&amp;テーブル1[[#This Row],[描画状況]]</f>
        <v>https://pessieuph.wixsite.com/meusycaseuphoria</v>
      </c>
      <c r="Q234" s="17">
        <f>1-(COUNTIF(P:P,_xlfn.TEXTJOIN(",",TRUE,テーブル1[[#This Row],[リンク]],テーブル1[[#This Row],[描画状況]]))/COUNTIF(F:F,テーブル1[[#This Row],[リンク]]))</f>
        <v>0.5</v>
      </c>
      <c r="R234" s="16">
        <f ca="1">IFERROR(IF(テーブル1[[#This Row],[描画状況]]="",RAND()+(テーブル1[[#This Row],[列2]]*100),""),RAND())</f>
        <v>50.552913621291133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|&amp;image(aira.png,width=100,height=100)</v>
      </c>
      <c r="V234" s="23" t="str">
        <f>"|MIDDLE:​"&amp;テーブル1[[#This Row],[名前]]</f>
        <v>|MIDDLE:​アイラ</v>
      </c>
      <c r="W234" s="23" t="str">
        <f>"|MIDDLE:​"&amp;テーブル1[[#This Row],[なまえ]]</f>
        <v>|MIDDLE:​あいら</v>
      </c>
      <c r="X234" s="23" t="str">
        <f>"|MIDDLE:​"&amp;テーブル1[[#This Row],[Name]]</f>
        <v>|MIDDLE:​Aira</v>
      </c>
      <c r="Y234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5" s="24" t="s">
        <v>1566</v>
      </c>
      <c r="D235" s="23" t="s">
        <v>1571</v>
      </c>
      <c r="E235" s="23" t="s">
        <v>1570</v>
      </c>
      <c r="F235" s="2" t="s">
        <v>1527</v>
      </c>
      <c r="G235" s="23" t="s">
        <v>411</v>
      </c>
      <c r="H235" s="23" t="s">
        <v>1616</v>
      </c>
      <c r="I235" s="23" t="s">
        <v>1639</v>
      </c>
      <c r="M235" s="23" t="s">
        <v>1662</v>
      </c>
      <c r="N235" s="1" t="s">
        <v>1507</v>
      </c>
      <c r="P235" s="24" t="str">
        <f>テーブル1[[#This Row],[リンク]]&amp;テーブル1[[#This Row],[描画状況]]</f>
        <v>https://vividseekers.utau.sorairomarch.com</v>
      </c>
      <c r="Q235" s="17">
        <f>1-(COUNTIF(P:P,_xlfn.TEXTJOIN(",",TRUE,テーブル1[[#This Row],[リンク]],テーブル1[[#This Row],[描画状況]]))/COUNTIF(F:F,テーブル1[[#This Row],[リンク]]))</f>
        <v>0.6</v>
      </c>
      <c r="R235" s="16">
        <f ca="1">IFERROR(IF(テーブル1[[#This Row],[描画状況]]="",RAND()+(テーブル1[[#This Row],[列2]]*100),""),RAND())</f>
        <v>60.402813108569028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|&amp;image(kagetsuki-reine.png,width=100,height=100)</v>
      </c>
      <c r="V235" s="23" t="str">
        <f>"|MIDDLE:​"&amp;テーブル1[[#This Row],[名前]]</f>
        <v>|MIDDLE:​影月澪音</v>
      </c>
      <c r="W235" s="23" t="str">
        <f>"|MIDDLE:​"&amp;テーブル1[[#This Row],[なまえ]]</f>
        <v>|MIDDLE:​かげつき れいね</v>
      </c>
      <c r="X235" s="23" t="str">
        <f>"|MIDDLE:​"&amp;テーブル1[[#This Row],[Name]]</f>
        <v>|MIDDLE:​Kagetsuki Reine</v>
      </c>
      <c r="Y235" s="23" t="str">
        <f>"|MIDDLE:​&amp;link(配布所はこちら){​"&amp;テーブル1[[#This Row],[リンク]]&amp;"}|"</f>
        <v>|MIDDLE:​&amp;link(配布所はこちら){​https://vividseekers.utau.sorairomarch.com}|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6" s="24" t="s">
        <v>1567</v>
      </c>
      <c r="D236" s="23" t="s">
        <v>1573</v>
      </c>
      <c r="E236" s="23" t="s">
        <v>1572</v>
      </c>
      <c r="F236" s="2" t="s">
        <v>1527</v>
      </c>
      <c r="G236" s="23" t="s">
        <v>411</v>
      </c>
      <c r="H236" s="23" t="s">
        <v>1617</v>
      </c>
      <c r="I236" s="23" t="s">
        <v>1639</v>
      </c>
      <c r="N236" s="1" t="s">
        <v>1507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60.968015658377475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|&amp;image(akatsuki-haruki.png,width=100,height=100)</v>
      </c>
      <c r="V236" s="23" t="str">
        <f>"|MIDDLE:​"&amp;テーブル1[[#This Row],[名前]]</f>
        <v>|MIDDLE:​暁月陽輝</v>
      </c>
      <c r="W236" s="23" t="str">
        <f>"|MIDDLE:​"&amp;テーブル1[[#This Row],[なまえ]]</f>
        <v>|MIDDLE:​あかつき はるき</v>
      </c>
      <c r="X236" s="23" t="str">
        <f>"|MIDDLE:​"&amp;テーブル1[[#This Row],[Name]]</f>
        <v>|MIDDLE:​Akatsuki Haruki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7" s="24" t="s">
        <v>1036</v>
      </c>
      <c r="D237" s="23" t="s">
        <v>1037</v>
      </c>
      <c r="E237" s="23" t="s">
        <v>1038</v>
      </c>
      <c r="F237" s="2" t="s">
        <v>517</v>
      </c>
      <c r="G237" s="23" t="s">
        <v>518</v>
      </c>
      <c r="N237" s="1" t="s">
        <v>1507</v>
      </c>
      <c r="P237" s="24" t="str">
        <f>テーブル1[[#This Row],[リンク]]&amp;テーブル1[[#This Row],[描画状況]]</f>
        <v>https://coyukimachi.wixsite.com/my-site</v>
      </c>
      <c r="Q237" s="17">
        <f>1-(COUNTIF(P:P,_xlfn.TEXTJOIN(",",TRUE,テーブル1[[#This Row],[リンク]],テーブル1[[#This Row],[描画状況]]))/COUNTIF(F:F,テーブル1[[#This Row],[リンク]]))</f>
        <v>0</v>
      </c>
      <c r="R237" s="16">
        <f ca="1">IFERROR(IF(テーブル1[[#This Row],[描画状況]]="",RAND()+(テーブル1[[#This Row],[列2]]*100),""),RAND())</f>
        <v>0.39552556354662671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|&amp;image(asahibashi-nagisa.png,width=100,height=100)</v>
      </c>
      <c r="V237" s="23" t="str">
        <f>"|MIDDLE:​"&amp;テーブル1[[#This Row],[名前]]</f>
        <v>|MIDDLE:​旭橋渚</v>
      </c>
      <c r="W237" s="23" t="str">
        <f>"|MIDDLE:​"&amp;テーブル1[[#This Row],[なまえ]]</f>
        <v>|MIDDLE:​​あさひばし なぎさ</v>
      </c>
      <c r="X237" s="23" t="str">
        <f>"|MIDDLE:​"&amp;テーブル1[[#This Row],[Name]]</f>
        <v>|MIDDLE:​Asahibashi Nagisa</v>
      </c>
      <c r="Y237" s="23" t="str">
        <f>"|MIDDLE:​&amp;link(配布所はこちら){​"&amp;テーブル1[[#This Row],[リンク]]&amp;"}|"</f>
        <v>|MIDDLE:​&amp;link(配布所はこちら){​https://coyukimachi.wixsite.com/my-site}|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8" s="24" t="s">
        <v>763</v>
      </c>
      <c r="D238" s="23" t="s">
        <v>764</v>
      </c>
      <c r="E238" s="23" t="s">
        <v>765</v>
      </c>
      <c r="F238" s="15" t="s">
        <v>753</v>
      </c>
      <c r="G238" s="23" t="s">
        <v>757</v>
      </c>
      <c r="N238" s="1" t="s">
        <v>1507</v>
      </c>
      <c r="P238" s="24" t="str">
        <f>テーブル1[[#This Row],[リンク]]&amp;テーブル1[[#This Row],[描画状況]]</f>
        <v>http://shadeofgreen.web.fc2.com</v>
      </c>
      <c r="Q238" s="17">
        <f>1-(COUNTIF(P:P,_xlfn.TEXTJOIN(",",TRUE,テーブル1[[#This Row],[リンク]],テーブル1[[#This Row],[描画状況]]))/COUNTIF(F:F,テーブル1[[#This Row],[リンク]]))</f>
        <v>0.33333333333333337</v>
      </c>
      <c r="R238" s="16">
        <f ca="1">IFERROR(IF(テーブル1[[#This Row],[描画状況]]="",RAND()+(テーブル1[[#This Row],[列2]]*100),""),RAND())</f>
        <v>33.66336703481106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|&amp;image(aoba-shin.png,width=100,height=100)</v>
      </c>
      <c r="V238" s="23" t="str">
        <f>"|MIDDLE:​"&amp;テーブル1[[#This Row],[名前]]</f>
        <v>|MIDDLE:​青葉シン</v>
      </c>
      <c r="W238" s="23" t="str">
        <f>"|MIDDLE:​"&amp;テーブル1[[#This Row],[なまえ]]</f>
        <v>|MIDDLE:​あおば しん</v>
      </c>
      <c r="X238" s="23" t="str">
        <f>"|MIDDLE:​"&amp;テーブル1[[#This Row],[Name]]</f>
        <v>|MIDDLE:​Aoba Shin</v>
      </c>
      <c r="Y238" s="23" t="str">
        <f>"|MIDDLE:​&amp;link(配布所はこちら){​"&amp;テーブル1[[#This Row],[リンク]]&amp;"}|"</f>
        <v>|MIDDLE:​&amp;link(配布所はこちら){​http://shadeofgreen.web.fc2.com}|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9" s="24" t="s">
        <v>754</v>
      </c>
      <c r="D239" s="23" t="s">
        <v>755</v>
      </c>
      <c r="E239" s="23" t="s">
        <v>756</v>
      </c>
      <c r="F239" s="15" t="s">
        <v>753</v>
      </c>
      <c r="G239" s="23" t="s">
        <v>757</v>
      </c>
      <c r="N239" s="1" t="s">
        <v>1507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33.60921860705745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|&amp;image(aoba-ryoku.png,width=100,height=100)</v>
      </c>
      <c r="V239" s="23" t="str">
        <f>"|MIDDLE:​"&amp;テーブル1[[#This Row],[名前]]</f>
        <v>|MIDDLE:​青葉リョク</v>
      </c>
      <c r="W239" s="23" t="str">
        <f>"|MIDDLE:​"&amp;テーブル1[[#This Row],[なまえ]]</f>
        <v>|MIDDLE:​あおば りょく</v>
      </c>
      <c r="X239" s="23" t="str">
        <f>"|MIDDLE:​"&amp;テーブル1[[#This Row],[Name]]</f>
        <v>|MIDDLE:​Aoba Ryoku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0" s="24" t="s">
        <v>1370</v>
      </c>
      <c r="D240" s="23" t="s">
        <v>1372</v>
      </c>
      <c r="E240" s="23" t="s">
        <v>1371</v>
      </c>
      <c r="F240" s="2" t="s">
        <v>1353</v>
      </c>
      <c r="G240" s="23" t="s">
        <v>1354</v>
      </c>
      <c r="P240" s="24" t="str">
        <f>テーブル1[[#This Row],[リンク]]&amp;テーブル1[[#This Row],[描画状況]]</f>
        <v>https://maybeanglo0mochi.wixsite.com/mochiyanosouko</v>
      </c>
      <c r="Q240" s="17">
        <f>1-(COUNTIF(P:P,_xlfn.TEXTJOIN(",",TRUE,テーブル1[[#This Row],[リンク]],テーブル1[[#This Row],[描画状況]]))/COUNTIF(F:F,テーブル1[[#This Row],[リンク]]))</f>
        <v>0.125</v>
      </c>
      <c r="R240" s="16">
        <f ca="1">IFERROR(IF(テーブル1[[#This Row],[描画状況]]="",RAND()+(テーブル1[[#This Row],[列2]]*100),""),RAND())</f>
        <v>13.245154986828336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|&amp;image(akasha＝sophia.png,width=100,height=100)</v>
      </c>
      <c r="V240" s="23" t="str">
        <f>"|MIDDLE:​"&amp;テーブル1[[#This Row],[名前]]</f>
        <v>|MIDDLE:​アカシャ＝ソフィア</v>
      </c>
      <c r="W240" s="23" t="str">
        <f>"|MIDDLE:​"&amp;テーブル1[[#This Row],[なまえ]]</f>
        <v>|MIDDLE:​あかしゃ＝そふぃあ</v>
      </c>
      <c r="X240" s="23" t="str">
        <f>"|MIDDLE:​"&amp;テーブル1[[#This Row],[Name]]</f>
        <v>|MIDDLE:​Akasha＝Sophia</v>
      </c>
      <c r="Y2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1" s="24" t="s">
        <v>981</v>
      </c>
      <c r="D241" s="23" t="s">
        <v>982</v>
      </c>
      <c r="E241" s="23" t="s">
        <v>983</v>
      </c>
      <c r="F241" s="2" t="s">
        <v>569</v>
      </c>
      <c r="G241" s="23" t="s">
        <v>570</v>
      </c>
      <c r="N241" s="1" t="s">
        <v>1507</v>
      </c>
      <c r="P241" s="24" t="str">
        <f>テーブル1[[#This Row],[リンク]]&amp;テーブル1[[#This Row],[描画状況]]</f>
        <v>https://askdance.wixsite.com/monitor-room/monitor-room</v>
      </c>
      <c r="Q241" s="17">
        <f>1-(COUNTIF(P:P,_xlfn.TEXTJOIN(",",TRUE,テーブル1[[#This Row],[リンク]],テーブル1[[#This Row],[描画状況]]))/COUNTIF(F:F,テーブル1[[#This Row],[リンク]]))</f>
        <v>9.9999999999999978E-2</v>
      </c>
      <c r="R241" s="16">
        <f ca="1">IFERROR(IF(テーブル1[[#This Row],[描画状況]]="",RAND()+(テーブル1[[#This Row],[列2]]*100),""),RAND())</f>
        <v>10.126997179496831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|&amp;image(akaruiji-satsu.png,width=100,height=100)</v>
      </c>
      <c r="V241" s="23" t="str">
        <f>"|MIDDLE:​"&amp;テーブル1[[#This Row],[名前]]</f>
        <v>|MIDDLE:​明泪寺早津</v>
      </c>
      <c r="W241" s="23" t="str">
        <f>"|MIDDLE:​"&amp;テーブル1[[#This Row],[なまえ]]</f>
        <v>|MIDDLE:​あかるいじ さつ</v>
      </c>
      <c r="X241" s="23" t="str">
        <f>"|MIDDLE:​"&amp;テーブル1[[#This Row],[Name]]</f>
        <v>|MIDDLE:​Akaruiji Satsu</v>
      </c>
      <c r="Y24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2" s="24" t="s">
        <v>616</v>
      </c>
      <c r="D242" s="23" t="s">
        <v>617</v>
      </c>
      <c r="E242" s="23" t="s">
        <v>618</v>
      </c>
      <c r="F242" s="2" t="s">
        <v>212</v>
      </c>
      <c r="G242" s="23" t="s">
        <v>213</v>
      </c>
      <c r="N242" s="1" t="s">
        <v>1507</v>
      </c>
      <c r="P242" s="24" t="str">
        <f>テーブル1[[#This Row],[リンク]]&amp;テーブル1[[#This Row],[描画状況]]</f>
        <v>https://mitoristu.wixsite.com/kousaibako</v>
      </c>
      <c r="Q242" s="17">
        <f>1-(COUNTIF(P:P,_xlfn.TEXTJOIN(",",TRUE,テーブル1[[#This Row],[リンク]],テーブル1[[#This Row],[描画状況]]))/COUNTIF(F:F,テーブル1[[#This Row],[リンク]]))</f>
        <v>0.19999999999999996</v>
      </c>
      <c r="R242" s="16">
        <f ca="1">IFERROR(IF(テーブル1[[#This Row],[描画状況]]="",RAND()+(テーブル1[[#This Row],[列2]]*100),""),RAND())</f>
        <v>20.812323225489411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|&amp;image(amatsuka-yuki.png,width=100,height=100)</v>
      </c>
      <c r="V242" s="23" t="str">
        <f>"|MIDDLE:​"&amp;テーブル1[[#This Row],[名前]]</f>
        <v>|MIDDLE:​天使雪</v>
      </c>
      <c r="W242" s="23" t="str">
        <f>"|MIDDLE:​"&amp;テーブル1[[#This Row],[なまえ]]</f>
        <v>|MIDDLE:​あまつか ゆき</v>
      </c>
      <c r="X242" s="23" t="str">
        <f>"|MIDDLE:​"&amp;テーブル1[[#This Row],[Name]]</f>
        <v>|MIDDLE:​Amatsuka Yuki</v>
      </c>
      <c r="Y242" s="23" t="str">
        <f>"|MIDDLE:​&amp;link(配布所はこちら){​"&amp;テーブル1[[#This Row],[リンク]]&amp;"}|"</f>
        <v>|MIDDLE:​&amp;link(配布所はこちら){​https://mitoristu.wixsite.com/kousaibako}|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3" s="24" t="s">
        <v>1260</v>
      </c>
      <c r="D243" s="23" t="s">
        <v>1262</v>
      </c>
      <c r="E243" s="23" t="s">
        <v>1261</v>
      </c>
      <c r="F243" s="15" t="s">
        <v>174</v>
      </c>
      <c r="G243" s="24" t="s">
        <v>1280</v>
      </c>
      <c r="H243" s="24"/>
      <c r="I243" s="24"/>
      <c r="J243" s="24"/>
      <c r="K243" s="24"/>
      <c r="L243" s="24"/>
      <c r="M243" s="24"/>
      <c r="P243" s="24" t="str">
        <f>テーブル1[[#This Row],[リンク]]&amp;テーブル1[[#This Row],[描画状況]]</f>
        <v>https://lenskkpb.wixsite.com/len-sakaki-official</v>
      </c>
      <c r="Q243" s="17">
        <f>1-(COUNTIF(P:P,_xlfn.TEXTJOIN(",",TRUE,テーブル1[[#This Row],[リンク]],テーブル1[[#This Row],[描画状況]]))/COUNTIF(F:F,テーブル1[[#This Row],[リンク]]))</f>
        <v>0.125</v>
      </c>
      <c r="R243" s="16">
        <f ca="1">IFERROR(IF(テーブル1[[#This Row],[描画状況]]="",RAND()+(テーブル1[[#This Row],[列2]]*100),""),RAND())</f>
        <v>13.327806680642416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|&amp;image(amatsuji-azuma.png,width=100,height=100)</v>
      </c>
      <c r="V243" s="23" t="str">
        <f>"|MIDDLE:​"&amp;テーブル1[[#This Row],[名前]]</f>
        <v>|MIDDLE:​天辻雷</v>
      </c>
      <c r="W243" s="23" t="str">
        <f>"|MIDDLE:​"&amp;テーブル1[[#This Row],[なまえ]]</f>
        <v>|MIDDLE:​あまつじ あずま</v>
      </c>
      <c r="X243" s="23" t="str">
        <f>"|MIDDLE:​"&amp;テーブル1[[#This Row],[Name]]</f>
        <v>|MIDDLE:​Amatsuji Azuma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4" s="24" t="s">
        <v>847</v>
      </c>
      <c r="D244" s="23" t="s">
        <v>848</v>
      </c>
      <c r="E244" s="23" t="s">
        <v>849</v>
      </c>
      <c r="F244" s="2" t="s">
        <v>830</v>
      </c>
      <c r="G244" s="23" t="s">
        <v>831</v>
      </c>
      <c r="P244" s="24" t="str">
        <f>テーブル1[[#This Row],[リンク]]&amp;テーブル1[[#This Row],[描画状況]]</f>
        <v>https://kaedekatusaki.wixsite.com/yanagiroutyou</v>
      </c>
      <c r="Q244" s="17">
        <f>1-(COUNTIF(P:P,_xlfn.TEXTJOIN(",",TRUE,テーブル1[[#This Row],[リンク]],テーブル1[[#This Row],[描画状況]]))/COUNTIF(F:F,テーブル1[[#This Row],[リンク]]))</f>
        <v>0.125</v>
      </c>
      <c r="R244" s="16">
        <f ca="1">IFERROR(IF(テーブル1[[#This Row],[描画状況]]="",RAND()+(テーブル1[[#This Row],[列2]]*100),""),RAND())</f>
        <v>12.560909885232968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|&amp;image(amatsuroid.png,width=100,height=100)</v>
      </c>
      <c r="V244" s="23" t="str">
        <f>"|MIDDLE:​"&amp;テーブル1[[#This Row],[名前]]</f>
        <v>|MIDDLE:​アマツロイド</v>
      </c>
      <c r="W244" s="23" t="str">
        <f>"|MIDDLE:​"&amp;テーブル1[[#This Row],[なまえ]]</f>
        <v>|MIDDLE:​あまつろいど</v>
      </c>
      <c r="X244" s="23" t="str">
        <f>"|MIDDLE:​"&amp;テーブル1[[#This Row],[Name]]</f>
        <v>|MIDDLE:​Amatsuroid</v>
      </c>
      <c r="Y24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5" s="24" t="s">
        <v>991</v>
      </c>
      <c r="D245" s="23" t="s">
        <v>992</v>
      </c>
      <c r="E245" s="23" t="s">
        <v>993</v>
      </c>
      <c r="F245" s="2" t="s">
        <v>569</v>
      </c>
      <c r="G245" s="23" t="s">
        <v>570</v>
      </c>
      <c r="N245" s="1" t="s">
        <v>1507</v>
      </c>
      <c r="P245" s="24" t="str">
        <f>テーブル1[[#This Row],[リンク]]&amp;テーブル1[[#This Row],[描画状況]]</f>
        <v>https://askdance.wixsite.com/monitor-room/monitor-room</v>
      </c>
      <c r="Q245" s="17">
        <f>1-(COUNTIF(P:P,_xlfn.TEXTJOIN(",",TRUE,テーブル1[[#This Row],[リンク]],テーブル1[[#This Row],[描画状況]]))/COUNTIF(F:F,テーブル1[[#This Row],[リンク]]))</f>
        <v>9.9999999999999978E-2</v>
      </c>
      <c r="R245" s="16">
        <f ca="1">IFERROR(IF(テーブル1[[#This Row],[描画状況]]="",RAND()+(テーブル1[[#This Row],[列2]]*100),""),RAND())</f>
        <v>10.242299010465052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|&amp;image(ameaya-nano.png,width=100,height=100)</v>
      </c>
      <c r="V245" s="23" t="str">
        <f>"|MIDDLE:​"&amp;テーブル1[[#This Row],[名前]]</f>
        <v>|MIDDLE:​天彩渚乃</v>
      </c>
      <c r="W245" s="23" t="str">
        <f>"|MIDDLE:​"&amp;テーブル1[[#This Row],[なまえ]]</f>
        <v>|MIDDLE:​あめあや なの</v>
      </c>
      <c r="X245" s="23" t="str">
        <f>"|MIDDLE:​"&amp;テーブル1[[#This Row],[Name]]</f>
        <v>|MIDDLE:​Ameaya Nano</v>
      </c>
      <c r="Y2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6" s="24" t="s">
        <v>1845</v>
      </c>
      <c r="D246" s="23" t="s">
        <v>1846</v>
      </c>
      <c r="E246" s="23" t="s">
        <v>1847</v>
      </c>
      <c r="F246" s="2" t="s">
        <v>97</v>
      </c>
      <c r="G246" s="23" t="s">
        <v>98</v>
      </c>
      <c r="H246" s="23" t="s">
        <v>1616</v>
      </c>
      <c r="I246" s="23" t="s">
        <v>1848</v>
      </c>
      <c r="L246" s="23" t="s">
        <v>1849</v>
      </c>
      <c r="M246" s="23" t="s">
        <v>1647</v>
      </c>
      <c r="N246" s="1" t="s">
        <v>1507</v>
      </c>
      <c r="P246" s="24" t="str">
        <f>テーブル1[[#This Row],[リンク]]&amp;テーブル1[[#This Row],[描画状況]]</f>
        <v>https://hinagitsune-utau.wixsite.com/utaukokorone</v>
      </c>
      <c r="Q246" s="17">
        <f>1-(COUNTIF(P:P,_xlfn.TEXTJOIN(",",TRUE,テーブル1[[#This Row],[リンク]],テーブル1[[#This Row],[描画状況]]))/COUNTIF(F:F,テーブル1[[#This Row],[リンク]]))</f>
        <v>0.19999999999999996</v>
      </c>
      <c r="R246" s="16">
        <f ca="1">IFERROR(IF(テーブル1[[#This Row],[描画状況]]="",RAND()+(テーブル1[[#This Row],[列2]]*100),""),RAND())</f>
        <v>20.748689690141422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|&amp;image(amaze-maze-noisette.png,width=100,height=100)</v>
      </c>
      <c r="V246" s="23" t="str">
        <f>"|MIDDLE:​"&amp;テーブル1[[#This Row],[名前]]</f>
        <v>|MIDDLE:​アメイズ・メイズ・ノワゼット</v>
      </c>
      <c r="W246" s="23" t="str">
        <f>"|MIDDLE:​"&amp;テーブル1[[#This Row],[なまえ]]</f>
        <v>|MIDDLE:​あめいず めいず のわぜっと</v>
      </c>
      <c r="X246" s="23" t="str">
        <f>"|MIDDLE:​"&amp;テーブル1[[#This Row],[Name]]</f>
        <v>|MIDDLE:​Amaze Maze Noisette</v>
      </c>
      <c r="Y2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7" s="24" t="s">
        <v>949</v>
      </c>
      <c r="D247" s="23" t="s">
        <v>950</v>
      </c>
      <c r="E247" s="23" t="s">
        <v>951</v>
      </c>
      <c r="F247" s="2" t="s">
        <v>673</v>
      </c>
      <c r="G247" s="23" t="s">
        <v>674</v>
      </c>
      <c r="N247" s="1" t="s">
        <v>1507</v>
      </c>
      <c r="P247" s="24" t="str">
        <f>テーブル1[[#This Row],[リンク]]&amp;テーブル1[[#This Row],[描画状況]]</f>
        <v>https://ametro.jimdofree.com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20.312465263679332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|&amp;image(ameuta-nives.png,width=100,height=100)</v>
      </c>
      <c r="V247" s="23" t="str">
        <f>"|MIDDLE:​"&amp;テーブル1[[#This Row],[名前]]</f>
        <v>|MIDDLE:​飴唄ニーヴェス</v>
      </c>
      <c r="W247" s="23" t="str">
        <f>"|MIDDLE:​"&amp;テーブル1[[#This Row],[なまえ]]</f>
        <v>|MIDDLE:​あめうた にーゔぇす</v>
      </c>
      <c r="X247" s="23" t="str">
        <f>"|MIDDLE:​"&amp;テーブル1[[#This Row],[Name]]</f>
        <v>|MIDDLE:​Ameuta Nives</v>
      </c>
      <c r="Y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8" s="24" t="s">
        <v>928</v>
      </c>
      <c r="D248" s="23" t="s">
        <v>929</v>
      </c>
      <c r="E248" s="23" t="s">
        <v>930</v>
      </c>
      <c r="F248" s="2" t="s">
        <v>673</v>
      </c>
      <c r="G248" s="23" t="s">
        <v>674</v>
      </c>
      <c r="N248" s="1" t="s">
        <v>1507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20.630312514845372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|&amp;image(ameuta-niko.png,width=100,height=100)</v>
      </c>
      <c r="V248" s="23" t="str">
        <f>"|MIDDLE:​"&amp;テーブル1[[#This Row],[名前]]</f>
        <v>|MIDDLE:​飴唄仁胡</v>
      </c>
      <c r="W248" s="23" t="str">
        <f>"|MIDDLE:​"&amp;テーブル1[[#This Row],[なまえ]]</f>
        <v>|MIDDLE:​あめうた にこ</v>
      </c>
      <c r="X248" s="23" t="str">
        <f>"|MIDDLE:​"&amp;テーブル1[[#This Row],[Name]]</f>
        <v>|MIDDLE:​Ameuta Niko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9" s="24" t="s">
        <v>934</v>
      </c>
      <c r="D249" s="23" t="s">
        <v>935</v>
      </c>
      <c r="E249" s="23" t="s">
        <v>936</v>
      </c>
      <c r="F249" s="2" t="s">
        <v>673</v>
      </c>
      <c r="G249" s="23" t="s">
        <v>674</v>
      </c>
      <c r="N249" s="1" t="s">
        <v>1507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20.925028274766838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|&amp;image(ameuta-nije.png,width=100,height=100)</v>
      </c>
      <c r="V249" s="23" t="str">
        <f>"|MIDDLE:​"&amp;テーブル1[[#This Row],[名前]]</f>
        <v>|MIDDLE:​飴唄ニジェ</v>
      </c>
      <c r="W249" s="23" t="str">
        <f>"|MIDDLE:​"&amp;テーブル1[[#This Row],[なまえ]]</f>
        <v>|MIDDLE:​あめうた にじぇ</v>
      </c>
      <c r="X249" s="23" t="str">
        <f>"|MIDDLE:​"&amp;テーブル1[[#This Row],[Name]]</f>
        <v>|MIDDLE:​Ameuta Nije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0" s="24" t="s">
        <v>952</v>
      </c>
      <c r="D250" s="23" t="s">
        <v>953</v>
      </c>
      <c r="E250" s="23" t="s">
        <v>954</v>
      </c>
      <c r="F250" s="2" t="s">
        <v>673</v>
      </c>
      <c r="G250" s="23" t="s">
        <v>674</v>
      </c>
      <c r="N250" s="1" t="s">
        <v>1507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20.756490045431836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|&amp;image(ameuta-nisen.png,width=100,height=100)</v>
      </c>
      <c r="V250" s="23" t="str">
        <f>"|MIDDLE:​"&amp;テーブル1[[#This Row],[名前]]</f>
        <v>|MIDDLE:​飴唄2000</v>
      </c>
      <c r="W250" s="23" t="str">
        <f>"|MIDDLE:​"&amp;テーブル1[[#This Row],[なまえ]]</f>
        <v>|MIDDLE:​あめうた にせん</v>
      </c>
      <c r="X250" s="23" t="str">
        <f>"|MIDDLE:​"&amp;テーブル1[[#This Row],[Name]]</f>
        <v>|MIDDLE:​Ameuta Nisen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1" s="24" t="s">
        <v>937</v>
      </c>
      <c r="D251" s="23" t="s">
        <v>938</v>
      </c>
      <c r="E251" s="23" t="s">
        <v>939</v>
      </c>
      <c r="F251" s="2" t="s">
        <v>673</v>
      </c>
      <c r="G251" s="23" t="s">
        <v>674</v>
      </c>
      <c r="N251" s="1" t="s">
        <v>1507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20.1204754558348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|&amp;image(ameuta-nina.png,width=100,height=100)</v>
      </c>
      <c r="V251" s="23" t="str">
        <f>"|MIDDLE:​"&amp;テーブル1[[#This Row],[名前]]</f>
        <v>|MIDDLE:​飴唄ニナ</v>
      </c>
      <c r="W251" s="23" t="str">
        <f>"|MIDDLE:​"&amp;テーブル1[[#This Row],[なまえ]]</f>
        <v>|MIDDLE:​あめうた にな</v>
      </c>
      <c r="X251" s="23" t="str">
        <f>"|MIDDLE:​"&amp;テーブル1[[#This Row],[Name]]</f>
        <v>|MIDDLE:​Ameuta Nina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2" s="24" t="s">
        <v>946</v>
      </c>
      <c r="D252" s="23" t="s">
        <v>947</v>
      </c>
      <c r="E252" s="23" t="s">
        <v>948</v>
      </c>
      <c r="F252" s="2" t="s">
        <v>673</v>
      </c>
      <c r="G252" s="23" t="s">
        <v>674</v>
      </c>
      <c r="N252" s="1" t="s">
        <v>1507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20.103259412861302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|&amp;image(ameuta-ninon.png,width=100,height=100)</v>
      </c>
      <c r="V252" s="23" t="str">
        <f>"|MIDDLE:​"&amp;テーブル1[[#This Row],[名前]]</f>
        <v>|MIDDLE:​飴唄ニノン</v>
      </c>
      <c r="W252" s="23" t="str">
        <f>"|MIDDLE:​"&amp;テーブル1[[#This Row],[なまえ]]</f>
        <v>|MIDDLE:​あめうた にのん</v>
      </c>
      <c r="X252" s="23" t="str">
        <f>"|MIDDLE:​"&amp;テーブル1[[#This Row],[Name]]</f>
        <v>|MIDDLE:​Ameuta Ninon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3" s="24" t="s">
        <v>766</v>
      </c>
      <c r="D253" s="23" t="s">
        <v>767</v>
      </c>
      <c r="E253" s="23" t="s">
        <v>768</v>
      </c>
      <c r="F253" s="2" t="s">
        <v>673</v>
      </c>
      <c r="G253" s="23" t="s">
        <v>674</v>
      </c>
      <c r="N253" s="1" t="s">
        <v>1507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20.243691632763419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|&amp;image(ameuta-nihito.png,width=100,height=100)</v>
      </c>
      <c r="V253" s="23" t="str">
        <f>"|MIDDLE:​"&amp;テーブル1[[#This Row],[名前]]</f>
        <v>|MIDDLE:​飴唄ニヒト</v>
      </c>
      <c r="W253" s="23" t="str">
        <f>"|MIDDLE:​"&amp;テーブル1[[#This Row],[なまえ]]</f>
        <v>|MIDDLE:​あめうた にひと</v>
      </c>
      <c r="X253" s="23" t="str">
        <f>"|MIDDLE:​"&amp;テーブル1[[#This Row],[Name]]</f>
        <v>|MIDDLE:​Ameuta Nihito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4" s="24" t="s">
        <v>919</v>
      </c>
      <c r="D254" s="23" t="s">
        <v>920</v>
      </c>
      <c r="E254" s="23" t="s">
        <v>921</v>
      </c>
      <c r="F254" s="2" t="s">
        <v>673</v>
      </c>
      <c r="G254" s="23" t="s">
        <v>674</v>
      </c>
      <c r="N254" s="1" t="s">
        <v>1507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20.775900414294195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|&amp;image(ameuta-nipo.png,width=100,height=100)</v>
      </c>
      <c r="V254" s="23" t="str">
        <f>"|MIDDLE:​"&amp;テーブル1[[#This Row],[名前]]</f>
        <v>|MIDDLE:​飴唄にぽ</v>
      </c>
      <c r="W254" s="23" t="str">
        <f>"|MIDDLE:​"&amp;テーブル1[[#This Row],[なまえ]]</f>
        <v>|MIDDLE:​あめうた にぽ</v>
      </c>
      <c r="X254" s="23" t="str">
        <f>"|MIDDLE:​"&amp;テーブル1[[#This Row],[Name]]</f>
        <v>|MIDDLE:​Ameuta Nipo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5" s="24" t="s">
        <v>943</v>
      </c>
      <c r="D255" s="23" t="s">
        <v>944</v>
      </c>
      <c r="E255" s="23" t="s">
        <v>945</v>
      </c>
      <c r="F255" s="2" t="s">
        <v>673</v>
      </c>
      <c r="G255" s="23" t="s">
        <v>674</v>
      </c>
      <c r="N255" s="1" t="s">
        <v>1507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20.287849837340566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|&amp;image(ameuta-niyusu.png,width=100,height=100)</v>
      </c>
      <c r="V255" s="23" t="str">
        <f>"|MIDDLE:​"&amp;テーブル1[[#This Row],[名前]]</f>
        <v>|MIDDLE:​飴唄ニユス</v>
      </c>
      <c r="W255" s="23" t="str">
        <f>"|MIDDLE:​"&amp;テーブル1[[#This Row],[なまえ]]</f>
        <v>|MIDDLE:​あめうた にゆす</v>
      </c>
      <c r="X255" s="23" t="str">
        <f>"|MIDDLE:​"&amp;テーブル1[[#This Row],[Name]]</f>
        <v>|MIDDLE:​Ameuta Niyusu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6" s="24" t="s">
        <v>940</v>
      </c>
      <c r="D256" s="23" t="s">
        <v>941</v>
      </c>
      <c r="E256" s="23" t="s">
        <v>942</v>
      </c>
      <c r="F256" s="2" t="s">
        <v>673</v>
      </c>
      <c r="G256" s="23" t="s">
        <v>674</v>
      </c>
      <c r="N256" s="1" t="s">
        <v>1507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20.099328250172075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|&amp;image(ameuta-niriya.png,width=100,height=100)</v>
      </c>
      <c r="V256" s="23" t="str">
        <f>"|MIDDLE:​"&amp;テーブル1[[#This Row],[名前]]</f>
        <v>|MIDDLE:​飴唄ニリヤ</v>
      </c>
      <c r="W256" s="23" t="str">
        <f>"|MIDDLE:​"&amp;テーブル1[[#This Row],[なまえ]]</f>
        <v>|MIDDLE:​あめうた にりや</v>
      </c>
      <c r="X256" s="23" t="str">
        <f>"|MIDDLE:​"&amp;テーブル1[[#This Row],[Name]]</f>
        <v>|MIDDLE:​Ameuta Niriya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7" s="24" t="s">
        <v>931</v>
      </c>
      <c r="D257" s="23" t="s">
        <v>932</v>
      </c>
      <c r="E257" s="23" t="s">
        <v>933</v>
      </c>
      <c r="F257" s="2" t="s">
        <v>673</v>
      </c>
      <c r="G257" s="23" t="s">
        <v>674</v>
      </c>
      <c r="N257" s="1" t="s">
        <v>1507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20.897752230737169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|&amp;image(ameuta-niru.png,width=100,height=100)</v>
      </c>
      <c r="V257" s="23" t="str">
        <f>"|MIDDLE:​"&amp;テーブル1[[#This Row],[名前]]</f>
        <v>|MIDDLE:​飴唄ニル</v>
      </c>
      <c r="W257" s="23" t="str">
        <f>"|MIDDLE:​"&amp;テーブル1[[#This Row],[なまえ]]</f>
        <v>|MIDDLE:​あめうた にる</v>
      </c>
      <c r="X257" s="23" t="str">
        <f>"|MIDDLE:​"&amp;テーブル1[[#This Row],[Name]]</f>
        <v>|MIDDLE:​Ameuta Niru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8" s="24" t="s">
        <v>1121</v>
      </c>
      <c r="D258" s="23" t="s">
        <v>1123</v>
      </c>
      <c r="E258" s="23" t="s">
        <v>1122</v>
      </c>
      <c r="F258" s="15" t="s">
        <v>1139</v>
      </c>
      <c r="G258" s="23" t="str">
        <f>テーブル1[[#This Row],[名前]]&amp;"(UTAU)"</f>
        <v>斐音ハチカ(UTAU)</v>
      </c>
      <c r="P258" s="24" t="str">
        <f>テーブル1[[#This Row],[リンク]]&amp;テーブル1[[#This Row],[描画状況]]</f>
        <v>https://yautau.wixsite.com/0909</v>
      </c>
      <c r="Q258" s="17">
        <f>1-(COUNTIF(P:P,_xlfn.TEXTJOIN(",",TRUE,テーブル1[[#This Row],[リンク]],テーブル1[[#This Row],[描画状況]]))/COUNTIF(F:F,テーブル1[[#This Row],[リンク]]))</f>
        <v>0.125</v>
      </c>
      <c r="R258" s="16">
        <f ca="1">IFERROR(IF(テーブル1[[#This Row],[描画状況]]="",RAND()+(テーブル1[[#This Row],[列2]]*100),""),RAND())</f>
        <v>13.234664146887873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|&amp;image(ayarune-hachika.png,width=100,height=100)</v>
      </c>
      <c r="V258" s="23" t="str">
        <f>"|MIDDLE:​"&amp;テーブル1[[#This Row],[名前]]</f>
        <v>|MIDDLE:​斐音ハチカ</v>
      </c>
      <c r="W258" s="23" t="str">
        <f>"|MIDDLE:​"&amp;テーブル1[[#This Row],[なまえ]]</f>
        <v>|MIDDLE:​あやるね はちか</v>
      </c>
      <c r="X258" s="23" t="str">
        <f>"|MIDDLE:​"&amp;テーブル1[[#This Row],[Name]]</f>
        <v>|MIDDLE:​Ayarune Hachika</v>
      </c>
      <c r="Y258" s="23" t="str">
        <f>"|MIDDLE:​&amp;link(配布所はこちら){​"&amp;テーブル1[[#This Row],[リンク]]&amp;"}|"</f>
        <v>|MIDDLE:​&amp;link(配布所はこちら){​https://yautau.wixsite.com/0909}|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9" s="24" t="s">
        <v>819</v>
      </c>
      <c r="D259" s="23" t="s">
        <v>820</v>
      </c>
      <c r="E259" s="23" t="s">
        <v>821</v>
      </c>
      <c r="F259" s="2" t="s">
        <v>811</v>
      </c>
      <c r="G259" s="23" t="s">
        <v>812</v>
      </c>
      <c r="P259" s="24" t="str">
        <f>テーブル1[[#This Row],[リンク]]&amp;テーブル1[[#This Row],[描画状況]]</f>
        <v>https://makurakue.wixsite.com/kemononokemono</v>
      </c>
      <c r="Q259" s="17">
        <f>1-(COUNTIF(P:P,_xlfn.TEXTJOIN(",",TRUE,テーブル1[[#This Row],[リンク]],テーブル1[[#This Row],[描画状況]]))/COUNTIF(F:F,テーブル1[[#This Row],[リンク]]))</f>
        <v>0.4</v>
      </c>
      <c r="R259" s="16">
        <f ca="1">IFERROR(IF(テーブル1[[#This Row],[描画状況]]="",RAND()+(テーブル1[[#This Row],[列2]]*100),""),RAND())</f>
        <v>40.196835479839663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|&amp;image(alia.png,width=100,height=100)</v>
      </c>
      <c r="V259" s="23" t="str">
        <f>"|MIDDLE:​"&amp;テーブル1[[#This Row],[名前]]</f>
        <v>|MIDDLE:​アリア</v>
      </c>
      <c r="W259" s="23" t="str">
        <f>"|MIDDLE:​"&amp;テーブル1[[#This Row],[なまえ]]</f>
        <v>|MIDDLE:​ありあ</v>
      </c>
      <c r="X259" s="23" t="str">
        <f>"|MIDDLE:​"&amp;テーブル1[[#This Row],[Name]]</f>
        <v>|MIDDLE:​Alia</v>
      </c>
      <c r="Y2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0" s="24" t="s">
        <v>1076</v>
      </c>
      <c r="D260" s="23" t="s">
        <v>1077</v>
      </c>
      <c r="E260" s="23" t="s">
        <v>1078</v>
      </c>
      <c r="F260" s="15" t="s">
        <v>1062</v>
      </c>
      <c r="G260" s="23" t="s">
        <v>1063</v>
      </c>
      <c r="P260" s="24" t="str">
        <f>テーブル1[[#This Row],[リンク]]&amp;テーブル1[[#This Row],[描画状況]]</f>
        <v>https://yukimiyashimusho.jimdofree.com</v>
      </c>
      <c r="Q260" s="17">
        <f>1-(COUNTIF(P:P,_xlfn.TEXTJOIN(",",TRUE,テーブル1[[#This Row],[リンク]],テーブル1[[#This Row],[描画状況]]))/COUNTIF(F:F,テーブル1[[#This Row],[リンク]]))</f>
        <v>7.1428571428571397E-2</v>
      </c>
      <c r="R260" s="16">
        <f ca="1">IFERROR(IF(テーブル1[[#This Row],[描画状況]]="",RAND()+(テーブル1[[#This Row],[列2]]*100),""),RAND())</f>
        <v>7.9675738893789934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|&amp;image(awaawa-chan.png,width=100,height=100)</v>
      </c>
      <c r="V260" s="23" t="str">
        <f>"|MIDDLE:​"&amp;テーブル1[[#This Row],[名前]]</f>
        <v>|MIDDLE:​粟沫ちゃん</v>
      </c>
      <c r="W260" s="23" t="str">
        <f>"|MIDDLE:​"&amp;テーブル1[[#This Row],[なまえ]]</f>
        <v>|MIDDLE:​あわあわちゃん</v>
      </c>
      <c r="X260" s="23" t="str">
        <f>"|MIDDLE:​"&amp;テーブル1[[#This Row],[Name]]</f>
        <v>|MIDDLE:​Awaawa-chan</v>
      </c>
      <c r="Y260" s="23" t="str">
        <f>"|MIDDLE:​&amp;link(配布所はこちら){​"&amp;テーブル1[[#This Row],[リンク]]&amp;"}|"</f>
        <v>|MIDDLE:​&amp;link(配布所はこちら){​https://yukimiyashimusho.jimdofree.com}|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1" s="24" t="s">
        <v>656</v>
      </c>
      <c r="D261" s="23" t="s">
        <v>657</v>
      </c>
      <c r="E261" s="23" t="s">
        <v>658</v>
      </c>
      <c r="F261" s="2" t="s">
        <v>655</v>
      </c>
      <c r="G261" s="23" t="s">
        <v>659</v>
      </c>
      <c r="P261" s="24" t="str">
        <f>テーブル1[[#This Row],[リンク]]&amp;テーブル1[[#This Row],[描画状況]]</f>
        <v>https://mashimo0330.wixsite.com/awaka-utau</v>
      </c>
      <c r="Q261" s="17">
        <f>1-(COUNTIF(P:P,_xlfn.TEXTJOIN(",",TRUE,テーブル1[[#This Row],[リンク]],テーブル1[[#This Row],[描画状況]]))/COUNTIF(F:F,テーブル1[[#This Row],[リンク]]))</f>
        <v>0.5</v>
      </c>
      <c r="R261" s="16">
        <f ca="1">IFERROR(IF(テーブル1[[#This Row],[描画状況]]="",RAND()+(テーブル1[[#This Row],[列2]]*100),""),RAND())</f>
        <v>50.346688475517915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|&amp;image(awaka-mizuha.png,width=100,height=100)</v>
      </c>
      <c r="V261" s="23" t="str">
        <f>"|MIDDLE:​"&amp;テーブル1[[#This Row],[名前]]</f>
        <v>|MIDDLE:​泡歌ミズハ</v>
      </c>
      <c r="W261" s="23" t="str">
        <f>"|MIDDLE:​"&amp;テーブル1[[#This Row],[なまえ]]</f>
        <v>|MIDDLE:​あわか みずは</v>
      </c>
      <c r="X261" s="23" t="str">
        <f>"|MIDDLE:​"&amp;テーブル1[[#This Row],[Name]]</f>
        <v>|MIDDLE:​Awaka Mizuha</v>
      </c>
      <c r="Y261" s="23" t="str">
        <f>"|MIDDLE:​&amp;link(配布所はこちら){​"&amp;テーブル1[[#This Row],[リンク]]&amp;"}|"</f>
        <v>|MIDDLE:​&amp;link(配布所はこちら){​https://mashimo0330.wixsite.com/awaka-utau}|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2" s="24" t="s">
        <v>1147</v>
      </c>
      <c r="D262" s="23" t="s">
        <v>1148</v>
      </c>
      <c r="E262" s="23" t="s">
        <v>1149</v>
      </c>
      <c r="F262" s="15" t="s">
        <v>1140</v>
      </c>
      <c r="G262" s="23" t="s">
        <v>1153</v>
      </c>
      <c r="P262" s="24" t="str">
        <f>テーブル1[[#This Row],[リンク]]&amp;テーブル1[[#This Row],[描画状況]]</f>
        <v>https://sites.google.com/view/report1023</v>
      </c>
      <c r="Q262" s="17">
        <f>1-(COUNTIF(P:P,_xlfn.TEXTJOIN(",",TRUE,テーブル1[[#This Row],[リンク]],テーブル1[[#This Row],[描画状況]]))/COUNTIF(F:F,テーブル1[[#This Row],[リンク]]))</f>
        <v>0</v>
      </c>
      <c r="R262" s="16">
        <f ca="1">IFERROR(IF(テーブル1[[#This Row],[描画状況]]="",RAND()+(テーブル1[[#This Row],[列2]]*100),""),RAND())</f>
        <v>0.21030080927563877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|&amp;image(ion-moka.png,width=100,height=100)</v>
      </c>
      <c r="V262" s="23" t="str">
        <f>"|MIDDLE:​"&amp;テーブル1[[#This Row],[名前]]</f>
        <v>|MIDDLE:​唯音文歌</v>
      </c>
      <c r="W262" s="23" t="str">
        <f>"|MIDDLE:​"&amp;テーブル1[[#This Row],[なまえ]]</f>
        <v>|MIDDLE:​いおん もか</v>
      </c>
      <c r="X262" s="23" t="str">
        <f>"|MIDDLE:​"&amp;テーブル1[[#This Row],[Name]]</f>
        <v>|MIDDLE:​Ion Moka</v>
      </c>
      <c r="Y262" s="23" t="str">
        <f>"|MIDDLE:​&amp;link(配布所はこちら){​"&amp;テーブル1[[#This Row],[リンク]]&amp;"}|"</f>
        <v>|MIDDLE:​&amp;link(配布所はこちら){​https://sites.google.com/view/report1023}|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3" s="24" t="s">
        <v>1141</v>
      </c>
      <c r="D263" s="23" t="s">
        <v>1142</v>
      </c>
      <c r="E263" s="23" t="s">
        <v>1143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0.629002670174583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|&amp;image(ion-rika.png,width=100,height=100)</v>
      </c>
      <c r="V263" s="23" t="str">
        <f>"|MIDDLE:​"&amp;テーブル1[[#This Row],[名前]]</f>
        <v>|MIDDLE:​唯音理歌</v>
      </c>
      <c r="W263" s="23" t="str">
        <f>"|MIDDLE:​"&amp;テーブル1[[#This Row],[なまえ]]</f>
        <v>|MIDDLE:​いおん りか</v>
      </c>
      <c r="X263" s="23" t="str">
        <f>"|MIDDLE:​"&amp;テーブル1[[#This Row],[Name]]</f>
        <v>|MIDDLE:​Ion Rika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4" s="24" t="s">
        <v>1097</v>
      </c>
      <c r="D264" s="23" t="s">
        <v>1098</v>
      </c>
      <c r="E264" s="23" t="s">
        <v>1099</v>
      </c>
      <c r="F264" s="15" t="s">
        <v>1062</v>
      </c>
      <c r="G264" s="23" t="s">
        <v>1063</v>
      </c>
      <c r="P264" s="24" t="str">
        <f>テーブル1[[#This Row],[リンク]]&amp;テーブル1[[#This Row],[描画状況]]</f>
        <v>https://yukimiyashimusho.jimdofree.com</v>
      </c>
      <c r="Q264" s="17">
        <f>1-(COUNTIF(P:P,_xlfn.TEXTJOIN(",",TRUE,テーブル1[[#This Row],[リンク]],テーブル1[[#This Row],[描画状況]]))/COUNTIF(F:F,テーブル1[[#This Row],[リンク]]))</f>
        <v>7.1428571428571397E-2</v>
      </c>
      <c r="R264" s="16">
        <f ca="1">IFERROR(IF(テーブル1[[#This Row],[描画状況]]="",RAND()+(テーブル1[[#This Row],[列2]]*100),""),RAND())</f>
        <v>7.2123264259286275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|&amp;image(ikuuta-sein.png,width=100,height=100)</v>
      </c>
      <c r="V264" s="23" t="str">
        <f>"|MIDDLE:​"&amp;テーブル1[[#This Row],[名前]]</f>
        <v>|MIDDLE:​郁歌セイン</v>
      </c>
      <c r="W264" s="23" t="str">
        <f>"|MIDDLE:​"&amp;テーブル1[[#This Row],[なまえ]]</f>
        <v>|MIDDLE:​いくうた せいん</v>
      </c>
      <c r="X264" s="23" t="str">
        <f>"|MIDDLE:​"&amp;テーブル1[[#This Row],[Name]]</f>
        <v>|MIDDLE:​Ikuuta Sein</v>
      </c>
      <c r="Y264" s="23" t="str">
        <f>"|MIDDLE:​&amp;link(配布所はこちら){​"&amp;テーブル1[[#This Row],[リンク]]&amp;"}|"</f>
        <v>|MIDDLE:​&amp;link(配布所はこちら){​https://yukimiyashimusho.jimdofree.com}|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5" s="24" t="s">
        <v>553</v>
      </c>
      <c r="D265" s="23" t="s">
        <v>554</v>
      </c>
      <c r="E265" s="23" t="s">
        <v>555</v>
      </c>
      <c r="F265" s="2" t="s">
        <v>556</v>
      </c>
      <c r="G265" s="23" t="str">
        <f>テーブル1[[#This Row],[名前]]&amp;"(UTAU)"</f>
        <v>悪戯セト(UTAU)</v>
      </c>
      <c r="N265" s="1" t="s">
        <v>1507</v>
      </c>
      <c r="P265" s="24" t="str">
        <f>テーブル1[[#This Row],[リンク]]&amp;テーブル1[[#This Row],[描画状況]]</f>
        <v>https://bowlroll.net/user/700434</v>
      </c>
      <c r="Q265" s="17">
        <f>1-(COUNTIF(P:P,_xlfn.TEXTJOIN(",",TRUE,テーブル1[[#This Row],[リンク]],テーブル1[[#This Row],[描画状況]]))/COUNTIF(F:F,テーブル1[[#This Row],[リンク]]))</f>
        <v>0.5</v>
      </c>
      <c r="R265" s="16">
        <f ca="1">IFERROR(IF(テーブル1[[#This Row],[描画状況]]="",RAND()+(テーブル1[[#This Row],[列2]]*100),""),RAND())</f>
        <v>50.376689683291453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|&amp;image(itazura-seto.png,width=100,height=100)</v>
      </c>
      <c r="V265" s="23" t="str">
        <f>"|MIDDLE:​"&amp;テーブル1[[#This Row],[名前]]</f>
        <v>|MIDDLE:​悪戯セト</v>
      </c>
      <c r="W265" s="23" t="str">
        <f>"|MIDDLE:​"&amp;テーブル1[[#This Row],[なまえ]]</f>
        <v>|MIDDLE:​いたずら せと</v>
      </c>
      <c r="X265" s="23" t="str">
        <f>"|MIDDLE:​"&amp;テーブル1[[#This Row],[Name]]</f>
        <v>|MIDDLE:​Itazura Seto</v>
      </c>
      <c r="Y265" s="23" t="str">
        <f>"|MIDDLE:​&amp;link(配布所はこちら){​"&amp;テーブル1[[#This Row],[リンク]]&amp;"}|"</f>
        <v>|MIDDLE:​&amp;link(配布所はこちら){​https://bowlroll.net/user/700434}|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6" s="24" t="s">
        <v>915</v>
      </c>
      <c r="D266" s="23" t="s">
        <v>917</v>
      </c>
      <c r="E266" s="23" t="s">
        <v>918</v>
      </c>
      <c r="F266" s="23" t="s">
        <v>418</v>
      </c>
      <c r="G266" s="23" t="s">
        <v>916</v>
      </c>
      <c r="P266" s="24" t="str">
        <f>テーブル1[[#This Row],[リンク]]&amp;テーブル1[[#This Row],[描画状況]]</f>
        <v>-</v>
      </c>
      <c r="Q266" s="17">
        <f>1-(COUNTIF(P:P,_xlfn.TEXTJOIN(",",TRUE,テーブル1[[#This Row],[リンク]],テーブル1[[#This Row],[描画状況]]))/COUNTIF(F:F,テーブル1[[#This Row],[リンク]]))</f>
        <v>0.33333333333333337</v>
      </c>
      <c r="R266" s="16">
        <f ca="1">IFERROR(IF(テーブル1[[#This Row],[描画状況]]="",RAND()+(テーブル1[[#This Row],[列2]]*100),""),RAND())</f>
        <v>33.528115116173915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|&amp;image(itokuri-samayu.png,width=100,height=100)</v>
      </c>
      <c r="V266" s="23" t="str">
        <f>"|MIDDLE:​"&amp;テーブル1[[#This Row],[名前]]</f>
        <v>|MIDDLE:​糸來さまゆ</v>
      </c>
      <c r="W266" s="23" t="str">
        <f>"|MIDDLE:​"&amp;テーブル1[[#This Row],[なまえ]]</f>
        <v>|MIDDLE:​いとくり さまゆ</v>
      </c>
      <c r="X266" s="23" t="str">
        <f>"|MIDDLE:​"&amp;テーブル1[[#This Row],[Name]]</f>
        <v>|MIDDLE:​Itokuri Samayu</v>
      </c>
      <c r="Y266" s="23" t="str">
        <f>"|MIDDLE:​&amp;link(配布所はこちら){​"&amp;テーブル1[[#This Row],[リンク]]&amp;"}|"</f>
        <v>|MIDDLE:​&amp;link(配布所はこちら){​-}|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7" s="24" t="s">
        <v>1059</v>
      </c>
      <c r="D267" s="23" t="s">
        <v>1060</v>
      </c>
      <c r="E267" s="23" t="s">
        <v>1061</v>
      </c>
      <c r="F267" s="15" t="s">
        <v>1062</v>
      </c>
      <c r="G267" s="23" t="s">
        <v>1063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8.0433284277432922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|&amp;image(usone-kuro.png,width=100,height=100)</v>
      </c>
      <c r="V267" s="23" t="str">
        <f>"|MIDDLE:​"&amp;テーブル1[[#This Row],[名前]]</f>
        <v>|MIDDLE:​噓音クロ</v>
      </c>
      <c r="W267" s="23" t="str">
        <f>"|MIDDLE:​"&amp;テーブル1[[#This Row],[なまえ]]</f>
        <v>|MIDDLE:​うそね くろ</v>
      </c>
      <c r="X267" s="23" t="str">
        <f>"|MIDDLE:​"&amp;テーブル1[[#This Row],[Name]]</f>
        <v>|MIDDLE:​Usone Kuro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8" s="24" t="s">
        <v>1204</v>
      </c>
      <c r="D268" s="23" t="s">
        <v>1220</v>
      </c>
      <c r="E268" s="23" t="s">
        <v>1219</v>
      </c>
      <c r="F268" s="15" t="s">
        <v>336</v>
      </c>
      <c r="G268" s="23" t="s">
        <v>337</v>
      </c>
      <c r="P268" s="24" t="str">
        <f>テーブル1[[#This Row],[リンク]]&amp;テーブル1[[#This Row],[描画状況]]</f>
        <v>https://torinosu-hikikomori.jimdofree.com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13.1772796438381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|&amp;image(uta-senshi.png,width=100,height=100)</v>
      </c>
      <c r="V268" s="23" t="str">
        <f>"|MIDDLE:​"&amp;テーブル1[[#This Row],[名前]]</f>
        <v>|MIDDLE:​UTA戦死</v>
      </c>
      <c r="W268" s="23" t="str">
        <f>"|MIDDLE:​"&amp;テーブル1[[#This Row],[なまえ]]</f>
        <v>|MIDDLE:​うた せんし</v>
      </c>
      <c r="X268" s="23" t="str">
        <f>"|MIDDLE:​"&amp;テーブル1[[#This Row],[Name]]</f>
        <v>|MIDDLE:​Uta Senshi</v>
      </c>
      <c r="Y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9" s="24" t="s">
        <v>1203</v>
      </c>
      <c r="D269" s="23" t="s">
        <v>1218</v>
      </c>
      <c r="E269" s="23" t="s">
        <v>1217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13.487186373049706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|&amp;image(uta-tuufuu.png,width=100,height=100)</v>
      </c>
      <c r="V269" s="23" t="str">
        <f>"|MIDDLE:​"&amp;テーブル1[[#This Row],[名前]]</f>
        <v>|MIDDLE:​UTA痛風</v>
      </c>
      <c r="W269" s="23" t="str">
        <f>"|MIDDLE:​"&amp;テーブル1[[#This Row],[なまえ]]</f>
        <v>|MIDDLE:​うた つうふう</v>
      </c>
      <c r="X269" s="23" t="str">
        <f>"|MIDDLE:​"&amp;テーブル1[[#This Row],[Name]]</f>
        <v>|MIDDLE:​Uta Tuufuu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0" s="24" t="s">
        <v>1202</v>
      </c>
      <c r="D270" s="23" t="s">
        <v>1215</v>
      </c>
      <c r="E270" s="23" t="s">
        <v>1214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13.267790869830005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|&amp;image(uta-naitou.png,width=100,height=100)</v>
      </c>
      <c r="V270" s="23" t="str">
        <f>"|MIDDLE:​"&amp;テーブル1[[#This Row],[名前]]</f>
        <v>|MIDDLE:​UTA内藤</v>
      </c>
      <c r="W270" s="23" t="str">
        <f>"|MIDDLE:​"&amp;テーブル1[[#This Row],[なまえ]]</f>
        <v>|MIDDLE:​うた ないとう</v>
      </c>
      <c r="X270" s="23" t="str">
        <f>"|MIDDLE:​"&amp;テーブル1[[#This Row],[Name]]</f>
        <v>|MIDDLE:​Uta Naitou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1" s="24" t="s">
        <v>525</v>
      </c>
      <c r="D271" s="23" t="s">
        <v>526</v>
      </c>
      <c r="E271" s="28" t="s">
        <v>527</v>
      </c>
      <c r="F271" s="2" t="s">
        <v>216</v>
      </c>
      <c r="G271" s="23" t="s">
        <v>217</v>
      </c>
      <c r="H271" s="23" t="s">
        <v>1617</v>
      </c>
      <c r="I271" s="23" t="s">
        <v>1639</v>
      </c>
      <c r="K271" s="23" t="s">
        <v>1776</v>
      </c>
      <c r="L271" s="23" t="s">
        <v>1627</v>
      </c>
      <c r="M271" s="23" t="s">
        <v>1650</v>
      </c>
      <c r="N271" s="1" t="s">
        <v>1579</v>
      </c>
      <c r="P271" s="24" t="str">
        <f>テーブル1[[#This Row],[リンク]]&amp;テーブル1[[#This Row],[描画状況]]</f>
        <v>https://moqujc.wixsite.com/mqtop</v>
      </c>
      <c r="Q271" s="17">
        <f>1-(COUNTIF(P:P,_xlfn.TEXTJOIN(",",TRUE,テーブル1[[#This Row],[リンク]],テーブル1[[#This Row],[描画状況]]))/COUNTIF(F:F,テーブル1[[#This Row],[リンク]]))</f>
        <v>0.75</v>
      </c>
      <c r="R271" s="16">
        <f ca="1">IFERROR(IF(テーブル1[[#This Row],[描画状況]]="",RAND()+(テーブル1[[#This Row],[列2]]*100),""),RAND())</f>
        <v>75.721983509252226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|&amp;image(eke.png,width=100,height=100)</v>
      </c>
      <c r="V271" s="23" t="str">
        <f>"|MIDDLE:​"&amp;テーブル1[[#This Row],[名前]]</f>
        <v>|MIDDLE:​Akerr</v>
      </c>
      <c r="W271" s="23" t="str">
        <f>"|MIDDLE:​"&amp;テーブル1[[#This Row],[なまえ]]</f>
        <v>|MIDDLE:​えーけー</v>
      </c>
      <c r="X271" s="23" t="str">
        <f>"|MIDDLE:​"&amp;テーブル1[[#This Row],[Name]]</f>
        <v>|MIDDLE:​eke</v>
      </c>
      <c r="Y271" s="23" t="str">
        <f>"|MIDDLE:​&amp;link(配布所はこちら){​"&amp;テーブル1[[#This Row],[リンク]]&amp;"}|"</f>
        <v>|MIDDLE:​&amp;link(配布所はこちら){​https://moqujc.wixsite.com/mqtop}|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2" s="24" t="s">
        <v>850</v>
      </c>
      <c r="D272" s="23" t="s">
        <v>851</v>
      </c>
      <c r="E272" s="23" t="s">
        <v>854</v>
      </c>
      <c r="F272" s="2" t="s">
        <v>830</v>
      </c>
      <c r="G272" s="23" t="s">
        <v>831</v>
      </c>
      <c r="P272" s="24" t="str">
        <f>テーブル1[[#This Row],[リンク]]&amp;テーブル1[[#This Row],[描画状況]]</f>
        <v>https://kaedekatusaki.wixsite.com/yanagiroutyou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13.051961250828407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|&amp;image(ekida-mari.png,width=100,height=100)</v>
      </c>
      <c r="V272" s="23" t="str">
        <f>"|MIDDLE:​"&amp;テーブル1[[#This Row],[名前]]</f>
        <v>|MIDDLE:​柄木田真理</v>
      </c>
      <c r="W272" s="23" t="str">
        <f>"|MIDDLE:​"&amp;テーブル1[[#This Row],[なまえ]]</f>
        <v>|MIDDLE:​えきだ まり</v>
      </c>
      <c r="X272" s="23" t="str">
        <f>"|MIDDLE:​"&amp;テーブル1[[#This Row],[Name]]</f>
        <v>|MIDDLE:​Ekida Mari</v>
      </c>
      <c r="Y27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3" s="24" t="s">
        <v>852</v>
      </c>
      <c r="D273" s="23" t="s">
        <v>853</v>
      </c>
      <c r="E273" s="23" t="s">
        <v>855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12.529081502755949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|&amp;image(ekida-rima.png,width=100,height=100)</v>
      </c>
      <c r="V273" s="23" t="str">
        <f>"|MIDDLE:​"&amp;テーブル1[[#This Row],[名前]]</f>
        <v>|MIDDLE:​柄木田理真</v>
      </c>
      <c r="W273" s="23" t="str">
        <f>"|MIDDLE:​"&amp;テーブル1[[#This Row],[なまえ]]</f>
        <v>|MIDDLE:​えきだ りま</v>
      </c>
      <c r="X273" s="23" t="str">
        <f>"|MIDDLE:​"&amp;テーブル1[[#This Row],[Name]]</f>
        <v>|MIDDLE:​Ekida Rima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4" s="24" t="s">
        <v>1442</v>
      </c>
      <c r="D274" s="23" t="s">
        <v>1442</v>
      </c>
      <c r="E274" s="23" t="s">
        <v>1443</v>
      </c>
      <c r="F274" s="15" t="s">
        <v>1437</v>
      </c>
      <c r="G274" s="23" t="s">
        <v>1438</v>
      </c>
      <c r="P274" s="24" t="str">
        <f>テーブル1[[#This Row],[リンク]]&amp;テーブル1[[#This Row],[描画状況]]</f>
        <v>https://bowlroll.net/user/992955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5.6057531756342205E-2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|&amp;image(elmarie.png,width=100,height=100)</v>
      </c>
      <c r="V274" s="23" t="str">
        <f>"|MIDDLE:​"&amp;テーブル1[[#This Row],[名前]]</f>
        <v>|MIDDLE:​えるまりー</v>
      </c>
      <c r="W274" s="23" t="str">
        <f>"|MIDDLE:​"&amp;テーブル1[[#This Row],[なまえ]]</f>
        <v>|MIDDLE:​えるまりー</v>
      </c>
      <c r="X274" s="23" t="str">
        <f>"|MIDDLE:​"&amp;テーブル1[[#This Row],[Name]]</f>
        <v>|MIDDLE:​Elmarie</v>
      </c>
      <c r="Y274" s="23" t="str">
        <f>"|MIDDLE:​&amp;link(配布所はこちら){​"&amp;テーブル1[[#This Row],[リンク]]&amp;"}|"</f>
        <v>|MIDDLE:​&amp;link(配布所はこちら){​https://bowlroll.net/user/992955}|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5" s="24" t="s">
        <v>1337</v>
      </c>
      <c r="D275" s="23" t="s">
        <v>1338</v>
      </c>
      <c r="E275" s="23" t="s">
        <v>1339</v>
      </c>
      <c r="F275" s="23" t="s">
        <v>418</v>
      </c>
      <c r="G275" s="23" t="s">
        <v>1340</v>
      </c>
      <c r="P275" s="24" t="str">
        <f>テーブル1[[#This Row],[リンク]]&amp;テーブル1[[#This Row],[描画状況]]</f>
        <v>-</v>
      </c>
      <c r="Q275" s="17">
        <f>1-(COUNTIF(P:P,_xlfn.TEXTJOIN(",",TRUE,テーブル1[[#This Row],[リンク]],テーブル1[[#This Row],[描画状況]]))/COUNTIF(F:F,テーブル1[[#This Row],[リンク]]))</f>
        <v>0.33333333333333337</v>
      </c>
      <c r="R275" s="16">
        <f ca="1">IFERROR(IF(テーブル1[[#This Row],[描画状況]]="",RAND()+(テーブル1[[#This Row],[列2]]*100),""),RAND())</f>
        <v>33.380013598676669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|&amp;image(ouka-arisu.png,width=100,height=100)</v>
      </c>
      <c r="V275" s="23" t="str">
        <f>"|MIDDLE:​"&amp;テーブル1[[#This Row],[名前]]</f>
        <v>|MIDDLE:​櫻花アリス</v>
      </c>
      <c r="W275" s="23" t="str">
        <f>"|MIDDLE:​"&amp;テーブル1[[#This Row],[なまえ]]</f>
        <v>|MIDDLE:​おうか ありす</v>
      </c>
      <c r="X275" s="23" t="str">
        <f>"|MIDDLE:​"&amp;テーブル1[[#This Row],[Name]]</f>
        <v>|MIDDLE:​Ouka Arisu</v>
      </c>
      <c r="Y275" s="23" t="str">
        <f>"|MIDDLE:​&amp;link(配布所はこちら){​"&amp;テーブル1[[#This Row],[リンク]]&amp;"}|"</f>
        <v>|MIDDLE:​&amp;link(配布所はこちら){​-}|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6" s="24" t="s">
        <v>844</v>
      </c>
      <c r="D276" s="23" t="s">
        <v>845</v>
      </c>
      <c r="E276" s="23" t="s">
        <v>846</v>
      </c>
      <c r="F276" s="2" t="s">
        <v>830</v>
      </c>
      <c r="G276" s="23" t="s">
        <v>831</v>
      </c>
      <c r="P276" s="24" t="str">
        <f>テーブル1[[#This Row],[リンク]]&amp;テーブル1[[#This Row],[描画状況]]</f>
        <v>https://kaedekatusaki.wixsite.com/yanagiroutyou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13.329664348728601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|&amp;image(okashiikun.png,width=100,height=100)</v>
      </c>
      <c r="V276" s="23" t="str">
        <f>"|MIDDLE:​"&amp;テーブル1[[#This Row],[名前]]</f>
        <v>|MIDDLE:​おｋしいくん</v>
      </c>
      <c r="W276" s="23" t="str">
        <f>"|MIDDLE:​"&amp;テーブル1[[#This Row],[なまえ]]</f>
        <v>|MIDDLE:​おかしいくん</v>
      </c>
      <c r="X276" s="23" t="str">
        <f>"|MIDDLE:​"&amp;テーブル1[[#This Row],[Name]]</f>
        <v>|MIDDLE:​Okashiikun</v>
      </c>
      <c r="Y27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7" s="24" t="s">
        <v>1209</v>
      </c>
      <c r="D277" s="23" t="s">
        <v>1230</v>
      </c>
      <c r="E277" s="23" t="s">
        <v>1229</v>
      </c>
      <c r="F277" s="15" t="s">
        <v>336</v>
      </c>
      <c r="G277" s="23" t="s">
        <v>337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13.130746769918915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|&amp;image(ohgi-fuki.png,width=100,height=100)</v>
      </c>
      <c r="V277" s="23" t="str">
        <f>"|MIDDLE:​"&amp;テーブル1[[#This Row],[名前]]</f>
        <v>|MIDDLE:​オーギ・フーキ</v>
      </c>
      <c r="W277" s="23" t="str">
        <f>"|MIDDLE:​"&amp;テーブル1[[#This Row],[なまえ]]</f>
        <v>|MIDDLE:​おぎ ふき</v>
      </c>
      <c r="X277" s="23" t="str">
        <f>"|MIDDLE:​"&amp;テーブル1[[#This Row],[Name]]</f>
        <v>|MIDDLE:​Ohgi Fuki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8" s="24" t="s">
        <v>508</v>
      </c>
      <c r="D278" s="23" t="s">
        <v>509</v>
      </c>
      <c r="E278" s="23" t="s">
        <v>510</v>
      </c>
      <c r="F278" s="2" t="s">
        <v>36</v>
      </c>
      <c r="G278" s="23" t="s">
        <v>511</v>
      </c>
      <c r="N278" s="1" t="s">
        <v>1507</v>
      </c>
      <c r="P278" s="24" t="str">
        <f>テーブル1[[#This Row],[リンク]]&amp;テーブル1[[#This Row],[描画状況]]</f>
        <v>https://666not.wixsite.com/partition-voyage</v>
      </c>
      <c r="Q278" s="17">
        <f>1-(COUNTIF(P:P,_xlfn.TEXTJOIN(",",TRUE,テーブル1[[#This Row],[リンク]],テーブル1[[#This Row],[描画状況]]))/COUNTIF(F:F,テーブル1[[#This Row],[リンク]]))</f>
        <v>0.5</v>
      </c>
      <c r="R278" s="16">
        <f ca="1">IFERROR(IF(テーブル1[[#This Row],[描画状況]]="",RAND()+(テーブル1[[#This Row],[列2]]*100),""),RAND())</f>
        <v>50.699741481947925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|&amp;image(oshiro-tabi.png,width=100,height=100)</v>
      </c>
      <c r="V278" s="23" t="str">
        <f>"|MIDDLE:​"&amp;テーブル1[[#This Row],[名前]]</f>
        <v>|MIDDLE:​嗚代タビ</v>
      </c>
      <c r="W278" s="23" t="str">
        <f>"|MIDDLE:​"&amp;テーブル1[[#This Row],[なまえ]]</f>
        <v>|MIDDLE:​おしろ たび</v>
      </c>
      <c r="X278" s="23" t="str">
        <f>"|MIDDLE:​"&amp;テーブル1[[#This Row],[Name]]</f>
        <v>|MIDDLE:​Oshiro Tabi</v>
      </c>
      <c r="Y278" s="23" t="str">
        <f>"|MIDDLE:​&amp;link(配布所はこちら){​"&amp;テーブル1[[#This Row],[リンク]]&amp;"}|"</f>
        <v>|MIDDLE:​&amp;link(配布所はこちら){​https://666not.wixsite.com/partition-voyage}|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9" s="24" t="s">
        <v>758</v>
      </c>
      <c r="D279" s="23" t="s">
        <v>759</v>
      </c>
      <c r="E279" s="23" t="s">
        <v>760</v>
      </c>
      <c r="F279" s="15" t="s">
        <v>761</v>
      </c>
      <c r="G279" s="23" t="s">
        <v>762</v>
      </c>
      <c r="P279" s="24" t="str">
        <f>テーブル1[[#This Row],[リンク]]&amp;テーブル1[[#This Row],[描画状況]]</f>
        <v>https://bowlroll.net/user/634941</v>
      </c>
      <c r="Q279" s="17">
        <f>1-(COUNTIF(P:P,_xlfn.TEXTJOIN(",",TRUE,テーブル1[[#This Row],[リンク]],テーブル1[[#This Row],[描画状況]]))/COUNTIF(F:F,テーブル1[[#This Row],[リンク]]))</f>
        <v>0</v>
      </c>
      <c r="R279" s="16">
        <f ca="1">IFERROR(IF(テーブル1[[#This Row],[描画状況]]="",RAND()+(テーブル1[[#This Row],[列2]]*100),""),RAND())</f>
        <v>5.360178745198485E-2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|&amp;image(oda-maki.png,width=100,height=100)</v>
      </c>
      <c r="V279" s="23" t="str">
        <f>"|MIDDLE:​"&amp;テーブル1[[#This Row],[名前]]</f>
        <v>|MIDDLE:​苧田マキ</v>
      </c>
      <c r="W279" s="23" t="str">
        <f>"|MIDDLE:​"&amp;テーブル1[[#This Row],[なまえ]]</f>
        <v>|MIDDLE:​おだ まき</v>
      </c>
      <c r="X279" s="23" t="str">
        <f>"|MIDDLE:​"&amp;テーブル1[[#This Row],[Name]]</f>
        <v>|MIDDLE:​Oda Maki</v>
      </c>
      <c r="Y279" s="23" t="str">
        <f>"|MIDDLE:​&amp;link(配布所はこちら){​"&amp;テーブル1[[#This Row],[リンク]]&amp;"}|"</f>
        <v>|MIDDLE:​&amp;link(配布所はこちら){​https://bowlroll.net/user/634941}|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0" s="24" t="s">
        <v>595</v>
      </c>
      <c r="D280" s="23" t="s">
        <v>596</v>
      </c>
      <c r="E280" s="23" t="s">
        <v>597</v>
      </c>
      <c r="F280" s="2" t="s">
        <v>598</v>
      </c>
      <c r="G280" s="23" t="s">
        <v>599</v>
      </c>
      <c r="P280" s="24" t="str">
        <f>テーブル1[[#This Row],[リンク]]&amp;テーブル1[[#This Row],[描画状況]]</f>
        <v>https://bowlroll.net/user/253605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0.17107243499880742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|&amp;image(otoori-kouji.png,width=100,height=100)</v>
      </c>
      <c r="V280" s="23" t="str">
        <f>"|MIDDLE:​"&amp;テーブル1[[#This Row],[名前]]</f>
        <v>|MIDDLE:​音通コウジ</v>
      </c>
      <c r="W280" s="23" t="str">
        <f>"|MIDDLE:​"&amp;テーブル1[[#This Row],[なまえ]]</f>
        <v>|MIDDLE:​おとおり こうじ</v>
      </c>
      <c r="X280" s="23" t="str">
        <f>"|MIDDLE:​"&amp;テーブル1[[#This Row],[Name]]</f>
        <v>|MIDDLE:​Otoori Kouji</v>
      </c>
      <c r="Y280" s="23" t="str">
        <f>"|MIDDLE:​&amp;link(配布所はこちら){​"&amp;テーブル1[[#This Row],[リンク]]&amp;"}|"</f>
        <v>|MIDDLE:​&amp;link(配布所はこちら){​https://bowlroll.net/user/253605}|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1" s="24" t="s">
        <v>802</v>
      </c>
      <c r="D281" s="23" t="s">
        <v>804</v>
      </c>
      <c r="E281" s="23" t="s">
        <v>803</v>
      </c>
      <c r="F281" s="15" t="s">
        <v>775</v>
      </c>
      <c r="G281" s="23" t="str">
        <f>テーブル1[[#This Row],[名前]]&amp;"(UTAU)"</f>
        <v>音偽ユウ(UTAU)</v>
      </c>
      <c r="N281" s="1" t="s">
        <v>1507</v>
      </c>
      <c r="P281" s="24" t="str">
        <f>テーブル1[[#This Row],[リンク]]&amp;テーブル1[[#This Row],[描画状況]]</f>
        <v>https://cmamizki.wixsite.com/edelstein</v>
      </c>
      <c r="Q281" s="17">
        <f>1-(COUNTIF(P:P,_xlfn.TEXTJOIN(",",TRUE,テーブル1[[#This Row],[リンク]],テーブル1[[#This Row],[描画状況]]))/COUNTIF(F:F,テーブル1[[#This Row],[リンク]]))</f>
        <v>9.0909090909090939E-2</v>
      </c>
      <c r="R281" s="16">
        <f ca="1">IFERROR(IF(テーブル1[[#This Row],[描画状況]]="",RAND()+(テーブル1[[#This Row],[列2]]*100),""),RAND())</f>
        <v>9.8728282759867376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|&amp;image(otogi-yu.png,width=100,height=100)</v>
      </c>
      <c r="V281" s="23" t="str">
        <f>"|MIDDLE:​"&amp;テーブル1[[#This Row],[名前]]</f>
        <v>|MIDDLE:​音偽ユウ</v>
      </c>
      <c r="W281" s="23" t="str">
        <f>"|MIDDLE:​"&amp;テーブル1[[#This Row],[なまえ]]</f>
        <v>|MIDDLE:​おとぎ ゆう</v>
      </c>
      <c r="X281" s="23" t="str">
        <f>"|MIDDLE:​"&amp;テーブル1[[#This Row],[Name]]</f>
        <v>|MIDDLE:​Otogi Yu</v>
      </c>
      <c r="Y281" s="23" t="str">
        <f>"|MIDDLE:​&amp;link(配布所はこちら){​"&amp;テーブル1[[#This Row],[リンク]]&amp;"}|"</f>
        <v>|MIDDLE:​&amp;link(配布所はこちら){​https://cmamizki.wixsite.com/edelstein}|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2" s="24" t="s">
        <v>1013</v>
      </c>
      <c r="D282" s="23" t="s">
        <v>1016</v>
      </c>
      <c r="E282" s="23" t="s">
        <v>1017</v>
      </c>
      <c r="F282" s="2" t="s">
        <v>537</v>
      </c>
      <c r="G282" s="23" t="s">
        <v>1009</v>
      </c>
      <c r="H282" s="23" t="s">
        <v>1616</v>
      </c>
      <c r="I282" s="23" t="s">
        <v>1644</v>
      </c>
      <c r="K282" s="23" t="s">
        <v>1701</v>
      </c>
      <c r="L282" s="23" t="s">
        <v>1680</v>
      </c>
      <c r="P282" s="24" t="str">
        <f>テーブル1[[#This Row],[リンク]]&amp;テーブル1[[#This Row],[描画状況]]</f>
        <v>https://bowlroll.net/user/980255</v>
      </c>
      <c r="Q282" s="17">
        <f>1-(COUNTIF(P:P,_xlfn.TEXTJOIN(",",TRUE,テーブル1[[#This Row],[リンク]],テーブル1[[#This Row],[描画状況]]))/COUNTIF(F:F,テーブル1[[#This Row],[リンク]]))</f>
        <v>0.5714285714285714</v>
      </c>
      <c r="R282" s="16">
        <f ca="1">IFERROR(IF(テーブル1[[#This Row],[描画状況]]="",RAND()+(テーブル1[[#This Row],[列2]]*100),""),RAND())</f>
        <v>57.377782422752126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|&amp;image(otonashi-kae.png,width=100,height=100)</v>
      </c>
      <c r="V282" s="23" t="str">
        <f>"|MIDDLE:​"&amp;テーブル1[[#This Row],[名前]]</f>
        <v>|MIDDLE:​於菟無カエ</v>
      </c>
      <c r="W282" s="23" t="str">
        <f>"|MIDDLE:​"&amp;テーブル1[[#This Row],[なまえ]]</f>
        <v>|MIDDLE:​おとなし かえ</v>
      </c>
      <c r="X282" s="23" t="str">
        <f>"|MIDDLE:​"&amp;テーブル1[[#This Row],[Name]]</f>
        <v>|MIDDLE:​Otonashi Kae</v>
      </c>
      <c r="Y282" s="23" t="str">
        <f>"|MIDDLE:​&amp;link(配布所はこちら){​"&amp;テーブル1[[#This Row],[リンク]]&amp;"}|"</f>
        <v>|MIDDLE:​&amp;link(配布所はこちら){​https://bowlroll.net/user/980255}|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3" s="24" t="s">
        <v>1323</v>
      </c>
      <c r="D283" s="23" t="s">
        <v>1325</v>
      </c>
      <c r="E283" s="23" t="s">
        <v>1324</v>
      </c>
      <c r="F283" s="15" t="s">
        <v>1311</v>
      </c>
      <c r="G283" s="23" t="str">
        <f>テーブル1[[#This Row],[名前]]&amp;"(UTAU)"</f>
        <v>オトワシグレ(UTAU)</v>
      </c>
      <c r="P283" s="24" t="str">
        <f>テーブル1[[#This Row],[リンク]]&amp;テーブル1[[#This Row],[描画状況]]</f>
        <v>https://jiwajiwakirinn.wixsite.com/sakurada</v>
      </c>
      <c r="Q283" s="17">
        <f>1-(COUNTIF(P:P,_xlfn.TEXTJOIN(",",TRUE,テーブル1[[#This Row],[リンク]],テーブル1[[#This Row],[描画状況]]))/COUNTIF(F:F,テーブル1[[#This Row],[リンク]]))</f>
        <v>0.19999999999999996</v>
      </c>
      <c r="R283" s="16">
        <f ca="1">IFERROR(IF(テーブル1[[#This Row],[描画状況]]="",RAND()+(テーブル1[[#This Row],[列2]]*100),""),RAND())</f>
        <v>20.559289248530899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|&amp;image(otowa-shigure.png,width=100,height=100)</v>
      </c>
      <c r="V283" s="23" t="str">
        <f>"|MIDDLE:​"&amp;テーブル1[[#This Row],[名前]]</f>
        <v>|MIDDLE:​オトワシグレ</v>
      </c>
      <c r="W283" s="23" t="str">
        <f>"|MIDDLE:​"&amp;テーブル1[[#This Row],[なまえ]]</f>
        <v>|MIDDLE:​おとわ しぐれ</v>
      </c>
      <c r="X283" s="23" t="str">
        <f>"|MIDDLE:​"&amp;テーブル1[[#This Row],[Name]]</f>
        <v>|MIDDLE:​Otowa Shigure</v>
      </c>
      <c r="Y283" s="23" t="str">
        <f>"|MIDDLE:​&amp;link(配布所はこちら){​"&amp;テーブル1[[#This Row],[リンク]]&amp;"}|"</f>
        <v>|MIDDLE:​&amp;link(配布所はこちら){​https://jiwajiwakirinn.wixsite.com/sakurada}|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4" s="24" t="s">
        <v>908</v>
      </c>
      <c r="D284" s="23" t="s">
        <v>910</v>
      </c>
      <c r="E284" s="23" t="s">
        <v>909</v>
      </c>
      <c r="F284" s="15" t="s">
        <v>901</v>
      </c>
      <c r="G284" s="23" t="s">
        <v>914</v>
      </c>
      <c r="P284" s="24" t="str">
        <f>テーブル1[[#This Row],[リンク]]&amp;テーブル1[[#This Row],[描画状況]]</f>
        <v>https://suukedayo.wixsite.com/shiawasefairu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7.7638656517664884E-2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|&amp;image(kaiko-rito.png,width=100,height=100)</v>
      </c>
      <c r="V284" s="23" t="str">
        <f>"|MIDDLE:​"&amp;テーブル1[[#This Row],[名前]]</f>
        <v>|MIDDLE:​开狐リト</v>
      </c>
      <c r="W284" s="23" t="str">
        <f>"|MIDDLE:​"&amp;テーブル1[[#This Row],[なまえ]]</f>
        <v>|MIDDLE:​かいこ りと</v>
      </c>
      <c r="X284" s="23" t="str">
        <f>"|MIDDLE:​"&amp;テーブル1[[#This Row],[Name]]</f>
        <v>|MIDDLE:​Kaiko Rito</v>
      </c>
      <c r="Y284" s="23" t="str">
        <f>"|MIDDLE:​&amp;link(配布所はこちら){​"&amp;テーブル1[[#This Row],[リンク]]&amp;"}|"</f>
        <v>|MIDDLE:​&amp;link(配布所はこちら){​https://suukedayo.wixsite.com/shiawasefairu}|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5" s="24" t="s">
        <v>987</v>
      </c>
      <c r="D285" s="23" t="s">
        <v>990</v>
      </c>
      <c r="E285" s="23" t="s">
        <v>988</v>
      </c>
      <c r="F285" s="2" t="s">
        <v>569</v>
      </c>
      <c r="G285" s="23" t="s">
        <v>570</v>
      </c>
      <c r="N285" s="1" t="s">
        <v>1507</v>
      </c>
      <c r="P285" s="24" t="str">
        <f>テーブル1[[#This Row],[リンク]]&amp;テーブル1[[#This Row],[描画状況]]</f>
        <v>https://askdance.wixsite.com/monitor-room/monitor-room</v>
      </c>
      <c r="Q285" s="17">
        <f>1-(COUNTIF(P:P,_xlfn.TEXTJOIN(",",TRUE,テーブル1[[#This Row],[リンク]],テーブル1[[#This Row],[描画状況]]))/COUNTIF(F:F,テーブル1[[#This Row],[リンク]]))</f>
        <v>9.9999999999999978E-2</v>
      </c>
      <c r="R285" s="16">
        <f ca="1">IFERROR(IF(テーブル1[[#This Row],[描画状況]]="",RAND()+(テーブル1[[#This Row],[列2]]*100),""),RAND())</f>
        <v>10.311187287369959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|&amp;image(gaitou-nashi.png,width=100,height=100)</v>
      </c>
      <c r="V285" s="23" t="str">
        <f>"|MIDDLE:​"&amp;テーブル1[[#This Row],[名前]]</f>
        <v>|MIDDLE:​該当ナシ</v>
      </c>
      <c r="W285" s="23" t="str">
        <f>"|MIDDLE:​"&amp;テーブル1[[#This Row],[なまえ]]</f>
        <v>|MIDDLE:​がいとう なし</v>
      </c>
      <c r="X285" s="23" t="str">
        <f>"|MIDDLE:​"&amp;テーブル1[[#This Row],[Name]]</f>
        <v>|MIDDLE:​Gaitou Nashi</v>
      </c>
      <c r="Y28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6" s="24" t="s">
        <v>1030</v>
      </c>
      <c r="D286" s="23" t="s">
        <v>1032</v>
      </c>
      <c r="E286" s="23" t="s">
        <v>1031</v>
      </c>
      <c r="F286" s="2" t="s">
        <v>90</v>
      </c>
      <c r="G286" s="23" t="s">
        <v>91</v>
      </c>
      <c r="H286" s="23" t="s">
        <v>1616</v>
      </c>
      <c r="I286" s="23" t="s">
        <v>1640</v>
      </c>
      <c r="L286" s="23" t="s">
        <v>1643</v>
      </c>
      <c r="N286" s="1" t="s">
        <v>1508</v>
      </c>
      <c r="P286" s="24" t="str">
        <f>テーブル1[[#This Row],[リンク]]&amp;テーブル1[[#This Row],[描画状況]]</f>
        <v>https://cloudcatch1224.wixsite.com/godsfoot</v>
      </c>
      <c r="Q286" s="17">
        <f>1-(COUNTIF(P:P,_xlfn.TEXTJOIN(",",TRUE,テーブル1[[#This Row],[リンク]],テーブル1[[#This Row],[描画状況]]))/COUNTIF(F:F,テーブル1[[#This Row],[リンク]]))</f>
        <v>0.8</v>
      </c>
      <c r="R286" s="16">
        <f ca="1">IFERROR(IF(テーブル1[[#This Row],[描画状況]]="",RAND()+(テーブル1[[#This Row],[列2]]*100),""),RAND())</f>
        <v>80.030501033546173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|&amp;image(kagibako-moka.png,width=100,height=100)</v>
      </c>
      <c r="V286" s="23" t="str">
        <f>"|MIDDLE:​"&amp;テーブル1[[#This Row],[名前]]</f>
        <v>|MIDDLE:​鍵箱モカ</v>
      </c>
      <c r="W286" s="23" t="str">
        <f>"|MIDDLE:​"&amp;テーブル1[[#This Row],[なまえ]]</f>
        <v>|MIDDLE:​かぎばこ もか</v>
      </c>
      <c r="X286" s="23" t="str">
        <f>"|MIDDLE:​"&amp;テーブル1[[#This Row],[Name]]</f>
        <v>|MIDDLE:​Kagibako Moka</v>
      </c>
      <c r="Y286" s="23" t="str">
        <f>"|MIDDLE:​&amp;link(配布所はこちら){​"&amp;テーブル1[[#This Row],[リンク]]&amp;"}|"</f>
        <v>|MIDDLE:​&amp;link(配布所はこちら){​https://cloudcatch1224.wixsite.com/godsfoot}|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7" s="24" t="s">
        <v>1070</v>
      </c>
      <c r="D287" s="23" t="s">
        <v>1071</v>
      </c>
      <c r="E287" s="23" t="s">
        <v>1072</v>
      </c>
      <c r="F287" s="15" t="s">
        <v>1062</v>
      </c>
      <c r="G287" s="23" t="s">
        <v>1063</v>
      </c>
      <c r="P287" s="24" t="str">
        <f>テーブル1[[#This Row],[リンク]]&amp;テーブル1[[#This Row],[描画状況]]</f>
        <v>https://yukimiyashimusho.jimdofree.com</v>
      </c>
      <c r="Q287" s="17">
        <f>1-(COUNTIF(P:P,_xlfn.TEXTJOIN(",",TRUE,テーブル1[[#This Row],[リンク]],テーブル1[[#This Row],[描画状況]]))/COUNTIF(F:F,テーブル1[[#This Row],[リンク]]))</f>
        <v>7.1428571428571397E-2</v>
      </c>
      <c r="R287" s="16">
        <f ca="1">IFERROR(IF(テーブル1[[#This Row],[描画状況]]="",RAND()+(テーブル1[[#This Row],[列2]]*100),""),RAND())</f>
        <v>7.8939341122425608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|&amp;image(kashihara-xavier.png,width=100,height=100)</v>
      </c>
      <c r="V287" s="23" t="str">
        <f>"|MIDDLE:​"&amp;テーブル1[[#This Row],[名前]]</f>
        <v>|MIDDLE:​橿原ザビエル</v>
      </c>
      <c r="W287" s="23" t="str">
        <f>"|MIDDLE:​"&amp;テーブル1[[#This Row],[なまえ]]</f>
        <v>|MIDDLE:​かしはら ざびえる</v>
      </c>
      <c r="X287" s="23" t="str">
        <f>"|MIDDLE:​"&amp;テーブル1[[#This Row],[Name]]</f>
        <v>|MIDDLE:​Kashihara Xavier</v>
      </c>
      <c r="Y287" s="23" t="str">
        <f>"|MIDDLE:​&amp;link(配布所はこちら){​"&amp;テーブル1[[#This Row],[リンク]]&amp;"}|"</f>
        <v>|MIDDLE:​&amp;link(配布所はこちら){​https://yukimiyashimusho.jimdofree.com}|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8" s="24" t="s">
        <v>1205</v>
      </c>
      <c r="D288" s="23" t="s">
        <v>1222</v>
      </c>
      <c r="E288" s="23" t="s">
        <v>1221</v>
      </c>
      <c r="F288" s="15" t="s">
        <v>336</v>
      </c>
      <c r="G288" s="23" t="s">
        <v>337</v>
      </c>
      <c r="P288" s="24" t="str">
        <f>テーブル1[[#This Row],[リンク]]&amp;テーブル1[[#This Row],[描画状況]]</f>
        <v>https://torinosu-hikikomori.jimdofree.com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12.695541596904006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|&amp;image(cutter-knife-girl-in-love.png,width=100,height=100)</v>
      </c>
      <c r="V288" s="23" t="str">
        <f>"|MIDDLE:​"&amp;テーブル1[[#This Row],[名前]]</f>
        <v>|MIDDLE:​カッターナイフと恋する少女</v>
      </c>
      <c r="W288" s="23" t="str">
        <f>"|MIDDLE:​"&amp;テーブル1[[#This Row],[なまえ]]</f>
        <v>|MIDDLE:​かったーないふとこいするしょうじょ</v>
      </c>
      <c r="X288" s="23" t="str">
        <f>"|MIDDLE:​"&amp;テーブル1[[#This Row],[Name]]</f>
        <v>|MIDDLE:​Cutter Knife &amp; Girl in Love</v>
      </c>
      <c r="Y288" s="23" t="str">
        <f>"|MIDDLE:​&amp;link(配布所はこちら){​"&amp;テーブル1[[#This Row],[リンク]]&amp;"}|"</f>
        <v>|MIDDLE:​&amp;link(配布所はこちら){​https://torinosu-hikikomori.jimdofree.com}|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9" s="24" t="s">
        <v>779</v>
      </c>
      <c r="D289" s="23" t="s">
        <v>780</v>
      </c>
      <c r="E289" s="23" t="s">
        <v>782</v>
      </c>
      <c r="F289" s="15" t="s">
        <v>775</v>
      </c>
      <c r="G289" s="23" t="s">
        <v>781</v>
      </c>
      <c r="N289" s="1" t="s">
        <v>1507</v>
      </c>
      <c r="P289" s="24" t="str">
        <f>テーブル1[[#This Row],[リンク]]&amp;テーブル1[[#This Row],[描画状況]]</f>
        <v>https://cmamizki.wixsite.com/edelstein</v>
      </c>
      <c r="Q289" s="17">
        <f>1-(COUNTIF(P:P,_xlfn.TEXTJOIN(",",TRUE,テーブル1[[#This Row],[リンク]],テーブル1[[#This Row],[描画状況]]))/COUNTIF(F:F,テーブル1[[#This Row],[リンク]]))</f>
        <v>9.0909090909090939E-2</v>
      </c>
      <c r="R289" s="16">
        <f ca="1">IFERROR(IF(テーブル1[[#This Row],[描画状況]]="",RAND()+(テーブル1[[#This Row],[列2]]*100),""),RAND())</f>
        <v>9.9925574525767615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|&amp;image(caffin.png,width=100,height=100)</v>
      </c>
      <c r="V289" s="23" t="str">
        <f>"|MIDDLE:​"&amp;テーブル1[[#This Row],[名前]]</f>
        <v>|MIDDLE:​カフィン</v>
      </c>
      <c r="W289" s="23" t="str">
        <f>"|MIDDLE:​"&amp;テーブル1[[#This Row],[なまえ]]</f>
        <v>|MIDDLE:​かふぃん</v>
      </c>
      <c r="X289" s="23" t="str">
        <f>"|MIDDLE:​"&amp;テーブル1[[#This Row],[Name]]</f>
        <v>|MIDDLE:​Caffin</v>
      </c>
      <c r="Y289" s="23" t="str">
        <f>"|MIDDLE:​&amp;link(配布所はこちら){​"&amp;テーブル1[[#This Row],[リンク]]&amp;"}|"</f>
        <v>|MIDDLE:​&amp;link(配布所はこちら){​https://cmamizki.wixsite.com/edelstein}|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0" s="24" t="s">
        <v>1172</v>
      </c>
      <c r="D290" s="23" t="s">
        <v>1173</v>
      </c>
      <c r="E290" s="23" t="s">
        <v>1174</v>
      </c>
      <c r="F290" s="15" t="s">
        <v>1171</v>
      </c>
      <c r="G290" s="23" t="s">
        <v>1175</v>
      </c>
      <c r="P290" s="24" t="str">
        <f>テーブル1[[#This Row],[リンク]]&amp;テーブル1[[#This Row],[描画状況]]</f>
        <v>http://lunacalan.com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0.90599553999182336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|&amp;image(karan-runa.png,width=100,height=100)</v>
      </c>
      <c r="V290" s="23" t="str">
        <f>"|MIDDLE:​"&amp;テーブル1[[#This Row],[名前]]</f>
        <v>|MIDDLE:​花蘭るな</v>
      </c>
      <c r="W290" s="23" t="str">
        <f>"|MIDDLE:​"&amp;テーブル1[[#This Row],[なまえ]]</f>
        <v>|MIDDLE:​からん るな</v>
      </c>
      <c r="X290" s="23" t="str">
        <f>"|MIDDLE:​"&amp;テーブル1[[#This Row],[Name]]</f>
        <v>|MIDDLE:​Karan Runa</v>
      </c>
      <c r="Y290" s="23" t="str">
        <f>"|MIDDLE:​&amp;link(配布所はこちら){​"&amp;テーブル1[[#This Row],[リンク]]&amp;"}|"</f>
        <v>|MIDDLE:​&amp;link(配布所はこちら){​http://lunacalan.com}|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1" s="24" t="s">
        <v>1012</v>
      </c>
      <c r="D291" s="23" t="s">
        <v>1014</v>
      </c>
      <c r="E291" s="23" t="s">
        <v>1015</v>
      </c>
      <c r="F291" s="2" t="s">
        <v>537</v>
      </c>
      <c r="G291" s="23" t="s">
        <v>1009</v>
      </c>
      <c r="H291" s="23" t="s">
        <v>1617</v>
      </c>
      <c r="I291" s="23" t="s">
        <v>1626</v>
      </c>
      <c r="K291" s="23" t="s">
        <v>1701</v>
      </c>
      <c r="L291" s="23" t="s">
        <v>1627</v>
      </c>
      <c r="P291" s="24" t="str">
        <f>テーブル1[[#This Row],[リンク]]&amp;テーブル1[[#This Row],[描画状況]]</f>
        <v>https://bowlroll.net/user/980255</v>
      </c>
      <c r="Q291" s="17">
        <f>1-(COUNTIF(P:P,_xlfn.TEXTJOIN(",",TRUE,テーブル1[[#This Row],[リンク]],テーブル1[[#This Row],[描画状況]]))/COUNTIF(F:F,テーブル1[[#This Row],[リンク]]))</f>
        <v>0.5714285714285714</v>
      </c>
      <c r="R291" s="16">
        <f ca="1">IFERROR(IF(テーブル1[[#This Row],[描画状況]]="",RAND()+(テーブル1[[#This Row],[列2]]*100),""),RAND())</f>
        <v>58.127581232765941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|&amp;image(karuta-koya.png,width=100,height=100)</v>
      </c>
      <c r="V291" s="23" t="str">
        <f>"|MIDDLE:​"&amp;テーブル1[[#This Row],[名前]]</f>
        <v>|MIDDLE:​歌留多耕也</v>
      </c>
      <c r="W291" s="23" t="str">
        <f>"|MIDDLE:​"&amp;テーブル1[[#This Row],[なまえ]]</f>
        <v>|MIDDLE:​かるた こうや</v>
      </c>
      <c r="X291" s="23" t="str">
        <f>"|MIDDLE:​"&amp;テーブル1[[#This Row],[Name]]</f>
        <v>|MIDDLE:​Karuta Koya</v>
      </c>
      <c r="Y291" s="23" t="str">
        <f>"|MIDDLE:​&amp;link(配布所はこちら){​"&amp;テーブル1[[#This Row],[リンク]]&amp;"}|"</f>
        <v>|MIDDLE:​&amp;link(配布所はこちら){​https://bowlroll.net/user/980255}|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2" s="24" t="s">
        <v>841</v>
      </c>
      <c r="D292" s="23" t="s">
        <v>842</v>
      </c>
      <c r="E292" s="23" t="s">
        <v>843</v>
      </c>
      <c r="F292" s="2" t="s">
        <v>830</v>
      </c>
      <c r="G292" s="23" t="s">
        <v>831</v>
      </c>
      <c r="P292" s="24" t="str">
        <f>テーブル1[[#This Row],[リンク]]&amp;テーブル1[[#This Row],[描画状況]]</f>
        <v>https://kaedekatusaki.wixsite.com/yanagiroutyou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12.969523288790638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|&amp;image(kido-on.png,width=100,height=100)</v>
      </c>
      <c r="V292" s="23" t="str">
        <f>"|MIDDLE:​"&amp;テーブル1[[#This Row],[名前]]</f>
        <v>|MIDDLE:​​機動穏</v>
      </c>
      <c r="W292" s="23" t="str">
        <f>"|MIDDLE:​"&amp;テーブル1[[#This Row],[なまえ]]</f>
        <v>|MIDDLE:​きどう おん</v>
      </c>
      <c r="X292" s="23" t="str">
        <f>"|MIDDLE:​"&amp;テーブル1[[#This Row],[Name]]</f>
        <v>|MIDDLE:​Kido On</v>
      </c>
      <c r="Y29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3" s="24" t="s">
        <v>1056</v>
      </c>
      <c r="D293" s="23" t="s">
        <v>1057</v>
      </c>
      <c r="E293" s="23" t="s">
        <v>1058</v>
      </c>
      <c r="F293" s="15" t="s">
        <v>668</v>
      </c>
      <c r="G293" s="23" t="s">
        <v>669</v>
      </c>
      <c r="N293" s="1" t="s">
        <v>1507</v>
      </c>
      <c r="P293" s="24" t="str">
        <f>テーブル1[[#This Row],[リンク]]&amp;テーブル1[[#This Row],[描画状況]]</f>
        <v>https://flowerrocklove.wixsite.com/twilight-crisis</v>
      </c>
      <c r="Q293" s="17">
        <f>1-(COUNTIF(P:P,_xlfn.TEXTJOIN(",",TRUE,テーブル1[[#This Row],[リンク]],テーブル1[[#This Row],[描画状況]]))/COUNTIF(F:F,テーブル1[[#This Row],[リンク]]))</f>
        <v>0.22222222222222221</v>
      </c>
      <c r="R293" s="16">
        <f ca="1">IFERROR(IF(テーブル1[[#This Row],[描画状況]]="",RAND()+(テーブル1[[#This Row],[列2]]*100),""),RAND())</f>
        <v>22.450867940223741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|&amp;image(gitorasan.png,width=100,height=100)</v>
      </c>
      <c r="V293" s="23" t="str">
        <f>"|MIDDLE:​"&amp;テーブル1[[#This Row],[名前]]</f>
        <v>|MIDDLE:​ギトラさん</v>
      </c>
      <c r="W293" s="23" t="str">
        <f>"|MIDDLE:​"&amp;テーブル1[[#This Row],[なまえ]]</f>
        <v>|MIDDLE:​ぎとらさん</v>
      </c>
      <c r="X293" s="23" t="str">
        <f>"|MIDDLE:​"&amp;テーブル1[[#This Row],[Name]]</f>
        <v>|MIDDLE:​Gitorasan</v>
      </c>
      <c r="Y29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4" s="24" t="s">
        <v>1000</v>
      </c>
      <c r="D294" s="23" t="s">
        <v>1003</v>
      </c>
      <c r="E294" s="23" t="s">
        <v>1004</v>
      </c>
      <c r="F294" s="2" t="s">
        <v>1782</v>
      </c>
      <c r="G294" s="23" t="s">
        <v>63</v>
      </c>
      <c r="H294" s="23" t="s">
        <v>1652</v>
      </c>
      <c r="I294" s="23" t="s">
        <v>1626</v>
      </c>
      <c r="J294" s="23" t="s">
        <v>1791</v>
      </c>
      <c r="M294" s="23" t="s">
        <v>1792</v>
      </c>
      <c r="N294" s="1" t="s">
        <v>1507</v>
      </c>
      <c r="P294" s="24" t="str">
        <f>テーブル1[[#This Row],[リンク]]&amp;テーブル1[[#This Row],[描画状況]]</f>
        <v>https://kinomihautaimas.wixsite.com/dongurihiroba</v>
      </c>
      <c r="Q294" s="17">
        <f>1-(COUNTIF(P:P,_xlfn.TEXTJOIN(",",TRUE,テーブル1[[#This Row],[リンク]],テーブル1[[#This Row],[描画状況]]))/COUNTIF(F:F,テーブル1[[#This Row],[リンク]]))</f>
        <v>0.6</v>
      </c>
      <c r="R294" s="16">
        <f ca="1">IFERROR(IF(テーブル1[[#This Row],[描画状況]]="",RAND()+(テーブル1[[#This Row],[列2]]*100),""),RAND())</f>
        <v>60.566084464746268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|&amp;image(kinone-moto.png,width=100,height=100)</v>
      </c>
      <c r="V294" s="23" t="str">
        <f>"|MIDDLE:​"&amp;テーブル1[[#This Row],[名前]]</f>
        <v>|MIDDLE:​きの音もと</v>
      </c>
      <c r="W294" s="23" t="str">
        <f>"|MIDDLE:​"&amp;テーブル1[[#This Row],[なまえ]]</f>
        <v>|MIDDLE:​きのね もと</v>
      </c>
      <c r="X294" s="23" t="str">
        <f>"|MIDDLE:​"&amp;テーブル1[[#This Row],[Name]]</f>
        <v>|MIDDLE:​Kinone Moto</v>
      </c>
      <c r="Y29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5" s="24" t="s">
        <v>1434</v>
      </c>
      <c r="D295" s="23" t="s">
        <v>1435</v>
      </c>
      <c r="E295" s="23" t="s">
        <v>1436</v>
      </c>
      <c r="F295" s="15" t="s">
        <v>1437</v>
      </c>
      <c r="G295" s="23" t="s">
        <v>1438</v>
      </c>
      <c r="P295" s="24" t="str">
        <f>テーブル1[[#This Row],[リンク]]&amp;テーブル1[[#This Row],[描画状況]]</f>
        <v>https://bowlroll.net/user/992955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0.15310427620615163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|&amp;image(giba-yorika.png,width=100,height=100)</v>
      </c>
      <c r="V295" s="23" t="str">
        <f>"|MIDDLE:​"&amp;テーブル1[[#This Row],[名前]]</f>
        <v>|MIDDLE:​義羽よりか</v>
      </c>
      <c r="W295" s="23" t="str">
        <f>"|MIDDLE:​"&amp;テーブル1[[#This Row],[なまえ]]</f>
        <v>|MIDDLE:​ぎば よりか</v>
      </c>
      <c r="X295" s="23" t="str">
        <f>"|MIDDLE:​"&amp;テーブル1[[#This Row],[Name]]</f>
        <v>|MIDDLE:​Giba Yorika</v>
      </c>
      <c r="Y295" s="23" t="str">
        <f>"|MIDDLE:​&amp;link(配布所はこちら){​"&amp;テーブル1[[#This Row],[リンク]]&amp;"}|"</f>
        <v>|MIDDLE:​&amp;link(配布所はこちら){​https://bowlroll.net/user/992955}|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6" s="24" t="s">
        <v>727</v>
      </c>
      <c r="D296" s="23" t="s">
        <v>729</v>
      </c>
      <c r="E296" s="23" t="s">
        <v>728</v>
      </c>
      <c r="F296" s="2" t="s">
        <v>726</v>
      </c>
      <c r="G296" s="23" t="s">
        <v>725</v>
      </c>
      <c r="P296" s="24" t="str">
        <f>テーブル1[[#This Row],[リンク]]&amp;テーブル1[[#This Row],[描画状況]]</f>
        <v>https://shiromeneko162.wixsite.com/shiromean-official</v>
      </c>
      <c r="Q296" s="17">
        <f>1-(COUNTIF(P:P,_xlfn.TEXTJOIN(",",TRUE,テーブル1[[#This Row],[リンク]],テーブル1[[#This Row],[描画状況]]))/COUNTIF(F:F,テーブル1[[#This Row],[リンク]]))</f>
        <v>0.5</v>
      </c>
      <c r="R296" s="16">
        <f ca="1">IFERROR(IF(テーブル1[[#This Row],[描画状況]]="",RAND()+(テーブル1[[#This Row],[列2]]*100),""),RAND())</f>
        <v>50.463161250071167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|&amp;image(gyokuto.png,width=100,height=100)</v>
      </c>
      <c r="V296" s="23" t="str">
        <f>"|MIDDLE:​"&amp;テーブル1[[#This Row],[名前]]</f>
        <v>|MIDDLE:​​玉兎</v>
      </c>
      <c r="W296" s="23" t="str">
        <f>"|MIDDLE:​"&amp;テーブル1[[#This Row],[なまえ]]</f>
        <v>|MIDDLE:​ぎょくと</v>
      </c>
      <c r="X296" s="23" t="str">
        <f>"|MIDDLE:​"&amp;テーブル1[[#This Row],[Name]]</f>
        <v>|MIDDLE:​Gyokuto</v>
      </c>
      <c r="Y29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7" s="24" t="s">
        <v>978</v>
      </c>
      <c r="D297" s="23" t="s">
        <v>980</v>
      </c>
      <c r="E297" s="23" t="s">
        <v>979</v>
      </c>
      <c r="F297" s="2" t="s">
        <v>569</v>
      </c>
      <c r="G297" s="23" t="s">
        <v>570</v>
      </c>
      <c r="N297" s="1" t="s">
        <v>1507</v>
      </c>
      <c r="P297" s="24" t="str">
        <f>テーブル1[[#This Row],[リンク]]&amp;テーブル1[[#This Row],[描画状況]]</f>
        <v>https://askdance.wixsite.com/monitor-room/monitor-room</v>
      </c>
      <c r="Q297" s="17">
        <f>1-(COUNTIF(P:P,_xlfn.TEXTJOIN(",",TRUE,テーブル1[[#This Row],[リンク]],テーブル1[[#This Row],[描画状況]]))/COUNTIF(F:F,テーブル1[[#This Row],[リンク]]))</f>
        <v>9.9999999999999978E-2</v>
      </c>
      <c r="R297" s="16">
        <f ca="1">IFERROR(IF(テーブル1[[#This Row],[描画状況]]="",RAND()+(テーブル1[[#This Row],[列2]]*100),""),RAND())</f>
        <v>10.407553947719427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|&amp;image(kusuzato-kimeru.png,width=100,height=100)</v>
      </c>
      <c r="V297" s="23" t="str">
        <f>"|MIDDLE:​"&amp;テーブル1[[#This Row],[名前]]</f>
        <v xml:space="preserve">|MIDDLE:​楠里極 </v>
      </c>
      <c r="W297" s="23" t="str">
        <f>"|MIDDLE:​"&amp;テーブル1[[#This Row],[なまえ]]</f>
        <v>|MIDDLE:​くすざと きめる</v>
      </c>
      <c r="X297" s="23" t="str">
        <f>"|MIDDLE:​"&amp;テーブル1[[#This Row],[Name]]</f>
        <v>|MIDDLE:​Kusuzato Kimeru</v>
      </c>
      <c r="Y2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8" s="24" t="s">
        <v>1252</v>
      </c>
      <c r="D298" s="23" t="s">
        <v>1253</v>
      </c>
      <c r="E298" s="23" t="s">
        <v>1254</v>
      </c>
      <c r="F298" s="15" t="s">
        <v>1255</v>
      </c>
      <c r="G298" s="23" t="s">
        <v>1256</v>
      </c>
      <c r="P298" s="24" t="str">
        <f>テーブル1[[#This Row],[リンク]]&amp;テーブル1[[#This Row],[描画状況]]</f>
        <v>https://bowlroll.net/user/934800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0.83002782383675511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|&amp;image(kuzuhira-tsumari.png,width=100,height=100)</v>
      </c>
      <c r="V298" s="23" t="str">
        <f>"|MIDDLE:​"&amp;テーブル1[[#This Row],[名前]]</f>
        <v>|MIDDLE:​葛平ツマリ</v>
      </c>
      <c r="W298" s="23" t="str">
        <f>"|MIDDLE:​"&amp;テーブル1[[#This Row],[なまえ]]</f>
        <v>|MIDDLE:​くずひら つまり</v>
      </c>
      <c r="X298" s="23" t="str">
        <f>"|MIDDLE:​"&amp;テーブル1[[#This Row],[Name]]</f>
        <v>|MIDDLE:​Kuzuhira tsumari</v>
      </c>
      <c r="Y298" s="23" t="str">
        <f>"|MIDDLE:​&amp;link(配布所はこちら){​"&amp;テーブル1[[#This Row],[リンク]]&amp;"}|"</f>
        <v>|MIDDLE:​&amp;link(配布所はこちら){​https://bowlroll.net/user/934800}|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9" s="24" t="s">
        <v>519</v>
      </c>
      <c r="D299" s="23" t="s">
        <v>520</v>
      </c>
      <c r="E299" s="23" t="s">
        <v>521</v>
      </c>
      <c r="F299" s="2" t="s">
        <v>517</v>
      </c>
      <c r="G299" s="23" t="s">
        <v>518</v>
      </c>
      <c r="N299" s="1" t="s">
        <v>1507</v>
      </c>
      <c r="P299" s="24" t="str">
        <f>テーブル1[[#This Row],[リンク]]&amp;テーブル1[[#This Row],[描画状況]]</f>
        <v>https://coyukimachi.wixsite.com/my-site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3.5701552353442634E-2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|&amp;image(kunisue-kiyomasa.png,width=100,height=100)</v>
      </c>
      <c r="V299" s="23" t="str">
        <f>"|MIDDLE:​"&amp;テーブル1[[#This Row],[名前]]</f>
        <v>|MIDDLE:​​國居清正</v>
      </c>
      <c r="W299" s="23" t="str">
        <f>"|MIDDLE:​"&amp;テーブル1[[#This Row],[なまえ]]</f>
        <v>|MIDDLE:​くにすえ きよまさ</v>
      </c>
      <c r="X299" s="23" t="str">
        <f>"|MIDDLE:​"&amp;テーブル1[[#This Row],[Name]]</f>
        <v>|MIDDLE:​Kunisue Kiyomasa</v>
      </c>
      <c r="Y299" s="23" t="str">
        <f>"|MIDDLE:​&amp;link(配布所はこちら){​"&amp;テーブル1[[#This Row],[リンク]]&amp;"}|"</f>
        <v>|MIDDLE:​&amp;link(配布所はこちら){​https://coyukimachi.wixsite.com/my-site}|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0" s="24" t="s">
        <v>1008</v>
      </c>
      <c r="D300" s="23" t="s">
        <v>1010</v>
      </c>
      <c r="E300" s="23" t="s">
        <v>1011</v>
      </c>
      <c r="F300" s="2" t="s">
        <v>537</v>
      </c>
      <c r="G300" s="23" t="s">
        <v>68</v>
      </c>
      <c r="H300" s="23" t="s">
        <v>1653</v>
      </c>
      <c r="I300" s="23" t="s">
        <v>1765</v>
      </c>
      <c r="J300" s="23" t="s">
        <v>1764</v>
      </c>
      <c r="P300" s="24" t="str">
        <f>テーブル1[[#This Row],[リンク]]&amp;テーブル1[[#This Row],[描画状況]]</f>
        <v>https://bowlroll.net/user/980255</v>
      </c>
      <c r="Q300" s="17">
        <f>1-(COUNTIF(P:P,_xlfn.TEXTJOIN(",",TRUE,テーブル1[[#This Row],[リンク]],テーブル1[[#This Row],[描画状況]]))/COUNTIF(F:F,テーブル1[[#This Row],[リンク]]))</f>
        <v>0.5714285714285714</v>
      </c>
      <c r="R300" s="16">
        <f ca="1">IFERROR(IF(テーブル1[[#This Row],[描画状況]]="",RAND()+(テーブル1[[#This Row],[列2]]*100),""),RAND())</f>
        <v>58.026645394534448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|&amp;image(kurene-shito.png,width=100,height=100)</v>
      </c>
      <c r="V300" s="23" t="str">
        <f>"|MIDDLE:​"&amp;テーブル1[[#This Row],[名前]]</f>
        <v>|MIDDLE:​暮音シト</v>
      </c>
      <c r="W300" s="23" t="str">
        <f>"|MIDDLE:​"&amp;テーブル1[[#This Row],[なまえ]]</f>
        <v>|MIDDLE:​くれね しと</v>
      </c>
      <c r="X300" s="23" t="str">
        <f>"|MIDDLE:​"&amp;テーブル1[[#This Row],[Name]]</f>
        <v>|MIDDLE:​Kurene Shito</v>
      </c>
      <c r="Y300" s="23" t="str">
        <f>"|MIDDLE:​&amp;link(配布所はこちら){​"&amp;テーブル1[[#This Row],[リンク]]&amp;"}|"</f>
        <v>|MIDDLE:​&amp;link(配布所はこちら){​https://bowlroll.net/user/980255}|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1" s="24" t="s">
        <v>735</v>
      </c>
      <c r="D301" s="23" t="s">
        <v>736</v>
      </c>
      <c r="E301" s="23" t="s">
        <v>737</v>
      </c>
      <c r="F301" s="15" t="s">
        <v>733</v>
      </c>
      <c r="G301" s="23" t="s">
        <v>734</v>
      </c>
      <c r="P301" s="24" t="str">
        <f>テーブル1[[#This Row],[リンク]]&amp;テーブル1[[#This Row],[描画状況]]</f>
        <v>https://t7ttttttt.wixsite.com/t7-re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0.50414486457717655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|&amp;image(kurobai-pafia.png,width=100,height=100)</v>
      </c>
      <c r="V301" s="23" t="str">
        <f>"|MIDDLE:​"&amp;テーブル1[[#This Row],[名前]]</f>
        <v>|MIDDLE:​黒這パフィア</v>
      </c>
      <c r="W301" s="23" t="str">
        <f>"|MIDDLE:​"&amp;テーブル1[[#This Row],[なまえ]]</f>
        <v>|MIDDLE:​くろばい ぱふぃあ</v>
      </c>
      <c r="X301" s="23" t="str">
        <f>"|MIDDLE:​"&amp;テーブル1[[#This Row],[Name]]</f>
        <v>|MIDDLE:​Kurobai Pafia</v>
      </c>
      <c r="Y301" s="23" t="str">
        <f>"|MIDDLE:​&amp;link(配布所はこちら){​"&amp;テーブル1[[#This Row],[リンク]]&amp;"}|"</f>
        <v>|MIDDLE:​&amp;link(配布所はこちら){​https://t7ttttttt.wixsite.com/t7-re}|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2" s="24" t="s">
        <v>1294</v>
      </c>
      <c r="D302" s="23" t="s">
        <v>1296</v>
      </c>
      <c r="E302" s="23" t="s">
        <v>1295</v>
      </c>
      <c r="F302" s="15" t="s">
        <v>1300</v>
      </c>
      <c r="G302" s="23" t="s">
        <v>1301</v>
      </c>
      <c r="P302" s="24" t="str">
        <f>テーブル1[[#This Row],[リンク]]&amp;テーブル1[[#This Row],[描画状況]]</f>
        <v>https://keitaiware.com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0.32785475197966762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|&amp;image(keitai-hakken.png,width=100,height=100)</v>
      </c>
      <c r="V302" s="23" t="str">
        <f>"|MIDDLE:​"&amp;テーブル1[[#This Row],[名前]]</f>
        <v>|MIDDLE:​携帯ハッケン</v>
      </c>
      <c r="W302" s="23" t="str">
        <f>"|MIDDLE:​"&amp;テーブル1[[#This Row],[なまえ]]</f>
        <v>|MIDDLE:​けいたい はっけん</v>
      </c>
      <c r="X302" s="23" t="str">
        <f>"|MIDDLE:​"&amp;テーブル1[[#This Row],[Name]]</f>
        <v>|MIDDLE:​Keitai Hakken</v>
      </c>
      <c r="Y302" s="23" t="str">
        <f>"|MIDDLE:​&amp;link(配布所はこちら){​"&amp;テーブル1[[#This Row],[リンク]]&amp;"}|"</f>
        <v>|MIDDLE:​&amp;link(配布所はこちら){​https://keitaiware.com}|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3" s="24" t="s">
        <v>1298</v>
      </c>
      <c r="D303" s="23" t="s">
        <v>1299</v>
      </c>
      <c r="E303" s="23" t="s">
        <v>1297</v>
      </c>
      <c r="F303" s="15" t="s">
        <v>1300</v>
      </c>
      <c r="G303" s="23" t="s">
        <v>1302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0.76651477364161213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|&amp;image(keitai-ron.png,width=100,height=100)</v>
      </c>
      <c r="V303" s="23" t="str">
        <f>"|MIDDLE:​"&amp;テーブル1[[#This Row],[名前]]</f>
        <v>|MIDDLE:​携帯ロン</v>
      </c>
      <c r="W303" s="23" t="str">
        <f>"|MIDDLE:​"&amp;テーブル1[[#This Row],[なまえ]]</f>
        <v>|MIDDLE:​けいたい ろん</v>
      </c>
      <c r="X303" s="23" t="str">
        <f>"|MIDDLE:​"&amp;テーブル1[[#This Row],[Name]]</f>
        <v>|MIDDLE:​Keitai Ron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4" s="24" t="s">
        <v>869</v>
      </c>
      <c r="D304" s="23" t="s">
        <v>870</v>
      </c>
      <c r="E304" s="23" t="s">
        <v>871</v>
      </c>
      <c r="F304" s="15" t="s">
        <v>868</v>
      </c>
      <c r="G304" s="23" t="s">
        <v>872</v>
      </c>
      <c r="P304" s="24" t="str">
        <f>テーブル1[[#This Row],[リンク]]&amp;テーブル1[[#This Row],[描画状況]]</f>
        <v>https://bindumechan.wixsite.com/koinearuutau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0.37022795091357774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|&amp;image(koine-aru.png,width=100,height=100)</v>
      </c>
      <c r="V304" s="23" t="str">
        <f>"|MIDDLE:​"&amp;テーブル1[[#This Row],[名前]]</f>
        <v>|MIDDLE:​恋音アル</v>
      </c>
      <c r="W304" s="23" t="str">
        <f>"|MIDDLE:​"&amp;テーブル1[[#This Row],[なまえ]]</f>
        <v>|MIDDLE:​こいね ある</v>
      </c>
      <c r="X304" s="23" t="str">
        <f>"|MIDDLE:​"&amp;テーブル1[[#This Row],[Name]]</f>
        <v>|MIDDLE:​Koine Aru</v>
      </c>
      <c r="Y304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5" s="24" t="s">
        <v>1024</v>
      </c>
      <c r="D305" s="23" t="s">
        <v>1025</v>
      </c>
      <c r="E305" s="23" t="s">
        <v>1026</v>
      </c>
      <c r="F305" s="27" t="s">
        <v>84</v>
      </c>
      <c r="G305" s="23" t="s">
        <v>85</v>
      </c>
      <c r="H305" s="23" t="s">
        <v>1616</v>
      </c>
      <c r="I305" s="23" t="s">
        <v>1830</v>
      </c>
      <c r="J305" s="23" t="s">
        <v>1827</v>
      </c>
      <c r="L305" s="23" t="s">
        <v>1831</v>
      </c>
      <c r="M305" s="23" t="s">
        <v>1832</v>
      </c>
      <c r="N305" s="1" t="s">
        <v>1508</v>
      </c>
      <c r="P305" s="24" t="str">
        <f>テーブル1[[#This Row],[リンク]]&amp;テーブル1[[#This Row],[描画状況]]</f>
        <v>https://chunyinhui021.wixsite.com/mutyuusaisei</v>
      </c>
      <c r="Q305" s="17">
        <f>1-(COUNTIF(P:P,_xlfn.TEXTJOIN(",",TRUE,テーブル1[[#This Row],[リンク]],テーブル1[[#This Row],[描画状況]]))/COUNTIF(F:F,テーブル1[[#This Row],[リンク]]))</f>
        <v>0.33333333333333337</v>
      </c>
      <c r="R305" s="16">
        <f ca="1">IFERROR(IF(テーブル1[[#This Row],[描画状況]]="",RAND()+(テーブル1[[#This Row],[列2]]*100),""),RAND())</f>
        <v>33.539446470292752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|&amp;image(kon-suishi.png,width=100,height=100)</v>
      </c>
      <c r="V305" s="23" t="str">
        <f>"|MIDDLE:​"&amp;テーブル1[[#This Row],[名前]]</f>
        <v>|MIDDLE:​​狐隠祟紫</v>
      </c>
      <c r="W305" s="23" t="str">
        <f>"|MIDDLE:​"&amp;テーブル1[[#This Row],[なまえ]]</f>
        <v>|MIDDLE:​こおん すいし</v>
      </c>
      <c r="X305" s="23" t="str">
        <f>"|MIDDLE:​"&amp;テーブル1[[#This Row],[Name]]</f>
        <v>|MIDDLE:​Kon Suishi</v>
      </c>
      <c r="Y30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6" s="24" t="s">
        <v>1165</v>
      </c>
      <c r="D306" s="23" t="s">
        <v>1166</v>
      </c>
      <c r="E306" s="23" t="s">
        <v>1167</v>
      </c>
      <c r="F306" s="2" t="s">
        <v>97</v>
      </c>
      <c r="G306" s="23" t="s">
        <v>98</v>
      </c>
      <c r="H306" s="23" t="s">
        <v>1616</v>
      </c>
      <c r="I306" s="23" t="s">
        <v>1626</v>
      </c>
      <c r="N306" s="1" t="s">
        <v>1507</v>
      </c>
      <c r="P306" s="24" t="str">
        <f>テーブル1[[#This Row],[リンク]]&amp;テーブル1[[#This Row],[描画状況]]</f>
        <v>https://hinagitsune-utau.wixsite.com/utaukokorone</v>
      </c>
      <c r="Q306" s="17">
        <f>1-(COUNTIF(P:P,_xlfn.TEXTJOIN(",",TRUE,テーブル1[[#This Row],[リンク]],テーブル1[[#This Row],[描画状況]]))/COUNTIF(F:F,テーブル1[[#This Row],[リンク]]))</f>
        <v>0.19999999999999996</v>
      </c>
      <c r="R306" s="16">
        <f ca="1">IFERROR(IF(テーブル1[[#This Row],[描画状況]]="",RAND()+(テーブル1[[#This Row],[列2]]*100),""),RAND())</f>
        <v>20.633153909045792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|&amp;image(kokorone-aoba.png,width=100,height=100)</v>
      </c>
      <c r="V306" s="23" t="str">
        <f>"|MIDDLE:​"&amp;テーブル1[[#This Row],[名前]]</f>
        <v>|MIDDLE:​​心音アオバ</v>
      </c>
      <c r="W306" s="23" t="str">
        <f>"|MIDDLE:​"&amp;テーブル1[[#This Row],[なまえ]]</f>
        <v>|MIDDLE:​こころね あおば</v>
      </c>
      <c r="X306" s="23" t="str">
        <f>"|MIDDLE:​"&amp;テーブル1[[#This Row],[Name]]</f>
        <v>|MIDDLE:​Kokorone Aoba</v>
      </c>
      <c r="Y30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7" s="24" t="s">
        <v>1177</v>
      </c>
      <c r="D307" s="23" t="s">
        <v>1177</v>
      </c>
      <c r="E307" s="23" t="s">
        <v>1178</v>
      </c>
      <c r="F307" s="15" t="s">
        <v>1176</v>
      </c>
      <c r="G307" s="23" t="s">
        <v>1179</v>
      </c>
      <c r="P307" s="24" t="str">
        <f>テーブル1[[#This Row],[リンク]]&amp;テーブル1[[#This Row],[描画状況]]</f>
        <v>https://bowlroll.net/user/367777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0.61158431798872814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|&amp;image(kochie.png,width=100,height=100)</v>
      </c>
      <c r="V307" s="23" t="str">
        <f>"|MIDDLE:​"&amp;テーブル1[[#This Row],[名前]]</f>
        <v>|MIDDLE:​こちぇ</v>
      </c>
      <c r="W307" s="23" t="str">
        <f>"|MIDDLE:​"&amp;テーブル1[[#This Row],[なまえ]]</f>
        <v>|MIDDLE:​こちぇ</v>
      </c>
      <c r="X307" s="23" t="str">
        <f>"|MIDDLE:​"&amp;テーブル1[[#This Row],[Name]]</f>
        <v>|MIDDLE:​Kochie</v>
      </c>
      <c r="Y307" s="23" t="str">
        <f>"|MIDDLE:​&amp;link(配布所はこちら){​"&amp;テーブル1[[#This Row],[リンク]]&amp;"}|"</f>
        <v>|MIDDLE:​&amp;link(配布所はこちら){​https://bowlroll.net/user/367777}|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8" s="24" t="s">
        <v>1155</v>
      </c>
      <c r="D308" s="23" t="s">
        <v>1156</v>
      </c>
      <c r="E308" s="23" t="s">
        <v>1157</v>
      </c>
      <c r="F308" s="2" t="s">
        <v>1154</v>
      </c>
      <c r="G308" s="23" t="s">
        <v>1164</v>
      </c>
      <c r="P308" s="24" t="str">
        <f>テーブル1[[#This Row],[リンク]]&amp;テーブル1[[#This Row],[描画状況]]</f>
        <v>https://osomatsu-poid.wixsite.com/konari-san-chi</v>
      </c>
      <c r="Q308" s="17">
        <f>1-(COUNTIF(P:P,_xlfn.TEXTJOIN(",",TRUE,テーブル1[[#This Row],[リンク]],テーブル1[[#This Row],[描画状況]]))/COUNTIF(F:F,テーブル1[[#This Row],[リンク]]))</f>
        <v>0.33333333333333337</v>
      </c>
      <c r="R308" s="16">
        <f ca="1">IFERROR(IF(テーブル1[[#This Row],[描画状況]]="",RAND()+(テーブル1[[#This Row],[列2]]*100),""),RAND())</f>
        <v>33.917388133772512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|&amp;image(konari-haruta.png,width=100,height=100)</v>
      </c>
      <c r="V308" s="23" t="str">
        <f>"|MIDDLE:​"&amp;テーブル1[[#This Row],[名前]]</f>
        <v>|MIDDLE:​狐鳴陽夛</v>
      </c>
      <c r="W308" s="23" t="str">
        <f>"|MIDDLE:​"&amp;テーブル1[[#This Row],[なまえ]]</f>
        <v>|MIDDLE:​こなり はるた</v>
      </c>
      <c r="X308" s="23" t="str">
        <f>"|MIDDLE:​"&amp;テーブル1[[#This Row],[Name]]</f>
        <v>|MIDDLE:​Konari Haruta</v>
      </c>
      <c r="Y30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9" s="24" t="s">
        <v>1158</v>
      </c>
      <c r="D309" s="23" t="s">
        <v>1159</v>
      </c>
      <c r="E309" s="23" t="s">
        <v>1160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33.97849691559491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|&amp;image(konari-hina.png,width=100,height=100)</v>
      </c>
      <c r="V309" s="23" t="str">
        <f>"|MIDDLE:​"&amp;テーブル1[[#This Row],[名前]]</f>
        <v>|MIDDLE:​狐鳴陽</v>
      </c>
      <c r="W309" s="23" t="str">
        <f>"|MIDDLE:​"&amp;テーブル1[[#This Row],[なまえ]]</f>
        <v>|MIDDLE:​こなり ひな</v>
      </c>
      <c r="X309" s="23" t="str">
        <f>"|MIDDLE:​"&amp;テーブル1[[#This Row],[Name]]</f>
        <v>|MIDDLE:​Konari Hina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0" s="24" t="s">
        <v>805</v>
      </c>
      <c r="D310" s="23" t="s">
        <v>807</v>
      </c>
      <c r="E310" s="23" t="s">
        <v>806</v>
      </c>
      <c r="F310" s="15" t="s">
        <v>775</v>
      </c>
      <c r="G310" s="23" t="str">
        <f>テーブル1[[#This Row],[名前]]&amp;"(UTAU)"</f>
        <v>狐者異カゴメ(UTAU)</v>
      </c>
      <c r="N310" s="1" t="s">
        <v>1507</v>
      </c>
      <c r="P310" s="24" t="str">
        <f>テーブル1[[#This Row],[リンク]]&amp;テーブル1[[#This Row],[描画状況]]</f>
        <v>https://cmamizki.wixsite.com/edelstein</v>
      </c>
      <c r="Q310" s="17">
        <f>1-(COUNTIF(P:P,_xlfn.TEXTJOIN(",",TRUE,テーブル1[[#This Row],[リンク]],テーブル1[[#This Row],[描画状況]]))/COUNTIF(F:F,テーブル1[[#This Row],[リンク]]))</f>
        <v>9.0909090909090939E-2</v>
      </c>
      <c r="R310" s="16">
        <f ca="1">IFERROR(IF(テーブル1[[#This Row],[描画状況]]="",RAND()+(テーブル1[[#This Row],[列2]]*100),""),RAND())</f>
        <v>9.6656132468522333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|&amp;image(kowai-kagome.png,width=100,height=100)</v>
      </c>
      <c r="V310" s="23" t="str">
        <f>"|MIDDLE:​"&amp;テーブル1[[#This Row],[名前]]</f>
        <v>|MIDDLE:​狐者異カゴメ</v>
      </c>
      <c r="W310" s="23" t="str">
        <f>"|MIDDLE:​"&amp;テーブル1[[#This Row],[なまえ]]</f>
        <v>|MIDDLE:​こわい かごめ</v>
      </c>
      <c r="X310" s="23" t="str">
        <f>"|MIDDLE:​"&amp;テーブル1[[#This Row],[Name]]</f>
        <v>|MIDDLE:​Kowai Kagome</v>
      </c>
      <c r="Y310" s="23" t="str">
        <f>"|MIDDLE:​&amp;link(配布所はこちら){​"&amp;テーブル1[[#This Row],[リンク]]&amp;"}|"</f>
        <v>|MIDDLE:​&amp;link(配布所はこちら){​https://cmamizki.wixsite.com/edelstein}|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1" s="24" t="s">
        <v>1113</v>
      </c>
      <c r="D311" s="23" t="s">
        <v>1115</v>
      </c>
      <c r="E311" s="23" t="s">
        <v>1114</v>
      </c>
      <c r="F311" s="15" t="s">
        <v>1100</v>
      </c>
      <c r="G311" s="23" t="str">
        <f>テーブル1[[#This Row],[名前]]&amp;"(UTAU)"</f>
        <v>XI -sai-(UTAU)</v>
      </c>
      <c r="P311" s="24" t="str">
        <f>テーブル1[[#This Row],[リンク]]&amp;テーブル1[[#This Row],[描画状況]]</f>
        <v>https://harujpg.wixsite.com/sanshoku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0.77344123142107268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|&amp;image(sai.png,width=100,height=100)</v>
      </c>
      <c r="V311" s="23" t="str">
        <f>"|MIDDLE:​"&amp;テーブル1[[#This Row],[名前]]</f>
        <v>|MIDDLE:​XI -sai-</v>
      </c>
      <c r="W311" s="23" t="str">
        <f>"|MIDDLE:​"&amp;テーブル1[[#This Row],[なまえ]]</f>
        <v>|MIDDLE:​さい</v>
      </c>
      <c r="X311" s="23" t="str">
        <f>"|MIDDLE:​"&amp;テーブル1[[#This Row],[Name]]</f>
        <v>|MIDDLE:​sai</v>
      </c>
      <c r="Y311" s="23" t="str">
        <f>"|MIDDLE:​&amp;link(配布所はこちら){​"&amp;テーブル1[[#This Row],[リンク]]&amp;"}|"</f>
        <v>|MIDDLE:​&amp;link(配布所はこちら){​https://harujpg.wixsite.com/sanshoku}|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2" s="24" t="s">
        <v>1257</v>
      </c>
      <c r="D312" s="23" t="s">
        <v>1259</v>
      </c>
      <c r="E312" s="23" t="s">
        <v>1258</v>
      </c>
      <c r="F312" s="15" t="s">
        <v>174</v>
      </c>
      <c r="G312" s="24" t="s">
        <v>1279</v>
      </c>
      <c r="H312" s="24"/>
      <c r="I312" s="24"/>
      <c r="J312" s="24"/>
      <c r="K312" s="24"/>
      <c r="L312" s="24"/>
      <c r="M312" s="24"/>
      <c r="P312" s="24" t="str">
        <f>テーブル1[[#This Row],[リンク]]&amp;テーブル1[[#This Row],[描画状況]]</f>
        <v>https://lenskkpb.wixsite.com/len-sakaki-official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12.65030842391497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|&amp;image(sakaki-leo.png,width=100,height=100)</v>
      </c>
      <c r="V312" s="23" t="str">
        <f>"|MIDDLE:​"&amp;テーブル1[[#This Row],[名前]]</f>
        <v>|MIDDLE:​榊れを</v>
      </c>
      <c r="W312" s="23" t="str">
        <f>"|MIDDLE:​"&amp;テーブル1[[#This Row],[なまえ]]</f>
        <v>|MIDDLE:​さかき れお</v>
      </c>
      <c r="X312" s="23" t="str">
        <f>"|MIDDLE:​"&amp;テーブル1[[#This Row],[Name]]</f>
        <v>|MIDDLE:​Sakaki Leo</v>
      </c>
      <c r="Y31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0.69260530271836462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0.70659036722320723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12.756786195796129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0.49431596327136662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0.40703501209495507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0.52175077045249063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0.58617130399375317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0.86984981735912625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33.367701180690887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1507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22.592622957253322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1507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23.162079200192995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0.66867176467973799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1303</v>
      </c>
      <c r="D325" s="23" t="s">
        <v>1305</v>
      </c>
      <c r="E325" s="23" t="s">
        <v>1306</v>
      </c>
      <c r="F325" s="15" t="s">
        <v>1307</v>
      </c>
      <c r="G325" s="23" t="s">
        <v>1304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3.380460815002706E-2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1689</v>
      </c>
      <c r="G326" s="23" t="str">
        <f>テーブル1[[#This Row],[名前]]&amp;"(UTAU)"</f>
        <v>死nu音サン(UTAU)</v>
      </c>
      <c r="H326" s="23" t="s">
        <v>1652</v>
      </c>
      <c r="I326" s="23" t="s">
        <v>1644</v>
      </c>
      <c r="N326" s="1" t="s">
        <v>1508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17.334376513391923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50.417703459805693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1358</v>
      </c>
      <c r="D328" s="23" t="s">
        <v>1360</v>
      </c>
      <c r="E328" s="23" t="s">
        <v>1359</v>
      </c>
      <c r="F328" s="2" t="s">
        <v>1353</v>
      </c>
      <c r="G328" s="23" t="s">
        <v>1354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12.893979570896951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1355</v>
      </c>
      <c r="D329" s="23" t="s">
        <v>1357</v>
      </c>
      <c r="E329" s="23" t="s">
        <v>1356</v>
      </c>
      <c r="F329" s="2" t="s">
        <v>1353</v>
      </c>
      <c r="G329" s="23" t="s">
        <v>1354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13.176475450419277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1507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20.105322966490412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1616</v>
      </c>
      <c r="I331" s="23" t="s">
        <v>1850</v>
      </c>
      <c r="M331" s="23" t="s">
        <v>1851</v>
      </c>
      <c r="N331" s="1" t="s">
        <v>1507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20.581740269244932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1507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23.069445959927346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1652</v>
      </c>
      <c r="I333" s="23" t="s">
        <v>1833</v>
      </c>
      <c r="N333" s="1" t="s">
        <v>1508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33.35644284104859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0.42557127581566823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1508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33.3364791689594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1616</v>
      </c>
      <c r="I336" s="23" t="s">
        <v>1626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66.834383570340052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0.80353351149105734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7.194692930035119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12.61922450203193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1507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9.2140069505980904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1508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34.128844656878933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0.21464892949390957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12.605674917145011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1507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20.942666426617514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13.447042819952234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1313</v>
      </c>
      <c r="D346" s="23" t="s">
        <v>1315</v>
      </c>
      <c r="E346" s="23" t="s">
        <v>1314</v>
      </c>
      <c r="F346" s="15" t="s">
        <v>1311</v>
      </c>
      <c r="G346" s="23" t="s">
        <v>1316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20.171418516778349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1617</v>
      </c>
      <c r="I347" s="23" t="s">
        <v>1840</v>
      </c>
      <c r="J347" s="23" t="s">
        <v>1834</v>
      </c>
      <c r="L347" s="23" t="s">
        <v>1836</v>
      </c>
      <c r="M347" s="23" t="s">
        <v>1837</v>
      </c>
      <c r="N347" s="1" t="s">
        <v>1508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33.404691607709786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1507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22.98607661522761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0.75516021113119403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1.0817941910008622E-2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13.165663958719069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1507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22.665945350962353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34.276864920668672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0.56825622573686396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1782</v>
      </c>
      <c r="G355" s="23" t="s">
        <v>63</v>
      </c>
      <c r="H355" s="23" t="s">
        <v>1617</v>
      </c>
      <c r="I355" s="23" t="s">
        <v>1794</v>
      </c>
      <c r="L355" s="23" t="s">
        <v>1795</v>
      </c>
      <c r="N355" s="1" t="s">
        <v>1507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60.117509264586538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1507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9.3223348398905923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33.97672758061443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12.937576631866547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40.105088793795289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0.61139159846676294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1444</v>
      </c>
      <c r="D361" s="23" t="s">
        <v>1444</v>
      </c>
      <c r="E361" s="23" t="s">
        <v>1445</v>
      </c>
      <c r="F361" s="15" t="s">
        <v>1437</v>
      </c>
      <c r="G361" s="23" t="s">
        <v>1438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0.60002874464780287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1373</v>
      </c>
      <c r="D362" s="23" t="s">
        <v>1375</v>
      </c>
      <c r="E362" s="23" t="s">
        <v>1374</v>
      </c>
      <c r="F362" s="2" t="s">
        <v>1353</v>
      </c>
      <c r="G362" s="23" t="s">
        <v>1354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13.294722422260238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1507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10.554408390853352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1286</v>
      </c>
      <c r="D364" s="23" t="s">
        <v>1287</v>
      </c>
      <c r="E364" s="23" t="s">
        <v>1288</v>
      </c>
      <c r="F364" s="15" t="s">
        <v>1289</v>
      </c>
      <c r="G364" s="23" t="s">
        <v>1290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0.59061394143402923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1361</v>
      </c>
      <c r="D365" s="23" t="s">
        <v>1363</v>
      </c>
      <c r="E365" s="23" t="s">
        <v>1362</v>
      </c>
      <c r="F365" s="2" t="s">
        <v>1353</v>
      </c>
      <c r="G365" s="23" t="s">
        <v>1354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13.14042467178138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1616</v>
      </c>
      <c r="I366" s="23" t="s">
        <v>1626</v>
      </c>
      <c r="K366" s="23" t="s">
        <v>1777</v>
      </c>
      <c r="M366" s="23" t="s">
        <v>1812</v>
      </c>
      <c r="N366" s="1" t="s">
        <v>1507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33.486198346974625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1264</v>
      </c>
      <c r="D367" s="23" t="s">
        <v>1266</v>
      </c>
      <c r="E367" s="23" t="s">
        <v>1265</v>
      </c>
      <c r="F367" s="15" t="s">
        <v>174</v>
      </c>
      <c r="G367" s="24" t="s">
        <v>1281</v>
      </c>
      <c r="H367" s="24"/>
      <c r="I367" s="24"/>
      <c r="J367" s="24"/>
      <c r="K367" s="24"/>
      <c r="L367" s="24"/>
      <c r="M367" s="24"/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12.757305112177173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1270</v>
      </c>
      <c r="D368" s="23" t="s">
        <v>1272</v>
      </c>
      <c r="E368" s="23" t="s">
        <v>1271</v>
      </c>
      <c r="F368" s="15" t="s">
        <v>174</v>
      </c>
      <c r="G368" s="24" t="s">
        <v>1283</v>
      </c>
      <c r="H368" s="24"/>
      <c r="I368" s="24"/>
      <c r="J368" s="24"/>
      <c r="K368" s="24"/>
      <c r="L368" s="24"/>
      <c r="M368" s="24"/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13.232672772095162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1616</v>
      </c>
      <c r="I369" s="23" t="s">
        <v>1828</v>
      </c>
      <c r="J369" s="23" t="s">
        <v>1838</v>
      </c>
      <c r="K369" s="23" t="s">
        <v>1839</v>
      </c>
      <c r="L369" s="23" t="s">
        <v>1627</v>
      </c>
      <c r="N369" s="1" t="s">
        <v>1508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34.023329753607484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22.649489288374948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1364</v>
      </c>
      <c r="D371" s="23" t="s">
        <v>1366</v>
      </c>
      <c r="E371" s="23" t="s">
        <v>1365</v>
      </c>
      <c r="F371" s="2" t="s">
        <v>1353</v>
      </c>
      <c r="G371" s="23" t="s">
        <v>1354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13.403441031296312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13.287559423452688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0.16190493083056268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0.77911024905532467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7.9898947202480697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7.7468845751462183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10.547753104226794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1852</v>
      </c>
      <c r="D378" s="23" t="s">
        <v>1854</v>
      </c>
      <c r="E378" s="23" t="s">
        <v>1853</v>
      </c>
      <c r="F378" s="2" t="s">
        <v>97</v>
      </c>
      <c r="G378" s="23" t="s">
        <v>98</v>
      </c>
      <c r="H378" s="23" t="s">
        <v>1617</v>
      </c>
      <c r="I378" s="23" t="s">
        <v>1626</v>
      </c>
      <c r="N378" s="1" t="s">
        <v>1507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20.682915601444371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1617</v>
      </c>
      <c r="I379" s="23" t="s">
        <v>1626</v>
      </c>
      <c r="K379" s="23" t="s">
        <v>1777</v>
      </c>
      <c r="L379" s="23" t="s">
        <v>1627</v>
      </c>
      <c r="M379" s="23" t="s">
        <v>1812</v>
      </c>
      <c r="N379" s="1" t="s">
        <v>1507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34.009411939493575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13.094806595922073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13.486236370901413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1273</v>
      </c>
      <c r="D382" s="23" t="s">
        <v>1275</v>
      </c>
      <c r="E382" s="23" t="s">
        <v>1274</v>
      </c>
      <c r="F382" s="15" t="s">
        <v>174</v>
      </c>
      <c r="G382" s="24" t="s">
        <v>1284</v>
      </c>
      <c r="H382" s="24"/>
      <c r="I382" s="24"/>
      <c r="J382" s="24"/>
      <c r="K382" s="24"/>
      <c r="L382" s="24"/>
      <c r="M382" s="24"/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12.96217991815799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1317</v>
      </c>
      <c r="D383" s="23" t="s">
        <v>1319</v>
      </c>
      <c r="E383" s="23" t="s">
        <v>1318</v>
      </c>
      <c r="F383" s="15" t="s">
        <v>1311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20.950665441507461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0.97119768612168766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33.663292607321466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1507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10.965086401529105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13.303568613349125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1320</v>
      </c>
      <c r="D388" s="23" t="s">
        <v>1322</v>
      </c>
      <c r="E388" s="23" t="s">
        <v>1321</v>
      </c>
      <c r="F388" s="15" t="s">
        <v>1311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20.468210456587631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0.39812964063244127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8.0424793184458618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1439</v>
      </c>
      <c r="D391" s="23" t="s">
        <v>1440</v>
      </c>
      <c r="E391" s="23" t="s">
        <v>1441</v>
      </c>
      <c r="F391" s="15" t="s">
        <v>1437</v>
      </c>
      <c r="G391" s="23" t="s">
        <v>1438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0.40910265920379363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13.480155464323365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7.7696496558897223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7.2820369566483709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1276</v>
      </c>
      <c r="D395" s="23" t="s">
        <v>1278</v>
      </c>
      <c r="E395" s="23" t="s">
        <v>1277</v>
      </c>
      <c r="F395" s="15" t="s">
        <v>174</v>
      </c>
      <c r="G395" s="24" t="s">
        <v>1285</v>
      </c>
      <c r="H395" s="24"/>
      <c r="I395" s="24"/>
      <c r="J395" s="24"/>
      <c r="K395" s="24"/>
      <c r="L395" s="24"/>
      <c r="M395" s="24"/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13.350358384396243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1446</v>
      </c>
      <c r="D396" s="23" t="s">
        <v>1447</v>
      </c>
      <c r="E396" s="23" t="s">
        <v>1448</v>
      </c>
      <c r="F396" s="15" t="s">
        <v>1437</v>
      </c>
      <c r="G396" s="23" t="s">
        <v>1438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0.78492788105171685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1267</v>
      </c>
      <c r="D397" s="23" t="s">
        <v>1269</v>
      </c>
      <c r="E397" s="23" t="s">
        <v>1268</v>
      </c>
      <c r="F397" s="15" t="s">
        <v>174</v>
      </c>
      <c r="G397" s="24" t="s">
        <v>1282</v>
      </c>
      <c r="H397" s="24"/>
      <c r="I397" s="24"/>
      <c r="J397" s="24"/>
      <c r="K397" s="24"/>
      <c r="L397" s="24"/>
      <c r="M397" s="24"/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12.746523416327728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1367</v>
      </c>
      <c r="D398" s="23" t="s">
        <v>1369</v>
      </c>
      <c r="E398" s="23" t="s">
        <v>1368</v>
      </c>
      <c r="F398" s="2" t="s">
        <v>1353</v>
      </c>
      <c r="G398" s="23" t="s">
        <v>1354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12.614430590885334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1689</v>
      </c>
      <c r="G399" s="23" t="str">
        <f>テーブル1[[#This Row],[名前]]&amp;"(UTAU)"</f>
        <v>メジロ・メイホァ(UTAU)</v>
      </c>
      <c r="H399" s="23" t="s">
        <v>1617</v>
      </c>
      <c r="L399" s="23" t="s">
        <v>1627</v>
      </c>
      <c r="N399" s="1" t="s">
        <v>1508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17.427685648190817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0.23694855478173149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1689</v>
      </c>
      <c r="G401" s="23" t="str">
        <f>テーブル1[[#This Row],[名前]]&amp;"(UTAU)"</f>
        <v>メタ・クアドラ(UTAU)</v>
      </c>
      <c r="H401" s="23" t="s">
        <v>1616</v>
      </c>
      <c r="I401" s="23" t="s">
        <v>1691</v>
      </c>
      <c r="M401" s="23" t="s">
        <v>1662</v>
      </c>
      <c r="N401" s="1" t="s">
        <v>1508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17.094247448536628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13.370547078300763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1689</v>
      </c>
      <c r="G403" s="23" t="str">
        <f>テーブル1[[#This Row],[名前]]&amp;"(UTAU)"</f>
        <v>メルジ・ハクア(UTAU)</v>
      </c>
      <c r="H403" s="23" t="s">
        <v>1617</v>
      </c>
      <c r="N403" s="1" t="s">
        <v>1508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16.958517612948143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0.51194315830655235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0.13039573946695104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1341</v>
      </c>
      <c r="D406" s="23" t="s">
        <v>1343</v>
      </c>
      <c r="E406" s="23" t="s">
        <v>1344</v>
      </c>
      <c r="F406" s="15" t="s">
        <v>1342</v>
      </c>
      <c r="G406" s="23" t="s">
        <v>1345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4.8549923739114043E-3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0.37558155821189376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0.70515313438880323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13.438306619265164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0.70039046547396899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0.97105849696953772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40.021932166903255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8.0523249230228622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10.188598644088705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0.46488648612481065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9.1816119840472634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9.5688164237770525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7.4419154093545945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7.813960463128871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13.408603779017078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67.069800072113466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9.8578422698946362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12.866733288002559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1328</v>
      </c>
      <c r="D424" s="23" t="s">
        <v>1331</v>
      </c>
      <c r="E424" s="23" t="s">
        <v>1330</v>
      </c>
      <c r="F424" s="15" t="s">
        <v>1329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0.50121833647469083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9.8824234089689522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9.2643116939564507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13.475434634349687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1689</v>
      </c>
      <c r="G428" s="23" t="str">
        <f>テーブル1[[#This Row],[名前]]&amp;"(UTAU)"</f>
        <v>レフア・アパパネ(UTAU)</v>
      </c>
      <c r="H428" s="23" t="s">
        <v>1616</v>
      </c>
      <c r="I428" s="23" t="s">
        <v>1692</v>
      </c>
      <c r="M428" s="23" t="s">
        <v>1693</v>
      </c>
      <c r="N428" s="1" t="s">
        <v>1508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16.994605344910799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10.204700347487679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0.73909741672994778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12.924975797042812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5.4700191273596377E-2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0.42751376324173851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1545</v>
      </c>
      <c r="D434" s="23" t="s">
        <v>1546</v>
      </c>
      <c r="E434" s="23" t="s">
        <v>1547</v>
      </c>
      <c r="F434" s="2" t="s">
        <v>212</v>
      </c>
      <c r="G434" s="23" t="s">
        <v>213</v>
      </c>
      <c r="N434" s="1" t="s">
        <v>1507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20.764015272632836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1548</v>
      </c>
      <c r="D435" s="23" t="s">
        <v>1549</v>
      </c>
      <c r="E435" s="23" t="s">
        <v>1550</v>
      </c>
      <c r="F435" s="2" t="s">
        <v>212</v>
      </c>
      <c r="G435" s="23" t="s">
        <v>213</v>
      </c>
      <c r="N435" s="1" t="s">
        <v>1507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20.017972673225209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1551</v>
      </c>
      <c r="D436" s="23" t="s">
        <v>1552</v>
      </c>
      <c r="E436" s="23" t="s">
        <v>1553</v>
      </c>
      <c r="F436" s="2" t="s">
        <v>212</v>
      </c>
      <c r="G436" s="23" t="s">
        <v>213</v>
      </c>
      <c r="N436" s="1" t="s">
        <v>1507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20.535788578844439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1557</v>
      </c>
      <c r="D437" s="23" t="s">
        <v>1559</v>
      </c>
      <c r="E437" s="23" t="s">
        <v>1558</v>
      </c>
      <c r="F437" s="2" t="s">
        <v>212</v>
      </c>
      <c r="G437" s="23" t="s">
        <v>213</v>
      </c>
      <c r="N437" s="1" t="s">
        <v>1507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20.436520770360776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1560</v>
      </c>
      <c r="D438" s="23" t="s">
        <v>1560</v>
      </c>
      <c r="E438" s="23" t="s">
        <v>1561</v>
      </c>
      <c r="F438" s="2" t="s">
        <v>212</v>
      </c>
      <c r="G438" s="23" t="s">
        <v>213</v>
      </c>
      <c r="N438" s="1" t="s">
        <v>1507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20.220270430991558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1562</v>
      </c>
      <c r="D439" s="23" t="s">
        <v>1563</v>
      </c>
      <c r="E439" s="23" t="s">
        <v>1564</v>
      </c>
      <c r="F439" s="2" t="s">
        <v>212</v>
      </c>
      <c r="G439" s="23" t="s">
        <v>213</v>
      </c>
      <c r="N439" s="1" t="s">
        <v>1507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20.155842218388742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1718</v>
      </c>
      <c r="D440" s="23" t="s">
        <v>1719</v>
      </c>
      <c r="E440" s="23" t="s">
        <v>1717</v>
      </c>
      <c r="F440" s="29" t="s">
        <v>1705</v>
      </c>
      <c r="G440" s="23" t="s">
        <v>1706</v>
      </c>
      <c r="H440" s="23" t="s">
        <v>1616</v>
      </c>
      <c r="I440" s="23" t="s">
        <v>1639</v>
      </c>
      <c r="K440" s="23" t="s">
        <v>1723</v>
      </c>
      <c r="L440" s="23" t="s">
        <v>1720</v>
      </c>
      <c r="M440" s="23" t="s">
        <v>1721</v>
      </c>
      <c r="N440" s="1" t="s">
        <v>1579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33.793003209669187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1724</v>
      </c>
      <c r="D441" s="23" t="s">
        <v>1725</v>
      </c>
      <c r="E441" s="23" t="s">
        <v>1726</v>
      </c>
      <c r="F441" s="29" t="s">
        <v>1705</v>
      </c>
      <c r="G441" s="23" t="s">
        <v>1706</v>
      </c>
      <c r="H441" s="23" t="s">
        <v>1617</v>
      </c>
      <c r="I441" s="23" t="s">
        <v>1639</v>
      </c>
      <c r="M441" s="23" t="s">
        <v>1721</v>
      </c>
      <c r="N441" s="1" t="s">
        <v>1579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34.075947409686378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1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5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0" r:id="rId117" xr:uid="{5082E534-D3FB-4DD6-9E0B-D6202BB3C49E}"/>
    <hyperlink ref="F153" r:id="rId118" xr:uid="{5827E670-CC22-4A19-80E9-0FAD13040207}"/>
    <hyperlink ref="F330" r:id="rId119" xr:uid="{C833F371-D2A9-46F5-BC52-0475DEE4D054}"/>
    <hyperlink ref="F242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1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6" r:id="rId142" xr:uid="{84499711-CC79-43ED-B718-6C6BE45F3FC0}"/>
    <hyperlink ref="F342" r:id="rId143" xr:uid="{61000D28-7493-42E5-BC77-02DE0D21747A}"/>
    <hyperlink ref="F301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79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4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7" r:id="rId164" xr:uid="{99E57A08-6A5C-4D9F-9191-0039542D3206}"/>
    <hyperlink ref="F393" r:id="rId165" xr:uid="{E1CEA228-8C77-486A-B910-AEFCBD795530}"/>
    <hyperlink ref="F390" r:id="rId166" xr:uid="{88ED7A05-7F75-42BC-9149-69776D433A22}"/>
    <hyperlink ref="F287" r:id="rId167" xr:uid="{F557F50A-3623-410E-AA97-12031958EF4D}"/>
    <hyperlink ref="F375" r:id="rId168" xr:uid="{2F3C3A3A-8412-4739-8A39-2CFE67FB49D2}"/>
    <hyperlink ref="F260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4" r:id="rId177" xr:uid="{FACF30D1-8C5E-4592-AC56-BFE9A442CEDA}"/>
    <hyperlink ref="F311" r:id="rId178" xr:uid="{588BB4ED-975C-42FE-B3DD-0706E484E363}"/>
    <hyperlink ref="F427" r:id="rId179" xr:uid="{A224B14E-4E21-40D9-A9B2-44FAE06CED83}"/>
    <hyperlink ref="F423" r:id="rId180" xr:uid="{4BD38BD0-8329-429C-99FC-F268CFED277B}"/>
    <hyperlink ref="F258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3" r:id="rId187" xr:uid="{CE4B5F9C-D4D2-4B30-9416-9974FFDEE0C6}"/>
    <hyperlink ref="F405" r:id="rId188" xr:uid="{158728FC-10D8-4A2D-B157-C40940B593D5}"/>
    <hyperlink ref="F262" r:id="rId189" xr:uid="{713B80A6-6830-4723-86EB-485F0B14F3BE}"/>
    <hyperlink ref="F404" r:id="rId190" xr:uid="{E9FADB5C-F3CC-4A44-8E62-432C3765C720}"/>
    <hyperlink ref="F308" r:id="rId191" xr:uid="{B0E1FB6A-6A48-4A0C-A5C1-58282A83CCE5}"/>
    <hyperlink ref="F309" r:id="rId192" xr:uid="{08A2C2CD-A2B4-4404-9054-9C64105E1DF7}"/>
    <hyperlink ref="F135" r:id="rId193" xr:uid="{4E21A862-7310-4927-A746-53535E255C32}"/>
    <hyperlink ref="F246" r:id="rId194" xr:uid="{3FEE91EB-76C5-4DD7-88A7-D57FE2F9F4A1}"/>
    <hyperlink ref="F290" r:id="rId195" xr:uid="{4C693679-C540-48A7-88F4-0E6736D68F2C}"/>
    <hyperlink ref="F307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0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8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2" r:id="rId209" xr:uid="{5617C910-A310-4A17-8AA4-316F310847BF}"/>
    <hyperlink ref="F303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8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5" r:id="rId237" xr:uid="{BFCF7012-69F3-45C3-AFE9-F0277A62BBD8}"/>
    <hyperlink ref="F391" r:id="rId238" xr:uid="{BE1C263B-30C3-4388-A077-E2B849D62EEC}"/>
    <hyperlink ref="F274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2" r:id="rId291" xr:uid="{1A5935A5-F197-4EB4-98D4-7456DD9263CB}"/>
    <hyperlink ref="F291" r:id="rId292" xr:uid="{1FDC25C5-4137-4D42-AD91-0378F9F9E3CB}"/>
    <hyperlink ref="F300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4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4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</hyperlinks>
  <pageMargins left="0.7" right="0.7" top="0.75" bottom="0.75" header="0.3" footer="0.3"/>
  <tableParts count="1">
    <tablePart r:id="rId3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406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闇音レンリ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https://renrivoice.wixsite.com/renri-voice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No.233｜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1716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3"/>
  <sheetViews>
    <sheetView topLeftCell="B1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1610</v>
      </c>
      <c r="B1" s="18" t="s">
        <v>1606</v>
      </c>
      <c r="C1" s="18" t="s">
        <v>1607</v>
      </c>
      <c r="D1" s="18" t="s">
        <v>1608</v>
      </c>
      <c r="E1" s="18" t="s">
        <v>1609</v>
      </c>
      <c r="F1" s="18" t="s">
        <v>1611</v>
      </c>
      <c r="G1" s="18" t="s">
        <v>1612</v>
      </c>
      <c r="H1" s="18" t="s">
        <v>1613</v>
      </c>
      <c r="I1" s="1" t="s">
        <v>1619</v>
      </c>
      <c r="J1" s="1" t="s">
        <v>1760</v>
      </c>
      <c r="K1" s="1" t="s">
        <v>1620</v>
      </c>
      <c r="L1" s="1" t="s">
        <v>1621</v>
      </c>
      <c r="M1" s="1" t="s">
        <v>1622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Row],[モチーフタグ]]&amp;""</f>
        <v/>
      </c>
      <c r="K63" s="19" t="str">
        <f>テーブル1[[#This Row],[職業タグ]]&amp;""</f>
        <v/>
      </c>
      <c r="L63" s="19" t="str">
        <f>テーブル1[[#This Row],[小物タグ]]&amp;""</f>
        <v/>
      </c>
      <c r="M63" s="19" t="str">
        <f>テーブル1[[#This Row],[ワンポイントタグ]]&amp;""</f>
        <v/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2026-06-19T08:49:16Z</dcterms:modified>
  <cp:category/>
  <cp:contentStatus/>
</cp:coreProperties>
</file>