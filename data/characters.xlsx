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36F37BE7-6C22-4689-BFD4-58EAF1B8BFE5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A233" i="9"/>
  <c r="B233" i="9"/>
  <c r="C233" i="9"/>
  <c r="D233" i="9"/>
  <c r="F233" i="9"/>
  <c r="H233" i="9"/>
  <c r="I233" i="9"/>
  <c r="K233" i="9"/>
  <c r="L233" i="9"/>
  <c r="M233" i="9"/>
  <c r="G233" i="1"/>
  <c r="B233" i="1"/>
  <c r="P233" i="1"/>
  <c r="T233" i="1"/>
  <c r="U233" i="1"/>
  <c r="V233" i="1"/>
  <c r="W233" i="1"/>
  <c r="X233" i="1"/>
  <c r="Y233" i="1"/>
  <c r="A232" i="9"/>
  <c r="B232" i="9"/>
  <c r="C232" i="9"/>
  <c r="D232" i="9"/>
  <c r="F232" i="9"/>
  <c r="G232" i="9"/>
  <c r="H232" i="9"/>
  <c r="I232" i="9"/>
  <c r="K232" i="9"/>
  <c r="L232" i="9"/>
  <c r="M232" i="9"/>
  <c r="B232" i="1"/>
  <c r="P232" i="1"/>
  <c r="T232" i="1"/>
  <c r="V232" i="1"/>
  <c r="W232" i="1"/>
  <c r="X232" i="1"/>
  <c r="Y232" i="1"/>
  <c r="G229" i="9"/>
  <c r="A231" i="9"/>
  <c r="B231" i="9"/>
  <c r="C231" i="9"/>
  <c r="D231" i="9"/>
  <c r="F231" i="9"/>
  <c r="H231" i="9"/>
  <c r="I231" i="9"/>
  <c r="K231" i="9"/>
  <c r="L231" i="9"/>
  <c r="M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I230" i="9"/>
  <c r="K230" i="9"/>
  <c r="L230" i="9"/>
  <c r="M230" i="9"/>
  <c r="B234" i="1"/>
  <c r="P234" i="1"/>
  <c r="T234" i="1"/>
  <c r="V234" i="1"/>
  <c r="W234" i="1"/>
  <c r="X234" i="1"/>
  <c r="Y234" i="1"/>
  <c r="B230" i="1"/>
  <c r="P230" i="1"/>
  <c r="T230" i="1"/>
  <c r="V230" i="1"/>
  <c r="W230" i="1"/>
  <c r="X230" i="1"/>
  <c r="Y230" i="1"/>
  <c r="B441" i="1"/>
  <c r="P441" i="1"/>
  <c r="T441" i="1"/>
  <c r="V441" i="1"/>
  <c r="W441" i="1"/>
  <c r="X441" i="1"/>
  <c r="Y441" i="1"/>
  <c r="B440" i="1"/>
  <c r="P440" i="1"/>
  <c r="T440" i="1"/>
  <c r="V440" i="1"/>
  <c r="W440" i="1"/>
  <c r="X440" i="1"/>
  <c r="Y440" i="1"/>
  <c r="A228" i="9"/>
  <c r="A229" i="9"/>
  <c r="B228" i="9"/>
  <c r="B229" i="9"/>
  <c r="C228" i="9"/>
  <c r="C229" i="9"/>
  <c r="D228" i="9"/>
  <c r="D229" i="9"/>
  <c r="F228" i="9"/>
  <c r="F229" i="9"/>
  <c r="G228" i="9"/>
  <c r="H228" i="9"/>
  <c r="H229" i="9"/>
  <c r="I228" i="9"/>
  <c r="I229" i="9"/>
  <c r="K228" i="9"/>
  <c r="K229" i="9"/>
  <c r="L228" i="9"/>
  <c r="L229" i="9"/>
  <c r="M228" i="9"/>
  <c r="M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B228" i="1"/>
  <c r="P228" i="1"/>
  <c r="T228" i="1"/>
  <c r="V228" i="1"/>
  <c r="W228" i="1"/>
  <c r="X228" i="1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7" i="9"/>
  <c r="G28" i="9"/>
  <c r="G29" i="9"/>
  <c r="G30" i="9"/>
  <c r="G31" i="9"/>
  <c r="G32" i="9"/>
  <c r="G33" i="9"/>
  <c r="G36" i="9"/>
  <c r="G37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3" i="9"/>
  <c r="G74" i="9"/>
  <c r="G75" i="9"/>
  <c r="G78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115" i="1"/>
  <c r="G143" i="1"/>
  <c r="G149" i="1"/>
  <c r="G160" i="1"/>
  <c r="G162" i="1"/>
  <c r="G166" i="1"/>
  <c r="G179" i="1"/>
  <c r="G207" i="1"/>
  <c r="G208" i="1"/>
  <c r="G210" i="1"/>
  <c r="G223" i="1"/>
  <c r="P227" i="1"/>
  <c r="T227" i="1"/>
  <c r="V227" i="1"/>
  <c r="W227" i="1"/>
  <c r="X227" i="1"/>
  <c r="G433" i="1"/>
  <c r="G428" i="1"/>
  <c r="G427" i="1"/>
  <c r="G426" i="1"/>
  <c r="G425" i="1"/>
  <c r="G424" i="1"/>
  <c r="G423" i="1"/>
  <c r="G422" i="1"/>
  <c r="G417" i="1"/>
  <c r="G416" i="1"/>
  <c r="G409" i="1"/>
  <c r="G403" i="1"/>
  <c r="G401" i="1"/>
  <c r="G400" i="1"/>
  <c r="G399" i="1"/>
  <c r="G392" i="1"/>
  <c r="G388" i="1"/>
  <c r="G383" i="1"/>
  <c r="G380" i="1"/>
  <c r="G360" i="1"/>
  <c r="G357" i="1"/>
  <c r="G356" i="1"/>
  <c r="G351" i="1"/>
  <c r="G340" i="1"/>
  <c r="G334" i="1"/>
  <c r="G327" i="1"/>
  <c r="G326" i="1"/>
  <c r="G321" i="1"/>
  <c r="G320" i="1"/>
  <c r="G319" i="1"/>
  <c r="G318" i="1"/>
  <c r="G317" i="1"/>
  <c r="G316" i="1"/>
  <c r="G311" i="1"/>
  <c r="G310" i="1"/>
  <c r="G283" i="1"/>
  <c r="G281" i="1"/>
  <c r="G258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235" i="1"/>
  <c r="P236" i="1"/>
  <c r="T235" i="1"/>
  <c r="T236" i="1"/>
  <c r="V235" i="1"/>
  <c r="V236" i="1"/>
  <c r="W235" i="1"/>
  <c r="W236" i="1"/>
  <c r="X235" i="1"/>
  <c r="X236" i="1"/>
  <c r="P220" i="1"/>
  <c r="T220" i="1"/>
  <c r="V220" i="1"/>
  <c r="W220" i="1"/>
  <c r="X220" i="1"/>
  <c r="P439" i="1"/>
  <c r="T439" i="1"/>
  <c r="V439" i="1"/>
  <c r="W439" i="1"/>
  <c r="X439" i="1"/>
  <c r="P438" i="1"/>
  <c r="T438" i="1"/>
  <c r="V438" i="1"/>
  <c r="W438" i="1"/>
  <c r="X438" i="1"/>
  <c r="P437" i="1"/>
  <c r="T437" i="1"/>
  <c r="V437" i="1"/>
  <c r="W437" i="1"/>
  <c r="X437" i="1"/>
  <c r="P219" i="1"/>
  <c r="T219" i="1"/>
  <c r="V219" i="1"/>
  <c r="W219" i="1"/>
  <c r="X219" i="1"/>
  <c r="P436" i="1"/>
  <c r="T436" i="1"/>
  <c r="V436" i="1"/>
  <c r="W436" i="1"/>
  <c r="X436" i="1"/>
  <c r="P435" i="1"/>
  <c r="T435" i="1"/>
  <c r="V435" i="1"/>
  <c r="W435" i="1"/>
  <c r="X435" i="1"/>
  <c r="P434" i="1"/>
  <c r="T434" i="1"/>
  <c r="V434" i="1"/>
  <c r="W434" i="1"/>
  <c r="X434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396" i="1"/>
  <c r="T396" i="1"/>
  <c r="P361" i="1"/>
  <c r="T361" i="1"/>
  <c r="P274" i="1"/>
  <c r="T274" i="1"/>
  <c r="P391" i="1"/>
  <c r="T391" i="1"/>
  <c r="P295" i="1"/>
  <c r="T295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62" i="1"/>
  <c r="T362" i="1"/>
  <c r="P240" i="1"/>
  <c r="T240" i="1"/>
  <c r="P398" i="1"/>
  <c r="T398" i="1"/>
  <c r="P371" i="1"/>
  <c r="T371" i="1"/>
  <c r="P365" i="1"/>
  <c r="T365" i="1"/>
  <c r="P328" i="1"/>
  <c r="T328" i="1"/>
  <c r="P329" i="1"/>
  <c r="T329" i="1"/>
  <c r="P188" i="1"/>
  <c r="T188" i="1"/>
  <c r="P174" i="1"/>
  <c r="T174" i="1"/>
  <c r="G265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06" i="1"/>
  <c r="T406" i="1"/>
  <c r="P275" i="1"/>
  <c r="T275" i="1"/>
  <c r="P182" i="1"/>
  <c r="T182" i="1"/>
  <c r="P424" i="1"/>
  <c r="T424" i="1"/>
  <c r="P13" i="1"/>
  <c r="P17" i="1"/>
  <c r="P18" i="1"/>
  <c r="P86" i="1"/>
  <c r="P106" i="1"/>
  <c r="P353" i="1"/>
  <c r="P266" i="1"/>
  <c r="P321" i="1"/>
  <c r="P95" i="1"/>
  <c r="P96" i="1"/>
  <c r="P290" i="1"/>
  <c r="P40" i="1"/>
  <c r="P61" i="1"/>
  <c r="P80" i="1"/>
  <c r="P94" i="1"/>
  <c r="P199" i="1"/>
  <c r="P239" i="1"/>
  <c r="P238" i="1"/>
  <c r="P432" i="1"/>
  <c r="P78" i="1"/>
  <c r="P278" i="1"/>
  <c r="P89" i="1"/>
  <c r="P316" i="1"/>
  <c r="P415" i="1"/>
  <c r="P147" i="1"/>
  <c r="P253" i="1"/>
  <c r="P254" i="1"/>
  <c r="P139" i="1"/>
  <c r="P184" i="1"/>
  <c r="P248" i="1"/>
  <c r="P257" i="1"/>
  <c r="P249" i="1"/>
  <c r="P251" i="1"/>
  <c r="P256" i="1"/>
  <c r="P255" i="1"/>
  <c r="P252" i="1"/>
  <c r="P247" i="1"/>
  <c r="P250" i="1"/>
  <c r="P344" i="1"/>
  <c r="P19" i="1"/>
  <c r="P399" i="1"/>
  <c r="P428" i="1"/>
  <c r="P401" i="1"/>
  <c r="P326" i="1"/>
  <c r="P403" i="1"/>
  <c r="P75" i="1"/>
  <c r="P327" i="1"/>
  <c r="P155" i="1"/>
  <c r="P377" i="1"/>
  <c r="P414" i="1"/>
  <c r="P297" i="1"/>
  <c r="P241" i="1"/>
  <c r="P386" i="1"/>
  <c r="P285" i="1"/>
  <c r="P245" i="1"/>
  <c r="P363" i="1"/>
  <c r="P429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04" i="1"/>
  <c r="P354" i="1"/>
  <c r="P176" i="1"/>
  <c r="P115" i="1"/>
  <c r="P141" i="1"/>
  <c r="P280" i="1"/>
  <c r="P307" i="1"/>
  <c r="P350" i="1"/>
  <c r="P373" i="1"/>
  <c r="P279" i="1"/>
  <c r="P143" i="1"/>
  <c r="P265" i="1"/>
  <c r="P28" i="1"/>
  <c r="P34" i="1"/>
  <c r="P294" i="1"/>
  <c r="P144" i="1"/>
  <c r="P355" i="1"/>
  <c r="P325" i="1"/>
  <c r="P298" i="1"/>
  <c r="P411" i="1"/>
  <c r="P324" i="1"/>
  <c r="P175" i="1"/>
  <c r="P157" i="1"/>
  <c r="P216" i="1"/>
  <c r="P185" i="1"/>
  <c r="P22" i="1"/>
  <c r="P112" i="1"/>
  <c r="P300" i="1"/>
  <c r="P291" i="1"/>
  <c r="P282" i="1"/>
  <c r="P334" i="1"/>
  <c r="P54" i="1"/>
  <c r="P103" i="1"/>
  <c r="P64" i="1"/>
  <c r="P44" i="1"/>
  <c r="P66" i="1"/>
  <c r="P369" i="1"/>
  <c r="P347" i="1"/>
  <c r="P305" i="1"/>
  <c r="P333" i="1"/>
  <c r="P4" i="1"/>
  <c r="P113" i="1"/>
  <c r="P117" i="1"/>
  <c r="P171" i="1"/>
  <c r="P286" i="1"/>
  <c r="P281" i="1"/>
  <c r="P289" i="1"/>
  <c r="P149" i="1"/>
  <c r="P310" i="1"/>
  <c r="P340" i="1"/>
  <c r="P356" i="1"/>
  <c r="P416" i="1"/>
  <c r="P417" i="1"/>
  <c r="P422" i="1"/>
  <c r="P425" i="1"/>
  <c r="P426" i="1"/>
  <c r="P299" i="1"/>
  <c r="P410" i="1"/>
  <c r="P237" i="1"/>
  <c r="P119" i="1"/>
  <c r="P322" i="1"/>
  <c r="P323" i="1"/>
  <c r="P159" i="1"/>
  <c r="P352" i="1"/>
  <c r="P348" i="1"/>
  <c r="P332" i="1"/>
  <c r="P370" i="1"/>
  <c r="P293" i="1"/>
  <c r="P364" i="1"/>
  <c r="P191" i="1"/>
  <c r="P341" i="1"/>
  <c r="P335" i="1"/>
  <c r="P190" i="1"/>
  <c r="P317" i="1"/>
  <c r="P318" i="1"/>
  <c r="P360" i="1"/>
  <c r="P319" i="1"/>
  <c r="P311" i="1"/>
  <c r="P46" i="1"/>
  <c r="P306" i="1"/>
  <c r="P378" i="1"/>
  <c r="P331" i="1"/>
  <c r="P246" i="1"/>
  <c r="P93" i="1"/>
  <c r="P37" i="1"/>
  <c r="P366" i="1"/>
  <c r="P379" i="1"/>
  <c r="P16" i="1"/>
  <c r="P65" i="1"/>
  <c r="P11" i="1"/>
  <c r="P148" i="1"/>
  <c r="P138" i="1"/>
  <c r="P164" i="1"/>
  <c r="P26" i="1"/>
  <c r="P27" i="1"/>
  <c r="P201" i="1"/>
  <c r="P346" i="1"/>
  <c r="P383" i="1"/>
  <c r="P388" i="1"/>
  <c r="P283" i="1"/>
  <c r="P374" i="1"/>
  <c r="P389" i="1"/>
  <c r="P244" i="1"/>
  <c r="P272" i="1"/>
  <c r="P273" i="1"/>
  <c r="P276" i="1"/>
  <c r="P292" i="1"/>
  <c r="P339" i="1"/>
  <c r="P170" i="1"/>
  <c r="P420" i="1"/>
  <c r="P153" i="1"/>
  <c r="P146" i="1"/>
  <c r="P29" i="1"/>
  <c r="P30" i="1"/>
  <c r="P130" i="1"/>
  <c r="P156" i="1"/>
  <c r="P43" i="1"/>
  <c r="P55" i="1"/>
  <c r="P110" i="1"/>
  <c r="P20" i="1"/>
  <c r="P21" i="1"/>
  <c r="P41" i="1"/>
  <c r="P302" i="1"/>
  <c r="P303" i="1"/>
  <c r="P7" i="1"/>
  <c r="P131" i="1"/>
  <c r="P336" i="1"/>
  <c r="P23" i="1"/>
  <c r="P42" i="1"/>
  <c r="P63" i="1"/>
  <c r="P312" i="1"/>
  <c r="P243" i="1"/>
  <c r="P367" i="1"/>
  <c r="P397" i="1"/>
  <c r="P368" i="1"/>
  <c r="P382" i="1"/>
  <c r="P395" i="1"/>
  <c r="P384" i="1"/>
  <c r="P74" i="1"/>
  <c r="P85" i="1"/>
  <c r="P3" i="1"/>
  <c r="P50" i="1"/>
  <c r="P192" i="1"/>
  <c r="P180" i="1"/>
  <c r="P81" i="1"/>
  <c r="P181" i="1"/>
  <c r="P259" i="1"/>
  <c r="P154" i="1"/>
  <c r="P359" i="1"/>
  <c r="P168" i="1"/>
  <c r="P412" i="1"/>
  <c r="P108" i="1"/>
  <c r="P125" i="1"/>
  <c r="P421" i="1"/>
  <c r="P197" i="1"/>
  <c r="P261" i="1"/>
  <c r="P121" i="1"/>
  <c r="P196" i="1"/>
  <c r="P5" i="1"/>
  <c r="P127" i="1"/>
  <c r="P57" i="1"/>
  <c r="P2" i="1"/>
  <c r="P242" i="1"/>
  <c r="P330" i="1"/>
  <c r="P25" i="1"/>
  <c r="P102" i="1"/>
  <c r="P271" i="1"/>
  <c r="P194" i="1"/>
  <c r="P433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57" i="1"/>
  <c r="P385" i="1"/>
  <c r="P135" i="1"/>
  <c r="P308" i="1"/>
  <c r="P309" i="1"/>
  <c r="P167" i="1"/>
  <c r="P62" i="1"/>
  <c r="P79" i="1"/>
  <c r="P430" i="1"/>
  <c r="P10" i="1"/>
  <c r="P8" i="1"/>
  <c r="P24" i="1"/>
  <c r="P32" i="1"/>
  <c r="P76" i="1"/>
  <c r="P87" i="1"/>
  <c r="P88" i="1"/>
  <c r="P109" i="1"/>
  <c r="P187" i="1"/>
  <c r="P56" i="1"/>
  <c r="P126" i="1"/>
  <c r="P296" i="1"/>
  <c r="P136" i="1"/>
  <c r="P314" i="1"/>
  <c r="P313" i="1"/>
  <c r="P172" i="1"/>
  <c r="P142" i="1"/>
  <c r="P263" i="1"/>
  <c r="P405" i="1"/>
  <c r="P262" i="1"/>
  <c r="P404" i="1"/>
  <c r="P14" i="1"/>
  <c r="P39" i="1"/>
  <c r="P72" i="1"/>
  <c r="P73" i="1"/>
  <c r="P133" i="1"/>
  <c r="P137" i="1"/>
  <c r="P337" i="1"/>
  <c r="P349" i="1"/>
  <c r="P408" i="1"/>
  <c r="P284" i="1"/>
  <c r="P407" i="1"/>
  <c r="P83" i="1"/>
  <c r="P84" i="1"/>
  <c r="P301" i="1"/>
  <c r="P342" i="1"/>
  <c r="P162" i="1"/>
  <c r="P320" i="1"/>
  <c r="P400" i="1"/>
  <c r="P6" i="1"/>
  <c r="P15" i="1"/>
  <c r="P270" i="1"/>
  <c r="P269" i="1"/>
  <c r="P268" i="1"/>
  <c r="P288" i="1"/>
  <c r="P402" i="1"/>
  <c r="P358" i="1"/>
  <c r="P315" i="1"/>
  <c r="P277" i="1"/>
  <c r="P431" i="1"/>
  <c r="P343" i="1"/>
  <c r="P345" i="1"/>
  <c r="P387" i="1"/>
  <c r="P372" i="1"/>
  <c r="P381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27" i="1"/>
  <c r="P423" i="1"/>
  <c r="P258" i="1"/>
  <c r="P166" i="1"/>
  <c r="P409" i="1"/>
  <c r="P351" i="1"/>
  <c r="P380" i="1"/>
  <c r="P392" i="1"/>
  <c r="P67" i="1"/>
  <c r="P71" i="1"/>
  <c r="P267" i="1"/>
  <c r="P393" i="1"/>
  <c r="P390" i="1"/>
  <c r="P287" i="1"/>
  <c r="P375" i="1"/>
  <c r="P260" i="1"/>
  <c r="P419" i="1"/>
  <c r="P200" i="1"/>
  <c r="P338" i="1"/>
  <c r="P418" i="1"/>
  <c r="P376" i="1"/>
  <c r="P394" i="1"/>
  <c r="P413" i="1"/>
  <c r="P264" i="1"/>
  <c r="P122" i="1"/>
  <c r="P151" i="1"/>
  <c r="T283" i="1"/>
  <c r="T388" i="1"/>
  <c r="T383" i="1"/>
  <c r="T346" i="1"/>
  <c r="T201" i="1"/>
  <c r="T325" i="1"/>
  <c r="T303" i="1"/>
  <c r="T302" i="1"/>
  <c r="T164" i="1"/>
  <c r="T364" i="1"/>
  <c r="T395" i="1"/>
  <c r="T382" i="1"/>
  <c r="T368" i="1"/>
  <c r="T397" i="1"/>
  <c r="T367" i="1"/>
  <c r="T243" i="1"/>
  <c r="T312" i="1"/>
  <c r="T298" i="1"/>
  <c r="T313" i="1"/>
  <c r="T314" i="1"/>
  <c r="T269" i="1"/>
  <c r="T268" i="1"/>
  <c r="T288" i="1"/>
  <c r="T402" i="1"/>
  <c r="T358" i="1"/>
  <c r="T315" i="1"/>
  <c r="T277" i="1"/>
  <c r="T431" i="1"/>
  <c r="T343" i="1"/>
  <c r="T345" i="1"/>
  <c r="T387" i="1"/>
  <c r="T372" i="1"/>
  <c r="T381" i="1"/>
  <c r="T270" i="1"/>
  <c r="T190" i="1"/>
  <c r="T385" i="1"/>
  <c r="T357" i="1"/>
  <c r="T335" i="1"/>
  <c r="T316" i="1"/>
  <c r="T307" i="1"/>
  <c r="T290" i="1"/>
  <c r="T246" i="1"/>
  <c r="T331" i="1"/>
  <c r="T378" i="1"/>
  <c r="T306" i="1"/>
  <c r="T135" i="1"/>
  <c r="T309" i="1"/>
  <c r="T308" i="1"/>
  <c r="T404" i="1"/>
  <c r="T262" i="1"/>
  <c r="T405" i="1"/>
  <c r="T263" i="1"/>
  <c r="T392" i="1"/>
  <c r="T380" i="1"/>
  <c r="T351" i="1"/>
  <c r="T409" i="1"/>
  <c r="T166" i="1"/>
  <c r="T258" i="1"/>
  <c r="T423" i="1"/>
  <c r="T427" i="1"/>
  <c r="T311" i="1"/>
  <c r="T319" i="1"/>
  <c r="T360" i="1"/>
  <c r="T318" i="1"/>
  <c r="T317" i="1"/>
  <c r="T264" i="1"/>
  <c r="T413" i="1"/>
  <c r="T394" i="1"/>
  <c r="T376" i="1"/>
  <c r="T418" i="1"/>
  <c r="T338" i="1"/>
  <c r="T200" i="1"/>
  <c r="T419" i="1"/>
  <c r="T260" i="1"/>
  <c r="T375" i="1"/>
  <c r="T287" i="1"/>
  <c r="T390" i="1"/>
  <c r="T393" i="1"/>
  <c r="T267" i="1"/>
  <c r="T322" i="1"/>
  <c r="T323" i="1"/>
  <c r="T159" i="1"/>
  <c r="T352" i="1"/>
  <c r="T348" i="1"/>
  <c r="T332" i="1"/>
  <c r="T370" i="1"/>
  <c r="T293" i="1"/>
  <c r="T410" i="1"/>
  <c r="T237" i="1"/>
  <c r="T286" i="1"/>
  <c r="T369" i="1"/>
  <c r="T347" i="1"/>
  <c r="T305" i="1"/>
  <c r="T333" i="1"/>
  <c r="T300" i="1"/>
  <c r="T291" i="1"/>
  <c r="T282" i="1"/>
  <c r="T144" i="1"/>
  <c r="T355" i="1"/>
  <c r="T294" i="1"/>
  <c r="T297" i="1"/>
  <c r="T241" i="1"/>
  <c r="T386" i="1"/>
  <c r="T285" i="1"/>
  <c r="T245" i="1"/>
  <c r="T363" i="1"/>
  <c r="T429" i="1"/>
  <c r="T414" i="1"/>
  <c r="T327" i="1"/>
  <c r="T401" i="1"/>
  <c r="T326" i="1"/>
  <c r="T403" i="1"/>
  <c r="T399" i="1"/>
  <c r="T428" i="1"/>
  <c r="T344" i="1"/>
  <c r="T253" i="1"/>
  <c r="T254" i="1"/>
  <c r="T139" i="1"/>
  <c r="T184" i="1"/>
  <c r="T248" i="1"/>
  <c r="T257" i="1"/>
  <c r="T249" i="1"/>
  <c r="T251" i="1"/>
  <c r="T256" i="1"/>
  <c r="T255" i="1"/>
  <c r="T252" i="1"/>
  <c r="T247" i="1"/>
  <c r="T250" i="1"/>
  <c r="T238" i="1"/>
  <c r="T266" i="1"/>
  <c r="T407" i="1"/>
  <c r="T284" i="1"/>
  <c r="T408" i="1"/>
  <c r="T349" i="1"/>
  <c r="T337" i="1"/>
  <c r="T353" i="1"/>
  <c r="T176" i="1"/>
  <c r="T334" i="1"/>
  <c r="T430" i="1"/>
  <c r="T433" i="1"/>
  <c r="T432" i="1"/>
  <c r="T304" i="1"/>
  <c r="T373" i="1"/>
  <c r="T350" i="1"/>
  <c r="T354" i="1"/>
  <c r="T339" i="1"/>
  <c r="T420" i="1"/>
  <c r="T292" i="1"/>
  <c r="T276" i="1"/>
  <c r="T244" i="1"/>
  <c r="T272" i="1"/>
  <c r="T273" i="1"/>
  <c r="T170" i="1"/>
  <c r="T181" i="1"/>
  <c r="T412" i="1"/>
  <c r="T359" i="1"/>
  <c r="T259" i="1"/>
  <c r="T154" i="1"/>
  <c r="T168" i="1"/>
  <c r="T289" i="1"/>
  <c r="T422" i="1"/>
  <c r="T425" i="1"/>
  <c r="T417" i="1"/>
  <c r="T149" i="1"/>
  <c r="T340" i="1"/>
  <c r="T356" i="1"/>
  <c r="T426" i="1"/>
  <c r="T281" i="1"/>
  <c r="T310" i="1"/>
  <c r="T416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39" i="1"/>
  <c r="T278" i="1"/>
  <c r="T415" i="1"/>
  <c r="T147" i="1"/>
  <c r="T155" i="1"/>
  <c r="T377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280" i="1"/>
  <c r="T279" i="1"/>
  <c r="T143" i="1"/>
  <c r="T265" i="1"/>
  <c r="T411" i="1"/>
  <c r="T324" i="1"/>
  <c r="T175" i="1"/>
  <c r="T157" i="1"/>
  <c r="T216" i="1"/>
  <c r="T185" i="1"/>
  <c r="T117" i="1"/>
  <c r="T171" i="1"/>
  <c r="T299" i="1"/>
  <c r="T119" i="1"/>
  <c r="T191" i="1"/>
  <c r="T341" i="1"/>
  <c r="T366" i="1"/>
  <c r="T379" i="1"/>
  <c r="T148" i="1"/>
  <c r="T138" i="1"/>
  <c r="T374" i="1"/>
  <c r="T389" i="1"/>
  <c r="T153" i="1"/>
  <c r="T146" i="1"/>
  <c r="T156" i="1"/>
  <c r="T130" i="1"/>
  <c r="T131" i="1"/>
  <c r="T336" i="1"/>
  <c r="T384" i="1"/>
  <c r="T192" i="1"/>
  <c r="T180" i="1"/>
  <c r="T421" i="1"/>
  <c r="T125" i="1"/>
  <c r="T197" i="1"/>
  <c r="T261" i="1"/>
  <c r="T196" i="1"/>
  <c r="T121" i="1"/>
  <c r="T127" i="1"/>
  <c r="T242" i="1"/>
  <c r="T330" i="1"/>
  <c r="T271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296" i="1"/>
  <c r="T136" i="1"/>
  <c r="T172" i="1"/>
  <c r="T142" i="1"/>
  <c r="T137" i="1"/>
  <c r="T133" i="1"/>
  <c r="T301" i="1"/>
  <c r="T342" i="1"/>
  <c r="T162" i="1"/>
  <c r="T320" i="1"/>
  <c r="T400" i="1"/>
  <c r="T160" i="1"/>
  <c r="T179" i="1"/>
  <c r="T151" i="1"/>
  <c r="T122" i="1"/>
  <c r="T321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G233" i="9" l="1"/>
  <c r="E233" i="9"/>
  <c r="G230" i="9"/>
  <c r="Q233" i="1"/>
  <c r="R233" i="1" s="1"/>
  <c r="U232" i="1"/>
  <c r="U231" i="1"/>
  <c r="E232" i="9"/>
  <c r="Q232" i="1"/>
  <c r="R232" i="1" s="1"/>
  <c r="G196" i="9"/>
  <c r="G176" i="9"/>
  <c r="G114" i="9"/>
  <c r="G231" i="9"/>
  <c r="G195" i="9"/>
  <c r="G175" i="9"/>
  <c r="Q337" i="1"/>
  <c r="Q255" i="1"/>
  <c r="Q93" i="1"/>
  <c r="Q156" i="1"/>
  <c r="Q415" i="1"/>
  <c r="Q172" i="1"/>
  <c r="Q21" i="1"/>
  <c r="Q245" i="1"/>
  <c r="Q351" i="1"/>
  <c r="Q107" i="1"/>
  <c r="Q16" i="1"/>
  <c r="Q285" i="1"/>
  <c r="Q35" i="1"/>
  <c r="Q412" i="1"/>
  <c r="Q341" i="1"/>
  <c r="Q106" i="1"/>
  <c r="Q349" i="1"/>
  <c r="Q55" i="1"/>
  <c r="Q307" i="1"/>
  <c r="Q90" i="1"/>
  <c r="Q25" i="1"/>
  <c r="Q364" i="1"/>
  <c r="Q297" i="1"/>
  <c r="Q137" i="1"/>
  <c r="Q154" i="1"/>
  <c r="Q324" i="1"/>
  <c r="Q380" i="1"/>
  <c r="Q279" i="1"/>
  <c r="Q250" i="1"/>
  <c r="Q386" i="1"/>
  <c r="Q241" i="1"/>
  <c r="Q280" i="1"/>
  <c r="Q369" i="1"/>
  <c r="Q101" i="1"/>
  <c r="Q22" i="1"/>
  <c r="Q89" i="1"/>
  <c r="Q247" i="1"/>
  <c r="Q338" i="1"/>
  <c r="Q112" i="1"/>
  <c r="Q407" i="1"/>
  <c r="Q395" i="1"/>
  <c r="Q195" i="1"/>
  <c r="Q9" i="1"/>
  <c r="Q108" i="1"/>
  <c r="Q335" i="1"/>
  <c r="Q376" i="1"/>
  <c r="Q62" i="1"/>
  <c r="Q244" i="1"/>
  <c r="Q193" i="1"/>
  <c r="Q288" i="1"/>
  <c r="Q168" i="1"/>
  <c r="Q425" i="1"/>
  <c r="Q86" i="1"/>
  <c r="Q309" i="1"/>
  <c r="Q374" i="1"/>
  <c r="Q347" i="1"/>
  <c r="Q432" i="1"/>
  <c r="Q126" i="1"/>
  <c r="Q243" i="1"/>
  <c r="Q129" i="1"/>
  <c r="Q117" i="1"/>
  <c r="Q125" i="1"/>
  <c r="Q113" i="1"/>
  <c r="Q394" i="1"/>
  <c r="Q313" i="1"/>
  <c r="Q20" i="1"/>
  <c r="Q373" i="1"/>
  <c r="Q408" i="1"/>
  <c r="Q379" i="1"/>
  <c r="Q278" i="1"/>
  <c r="Q53" i="1"/>
  <c r="Q157" i="1"/>
  <c r="Q258" i="1"/>
  <c r="Q367" i="1"/>
  <c r="Q209" i="1"/>
  <c r="Q269" i="1"/>
  <c r="Q330" i="1"/>
  <c r="Q141" i="1"/>
  <c r="Q410" i="1"/>
  <c r="Q33" i="1"/>
  <c r="Q65" i="1"/>
  <c r="Q344" i="1"/>
  <c r="Q358" i="1"/>
  <c r="Q194" i="1"/>
  <c r="Q4" i="1"/>
  <c r="Q251" i="1"/>
  <c r="Q314" i="1"/>
  <c r="Q110" i="1"/>
  <c r="Q350" i="1"/>
  <c r="Q31" i="1"/>
  <c r="Q397" i="1"/>
  <c r="Q305" i="1"/>
  <c r="Q128" i="1"/>
  <c r="Q48" i="1"/>
  <c r="Q37" i="1"/>
  <c r="Q111" i="1"/>
  <c r="Q417" i="1"/>
  <c r="Q238" i="1"/>
  <c r="Q363" i="1"/>
  <c r="Q316" i="1"/>
  <c r="Q185" i="1"/>
  <c r="Q97" i="1"/>
  <c r="Q426" i="1"/>
  <c r="Q418" i="1"/>
  <c r="Q136" i="1"/>
  <c r="Q389" i="1"/>
  <c r="Q252" i="1"/>
  <c r="Q268" i="1"/>
  <c r="Q359" i="1"/>
  <c r="Q422" i="1"/>
  <c r="Q18" i="1"/>
  <c r="Q308" i="1"/>
  <c r="Q283" i="1"/>
  <c r="Q414" i="1"/>
  <c r="Q161" i="1"/>
  <c r="Q430" i="1"/>
  <c r="Q273" i="1"/>
  <c r="Q246" i="1"/>
  <c r="Q79" i="1"/>
  <c r="Q272" i="1"/>
  <c r="Q140" i="1"/>
  <c r="Q409" i="1"/>
  <c r="Q271" i="1"/>
  <c r="Q333" i="1"/>
  <c r="Q259" i="1"/>
  <c r="Q102" i="1"/>
  <c r="Q191" i="1"/>
  <c r="Q78" i="1"/>
  <c r="Q296" i="1"/>
  <c r="Q43" i="1"/>
  <c r="Q175" i="1"/>
  <c r="Q423" i="1"/>
  <c r="Q38" i="1"/>
  <c r="Q293" i="1"/>
  <c r="Q256" i="1"/>
  <c r="Q143" i="1"/>
  <c r="Q433" i="1"/>
  <c r="Q190" i="1"/>
  <c r="Q266" i="1"/>
  <c r="Q284" i="1"/>
  <c r="Q382" i="1"/>
  <c r="Q299" i="1"/>
  <c r="Q353" i="1"/>
  <c r="Q402" i="1"/>
  <c r="Q368" i="1"/>
  <c r="Q216" i="1"/>
  <c r="Q166" i="1"/>
  <c r="Q167" i="1"/>
  <c r="Q366" i="1"/>
  <c r="Q189" i="1"/>
  <c r="E231" i="9"/>
  <c r="G26" i="9"/>
  <c r="G35" i="9"/>
  <c r="G39" i="9"/>
  <c r="G72" i="9"/>
  <c r="G77" i="9"/>
  <c r="G110" i="9"/>
  <c r="G113" i="9"/>
  <c r="G174" i="9"/>
  <c r="G194" i="9"/>
  <c r="Q231" i="1"/>
  <c r="R231" i="1" s="1"/>
  <c r="E230" i="9"/>
  <c r="Q36" i="1"/>
  <c r="Q47" i="1"/>
  <c r="Q421" i="1"/>
  <c r="Q384" i="1"/>
  <c r="Q41" i="1"/>
  <c r="Q276" i="1"/>
  <c r="Q11" i="1"/>
  <c r="Q317" i="1"/>
  <c r="Q19" i="1"/>
  <c r="Q321" i="1"/>
  <c r="Q115" i="1"/>
  <c r="Q413" i="1"/>
  <c r="Q315" i="1"/>
  <c r="U230" i="1"/>
  <c r="U89" i="1"/>
  <c r="U90" i="1"/>
  <c r="U91" i="1"/>
  <c r="U92" i="1"/>
  <c r="U93" i="1"/>
  <c r="U94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G109" i="9"/>
  <c r="G112" i="9"/>
  <c r="G173" i="9"/>
  <c r="G192" i="9"/>
  <c r="G193" i="9"/>
  <c r="Q234" i="1"/>
  <c r="R234" i="1" s="1"/>
  <c r="Q277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441" i="1"/>
  <c r="R441" i="1" s="1"/>
  <c r="Q440" i="1"/>
  <c r="R440" i="1" s="1"/>
  <c r="E228" i="9"/>
  <c r="E229" i="9"/>
  <c r="G86" i="9"/>
  <c r="G143" i="9"/>
  <c r="G149" i="9"/>
  <c r="G160" i="9"/>
  <c r="G166" i="9"/>
  <c r="G179" i="9"/>
  <c r="G207" i="9"/>
  <c r="G115" i="9"/>
  <c r="G162" i="9"/>
  <c r="G208" i="9"/>
  <c r="G210" i="9"/>
  <c r="G223" i="9"/>
  <c r="Q68" i="1"/>
  <c r="Q197" i="1"/>
  <c r="Q74" i="1"/>
  <c r="Q302" i="1"/>
  <c r="Q292" i="1"/>
  <c r="Q148" i="1"/>
  <c r="Q318" i="1"/>
  <c r="Q237" i="1"/>
  <c r="Q171" i="1"/>
  <c r="Q300" i="1"/>
  <c r="Q265" i="1"/>
  <c r="Q198" i="1"/>
  <c r="Q429" i="1"/>
  <c r="Q399" i="1"/>
  <c r="Q147" i="1"/>
  <c r="Q95" i="1"/>
  <c r="Q264" i="1"/>
  <c r="Q392" i="1"/>
  <c r="Q45" i="1"/>
  <c r="Q229" i="1"/>
  <c r="R229" i="1" s="1"/>
  <c r="Q227" i="1"/>
  <c r="Q226" i="1"/>
  <c r="Q225" i="1"/>
  <c r="Q224" i="1"/>
  <c r="Q223" i="1"/>
  <c r="Q186" i="1"/>
  <c r="Q59" i="1"/>
  <c r="Q401" i="1"/>
  <c r="Q254" i="1"/>
  <c r="Q290" i="1"/>
  <c r="Q411" i="1"/>
  <c r="Q151" i="1"/>
  <c r="Q71" i="1"/>
  <c r="Q100" i="1"/>
  <c r="Q343" i="1"/>
  <c r="Q301" i="1"/>
  <c r="Q405" i="1"/>
  <c r="Q24" i="1"/>
  <c r="Q91" i="1"/>
  <c r="Q173" i="1"/>
  <c r="Q261" i="1"/>
  <c r="Q85" i="1"/>
  <c r="Q303" i="1"/>
  <c r="Q339" i="1"/>
  <c r="Q138" i="1"/>
  <c r="Q360" i="1"/>
  <c r="Q119" i="1"/>
  <c r="Q286" i="1"/>
  <c r="Q291" i="1"/>
  <c r="Q28" i="1"/>
  <c r="Q145" i="1"/>
  <c r="Q58" i="1"/>
  <c r="Q428" i="1"/>
  <c r="Q253" i="1"/>
  <c r="Q96" i="1"/>
  <c r="Q312" i="1"/>
  <c r="Q122" i="1"/>
  <c r="Q67" i="1"/>
  <c r="Q99" i="1"/>
  <c r="Q431" i="1"/>
  <c r="Q84" i="1"/>
  <c r="Q263" i="1"/>
  <c r="Q8" i="1"/>
  <c r="Q82" i="1"/>
  <c r="Q222" i="1"/>
  <c r="Q221" i="1"/>
  <c r="Q235" i="1"/>
  <c r="Q236" i="1"/>
  <c r="Q220" i="1"/>
  <c r="Q439" i="1"/>
  <c r="Q438" i="1"/>
  <c r="Q437" i="1"/>
  <c r="Q219" i="1"/>
  <c r="Q196" i="1"/>
  <c r="Q50" i="1"/>
  <c r="Q131" i="1"/>
  <c r="Q420" i="1"/>
  <c r="Q26" i="1"/>
  <c r="Q311" i="1"/>
  <c r="Q323" i="1"/>
  <c r="Q289" i="1"/>
  <c r="Q334" i="1"/>
  <c r="Q294" i="1"/>
  <c r="Q178" i="1"/>
  <c r="Q69" i="1"/>
  <c r="Q326" i="1"/>
  <c r="Q139" i="1"/>
  <c r="Q40" i="1"/>
  <c r="Q388" i="1"/>
  <c r="Q267" i="1"/>
  <c r="Q51" i="1"/>
  <c r="Q345" i="1"/>
  <c r="Q342" i="1"/>
  <c r="Q262" i="1"/>
  <c r="Q32" i="1"/>
  <c r="Q92" i="1"/>
  <c r="Q169" i="1"/>
  <c r="Q121" i="1"/>
  <c r="Q3" i="1"/>
  <c r="Q7" i="1"/>
  <c r="Q170" i="1"/>
  <c r="Q164" i="1"/>
  <c r="Q319" i="1"/>
  <c r="Q322" i="1"/>
  <c r="Q281" i="1"/>
  <c r="Q282" i="1"/>
  <c r="Q34" i="1"/>
  <c r="G24" i="9"/>
  <c r="G25" i="9"/>
  <c r="G34" i="9"/>
  <c r="G38" i="9"/>
  <c r="G71" i="9"/>
  <c r="G76" i="9"/>
  <c r="G108" i="9"/>
  <c r="G111" i="9"/>
  <c r="G172" i="9"/>
  <c r="G190" i="9"/>
  <c r="G191" i="9"/>
  <c r="Q228" i="1"/>
  <c r="R228" i="1" s="1"/>
  <c r="Q436" i="1"/>
  <c r="Q435" i="1"/>
  <c r="Q434" i="1"/>
  <c r="Q213" i="1"/>
  <c r="Q212" i="1"/>
  <c r="Q211" i="1"/>
  <c r="Q393" i="1"/>
  <c r="Q70" i="1"/>
  <c r="Q387" i="1"/>
  <c r="Q162" i="1"/>
  <c r="Q404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396" i="1"/>
  <c r="Q274" i="1"/>
  <c r="Q361" i="1"/>
  <c r="Q295" i="1"/>
  <c r="Q391" i="1"/>
  <c r="Q204" i="1"/>
  <c r="Q206" i="1"/>
  <c r="Q183" i="1"/>
  <c r="Q165" i="1"/>
  <c r="Q150" i="1"/>
  <c r="Q177" i="1"/>
  <c r="Q362" i="1"/>
  <c r="Q398" i="1"/>
  <c r="Q240" i="1"/>
  <c r="Q365" i="1"/>
  <c r="Q371" i="1"/>
  <c r="Q329" i="1"/>
  <c r="Q328" i="1"/>
  <c r="Q174" i="1"/>
  <c r="Q188" i="1"/>
  <c r="Q406" i="1"/>
  <c r="Q182" i="1"/>
  <c r="Q275" i="1"/>
  <c r="Q424" i="1"/>
  <c r="Q56" i="1"/>
  <c r="Q133" i="1"/>
  <c r="Q130" i="1"/>
  <c r="Q135" i="1"/>
  <c r="Q163" i="1"/>
  <c r="Q377" i="1"/>
  <c r="Q242" i="1"/>
  <c r="Q13" i="1"/>
  <c r="Q200" i="1"/>
  <c r="Q17" i="1"/>
  <c r="Q419" i="1"/>
  <c r="Q427" i="1"/>
  <c r="Q52" i="1"/>
  <c r="Q270" i="1"/>
  <c r="Q416" i="1"/>
  <c r="Q260" i="1"/>
  <c r="Q98" i="1"/>
  <c r="Q104" i="1"/>
  <c r="Q15" i="1"/>
  <c r="Q73" i="1"/>
  <c r="Q187" i="1"/>
  <c r="Q385" i="1"/>
  <c r="Q116" i="1"/>
  <c r="Q2" i="1"/>
  <c r="Q181" i="1"/>
  <c r="Q63" i="1"/>
  <c r="Q30" i="1"/>
  <c r="Q383" i="1"/>
  <c r="Q331" i="1"/>
  <c r="Q332" i="1"/>
  <c r="Q356" i="1"/>
  <c r="Q44" i="1"/>
  <c r="Q298" i="1"/>
  <c r="Q176" i="1"/>
  <c r="Q123" i="1"/>
  <c r="Q155" i="1"/>
  <c r="Q249" i="1"/>
  <c r="Q199" i="1"/>
  <c r="Q239" i="1"/>
  <c r="Q375" i="1"/>
  <c r="Q179" i="1"/>
  <c r="Q87" i="1"/>
  <c r="Q60" i="1"/>
  <c r="Q124" i="1"/>
  <c r="Q5" i="1"/>
  <c r="Q192" i="1"/>
  <c r="Q336" i="1"/>
  <c r="Q153" i="1"/>
  <c r="Q27" i="1"/>
  <c r="Q46" i="1"/>
  <c r="Q159" i="1"/>
  <c r="Q149" i="1"/>
  <c r="Q54" i="1"/>
  <c r="Q144" i="1"/>
  <c r="Q152" i="1"/>
  <c r="Q114" i="1"/>
  <c r="Q403" i="1"/>
  <c r="Q184" i="1"/>
  <c r="Q61" i="1"/>
  <c r="C12" i="6"/>
  <c r="Q12" i="1"/>
  <c r="Q6" i="1"/>
  <c r="Q72" i="1"/>
  <c r="Q109" i="1"/>
  <c r="Q357" i="1"/>
  <c r="Q49" i="1"/>
  <c r="Q57" i="1"/>
  <c r="Q81" i="1"/>
  <c r="Q42" i="1"/>
  <c r="Q29" i="1"/>
  <c r="Q346" i="1"/>
  <c r="Q378" i="1"/>
  <c r="Q348" i="1"/>
  <c r="Q340" i="1"/>
  <c r="Q64" i="1"/>
  <c r="Q325" i="1"/>
  <c r="Q354" i="1"/>
  <c r="Q120" i="1"/>
  <c r="Q327" i="1"/>
  <c r="Q257" i="1"/>
  <c r="Q94" i="1"/>
  <c r="Q370" i="1"/>
  <c r="Q287" i="1"/>
  <c r="Q160" i="1"/>
  <c r="Q381" i="1"/>
  <c r="Q400" i="1"/>
  <c r="Q39" i="1"/>
  <c r="Q88" i="1"/>
  <c r="Q132" i="1"/>
  <c r="Q118" i="1"/>
  <c r="Q75" i="1"/>
  <c r="Q248" i="1"/>
  <c r="Q80" i="1"/>
  <c r="Q66" i="1"/>
  <c r="Q390" i="1"/>
  <c r="Q77" i="1"/>
  <c r="Q372" i="1"/>
  <c r="Q320" i="1"/>
  <c r="Q14" i="1"/>
  <c r="Q134" i="1"/>
  <c r="Q127" i="1"/>
  <c r="Q180" i="1"/>
  <c r="Q23" i="1"/>
  <c r="Q146" i="1"/>
  <c r="Q201" i="1"/>
  <c r="Q306" i="1"/>
  <c r="Q352" i="1"/>
  <c r="Q310" i="1"/>
  <c r="Q103" i="1"/>
  <c r="Q355" i="1"/>
  <c r="Q304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41" i="1" l="1"/>
  <c r="R285" i="1"/>
  <c r="R380" i="1"/>
  <c r="R279" i="1"/>
  <c r="R255" i="1"/>
  <c r="R337" i="1"/>
  <c r="R237" i="1"/>
  <c r="R244" i="1"/>
  <c r="R288" i="1"/>
  <c r="R309" i="1"/>
  <c r="R347" i="1"/>
  <c r="R330" i="1"/>
  <c r="R369" i="1"/>
  <c r="R238" i="1"/>
  <c r="R425" i="1"/>
  <c r="R335" i="1"/>
  <c r="R243" i="1"/>
  <c r="R412" i="1"/>
  <c r="R373" i="1"/>
  <c r="R386" i="1"/>
  <c r="R338" i="1"/>
  <c r="R280" i="1"/>
  <c r="R410" i="1"/>
  <c r="R350" i="1"/>
  <c r="R297" i="1"/>
  <c r="R245" i="1"/>
  <c r="R394" i="1"/>
  <c r="R351" i="1"/>
  <c r="R278" i="1"/>
  <c r="R433" i="1"/>
  <c r="R382" i="1"/>
  <c r="R402" i="1"/>
  <c r="R366" i="1"/>
  <c r="R252" i="1"/>
  <c r="R423" i="1"/>
  <c r="R321" i="1"/>
  <c r="R430" i="1"/>
  <c r="R246" i="1"/>
  <c r="R353" i="1"/>
  <c r="R271" i="1"/>
  <c r="R317" i="1"/>
  <c r="R368" i="1"/>
  <c r="R359" i="1"/>
  <c r="R308" i="1"/>
  <c r="R293" i="1"/>
  <c r="R409" i="1"/>
  <c r="R268" i="1"/>
  <c r="R283" i="1"/>
  <c r="R414" i="1"/>
  <c r="R363" i="1"/>
  <c r="R273" i="1"/>
  <c r="R284" i="1"/>
  <c r="R250" i="1"/>
  <c r="R408" i="1"/>
  <c r="R379" i="1"/>
  <c r="R247" i="1"/>
  <c r="R389" i="1"/>
  <c r="R241" i="1"/>
  <c r="R422" i="1"/>
  <c r="R324" i="1"/>
  <c r="R395" i="1"/>
  <c r="R314" i="1"/>
  <c r="R307" i="1"/>
  <c r="R364" i="1"/>
  <c r="R417" i="1"/>
  <c r="R407" i="1"/>
  <c r="R344" i="1"/>
  <c r="R313" i="1"/>
  <c r="R251" i="1"/>
  <c r="R333" i="1"/>
  <c r="R418" i="1"/>
  <c r="R305" i="1"/>
  <c r="R258" i="1"/>
  <c r="R367" i="1"/>
  <c r="R269" i="1"/>
  <c r="R397" i="1"/>
  <c r="R272" i="1"/>
  <c r="R259" i="1"/>
  <c r="R415" i="1"/>
  <c r="R316" i="1"/>
  <c r="R266" i="1"/>
  <c r="R299" i="1"/>
  <c r="R376" i="1"/>
  <c r="R374" i="1"/>
  <c r="R256" i="1"/>
  <c r="R349" i="1"/>
  <c r="R358" i="1"/>
  <c r="R426" i="1"/>
  <c r="R296" i="1"/>
  <c r="R432" i="1"/>
  <c r="R413" i="1"/>
  <c r="R384" i="1"/>
  <c r="R276" i="1"/>
  <c r="R315" i="1"/>
  <c r="R421" i="1"/>
  <c r="R277" i="1"/>
  <c r="R399" i="1"/>
  <c r="R290" i="1"/>
  <c r="R411" i="1"/>
  <c r="R343" i="1"/>
  <c r="R301" i="1"/>
  <c r="R254" i="1"/>
  <c r="R318" i="1"/>
  <c r="R302" i="1"/>
  <c r="R292" i="1"/>
  <c r="R429" i="1"/>
  <c r="R265" i="1"/>
  <c r="R300" i="1"/>
  <c r="R392" i="1"/>
  <c r="R264" i="1"/>
  <c r="R360" i="1"/>
  <c r="R312" i="1"/>
  <c r="R405" i="1"/>
  <c r="R428" i="1"/>
  <c r="R286" i="1"/>
  <c r="R253" i="1"/>
  <c r="R261" i="1"/>
  <c r="R303" i="1"/>
  <c r="R339" i="1"/>
  <c r="R291" i="1"/>
  <c r="R263" i="1"/>
  <c r="R431" i="1"/>
  <c r="R401" i="1"/>
  <c r="R326" i="1"/>
  <c r="R438" i="1"/>
  <c r="R437" i="1"/>
  <c r="R420" i="1"/>
  <c r="R282" i="1"/>
  <c r="R342" i="1"/>
  <c r="R322" i="1"/>
  <c r="R345" i="1"/>
  <c r="R235" i="1"/>
  <c r="R236" i="1"/>
  <c r="R311" i="1"/>
  <c r="R262" i="1"/>
  <c r="R334" i="1"/>
  <c r="R267" i="1"/>
  <c r="R281" i="1"/>
  <c r="R439" i="1"/>
  <c r="R289" i="1"/>
  <c r="R294" i="1"/>
  <c r="R388" i="1"/>
  <c r="R319" i="1"/>
  <c r="R323" i="1"/>
  <c r="R434" i="1"/>
  <c r="R393" i="1"/>
  <c r="R436" i="1"/>
  <c r="R404" i="1"/>
  <c r="R435" i="1"/>
  <c r="R213" i="1"/>
  <c r="R212" i="1"/>
  <c r="R387" i="1"/>
  <c r="R331" i="1"/>
  <c r="R398" i="1"/>
  <c r="R396" i="1"/>
  <c r="R362" i="1"/>
  <c r="R328" i="1"/>
  <c r="R424" i="1"/>
  <c r="R274" i="1"/>
  <c r="R371" i="1"/>
  <c r="R406" i="1"/>
  <c r="R377" i="1"/>
  <c r="R295" i="1"/>
  <c r="R329" i="1"/>
  <c r="R240" i="1"/>
  <c r="R361" i="1"/>
  <c r="R391" i="1"/>
  <c r="R365" i="1"/>
  <c r="R275" i="1"/>
  <c r="R419" i="1"/>
  <c r="R427" i="1"/>
  <c r="R332" i="1"/>
  <c r="R249" i="1"/>
  <c r="R375" i="1"/>
  <c r="R242" i="1"/>
  <c r="R356" i="1"/>
  <c r="R416" i="1"/>
  <c r="R270" i="1"/>
  <c r="R239" i="1"/>
  <c r="R260" i="1"/>
  <c r="R385" i="1"/>
  <c r="R383" i="1"/>
  <c r="R298" i="1"/>
  <c r="R403" i="1"/>
  <c r="R336" i="1"/>
  <c r="C17" i="6"/>
  <c r="C11" i="6"/>
  <c r="B18" i="6"/>
  <c r="R340" i="1"/>
  <c r="R257" i="1"/>
  <c r="R400" i="1"/>
  <c r="R310" i="1"/>
  <c r="R325" i="1"/>
  <c r="R287" i="1"/>
  <c r="R390" i="1"/>
  <c r="R357" i="1"/>
  <c r="R346" i="1"/>
  <c r="R354" i="1"/>
  <c r="R370" i="1"/>
  <c r="R378" i="1"/>
  <c r="R248" i="1"/>
  <c r="R372" i="1"/>
  <c r="R320" i="1"/>
  <c r="R348" i="1"/>
  <c r="R327" i="1"/>
  <c r="R381" i="1"/>
  <c r="R352" i="1"/>
  <c r="R304" i="1"/>
  <c r="R355" i="1"/>
  <c r="R306" i="1"/>
  <c r="C5" i="6" l="1"/>
  <c r="C4" i="6" s="1"/>
  <c r="C6" i="6"/>
</calcChain>
</file>

<file path=xl/sharedStrings.xml><?xml version="1.0" encoding="utf-8"?>
<sst xmlns="http://schemas.openxmlformats.org/spreadsheetml/2006/main" count="3293" uniqueCount="1857">
  <si>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</si>
  <si>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</si>
  <si>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</si>
  <si>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</si>
  <si>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</si>
  <si>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</si>
  <si>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</si>
  <si>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</si>
  <si>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</si>
  <si>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</si>
  <si>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</si>
  <si>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</si>
  <si>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</si>
  <si>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</si>
  <si>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</si>
  <si>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</si>
  <si>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</si>
  <si>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</si>
  <si>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</si>
  <si>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</si>
  <si>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</si>
  <si>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</si>
  <si>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</si>
  <si>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せんのみや しろう</t>
    <phoneticPr fontId="1"/>
  </si>
  <si>
    <t>Sennomiya Sirou</t>
    <phoneticPr fontId="1"/>
  </si>
  <si>
    <t>#仟乃宮紫狼</t>
    <phoneticPr fontId="1"/>
  </si>
  <si>
    <t>猫垣一姫</t>
    <phoneticPr fontId="1"/>
  </si>
  <si>
    <t>なこがき いつき</t>
    <phoneticPr fontId="1"/>
  </si>
  <si>
    <t>Nakogaki Itsuki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</si>
  <si>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</si>
  <si>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</si>
  <si>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</si>
  <si>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</si>
  <si>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</si>
  <si>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ながくら みじ</t>
    <phoneticPr fontId="1"/>
  </si>
  <si>
    <t>Nagakura Miji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</si>
  <si>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</si>
  <si>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</si>
  <si>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</si>
  <si>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</si>
  <si>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</si>
  <si>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</si>
  <si>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</si>
  <si>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</si>
  <si>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</si>
  <si>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Kakune Shanonn</t>
    <phoneticPr fontId="1"/>
  </si>
  <si>
    <t>#拡音シャノン</t>
    <phoneticPr fontId="1"/>
  </si>
  <si>
    <t>取音テア</t>
    <phoneticPr fontId="1"/>
  </si>
  <si>
    <t>とるね てあ</t>
    <phoneticPr fontId="1"/>
  </si>
  <si>
    <t>Torune Tea</t>
    <phoneticPr fontId="1"/>
  </si>
  <si>
    <t>https://amiseniamnu.wixsite.com/amisenia</t>
    <phoneticPr fontId="1"/>
  </si>
  <si>
    <t>#取音テア</t>
    <phoneticPr fontId="1"/>
  </si>
  <si>
    <t>すずの すず</t>
    <phoneticPr fontId="1"/>
  </si>
  <si>
    <t>Suzuno Suzu</t>
    <phoneticPr fontId="1"/>
  </si>
  <si>
    <t>https://bellsworks.wixsite.com/bellsworks</t>
    <phoneticPr fontId="1"/>
  </si>
  <si>
    <t>#べるずわーくす</t>
    <phoneticPr fontId="1"/>
  </si>
  <si>
    <t>すずの みおん</t>
    <phoneticPr fontId="1"/>
  </si>
  <si>
    <t>Suzuno Mion</t>
    <phoneticPr fontId="1"/>
  </si>
  <si>
    <t>​弦音ステラ</t>
  </si>
  <si>
    <t>つるね すてら</t>
    <phoneticPr fontId="1"/>
  </si>
  <si>
    <t>Tsurune Sutera</t>
    <phoneticPr fontId="1"/>
  </si>
  <si>
    <t>歌為にーと</t>
    <phoneticPr fontId="1"/>
  </si>
  <si>
    <t>かなり にーと</t>
    <phoneticPr fontId="1"/>
  </si>
  <si>
    <t>#きのみあーと</t>
    <phoneticPr fontId="1"/>
  </si>
  <si>
    <t>キ音キネ</t>
    <phoneticPr fontId="1"/>
  </si>
  <si>
    <t>きね きね</t>
    <phoneticPr fontId="1"/>
  </si>
  <si>
    <t>かすみ うあ</t>
    <phoneticPr fontId="1"/>
  </si>
  <si>
    <t>Kasumi Ua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</si>
  <si>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</si>
  <si>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</si>
  <si>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</si>
  <si>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</si>
  <si>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しおん みよ</t>
    <phoneticPr fontId="1"/>
  </si>
  <si>
    <t>Shion Miyo</t>
    <phoneticPr fontId="1"/>
  </si>
  <si>
    <t>#闇塚亭</t>
    <phoneticPr fontId="1"/>
  </si>
  <si>
    <t>闇塚黒逸</t>
    <phoneticPr fontId="1"/>
  </si>
  <si>
    <t>やみつか くろいつ</t>
    <phoneticPr fontId="1"/>
  </si>
  <si>
    <t>Yamitsuka Kuroitsu</t>
    <phoneticPr fontId="1"/>
  </si>
  <si>
    <t>ちゃか なり</t>
    <phoneticPr fontId="1"/>
  </si>
  <si>
    <t>Chaka Nari</t>
    <phoneticPr fontId="1"/>
  </si>
  <si>
    <t>https://chaka000.wixsite.com/chaka</t>
    <phoneticPr fontId="1"/>
  </si>
  <si>
    <t>#御茶と歌</t>
    <phoneticPr fontId="1"/>
  </si>
  <si>
    <t>こおん こくと</t>
    <phoneticPr fontId="1"/>
  </si>
  <si>
    <t>Kon Kokuto</t>
    <phoneticPr fontId="1"/>
  </si>
  <si>
    <t>https://chunyinhui021.wixsite.com/mutyuusaisei</t>
    <phoneticPr fontId="1"/>
  </si>
  <si>
    <t>#無中彩声</t>
    <phoneticPr fontId="1"/>
  </si>
  <si>
    <t>ちゅんね はいき</t>
    <phoneticPr fontId="1"/>
  </si>
  <si>
    <t>Chunne Haiki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</si>
  <si>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</si>
  <si>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</si>
  <si>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</si>
  <si>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</si>
  <si>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</si>
  <si>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</si>
  <si>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</si>
  <si>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こころね ふたば</t>
    <phoneticPr fontId="1"/>
  </si>
  <si>
    <t>Kokorone Futaba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</si>
  <si>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</si>
  <si>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</si>
  <si>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</si>
  <si>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ほしよみ ゆめ</t>
    <phoneticPr fontId="1"/>
  </si>
  <si>
    <t>Hosiyomi Yume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</si>
  <si>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</si>
  <si>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</si>
  <si>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</si>
  <si>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くじゃく えれん</t>
    <phoneticPr fontId="1"/>
  </si>
  <si>
    <t>Kuzyaku Eren</t>
    <phoneticPr fontId="1"/>
  </si>
  <si>
    <t>https://hznonoka.wixsite.com/utau</t>
    <phoneticPr fontId="1"/>
  </si>
  <si>
    <t>#あひのん #玖婥えれん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</si>
  <si>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</si>
  <si>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</si>
  <si>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</si>
  <si>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</si>
  <si>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</si>
  <si>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</si>
  <si>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</si>
  <si>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</si>
  <si>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</si>
  <si>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</si>
  <si>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</si>
  <si>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</si>
  <si>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</si>
  <si>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かなで しあ</t>
    <phoneticPr fontId="1"/>
  </si>
  <si>
    <t>Kanade Shia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</si>
  <si>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</si>
  <si>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</si>
  <si>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</si>
  <si>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かなで しおん</t>
    <phoneticPr fontId="1"/>
  </si>
  <si>
    <t>Kanade Shion</t>
    <phoneticPr fontId="1"/>
  </si>
  <si>
    <t>#花撫シオン</t>
    <phoneticPr fontId="1"/>
  </si>
  <si>
    <t>からね きょうか</t>
    <phoneticPr fontId="1"/>
  </si>
  <si>
    <t>Karane Kyoka</t>
    <phoneticPr fontId="1"/>
  </si>
  <si>
    <t>https://kaitoramma.chu.jp</t>
    <phoneticPr fontId="1"/>
  </si>
  <si>
    <t>#空音絵巻</t>
    <phoneticPr fontId="1"/>
  </si>
  <si>
    <t>からね ひびき</t>
    <phoneticPr fontId="1"/>
  </si>
  <si>
    <t>Karane Hibiki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</si>
  <si>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</si>
  <si>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</si>
  <si>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</si>
  <si>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</si>
  <si>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</si>
  <si>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</si>
  <si>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</si>
  <si>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</si>
  <si>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</si>
  <si>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</si>
  <si>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</si>
  <si>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かさね てっど</t>
    <phoneticPr fontId="1"/>
  </si>
  <si>
    <t>Kasane Teddo</t>
    <phoneticPr fontId="1"/>
  </si>
  <si>
    <t>https://kasaneteto.jp</t>
    <phoneticPr fontId="1"/>
  </si>
  <si>
    <t>#重音テッド</t>
    <phoneticPr fontId="1"/>
  </si>
  <si>
    <t>重音テト</t>
    <phoneticPr fontId="1"/>
  </si>
  <si>
    <t>かさね てと</t>
    <phoneticPr fontId="1"/>
  </si>
  <si>
    <t>Kasane Teto</t>
    <phoneticPr fontId="1"/>
  </si>
  <si>
    <t>#重音テト</t>
    <phoneticPr fontId="1"/>
  </si>
  <si>
    <t>京音ロン</t>
    <phoneticPr fontId="1"/>
  </si>
  <si>
    <t>けいね ろん</t>
    <phoneticPr fontId="1"/>
  </si>
  <si>
    <t>Keine Ron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</si>
  <si>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</si>
  <si>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</si>
  <si>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</si>
  <si>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</si>
  <si>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</si>
  <si>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</si>
  <si>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</si>
  <si>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</si>
  <si>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</si>
  <si>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</si>
  <si>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</si>
  <si>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</si>
  <si>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</si>
  <si>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</si>
  <si>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ちもり はかぜ</t>
    <phoneticPr fontId="1"/>
  </si>
  <si>
    <t>Chimori Hakaze</t>
    <phoneticPr fontId="1"/>
  </si>
  <si>
    <t>https://lenskkpb.wixsite.com/len-sakaki-official</t>
    <phoneticPr fontId="1"/>
  </si>
  <si>
    <t>#地守葉風</t>
    <phoneticPr fontId="1"/>
  </si>
  <si>
    <t>どば じゅうが</t>
    <phoneticPr fontId="1"/>
  </si>
  <si>
    <t>Doba Juga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</si>
  <si>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</si>
  <si>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</si>
  <si>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</si>
  <si>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</si>
  <si>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</si>
  <si>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</si>
  <si>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あずまやてい きゅういち</t>
    <phoneticPr fontId="1"/>
  </si>
  <si>
    <t>Azumayatei Kyuichi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</si>
  <si>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</si>
  <si>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</si>
  <si>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</si>
  <si>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</si>
  <si>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</si>
  <si>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</si>
  <si>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なでね こまり</t>
    <phoneticPr fontId="1"/>
  </si>
  <si>
    <t>Nadene Komari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</si>
  <si>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</si>
  <si>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</si>
  <si>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</si>
  <si>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</si>
  <si>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</si>
  <si>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</si>
  <si>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</si>
  <si>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</si>
  <si>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あだち れい</t>
    <phoneticPr fontId="1"/>
  </si>
  <si>
    <t>Adachi Rei</t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</si>
  <si>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</si>
  <si>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</si>
  <si>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</si>
  <si>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</si>
  <si>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</si>
  <si>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</si>
  <si>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あかがね ふよう</t>
    <phoneticPr fontId="1"/>
  </si>
  <si>
    <t>Akagane Fuyo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</si>
  <si>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</si>
  <si>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</si>
  <si>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</si>
  <si>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</si>
  <si>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</si>
  <si>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</si>
  <si>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</si>
  <si>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</si>
  <si>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</si>
  <si>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こどう はくや</t>
    <phoneticPr fontId="1"/>
  </si>
  <si>
    <t>Kodou Hakuya</t>
    <phoneticPr fontId="1"/>
  </si>
  <si>
    <t>https://nananasyrup.wixsite.com/13kka</t>
    <phoneticPr fontId="1"/>
  </si>
  <si>
    <t>#いちみっか</t>
    <phoneticPr fontId="1"/>
  </si>
  <si>
    <t>つくりね みか</t>
    <phoneticPr fontId="1"/>
  </si>
  <si>
    <t>Tsukurine Mika</t>
    <phoneticPr fontId="1"/>
  </si>
  <si>
    <t>揺音リオ</t>
    <phoneticPr fontId="1"/>
  </si>
  <si>
    <t>ゆらぎね りお</t>
    <phoneticPr fontId="1"/>
  </si>
  <si>
    <t>Yuragine Rio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</si>
  <si>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</si>
  <si>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</si>
  <si>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</si>
  <si>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</si>
  <si>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</si>
  <si>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</si>
  <si>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くちなし あを</t>
    <phoneticPr fontId="1"/>
  </si>
  <si>
    <t>Kuchinashi Awo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</si>
  <si>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</si>
  <si>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</si>
  <si>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</si>
  <si>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</si>
  <si>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</si>
  <si>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</si>
  <si>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</si>
  <si>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まつゆき ちとせ</t>
    <phoneticPr fontId="1"/>
  </si>
  <si>
    <t>Matsuyuki Chitose</t>
    <phoneticPr fontId="1"/>
  </si>
  <si>
    <t>​四方通ニチ</t>
    <phoneticPr fontId="1"/>
  </si>
  <si>
    <t>よもつ にち</t>
    <phoneticPr fontId="1"/>
  </si>
  <si>
    <t>Yomotsu Nichi</t>
    <phoneticPr fontId="1"/>
  </si>
  <si>
    <t>創星宙</t>
    <rPh sb="0" eb="3">
      <t>キズボシソラ</t>
    </rPh>
    <phoneticPr fontId="1"/>
  </si>
  <si>
    <t>きずぼし そら</t>
    <phoneticPr fontId="1"/>
  </si>
  <si>
    <t>Kizuboshi Sora</t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</si>
  <si>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</si>
  <si>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</si>
  <si>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</si>
  <si>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きらぼし わく</t>
    <phoneticPr fontId="1"/>
  </si>
  <si>
    <t>Kiraboshi Waku</t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</si>
  <si>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</si>
  <si>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</si>
  <si>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</si>
  <si>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</si>
  <si>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</si>
  <si>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</si>
  <si>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ほしかわ てぃあ</t>
    <phoneticPr fontId="1"/>
  </si>
  <si>
    <t>Hoshikawa Tia</t>
    <phoneticPr fontId="1"/>
  </si>
  <si>
    <t>#星河ティア</t>
    <phoneticPr fontId="1"/>
  </si>
  <si>
    <t>星河フレア</t>
    <rPh sb="0" eb="2">
      <t>ホシカワ</t>
    </rPh>
    <phoneticPr fontId="1"/>
  </si>
  <si>
    <t>ほしかわ ふれあ</t>
    <phoneticPr fontId="1"/>
  </si>
  <si>
    <t>Hoshikawa Furea</t>
    <phoneticPr fontId="1"/>
  </si>
  <si>
    <t>#星河フレア</t>
    <phoneticPr fontId="1"/>
  </si>
  <si>
    <t>星雲アマト</t>
    <phoneticPr fontId="1"/>
  </si>
  <si>
    <t>せいうん あまと</t>
    <phoneticPr fontId="1"/>
  </si>
  <si>
    <t>Seiun Amato</t>
    <phoneticPr fontId="1"/>
  </si>
  <si>
    <t>https://offlamingo21.wixsite.com/amato-seiun</t>
    <phoneticPr fontId="1"/>
  </si>
  <si>
    <t>#星雲アマト</t>
    <phoneticPr fontId="1"/>
  </si>
  <si>
    <t>そらね ななし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</si>
  <si>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</si>
  <si>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</si>
  <si>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</si>
  <si>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ながれね ななし</t>
    <phoneticPr fontId="1"/>
  </si>
  <si>
    <t>雨音うさぎ</t>
    <phoneticPr fontId="1"/>
  </si>
  <si>
    <t>あまね うさぎ</t>
    <phoneticPr fontId="1"/>
  </si>
  <si>
    <t>Amane Usagi</t>
    <phoneticPr fontId="1"/>
  </si>
  <si>
    <t>https://sabaneko.amebaownd.com</t>
    <phoneticPr fontId="1"/>
  </si>
  <si>
    <t>#雨音うさぎ</t>
    <phoneticPr fontId="1"/>
  </si>
  <si>
    <t>アニマ・ライツハット</t>
  </si>
  <si>
    <t>あにま らいつはっと</t>
    <phoneticPr fontId="1"/>
  </si>
  <si>
    <t>Anima Raituhatto</t>
    <phoneticPr fontId="1"/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</si>
  <si>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</si>
  <si>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</si>
  <si>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</si>
  <si>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</si>
  <si>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きげき わろた</t>
    <phoneticPr fontId="1"/>
  </si>
  <si>
    <t>Kigeki Warota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</si>
  <si>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</si>
  <si>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</si>
  <si>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</si>
  <si>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</si>
  <si>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</si>
  <si>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</si>
  <si>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</si>
  <si>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</si>
  <si>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りゔぃ りゔぁーちぇ</t>
    <phoneticPr fontId="1"/>
  </si>
  <si>
    <t>Rivi Revace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</si>
  <si>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</si>
  <si>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</si>
  <si>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</si>
  <si>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</si>
  <si>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</si>
  <si>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</si>
  <si>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</si>
  <si>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</si>
  <si>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</si>
  <si>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</si>
  <si>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</si>
  <si>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</si>
  <si>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</si>
  <si>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</si>
  <si>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とうた ひさめ</t>
    <phoneticPr fontId="1"/>
  </si>
  <si>
    <t>Tota Hisame</t>
    <phoneticPr fontId="1"/>
  </si>
  <si>
    <t>https://suihankinonaka.wixsite.com/my-site-1</t>
    <phoneticPr fontId="1"/>
  </si>
  <si>
    <t>#お米炊けたよ</t>
    <phoneticPr fontId="1"/>
  </si>
  <si>
    <t>とどろき まだら</t>
    <phoneticPr fontId="1"/>
  </si>
  <si>
    <t>Todoroki Madara</t>
    <phoneticPr fontId="1"/>
  </si>
  <si>
    <t>眠井ヨウ</t>
    <phoneticPr fontId="1"/>
  </si>
  <si>
    <t>ねむい よう</t>
    <phoneticPr fontId="1"/>
  </si>
  <si>
    <t>Nemui You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</si>
  <si>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</si>
  <si>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</si>
  <si>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</si>
  <si>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ねむら ない</t>
    <phoneticPr fontId="1"/>
  </si>
  <si>
    <t>Nemura Nai</t>
    <phoneticPr fontId="1"/>
  </si>
  <si>
    <t>花鶏音ひわ</t>
  </si>
  <si>
    <t>あとりね ひわ</t>
    <phoneticPr fontId="1"/>
  </si>
  <si>
    <t>Atorine Hiwa</t>
    <phoneticPr fontId="1"/>
  </si>
  <si>
    <t>https://torinosu-hikikomori.jimdofree.com</t>
    <phoneticPr fontId="1"/>
  </si>
  <si>
    <t>#ひわわーアラート</t>
    <phoneticPr fontId="1"/>
  </si>
  <si>
    <t>オーロク&amp;小六郎</t>
  </si>
  <si>
    <t>おーろく &amp; ころくろう</t>
    <phoneticPr fontId="1"/>
  </si>
  <si>
    <t>Oroku &amp; korokuro</t>
    <phoneticPr fontId="1"/>
  </si>
  <si>
    <t>泡沫紬</t>
  </si>
  <si>
    <t>うたかた つむぎ</t>
    <phoneticPr fontId="1"/>
  </si>
  <si>
    <t>Utakata Tsumugi</t>
    <phoneticPr fontId="1"/>
  </si>
  <si>
    <t>https://tourist100f.wixsite.com/utakata-kosyo</t>
    <phoneticPr fontId="1"/>
  </si>
  <si>
    <t>#泡沫古書店</t>
    <phoneticPr fontId="1"/>
  </si>
  <si>
    <t>夢路語</t>
    <phoneticPr fontId="1"/>
  </si>
  <si>
    <t>ゆめじ かたり</t>
    <phoneticPr fontId="1"/>
  </si>
  <si>
    <t>Yumeji Katari</t>
    <phoneticPr fontId="1"/>
  </si>
  <si>
    <t>じうら かざぎり</t>
    <phoneticPr fontId="1"/>
  </si>
  <si>
    <t>Jiura Kazagiri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</si>
  <si>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</si>
  <si>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</si>
  <si>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</si>
  <si>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りんよう ふぉみ</t>
    <phoneticPr fontId="1"/>
  </si>
  <si>
    <t>Rinyou Fuomi</t>
    <phoneticPr fontId="1"/>
  </si>
  <si>
    <t>芳歌ノト</t>
    <phoneticPr fontId="1"/>
  </si>
  <si>
    <t>ほうが のと</t>
    <phoneticPr fontId="1"/>
  </si>
  <si>
    <t>Hoga Not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</si>
  <si>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</si>
  <si>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</si>
  <si>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</si>
  <si>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</si>
  <si>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</si>
  <si>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</si>
  <si>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きょうまち もるて</t>
    <phoneticPr fontId="1"/>
  </si>
  <si>
    <t>Kyomachi Morte</t>
    <phoneticPr fontId="1"/>
  </si>
  <si>
    <t>天使ふあわ</t>
  </si>
  <si>
    <t>あまつか ふあわ</t>
    <phoneticPr fontId="1"/>
  </si>
  <si>
    <t>Amatsuka Fuawa</t>
    <phoneticPr fontId="1"/>
  </si>
  <si>
    <t>https://utausuzuminnya.jimdofree.com</t>
    <phoneticPr fontId="1"/>
  </si>
  <si>
    <t>#ふあわあーと</t>
    <phoneticPr fontId="1"/>
  </si>
  <si>
    <t>苺愛みゅみゅ</t>
    <phoneticPr fontId="1"/>
  </si>
  <si>
    <t>めるあ みゅみゅ</t>
    <phoneticPr fontId="1"/>
  </si>
  <si>
    <t>Melua Miumiu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</si>
  <si>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</si>
  <si>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</si>
  <si>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</si>
  <si>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</si>
  <si>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</si>
  <si>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</si>
  <si>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</si>
  <si>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</si>
  <si>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</si>
  <si>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みくす どりーむ</t>
    <phoneticPr fontId="1"/>
  </si>
  <si>
    <t>Mx.Dream</t>
    <phoneticPr fontId="1"/>
  </si>
  <si>
    <t>さばね かん</t>
    <phoneticPr fontId="1"/>
  </si>
  <si>
    <t>https://witchdoll.jimdofree.com</t>
    <phoneticPr fontId="1"/>
  </si>
  <si>
    <t>#きちゃーと</t>
    <phoneticPr fontId="1"/>
  </si>
  <si>
    <t>てらど らぶ</t>
    <phoneticPr fontId="1"/>
  </si>
  <si>
    <t>Terado Rabu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</si>
  <si>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</si>
  <si>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</si>
  <si>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</si>
  <si>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</si>
  <si>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</si>
  <si>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</si>
  <si>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まるね しゅんいち</t>
    <phoneticPr fontId="1"/>
  </si>
  <si>
    <t>Marune Shunichi</t>
    <phoneticPr fontId="1"/>
  </si>
  <si>
    <t>https://www.postype.com/@utau-deepvocal-dalso</t>
    <phoneticPr fontId="1"/>
  </si>
  <si>
    <t>#円音春二ノ前</t>
    <phoneticPr fontId="1"/>
  </si>
  <si>
    <t>つくも いちおと</t>
    <phoneticPr fontId="1"/>
  </si>
  <si>
    <t>https://yukiichik.wixsite.com/kokofool/utau</t>
    <phoneticPr fontId="1"/>
  </si>
  <si>
    <t>#KODOMEROIDO</t>
    <phoneticPr fontId="1"/>
  </si>
  <si>
    <t>てらなが とおいち</t>
    <phoneticPr fontId="1"/>
  </si>
  <si>
    <t>唄音ウタ(デフォ子)</t>
    <rPh sb="8" eb="9">
      <t>コ</t>
    </rPh>
    <phoneticPr fontId="1"/>
  </si>
  <si>
    <t>うたね うた(でふぉこ)</t>
    <phoneticPr fontId="1"/>
  </si>
  <si>
    <t>Utane Uta(Defoko)</t>
    <phoneticPr fontId="1"/>
  </si>
  <si>
    <t>#デフォ子</t>
    <phoneticPr fontId="1"/>
  </si>
  <si>
    <t>かぎあい あや</t>
    <phoneticPr fontId="1"/>
  </si>
  <si>
    <t>Kagiai Aya</t>
    <phoneticPr fontId="1"/>
  </si>
  <si>
    <t>#そらいろマーチ</t>
    <phoneticPr fontId="1"/>
  </si>
  <si>
    <t>鍵合スズ</t>
  </si>
  <si>
    <t>かぎあい すず</t>
    <phoneticPr fontId="1"/>
  </si>
  <si>
    <t>Kagiai Suzu</t>
    <phoneticPr fontId="1"/>
  </si>
  <si>
    <t>覗キ視炉</t>
    <phoneticPr fontId="1"/>
  </si>
  <si>
    <t>のぞき みろ</t>
    <phoneticPr fontId="1"/>
  </si>
  <si>
    <t>Nozoki Miro</t>
    <phoneticPr fontId="1"/>
  </si>
  <si>
    <t>-</t>
    <phoneticPr fontId="1"/>
  </si>
  <si>
    <t>欲音ルコ</t>
    <phoneticPr fontId="1"/>
  </si>
  <si>
    <t>よくね るこ</t>
    <phoneticPr fontId="1"/>
  </si>
  <si>
    <t>Yokune Ruko</t>
    <phoneticPr fontId="1"/>
  </si>
  <si>
    <t>#欲音ルコ</t>
    <phoneticPr fontId="1"/>
  </si>
  <si>
    <t>鈴音リオン</t>
    <phoneticPr fontId="1"/>
  </si>
  <si>
    <t>すずの りおん</t>
    <phoneticPr fontId="1"/>
  </si>
  <si>
    <t>Suzuno Rion</t>
    <phoneticPr fontId="1"/>
  </si>
  <si>
    <t>鈴音シオン</t>
    <phoneticPr fontId="1"/>
  </si>
  <si>
    <t>すずの しおん</t>
    <phoneticPr fontId="1"/>
  </si>
  <si>
    <t>Suzuno Shion</t>
    <phoneticPr fontId="1"/>
  </si>
  <si>
    <t>鈴音ユオン</t>
    <phoneticPr fontId="1"/>
  </si>
  <si>
    <t>すずの ゆおん</t>
    <phoneticPr fontId="1"/>
  </si>
  <si>
    <t>Suzuno Yuon</t>
    <phoneticPr fontId="1"/>
  </si>
  <si>
    <t>鈴音レオン</t>
    <phoneticPr fontId="1"/>
  </si>
  <si>
    <t>すずの れおん</t>
    <phoneticPr fontId="1"/>
  </si>
  <si>
    <t>Suzuno Reon</t>
    <phoneticPr fontId="1"/>
  </si>
  <si>
    <t>すずの るおん</t>
    <phoneticPr fontId="1"/>
  </si>
  <si>
    <t>Suzuno Ruon</t>
    <phoneticPr fontId="1"/>
  </si>
  <si>
    <t>すずの ねおん</t>
    <phoneticPr fontId="1"/>
  </si>
  <si>
    <t>Suzuno Neon</t>
    <phoneticPr fontId="1"/>
  </si>
  <si>
    <t>すず &amp; せる</t>
    <phoneticPr fontId="1"/>
  </si>
  <si>
    <t>Suzu &amp; Cell</t>
    <phoneticPr fontId="1"/>
  </si>
  <si>
    <t>ことね れすと</t>
    <phoneticPr fontId="1"/>
  </si>
  <si>
    <t>Kotone Resuto</t>
    <phoneticPr fontId="1"/>
  </si>
  <si>
    <t>琴音コト</t>
  </si>
  <si>
    <t>ことね こと</t>
    <phoneticPr fontId="1"/>
  </si>
  <si>
    <t>Kotone Koto</t>
    <phoneticPr fontId="1"/>
  </si>
  <si>
    <t>ことね せつり</t>
    <phoneticPr fontId="1"/>
  </si>
  <si>
    <t>Kotone Setsuri</t>
    <phoneticPr fontId="1"/>
  </si>
  <si>
    <t>くろはね みそら</t>
    <phoneticPr fontId="1"/>
  </si>
  <si>
    <t>Kurohane Misora</t>
    <phoneticPr fontId="1"/>
  </si>
  <si>
    <t>ふえね ふえ</t>
    <phoneticPr fontId="1"/>
  </si>
  <si>
    <t>Fuene Fue</t>
    <phoneticPr fontId="1"/>
  </si>
  <si>
    <t>つづね こはく</t>
    <phoneticPr fontId="1"/>
  </si>
  <si>
    <t>Tsuzune Kohaku</t>
    <phoneticPr fontId="1"/>
  </si>
  <si>
    <t>つづね つづ</t>
    <phoneticPr fontId="1"/>
  </si>
  <si>
    <t>Tsuzune Tsuzu</t>
    <phoneticPr fontId="1"/>
  </si>
  <si>
    <t>つるね れーや</t>
    <phoneticPr fontId="1"/>
  </si>
  <si>
    <t>Tsurune Reya</t>
    <phoneticPr fontId="1"/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</si>
  <si>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</si>
  <si>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</si>
  <si>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</si>
  <si>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</si>
  <si>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</si>
  <si>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</si>
  <si>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</si>
  <si>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</si>
  <si>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</si>
  <si>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</si>
  <si>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</si>
  <si>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</si>
  <si>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</si>
  <si>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</si>
  <si>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</si>
  <si>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ゆらぎね ゆい</t>
    <phoneticPr fontId="1"/>
  </si>
  <si>
    <t>Yuragine Yui</t>
    <phoneticPr fontId="1"/>
  </si>
  <si>
    <t>​成瀬ミオ</t>
    <phoneticPr fontId="1"/>
  </si>
  <si>
    <t>なるせ みお</t>
    <phoneticPr fontId="1"/>
  </si>
  <si>
    <t>Naruse Mio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</si>
  <si>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</si>
  <si>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</si>
  <si>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</si>
  <si>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</si>
  <si>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</si>
  <si>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</si>
  <si>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</si>
  <si>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</si>
  <si>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</si>
  <si>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</si>
  <si>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</si>
  <si>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かづかまち めら</t>
    <phoneticPr fontId="1"/>
  </si>
  <si>
    <t>kazukamachi Mera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</si>
  <si>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</si>
  <si>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</si>
  <si>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</si>
  <si>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しゅちか ぴの</t>
    <phoneticPr fontId="1"/>
  </si>
  <si>
    <t>Shuchika Pino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</si>
  <si>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</si>
  <si>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</si>
  <si>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</si>
  <si>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しんれす きしる</t>
    <phoneticPr fontId="1"/>
  </si>
  <si>
    <t>Shinresu Kishiru</t>
    <phoneticPr fontId="1"/>
  </si>
  <si>
    <t>#芯零須キシル</t>
    <phoneticPr fontId="1"/>
  </si>
  <si>
    <t>空音こだま</t>
    <phoneticPr fontId="1"/>
  </si>
  <si>
    <t>からね こだま</t>
    <phoneticPr fontId="1"/>
  </si>
  <si>
    <t>Karane Kodama</t>
    <phoneticPr fontId="1"/>
  </si>
  <si>
    <t>空音響</t>
    <phoneticPr fontId="1"/>
  </si>
  <si>
    <t>からね ひびく</t>
    <phoneticPr fontId="1"/>
  </si>
  <si>
    <t>Karane Hibiku</t>
    <phoneticPr fontId="1"/>
  </si>
  <si>
    <t>嗚代タビ</t>
    <phoneticPr fontId="1"/>
  </si>
  <si>
    <t>おしろ たび</t>
    <phoneticPr fontId="1"/>
  </si>
  <si>
    <t>Oshiro Tabi</t>
    <phoneticPr fontId="1"/>
  </si>
  <si>
    <t>#嗚代でタビる</t>
    <phoneticPr fontId="1"/>
  </si>
  <si>
    <t>四々井杏花</t>
    <phoneticPr fontId="1"/>
  </si>
  <si>
    <t>しじい きょうか</t>
    <phoneticPr fontId="1"/>
  </si>
  <si>
    <t>Shijii Kyoka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</si>
  <si>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</si>
  <si>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</si>
  <si>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</si>
  <si>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</si>
  <si>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</si>
  <si>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くにすえ きよまさ</t>
    <phoneticPr fontId="1"/>
  </si>
  <si>
    <t>Kunisue Kiyomasa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</si>
  <si>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</si>
  <si>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</si>
  <si>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</si>
  <si>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</si>
  <si>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</si>
  <si>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</si>
  <si>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</si>
  <si>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こもりじ きょう</t>
    <phoneticPr fontId="1"/>
  </si>
  <si>
    <t>Komoriji Kyo</t>
    <phoneticPr fontId="1"/>
  </si>
  <si>
    <t>曖米めろり</t>
    <phoneticPr fontId="1"/>
  </si>
  <si>
    <t>あいまい めろり</t>
    <phoneticPr fontId="1"/>
  </si>
  <si>
    <t>Aimai Merori</t>
    <phoneticPr fontId="1"/>
  </si>
  <si>
    <t>客寄せRiley</t>
    <phoneticPr fontId="1"/>
  </si>
  <si>
    <t>きゃくよせ らいりー</t>
    <phoneticPr fontId="1"/>
  </si>
  <si>
    <t>Kyakuyose Riley</t>
    <phoneticPr fontId="1"/>
  </si>
  <si>
    <t>https://bowlroll.net/user/980255</t>
    <phoneticPr fontId="1"/>
  </si>
  <si>
    <t>ドット・ペル</t>
    <phoneticPr fontId="1"/>
  </si>
  <si>
    <t>どっと ぺる</t>
    <phoneticPr fontId="1"/>
  </si>
  <si>
    <t>Dot Pell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</si>
  <si>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</si>
  <si>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</si>
  <si>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</si>
  <si>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</si>
  <si>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とらのこく あめ</t>
    <phoneticPr fontId="1"/>
  </si>
  <si>
    <t>Toranokoku Ame</t>
    <phoneticPr fontId="1"/>
  </si>
  <si>
    <t>#はなときつねごと #十二ノ刻</t>
    <phoneticPr fontId="1"/>
  </si>
  <si>
    <t>学静ショウ</t>
    <phoneticPr fontId="1"/>
  </si>
  <si>
    <t>がくせい しょう</t>
    <phoneticPr fontId="1"/>
  </si>
  <si>
    <t>Gakusei Sho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</si>
  <si>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</si>
  <si>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</si>
  <si>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</si>
  <si>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いたずら せと</t>
    <phoneticPr fontId="1"/>
  </si>
  <si>
    <t>Itazura Seto</t>
    <phoneticPr fontId="1"/>
  </si>
  <si>
    <t>https://bowlroll.net/user/700434</t>
    <phoneticPr fontId="1"/>
  </si>
  <si>
    <t>悪戯清子</t>
    <phoneticPr fontId="1"/>
  </si>
  <si>
    <t>いたずら せいこ</t>
    <phoneticPr fontId="1"/>
  </si>
  <si>
    <t>Itazura Seiko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</si>
  <si>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</si>
  <si>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</si>
  <si>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</si>
  <si>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</si>
  <si>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</si>
  <si>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</si>
  <si>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</si>
  <si>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ひがごと とい</t>
    <phoneticPr fontId="1"/>
  </si>
  <si>
    <t>Higagoto Toi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</si>
  <si>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</si>
  <si>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</si>
  <si>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</si>
  <si>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あだごと かい</t>
    <phoneticPr fontId="1"/>
  </si>
  <si>
    <t>Adagoto Kai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</si>
  <si>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</si>
  <si>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</si>
  <si>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</si>
  <si>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</si>
  <si>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</si>
  <si>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</si>
  <si>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あめいろ ねるね</t>
    <phoneticPr fontId="1"/>
  </si>
  <si>
    <t>Ameiro Nerune</t>
    <phoneticPr fontId="1"/>
  </si>
  <si>
    <t>形亡ズゥ</t>
    <phoneticPr fontId="1"/>
  </si>
  <si>
    <t>かたなし ずぅ</t>
    <phoneticPr fontId="1"/>
  </si>
  <si>
    <t>Katanashi zu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</si>
  <si>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</si>
  <si>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</si>
  <si>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</si>
  <si>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</si>
  <si>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</si>
  <si>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</si>
  <si>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</si>
  <si>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</si>
  <si>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</si>
  <si>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</si>
  <si>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</si>
  <si>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おとおり こうじ</t>
    <phoneticPr fontId="1"/>
  </si>
  <si>
    <t>Otoori Kouji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</si>
  <si>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</si>
  <si>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</si>
  <si>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</si>
  <si>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</si>
  <si>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</si>
  <si>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</si>
  <si>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</si>
  <si>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うつみ あくる</t>
    <phoneticPr fontId="1"/>
  </si>
  <si>
    <t>Utsumi Akuru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</si>
  <si>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</si>
  <si>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</si>
  <si>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</si>
  <si>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</si>
  <si>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</si>
  <si>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</si>
  <si>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</si>
  <si>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しらはり あかね</t>
    <phoneticPr fontId="1"/>
  </si>
  <si>
    <t>Shirahari Akane</t>
    <phoneticPr fontId="1"/>
  </si>
  <si>
    <t>天使雪</t>
    <phoneticPr fontId="1"/>
  </si>
  <si>
    <t>あまつか ゆき</t>
    <phoneticPr fontId="1"/>
  </si>
  <si>
    <t>Amatsuka Yuki</t>
    <phoneticPr fontId="1"/>
  </si>
  <si>
    <t>音暖ののん</t>
    <phoneticPr fontId="1"/>
  </si>
  <si>
    <t>のの ののん</t>
    <phoneticPr fontId="1"/>
  </si>
  <si>
    <t>Nono Nonon</t>
    <phoneticPr fontId="1"/>
  </si>
  <si>
    <t>#あひのん</t>
    <phoneticPr fontId="1"/>
  </si>
  <si>
    <t>響姫ひるや</t>
    <phoneticPr fontId="1"/>
  </si>
  <si>
    <t>ひびき ひるや</t>
    <phoneticPr fontId="1"/>
  </si>
  <si>
    <t>Hibiki Hiruya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</si>
  <si>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</si>
  <si>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</si>
  <si>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</si>
  <si>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</si>
  <si>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</si>
  <si>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よるだ きーぼ</t>
    <phoneticPr fontId="1"/>
  </si>
  <si>
    <t>Yoruda Kibo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</si>
  <si>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</si>
  <si>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</si>
  <si>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</si>
  <si>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きゅうさく きゅう</t>
    <phoneticPr fontId="1"/>
  </si>
  <si>
    <t>Kyusaku Q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</si>
  <si>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</si>
  <si>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</si>
  <si>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</si>
  <si>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むつみ きゅう</t>
    <phoneticPr fontId="1"/>
  </si>
  <si>
    <t>Mutsumi Q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</si>
  <si>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</si>
  <si>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</si>
  <si>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</si>
  <si>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</si>
  <si>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</si>
  <si>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</si>
  <si>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</si>
  <si>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</si>
  <si>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</si>
  <si>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</si>
  <si>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あわか まかな</t>
    <phoneticPr fontId="1"/>
  </si>
  <si>
    <t>Awaka Makana</t>
    <phoneticPr fontId="1"/>
  </si>
  <si>
    <t>https://mashimo0330.wixsite.com/awaka-utau</t>
    <phoneticPr fontId="1"/>
  </si>
  <si>
    <t>泡歌ミズハ</t>
    <phoneticPr fontId="1"/>
  </si>
  <si>
    <t>あわか みずは</t>
    <phoneticPr fontId="1"/>
  </si>
  <si>
    <t>Awaka Mizuha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</si>
  <si>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</si>
  <si>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</si>
  <si>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</si>
  <si>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</si>
  <si>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</si>
  <si>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</si>
  <si>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</si>
  <si>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じごくだに とうま</t>
    <phoneticPr fontId="1"/>
  </si>
  <si>
    <t>Jigokudani Thoma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</si>
  <si>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</si>
  <si>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</si>
  <si>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</si>
  <si>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あめうた にと</t>
    <phoneticPr fontId="1"/>
  </si>
  <si>
    <t>Ameuta Nito</t>
    <phoneticPr fontId="1"/>
  </si>
  <si>
    <t>https://ametro.jimdofree.com</t>
    <phoneticPr fontId="1"/>
  </si>
  <si>
    <t>#ぞんび線CB</t>
    <phoneticPr fontId="1"/>
  </si>
  <si>
    <t>澳音ぱす</t>
    <phoneticPr fontId="1"/>
  </si>
  <si>
    <t>おくと ぱす</t>
    <phoneticPr fontId="1"/>
  </si>
  <si>
    <t>Okuto Pasu</t>
    <phoneticPr fontId="1"/>
  </si>
  <si>
    <t>https://teapartyandmugshelf.wixsite.com/my-site-1</t>
    <phoneticPr fontId="1"/>
  </si>
  <si>
    <t>みなあわ うゆう</t>
    <phoneticPr fontId="1"/>
  </si>
  <si>
    <t>Minaawa Uyu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</si>
  <si>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</si>
  <si>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</si>
  <si>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</si>
  <si>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</si>
  <si>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くるい ねいろ</t>
    <phoneticPr fontId="1"/>
  </si>
  <si>
    <t>Kurui Neiro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</si>
  <si>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</si>
  <si>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</si>
  <si>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</si>
  <si>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くるい のいず</t>
    <phoneticPr fontId="1"/>
  </si>
  <si>
    <t>Kurui Noise</t>
    <phoneticPr fontId="1"/>
  </si>
  <si>
    <t>花畑ハル</t>
    <phoneticPr fontId="1"/>
  </si>
  <si>
    <t>Hanabata Haru</t>
    <phoneticPr fontId="1"/>
  </si>
  <si>
    <t>はなばた はる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</si>
  <si>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</si>
  <si>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</si>
  <si>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</si>
  <si>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Maetsuki Kumo</t>
    <phoneticPr fontId="1"/>
  </si>
  <si>
    <t>まえつき くも</t>
    <phoneticPr fontId="1"/>
  </si>
  <si>
    <t>マック音サイ</t>
    <phoneticPr fontId="1"/>
  </si>
  <si>
    <t>まっくね さい</t>
    <phoneticPr fontId="1"/>
  </si>
  <si>
    <t>Mackne Sai</t>
    <phoneticPr fontId="1"/>
  </si>
  <si>
    <t>https://www.mackhouse-soft.com</t>
    <phoneticPr fontId="1"/>
  </si>
  <si>
    <t>マック音ヒトキ</t>
    <phoneticPr fontId="1"/>
  </si>
  <si>
    <t>まっくね ひとき</t>
    <phoneticPr fontId="1"/>
  </si>
  <si>
    <t>Mackne Hitoki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</si>
  <si>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</si>
  <si>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</si>
  <si>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</si>
  <si>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</si>
  <si>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</si>
  <si>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</si>
  <si>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</si>
  <si>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</si>
  <si>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</si>
  <si>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</si>
  <si>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さわぐ りょすけ</t>
    <phoneticPr fontId="1"/>
  </si>
  <si>
    <t>Sawagu Ryosuke</t>
    <phoneticPr fontId="1"/>
  </si>
  <si>
    <t>剪除鶴偽</t>
    <phoneticPr fontId="1"/>
  </si>
  <si>
    <t>せんじょ つるぎ</t>
    <phoneticPr fontId="1"/>
  </si>
  <si>
    <t>Senjo Tsurugi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</si>
  <si>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</si>
  <si>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</si>
  <si>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</si>
  <si>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</si>
  <si>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</si>
  <si>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</si>
  <si>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</si>
  <si>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</si>
  <si>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</si>
  <si>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せんでん らいか</t>
    <phoneticPr fontId="1"/>
  </si>
  <si>
    <t>Senden Raika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</si>
  <si>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</si>
  <si>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</si>
  <si>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</si>
  <si>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くろばい ぱふぃあ</t>
    <phoneticPr fontId="1"/>
  </si>
  <si>
    <t>Kurobai Pafia</t>
    <phoneticPr fontId="1"/>
  </si>
  <si>
    <t>飯音モグ</t>
    <phoneticPr fontId="1"/>
  </si>
  <si>
    <t>いいね もぐ</t>
    <phoneticPr fontId="1"/>
  </si>
  <si>
    <t>Ine Mogu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</si>
  <si>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</si>
  <si>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</si>
  <si>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</si>
  <si>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</si>
  <si>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</si>
  <si>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</si>
  <si>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ゆきやま みるか</t>
    <phoneticPr fontId="1"/>
  </si>
  <si>
    <t>Yukiyama Miruka</t>
    <phoneticPr fontId="1"/>
  </si>
  <si>
    <t>https://bowlroll.net/user/964602</t>
    <phoneticPr fontId="1"/>
  </si>
  <si>
    <t>青葉アオ</t>
    <phoneticPr fontId="1"/>
  </si>
  <si>
    <t>あおば あお</t>
    <phoneticPr fontId="1"/>
  </si>
  <si>
    <t>Aoba Ao</t>
    <phoneticPr fontId="1"/>
  </si>
  <si>
    <t>http://shadeofgreen.web.fc2.com</t>
    <phoneticPr fontId="1"/>
  </si>
  <si>
    <t>青葉リョク</t>
    <phoneticPr fontId="1"/>
  </si>
  <si>
    <t>あおば りょく</t>
    <phoneticPr fontId="1"/>
  </si>
  <si>
    <t>Aoba Ryoku</t>
    <phoneticPr fontId="1"/>
  </si>
  <si>
    <t xml:space="preserve">#玖夏参伏 </t>
    <phoneticPr fontId="1"/>
  </si>
  <si>
    <t>苧田マキ</t>
    <phoneticPr fontId="1"/>
  </si>
  <si>
    <t>おだ まき</t>
    <phoneticPr fontId="1"/>
  </si>
  <si>
    <t>Oda Maki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</si>
  <si>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</si>
  <si>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</si>
  <si>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</si>
  <si>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あおば しん</t>
    <phoneticPr fontId="1"/>
  </si>
  <si>
    <t>Aoba Shin</t>
    <phoneticPr fontId="1"/>
  </si>
  <si>
    <t>飴唄ニヒト</t>
    <phoneticPr fontId="1"/>
  </si>
  <si>
    <t>あめうた にひと</t>
    <phoneticPr fontId="1"/>
  </si>
  <si>
    <t>Ameuta Nihito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</si>
  <si>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</si>
  <si>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</si>
  <si>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</si>
  <si>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</si>
  <si>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</si>
  <si>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</si>
  <si>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</si>
  <si>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</si>
  <si>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</si>
  <si>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</si>
  <si>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</si>
  <si>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</si>
  <si>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#caffiinism #たぴおかふぃん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</si>
  <si>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</si>
  <si>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</si>
  <si>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</si>
  <si>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</si>
  <si>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</si>
  <si>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</si>
  <si>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</si>
  <si>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</si>
  <si>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</si>
  <si>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</si>
  <si>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</si>
  <si>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</si>
  <si>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</si>
  <si>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</si>
  <si>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</si>
  <si>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</si>
  <si>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</si>
  <si>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</si>
  <si>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</si>
  <si>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</si>
  <si>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</si>
  <si>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Otogi Yu</t>
    <phoneticPr fontId="1"/>
  </si>
  <si>
    <t>おとぎ ゆう</t>
    <phoneticPr fontId="1"/>
  </si>
  <si>
    <t>狐者異カゴメ</t>
    <phoneticPr fontId="1"/>
  </si>
  <si>
    <t>Kowai Kagome</t>
    <phoneticPr fontId="1"/>
  </si>
  <si>
    <t>こわい かごめ</t>
    <phoneticPr fontId="1"/>
  </si>
  <si>
    <t>八雲しお</t>
    <phoneticPr fontId="1"/>
  </si>
  <si>
    <t>Yakumo Shio</t>
    <phoneticPr fontId="1"/>
  </si>
  <si>
    <t>やくも 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</si>
  <si>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</si>
  <si>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</si>
  <si>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</si>
  <si>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</si>
  <si>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</si>
  <si>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</si>
  <si>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Natsuki Ama</t>
    <phoneticPr fontId="1"/>
  </si>
  <si>
    <t>なつき あま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</si>
  <si>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</si>
  <si>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</si>
  <si>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</si>
  <si>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</si>
  <si>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Shirazu Hana</t>
    <phoneticPr fontId="1"/>
  </si>
  <si>
    <t>しらず はな</t>
    <phoneticPr fontId="1"/>
  </si>
  <si>
    <t>https://ma2bana7.wixsite.com/sssr</t>
    <phoneticPr fontId="1"/>
  </si>
  <si>
    <t>刹葬セツリ</t>
    <phoneticPr fontId="1"/>
  </si>
  <si>
    <t>せっそう せつり</t>
    <phoneticPr fontId="1"/>
  </si>
  <si>
    <t>Sessou Setsuri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</si>
  <si>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</si>
  <si>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</si>
  <si>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</si>
  <si>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</si>
  <si>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ようげん これ</t>
    <phoneticPr fontId="1"/>
  </si>
  <si>
    <t>Yogen Kore</t>
    <phoneticPr fontId="1"/>
  </si>
  <si>
    <t>折歌トク</t>
    <phoneticPr fontId="1"/>
  </si>
  <si>
    <t>せつか とく</t>
    <phoneticPr fontId="1"/>
  </si>
  <si>
    <t>Setsuka Toku</t>
    <phoneticPr fontId="1"/>
  </si>
  <si>
    <t>理音ニュイ</t>
    <phoneticPr fontId="1"/>
  </si>
  <si>
    <t>りおん にゅい</t>
    <phoneticPr fontId="1"/>
  </si>
  <si>
    <t>Rion Nyui</t>
    <phoneticPr fontId="1"/>
  </si>
  <si>
    <t>​機動穏</t>
    <phoneticPr fontId="1"/>
  </si>
  <si>
    <t>きどう おん</t>
    <phoneticPr fontId="1"/>
  </si>
  <si>
    <t>Kido On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</si>
  <si>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</si>
  <si>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</si>
  <si>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</si>
  <si>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</si>
  <si>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</si>
  <si>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</si>
  <si>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</si>
  <si>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えきだ まり</t>
    <phoneticPr fontId="1"/>
  </si>
  <si>
    <t>柄木田理真</t>
    <phoneticPr fontId="1"/>
  </si>
  <si>
    <t>えきだ りま</t>
    <phoneticPr fontId="1"/>
  </si>
  <si>
    <t>Ekida Mari</t>
    <phoneticPr fontId="1"/>
  </si>
  <si>
    <t>Ekida Rima</t>
    <phoneticPr fontId="1"/>
  </si>
  <si>
    <t>https://bindumechan.wixsite.com/shigure222</t>
    <phoneticPr fontId="1"/>
  </si>
  <si>
    <t>刻鳴時雨</t>
    <phoneticPr fontId="1"/>
  </si>
  <si>
    <t>ときな しぐれ</t>
    <phoneticPr fontId="1"/>
  </si>
  <si>
    <t>Tokina Shigure</t>
    <phoneticPr fontId="1"/>
  </si>
  <si>
    <t>紡音ヤト</t>
    <phoneticPr fontId="1"/>
  </si>
  <si>
    <t>https://bowlroll.net/user/374679</t>
    <phoneticPr fontId="1"/>
  </si>
  <si>
    <t>つむぎね やと</t>
    <phoneticPr fontId="1"/>
  </si>
  <si>
    <t>Tsumugine Yato</t>
    <phoneticPr fontId="1"/>
  </si>
  <si>
    <t>#瓶詰めっ子</t>
    <phoneticPr fontId="1"/>
  </si>
  <si>
    <t>果音ノア</t>
    <phoneticPr fontId="1"/>
  </si>
  <si>
    <t>はてね のあ</t>
    <phoneticPr fontId="1"/>
  </si>
  <si>
    <t>Hatene Noa</t>
    <phoneticPr fontId="1"/>
  </si>
  <si>
    <t>https://bindumechan.wixsite.com/koinearuutau</t>
    <phoneticPr fontId="1"/>
  </si>
  <si>
    <t>恋音アル</t>
    <phoneticPr fontId="1"/>
  </si>
  <si>
    <t>こいね ある</t>
    <phoneticPr fontId="1"/>
  </si>
  <si>
    <t>Koine Aru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</si>
  <si>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</si>
  <si>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</si>
  <si>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</si>
  <si>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</si>
  <si>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</si>
  <si>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</si>
  <si>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</si>
  <si>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</si>
  <si>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</si>
  <si>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</si>
  <si>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ろくね ぞん</t>
    <phoneticPr fontId="1"/>
  </si>
  <si>
    <t>Rokune Zon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</si>
  <si>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</si>
  <si>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</si>
  <si>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</si>
  <si>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すくい いど</t>
    <phoneticPr fontId="1"/>
  </si>
  <si>
    <t>Sukii Ido</t>
    <phoneticPr fontId="1"/>
  </si>
  <si>
    <t>https://bowlroll.net/user/999132</t>
    <phoneticPr fontId="1"/>
  </si>
  <si>
    <t>轟雪マチ丸</t>
    <phoneticPr fontId="1"/>
  </si>
  <si>
    <t>ごうせつ まちまる</t>
    <phoneticPr fontId="1"/>
  </si>
  <si>
    <t>Gosetsu Machimaru</t>
    <phoneticPr fontId="1"/>
  </si>
  <si>
    <t>#轟雪マチ丸</t>
    <phoneticPr fontId="1"/>
  </si>
  <si>
    <t>戸叶こずえ</t>
    <phoneticPr fontId="1"/>
  </si>
  <si>
    <t>Togano Kozue</t>
    <phoneticPr fontId="1"/>
  </si>
  <si>
    <t>とがの こずえ</t>
    <phoneticPr fontId="1"/>
  </si>
  <si>
    <t>#戸叶精肉店</t>
    <phoneticPr fontId="1"/>
  </si>
  <si>
    <t>李音フヱル</t>
    <phoneticPr fontId="1"/>
  </si>
  <si>
    <t>Sumomone Fueru</t>
    <phoneticPr fontId="1"/>
  </si>
  <si>
    <t>すももね ふえる</t>
    <phoneticPr fontId="1"/>
  </si>
  <si>
    <t>https://suukedayo.wixsite.com/shiawasefairu</t>
    <phoneticPr fontId="1"/>
  </si>
  <si>
    <t>亞永音ルヰ</t>
    <phoneticPr fontId="1"/>
  </si>
  <si>
    <t>Tsugunane Rui</t>
    <phoneticPr fontId="1"/>
  </si>
  <si>
    <t>つぐなね るい</t>
    <phoneticPr fontId="1"/>
  </si>
  <si>
    <t>融音スゞ</t>
    <phoneticPr fontId="1"/>
  </si>
  <si>
    <t>Yuune Suzu</t>
    <phoneticPr fontId="1"/>
  </si>
  <si>
    <t>ゆうね すず</t>
    <phoneticPr fontId="1"/>
  </si>
  <si>
    <t>开狐リト</t>
    <phoneticPr fontId="1"/>
  </si>
  <si>
    <t>Kaiko Rito</t>
    <phoneticPr fontId="1"/>
  </si>
  <si>
    <t>かいこ りと</t>
    <phoneticPr fontId="1"/>
  </si>
  <si>
    <t>ユウミィ</t>
    <phoneticPr fontId="1"/>
  </si>
  <si>
    <t>You Me</t>
    <phoneticPr fontId="1"/>
  </si>
  <si>
    <t>ゆう みい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</si>
  <si>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</si>
  <si>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</si>
  <si>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</si>
  <si>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いとくり さまゆ</t>
    <phoneticPr fontId="1"/>
  </si>
  <si>
    <t>Itokuri Samayu</t>
    <phoneticPr fontId="1"/>
  </si>
  <si>
    <t>飴唄にぽ</t>
    <phoneticPr fontId="1"/>
  </si>
  <si>
    <t>あめうた にぽ</t>
    <phoneticPr fontId="1"/>
  </si>
  <si>
    <t>Ameuta Nipo</t>
    <phoneticPr fontId="1"/>
  </si>
  <si>
    <t>飴唄ニム</t>
    <phoneticPr fontId="1"/>
  </si>
  <si>
    <t>あめうた にむ</t>
    <phoneticPr fontId="1"/>
  </si>
  <si>
    <t>Ameuta Nimu</t>
    <phoneticPr fontId="1"/>
  </si>
  <si>
    <t>飴唄ニレチ</t>
    <phoneticPr fontId="1"/>
  </si>
  <si>
    <t>あめうた にれち</t>
    <phoneticPr fontId="1"/>
  </si>
  <si>
    <t>Ameuta Nirechi</t>
    <phoneticPr fontId="1"/>
  </si>
  <si>
    <t>飴唄仁胡</t>
    <phoneticPr fontId="1"/>
  </si>
  <si>
    <t>あめうた にこ</t>
    <phoneticPr fontId="1"/>
  </si>
  <si>
    <t>Ameuta Niko</t>
    <phoneticPr fontId="1"/>
  </si>
  <si>
    <t>飴唄ニル</t>
    <phoneticPr fontId="1"/>
  </si>
  <si>
    <t>あめうた にる</t>
    <phoneticPr fontId="1"/>
  </si>
  <si>
    <t>Ameuta Niru</t>
    <phoneticPr fontId="1"/>
  </si>
  <si>
    <t>飴唄ニジェ</t>
    <phoneticPr fontId="1"/>
  </si>
  <si>
    <t>あめうた にじぇ</t>
    <phoneticPr fontId="1"/>
  </si>
  <si>
    <t>Ameuta Nije</t>
    <phoneticPr fontId="1"/>
  </si>
  <si>
    <t>飴唄ニナ</t>
    <phoneticPr fontId="1"/>
  </si>
  <si>
    <t>あめうた にな</t>
    <phoneticPr fontId="1"/>
  </si>
  <si>
    <t>Ameuta Nina</t>
    <phoneticPr fontId="1"/>
  </si>
  <si>
    <t>飴唄ニリヤ</t>
    <phoneticPr fontId="1"/>
  </si>
  <si>
    <t>あめうた にりや</t>
    <phoneticPr fontId="1"/>
  </si>
  <si>
    <t>Ameuta Niriya</t>
    <phoneticPr fontId="1"/>
  </si>
  <si>
    <t>飴唄ニユス</t>
    <phoneticPr fontId="1"/>
  </si>
  <si>
    <t>あめうた にゆす</t>
    <phoneticPr fontId="1"/>
  </si>
  <si>
    <t>Ameuta Niyusu</t>
    <phoneticPr fontId="1"/>
  </si>
  <si>
    <t>飴唄ニノン</t>
    <phoneticPr fontId="1"/>
  </si>
  <si>
    <t>あめうた にのん</t>
    <phoneticPr fontId="1"/>
  </si>
  <si>
    <t>Ameuta Ninon</t>
    <phoneticPr fontId="1"/>
  </si>
  <si>
    <t>飴唄ニーヴェス</t>
    <phoneticPr fontId="1"/>
  </si>
  <si>
    <t>あめうた にーゔぇす</t>
    <phoneticPr fontId="1"/>
  </si>
  <si>
    <t>Ameuta Nives</t>
    <phoneticPr fontId="1"/>
  </si>
  <si>
    <t>飴唄2000</t>
    <phoneticPr fontId="1"/>
  </si>
  <si>
    <t>あめうた にせん</t>
    <phoneticPr fontId="1"/>
  </si>
  <si>
    <t>Ameuta Nisen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</si>
  <si>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</si>
  <si>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</si>
  <si>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</si>
  <si>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</si>
  <si>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めじろ めいほぁ</t>
    <phoneticPr fontId="1"/>
  </si>
  <si>
    <t>Mejiro Meihua</t>
    <phoneticPr fontId="1"/>
  </si>
  <si>
    <t>レフア・アパパネ</t>
    <phoneticPr fontId="1"/>
  </si>
  <si>
    <t>れふあ あぱぱね</t>
    <phoneticPr fontId="1"/>
  </si>
  <si>
    <t>メタ・クアドラ</t>
    <phoneticPr fontId="1"/>
  </si>
  <si>
    <t>めた くあどら</t>
    <phoneticPr fontId="1"/>
  </si>
  <si>
    <t>Meta Kuadora</t>
    <phoneticPr fontId="1"/>
  </si>
  <si>
    <t>Refua Apapane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</si>
  <si>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</si>
  <si>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</si>
  <si>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</si>
  <si>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</si>
  <si>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めるじ はくあ</t>
    <phoneticPr fontId="1"/>
  </si>
  <si>
    <t>Meruji Hakua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</si>
  <si>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</si>
  <si>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</si>
  <si>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</si>
  <si>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</si>
  <si>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>ようやく あすく</t>
    <phoneticPr fontId="1"/>
  </si>
  <si>
    <t xml:space="preserve">楠里極 </t>
    <phoneticPr fontId="1"/>
  </si>
  <si>
    <t>Kusuzato Kimeru</t>
    <phoneticPr fontId="1"/>
  </si>
  <si>
    <t>くすざと きめる</t>
    <phoneticPr fontId="1"/>
  </si>
  <si>
    <t>明泪寺早津</t>
    <phoneticPr fontId="1"/>
  </si>
  <si>
    <t>あかるいじ さつ</t>
    <phoneticPr fontId="1"/>
  </si>
  <si>
    <t>Akaruiji Satsu</t>
    <phoneticPr fontId="1"/>
  </si>
  <si>
    <t>​吠浦モウ</t>
    <phoneticPr fontId="1"/>
  </si>
  <si>
    <t>Hoeura Mou</t>
    <phoneticPr fontId="1"/>
  </si>
  <si>
    <t>ほえうら もう</t>
    <phoneticPr fontId="1"/>
  </si>
  <si>
    <t>該当ナシ</t>
    <phoneticPr fontId="1"/>
  </si>
  <si>
    <t>Gaitou Nashi</t>
    <phoneticPr fontId="1"/>
  </si>
  <si>
    <t>Yoyaku Asuku</t>
    <phoneticPr fontId="1"/>
  </si>
  <si>
    <t>がいとう なし</t>
    <phoneticPr fontId="1"/>
  </si>
  <si>
    <t>天彩渚乃</t>
    <phoneticPr fontId="1"/>
  </si>
  <si>
    <t>あめあや なの</t>
    <phoneticPr fontId="1"/>
  </si>
  <si>
    <t>Ameaya Nano</t>
    <phoneticPr fontId="1"/>
  </si>
  <si>
    <t>波津獏</t>
    <phoneticPr fontId="1"/>
  </si>
  <si>
    <t>なみつ ばく</t>
    <phoneticPr fontId="1"/>
  </si>
  <si>
    <t>Namitsu Baku</t>
    <phoneticPr fontId="1"/>
  </si>
  <si>
    <t>六七十三</t>
    <phoneticPr fontId="1"/>
  </si>
  <si>
    <t>Rokushichi Juzou</t>
    <phoneticPr fontId="1"/>
  </si>
  <si>
    <t>ろくしち じゅうぞう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</si>
  <si>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</si>
  <si>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</si>
  <si>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</si>
  <si>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きのね もと</t>
    <phoneticPr fontId="1"/>
  </si>
  <si>
    <t>Kinone Moto</t>
    <phoneticPr fontId="1"/>
  </si>
  <si>
    <t>うふーろ じょほまう しふしょ</t>
    <phoneticPr fontId="1"/>
  </si>
  <si>
    <t>ときま そうな</t>
    <phoneticPr fontId="1"/>
  </si>
  <si>
    <t>Tokima Souna</t>
    <phoneticPr fontId="1"/>
  </si>
  <si>
    <t>暮音シト</t>
    <phoneticPr fontId="1"/>
  </si>
  <si>
    <t>#三音探偵譚</t>
    <phoneticPr fontId="1"/>
  </si>
  <si>
    <t>くれね しと</t>
    <phoneticPr fontId="1"/>
  </si>
  <si>
    <t>Kurene Shito</t>
    <phoneticPr fontId="1"/>
  </si>
  <si>
    <t>歌留多耕也</t>
    <phoneticPr fontId="1"/>
  </si>
  <si>
    <t>於菟無カエ</t>
    <phoneticPr fontId="1"/>
  </si>
  <si>
    <t>かるた こうや</t>
    <phoneticPr fontId="1"/>
  </si>
  <si>
    <t>Karuta Koya</t>
    <phoneticPr fontId="1"/>
  </si>
  <si>
    <t>おとなし かえ</t>
    <phoneticPr fontId="1"/>
  </si>
  <si>
    <t>Otonashi Kae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</si>
  <si>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</si>
  <si>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</si>
  <si>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</si>
  <si>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</si>
  <si>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ちゅんね しろく</t>
    <phoneticPr fontId="1"/>
  </si>
  <si>
    <t>Chunne Shiroku</t>
    <phoneticPr fontId="1"/>
  </si>
  <si>
    <t>​狐隠祟紫</t>
    <phoneticPr fontId="1"/>
  </si>
  <si>
    <t>こおん すいし</t>
    <phoneticPr fontId="1"/>
  </si>
  <si>
    <t>Kon Suishi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</si>
  <si>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</si>
  <si>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</si>
  <si>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</si>
  <si>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</si>
  <si>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Kagibako Moka</t>
    <phoneticPr fontId="1"/>
  </si>
  <si>
    <t>かぎばこ もか</t>
    <phoneticPr fontId="1"/>
  </si>
  <si>
    <t>​雪ノ下忍冬</t>
    <phoneticPr fontId="1"/>
  </si>
  <si>
    <t>ゆきのした すいかずら</t>
    <phoneticPr fontId="1"/>
  </si>
  <si>
    <t>Yukinoshita Suikazura</t>
    <phoneticPr fontId="1"/>
  </si>
  <si>
    <t>旭橋渚</t>
    <phoneticPr fontId="1"/>
  </si>
  <si>
    <t>​あさひばし なぎさ</t>
    <phoneticPr fontId="1"/>
  </si>
  <si>
    <t>Asahibashi Nagisa</t>
    <phoneticPr fontId="1"/>
  </si>
  <si>
    <t>地獄谷覚</t>
    <phoneticPr fontId="1"/>
  </si>
  <si>
    <t>じごくだに かく</t>
    <phoneticPr fontId="1"/>
  </si>
  <si>
    <t>Jigokudani Kaku</t>
    <phoneticPr fontId="1"/>
  </si>
  <si>
    <t>地獄谷燐</t>
    <phoneticPr fontId="1"/>
  </si>
  <si>
    <t>じごくだに りん</t>
    <phoneticPr fontId="1"/>
  </si>
  <si>
    <t>Jigokudani Lin</t>
    <phoneticPr fontId="1"/>
  </si>
  <si>
    <t>Silver Destrudo</t>
    <phoneticPr fontId="1"/>
  </si>
  <si>
    <t>しるばー ですとりゅーどー</t>
    <phoneticPr fontId="1"/>
  </si>
  <si>
    <t>問笛数一</t>
    <phoneticPr fontId="1"/>
  </si>
  <si>
    <t>といてき かずいち</t>
    <phoneticPr fontId="1"/>
  </si>
  <si>
    <t>Toyteki Kazuichi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</si>
  <si>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</si>
  <si>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</si>
  <si>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</si>
  <si>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</si>
  <si>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</si>
  <si>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</si>
  <si>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</si>
  <si>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</si>
  <si>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</si>
  <si>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</si>
  <si>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うそね くろ</t>
    <phoneticPr fontId="1"/>
  </si>
  <si>
    <t>Usone Kuro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</si>
  <si>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</si>
  <si>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</si>
  <si>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</si>
  <si>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まみね ふぇいあ</t>
    <phoneticPr fontId="1"/>
  </si>
  <si>
    <t>Mamine Fair</t>
    <phoneticPr fontId="1"/>
  </si>
  <si>
    <t>混音ノノ</t>
    <phoneticPr fontId="1"/>
  </si>
  <si>
    <t>まざね のの</t>
    <phoneticPr fontId="1"/>
  </si>
  <si>
    <t>Mazane Nono</t>
    <phoneticPr fontId="1"/>
  </si>
  <si>
    <t>橿原ザビエル</t>
    <phoneticPr fontId="1"/>
  </si>
  <si>
    <t>かしはら ざびえる</t>
    <phoneticPr fontId="1"/>
  </si>
  <si>
    <t>Kashihara Xavier</t>
    <phoneticPr fontId="1"/>
  </si>
  <si>
    <t>半音タカ</t>
    <phoneticPr fontId="1"/>
  </si>
  <si>
    <t>はんね たか</t>
    <phoneticPr fontId="1"/>
  </si>
  <si>
    <t>Hanne Taka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</si>
  <si>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</si>
  <si>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</si>
  <si>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</si>
  <si>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</si>
  <si>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りえい はいこ</t>
    <phoneticPr fontId="1"/>
  </si>
  <si>
    <t>Riei Haiko</t>
    <phoneticPr fontId="1"/>
  </si>
  <si>
    <t>霜咲れあに</t>
    <phoneticPr fontId="1"/>
  </si>
  <si>
    <t>そうさき れあに</t>
    <phoneticPr fontId="1"/>
  </si>
  <si>
    <t>Sousaki Reani</t>
    <phoneticPr fontId="1"/>
  </si>
  <si>
    <t>汐声月海</t>
    <phoneticPr fontId="1"/>
  </si>
  <si>
    <t>せきせ るなみ</t>
    <phoneticPr fontId="1"/>
  </si>
  <si>
    <t>Sekise Lunami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</si>
  <si>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</si>
  <si>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</si>
  <si>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</si>
  <si>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</si>
  <si>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</si>
  <si>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</si>
  <si>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</si>
  <si>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よあけね より</t>
    <phoneticPr fontId="1"/>
  </si>
  <si>
    <t>Yoakene Yori</t>
    <phoneticPr fontId="1"/>
  </si>
  <si>
    <t>郁歌セイン</t>
    <phoneticPr fontId="1"/>
  </si>
  <si>
    <t>いくうた せいん</t>
    <phoneticPr fontId="1"/>
  </si>
  <si>
    <t>Ikuuta Sein</t>
    <phoneticPr fontId="1"/>
  </si>
  <si>
    <t>https://harujpg.wixsite.com/sanshoku</t>
    <phoneticPr fontId="1"/>
  </si>
  <si>
    <t>三色あやか</t>
    <phoneticPr fontId="1"/>
  </si>
  <si>
    <t>さんしょく あやか</t>
    <phoneticPr fontId="1"/>
  </si>
  <si>
    <t>Sanshoku Ayaka</t>
    <phoneticPr fontId="1"/>
  </si>
  <si>
    <t>三色れいか</t>
    <phoneticPr fontId="1"/>
  </si>
  <si>
    <t>さんしょく れいか</t>
    <phoneticPr fontId="1"/>
  </si>
  <si>
    <t>Sanshoku Reika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</si>
  <si>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</si>
  <si>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</si>
  <si>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</si>
  <si>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</si>
  <si>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</si>
  <si>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</si>
  <si>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</si>
  <si>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</si>
  <si>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</si>
  <si>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</si>
  <si>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</si>
  <si>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</si>
  <si>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</si>
  <si>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</si>
  <si>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</si>
  <si>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Ayarune Hachika</t>
    <phoneticPr fontId="1"/>
  </si>
  <si>
    <t>あやるね はちか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</si>
  <si>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</si>
  <si>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</si>
  <si>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</si>
  <si>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</si>
  <si>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Yukina Kon</t>
    <phoneticPr fontId="1"/>
  </si>
  <si>
    <t>ゆきな こん</t>
    <phoneticPr fontId="1"/>
  </si>
  <si>
    <t>弦弓ゲン</t>
    <phoneticPr fontId="1"/>
  </si>
  <si>
    <t>Tsuruyumi Gen</t>
    <phoneticPr fontId="1"/>
  </si>
  <si>
    <t>つるゆみ げん</t>
    <phoneticPr fontId="1"/>
  </si>
  <si>
    <t>ピピ音ピオ</t>
    <phoneticPr fontId="1"/>
  </si>
  <si>
    <t>Pipine Pio</t>
    <phoneticPr fontId="1"/>
  </si>
  <si>
    <t>マネナリ</t>
    <phoneticPr fontId="1"/>
  </si>
  <si>
    <t>ぴぴね ぴお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</si>
  <si>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</si>
  <si>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</si>
  <si>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</si>
  <si>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</si>
  <si>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</si>
  <si>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いおん りか</t>
    <phoneticPr fontId="1"/>
  </si>
  <si>
    <t>Ion Rika</t>
    <phoneticPr fontId="1"/>
  </si>
  <si>
    <t>優音モフ</t>
    <phoneticPr fontId="1"/>
  </si>
  <si>
    <t>やさね もふ</t>
    <phoneticPr fontId="1"/>
  </si>
  <si>
    <t>Yasane Mofu</t>
    <phoneticPr fontId="1"/>
  </si>
  <si>
    <t>唯音文歌</t>
    <phoneticPr fontId="1"/>
  </si>
  <si>
    <t>いおん もか</t>
    <phoneticPr fontId="1"/>
  </si>
  <si>
    <t>Ion Moka</t>
    <phoneticPr fontId="1"/>
  </si>
  <si>
    <t>森埜ウルス</t>
    <phoneticPr fontId="1"/>
  </si>
  <si>
    <t>もりの うるす</t>
    <phoneticPr fontId="1"/>
  </si>
  <si>
    <t>Morino Urusu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</si>
  <si>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</si>
  <si>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</si>
  <si>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</si>
  <si>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こなり はるた</t>
    <phoneticPr fontId="1"/>
  </si>
  <si>
    <t>Konari Haruta</t>
    <phoneticPr fontId="1"/>
  </si>
  <si>
    <t>狐鳴陽</t>
    <phoneticPr fontId="1"/>
  </si>
  <si>
    <t>こなり ひな</t>
    <phoneticPr fontId="1"/>
  </si>
  <si>
    <t>Konari Hina</t>
    <phoneticPr fontId="1"/>
  </si>
  <si>
    <t>狐鳴琴陽</t>
    <phoneticPr fontId="1"/>
  </si>
  <si>
    <t>こなり こはる</t>
    <phoneticPr fontId="1"/>
  </si>
  <si>
    <t>Konari Koharu</t>
    <phoneticPr fontId="1"/>
  </si>
  <si>
    <t>#狐鳴さんち</t>
    <phoneticPr fontId="1"/>
  </si>
  <si>
    <t>​心音アオバ</t>
    <phoneticPr fontId="1"/>
  </si>
  <si>
    <t>こころね あおば</t>
    <phoneticPr fontId="1"/>
  </si>
  <si>
    <t>Kokorone Aoba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</si>
  <si>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</si>
  <si>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</si>
  <si>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</si>
  <si>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</si>
  <si>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</si>
  <si>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からん るな</t>
    <phoneticPr fontId="1"/>
  </si>
  <si>
    <t>Karan Runa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</si>
  <si>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</si>
  <si>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</si>
  <si>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</si>
  <si>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</si>
  <si>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</si>
  <si>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</si>
  <si>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</si>
  <si>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</si>
  <si>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</si>
  <si>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</si>
  <si>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</si>
  <si>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</si>
  <si>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</si>
  <si>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すずかぜ ねつこ</t>
    <phoneticPr fontId="1"/>
  </si>
  <si>
    <t>Suzukaze Netsuko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</si>
  <si>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</si>
  <si>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</si>
  <si>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</si>
  <si>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</si>
  <si>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</si>
  <si>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ふわね ふぁそら</t>
    <phoneticPr fontId="1"/>
  </si>
  <si>
    <t>Fuwane Fasora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</si>
  <si>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</si>
  <si>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</si>
  <si>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</si>
  <si>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</si>
  <si>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</si>
  <si>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</si>
  <si>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</si>
  <si>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</si>
  <si>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</si>
  <si>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</si>
  <si>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</si>
  <si>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</si>
  <si>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</si>
  <si>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</si>
  <si>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</si>
  <si>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</si>
  <si>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</si>
  <si>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Uta Naitou</t>
    <phoneticPr fontId="1"/>
  </si>
  <si>
    <t>うた ないとう</t>
    <phoneticPr fontId="1"/>
  </si>
  <si>
    <t>バッツ・ローランド</t>
    <phoneticPr fontId="1"/>
  </si>
  <si>
    <t>Uta Tuufuu</t>
    <phoneticPr fontId="1"/>
  </si>
  <si>
    <t>うた つうふう</t>
    <phoneticPr fontId="1"/>
  </si>
  <si>
    <t>Uta Senshi</t>
    <phoneticPr fontId="1"/>
  </si>
  <si>
    <t>うた せんし</t>
    <phoneticPr fontId="1"/>
  </si>
  <si>
    <t>Cutter Knife &amp; Girl in Love</t>
    <phoneticPr fontId="1"/>
  </si>
  <si>
    <t>かったーないふとこいするしょうじょ</t>
    <phoneticPr fontId="1"/>
  </si>
  <si>
    <t>Memeta Asei</t>
    <phoneticPr fontId="1"/>
  </si>
  <si>
    <t>めめた あせい</t>
    <phoneticPr fontId="1"/>
  </si>
  <si>
    <t>Nasora Angle</t>
    <phoneticPr fontId="1"/>
  </si>
  <si>
    <t>なそら あんぐる</t>
    <phoneticPr fontId="1"/>
  </si>
  <si>
    <t>Sara Shedy</t>
    <phoneticPr fontId="1"/>
  </si>
  <si>
    <t>さら しぇーでぃ</t>
    <phoneticPr fontId="1"/>
  </si>
  <si>
    <t>Ohgi Fuki</t>
    <phoneticPr fontId="1"/>
  </si>
  <si>
    <t>おぎ ふき</t>
    <phoneticPr fontId="1"/>
  </si>
  <si>
    <t>Rote dokuho</t>
    <phoneticPr fontId="1"/>
  </si>
  <si>
    <t>ろて どくほ</t>
    <phoneticPr fontId="1"/>
  </si>
  <si>
    <t>Soboroppoino</t>
    <phoneticPr fontId="1"/>
  </si>
  <si>
    <t>そぼろっぽいの</t>
    <phoneticPr fontId="1"/>
  </si>
  <si>
    <t>Tamabami Zakuro</t>
    <phoneticPr fontId="1"/>
  </si>
  <si>
    <t>たまばみ ざくろ</t>
    <phoneticPr fontId="1"/>
  </si>
  <si>
    <t>Houloid</t>
    <phoneticPr fontId="1"/>
  </si>
  <si>
    <t>ほーろいど</t>
    <phoneticPr fontId="1"/>
  </si>
  <si>
    <t>Battu Roland</t>
    <phoneticPr fontId="1"/>
  </si>
  <si>
    <t>ばっつ ろーらんど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</si>
  <si>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</si>
  <si>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</si>
  <si>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</si>
  <si>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</si>
  <si>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さくね じば</t>
    <phoneticPr fontId="1"/>
  </si>
  <si>
    <t>さくね しの</t>
    <phoneticPr fontId="1"/>
  </si>
  <si>
    <t>https://sites.google.com/view/fullmoon-ruro</t>
    <phoneticPr fontId="1"/>
  </si>
  <si>
    <t>Sakune Jiba</t>
    <phoneticPr fontId="1"/>
  </si>
  <si>
    <t>Sakune Shino</t>
    <phoneticPr fontId="1"/>
  </si>
  <si>
    <t>#錯音ジバ</t>
    <phoneticPr fontId="1"/>
  </si>
  <si>
    <t>#錯音シノ</t>
    <phoneticPr fontId="1"/>
  </si>
  <si>
    <t>葛平ツマリ</t>
    <phoneticPr fontId="1"/>
  </si>
  <si>
    <t>くずひら つまり</t>
    <phoneticPr fontId="1"/>
  </si>
  <si>
    <t>Kuzuhira tsumari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</si>
  <si>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</si>
  <si>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</si>
  <si>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</si>
  <si>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Sakaki Leo</t>
    <phoneticPr fontId="1"/>
  </si>
  <si>
    <t>さかき れお</t>
    <phoneticPr fontId="1"/>
  </si>
  <si>
    <t>天辻雷</t>
    <phoneticPr fontId="1"/>
  </si>
  <si>
    <t>Amatsuji Azuma</t>
    <phoneticPr fontId="1"/>
  </si>
  <si>
    <t>あまつじ あずま</t>
    <phoneticPr fontId="1"/>
  </si>
  <si>
    <t>​地守葉風</t>
    <phoneticPr fontId="1"/>
  </si>
  <si>
    <t>灰崎囁</t>
    <phoneticPr fontId="1"/>
  </si>
  <si>
    <t>Haizaki Sho</t>
    <phoneticPr fontId="1"/>
  </si>
  <si>
    <t>はいざき しょう</t>
    <phoneticPr fontId="1"/>
  </si>
  <si>
    <t>六弦エレキ</t>
    <phoneticPr fontId="1"/>
  </si>
  <si>
    <t>Mugen Elec</t>
    <phoneticPr fontId="1"/>
  </si>
  <si>
    <t>むげん えれき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</si>
  <si>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</si>
  <si>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</si>
  <si>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</si>
  <si>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</si>
  <si>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</si>
  <si>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</si>
  <si>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</si>
  <si>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</si>
  <si>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</si>
  <si>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#榊れを</t>
    <phoneticPr fontId="1"/>
  </si>
  <si>
    <t>#天辻雷</t>
    <phoneticPr fontId="1"/>
  </si>
  <si>
    <t>#灰崎囁</t>
    <phoneticPr fontId="1"/>
  </si>
  <si>
    <t>#六弦エレキ</t>
    <phoneticPr fontId="1"/>
  </si>
  <si>
    <t>#白躊夢</t>
    <phoneticPr fontId="1"/>
  </si>
  <si>
    <t>#不彁逆</t>
    <phoneticPr fontId="1"/>
  </si>
  <si>
    <t>#未曾鬱</t>
    <phoneticPr fontId="1"/>
  </si>
  <si>
    <t>西蓮ガルド</t>
    <phoneticPr fontId="1"/>
  </si>
  <si>
    <t>にしれん がるど</t>
    <phoneticPr fontId="1"/>
  </si>
  <si>
    <t>Nishiren Gard</t>
    <phoneticPr fontId="1"/>
  </si>
  <si>
    <t>https://gardanana.neocities.org</t>
    <phoneticPr fontId="1"/>
  </si>
  <si>
    <t>#西蓮ガルド</t>
    <phoneticPr fontId="1"/>
  </si>
  <si>
    <t>かんい はく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</si>
  <si>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</si>
  <si>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</si>
  <si>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</si>
  <si>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Keitai Hakken</t>
    <phoneticPr fontId="1"/>
  </si>
  <si>
    <t>けいたい はっけん</t>
    <phoneticPr fontId="1"/>
  </si>
  <si>
    <t>Keitai Ron</t>
    <phoneticPr fontId="1"/>
  </si>
  <si>
    <t>携帯ロン</t>
    <phoneticPr fontId="1"/>
  </si>
  <si>
    <t>けいたい ろん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</si>
  <si>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</si>
  <si>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</si>
  <si>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</si>
  <si>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</si>
  <si>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</si>
  <si>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</si>
  <si>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</si>
  <si>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</si>
  <si>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</si>
  <si>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</si>
  <si>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</si>
  <si>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</si>
  <si>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</si>
  <si>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</si>
  <si>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</si>
  <si>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</si>
  <si>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</si>
  <si>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</si>
  <si>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Fujigasaki Karin</t>
    <phoneticPr fontId="1"/>
  </si>
  <si>
    <t>ふじがさき かりん</t>
    <phoneticPr fontId="1"/>
  </si>
  <si>
    <t>火ノ叢杏実</t>
    <phoneticPr fontId="1"/>
  </si>
  <si>
    <t>Honomura Azumi</t>
    <phoneticPr fontId="1"/>
  </si>
  <si>
    <t>ほのむら あずみ</t>
    <phoneticPr fontId="1"/>
  </si>
  <si>
    <t>オトワシグレ</t>
    <phoneticPr fontId="1"/>
  </si>
  <si>
    <t>Otowa Shigure</t>
    <phoneticPr fontId="1"/>
  </si>
  <si>
    <t>おとわ しぐれ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</si>
  <si>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</si>
  <si>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</si>
  <si>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</si>
  <si>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</si>
  <si>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</si>
  <si>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</si>
  <si>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</si>
  <si>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</si>
  <si>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Namine Ritsu</t>
    <phoneticPr fontId="1"/>
  </si>
  <si>
    <t>なみね りつ</t>
    <phoneticPr fontId="1"/>
  </si>
  <si>
    <t>#波音リツ</t>
    <phoneticPr fontId="1"/>
  </si>
  <si>
    <t>櫻花アリス</t>
    <phoneticPr fontId="1"/>
  </si>
  <si>
    <t>おうか ありす</t>
    <phoneticPr fontId="1"/>
  </si>
  <si>
    <t>Ouka Arisu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</si>
  <si>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</si>
  <si>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</si>
  <si>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</si>
  <si>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やみね れんり</t>
    <phoneticPr fontId="1"/>
  </si>
  <si>
    <t>Yamine Rennri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</si>
  <si>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</si>
  <si>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</si>
  <si>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</si>
  <si>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</si>
  <si>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</si>
  <si>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</si>
  <si>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</si>
  <si>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</si>
  <si>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</si>
  <si>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</si>
  <si>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</si>
  <si>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Syokuhei Fuwa</t>
    <phoneticPr fontId="1"/>
  </si>
  <si>
    <t>しょくへい ふうわ</t>
    <phoneticPr fontId="1"/>
  </si>
  <si>
    <t>食并さく</t>
    <phoneticPr fontId="1"/>
  </si>
  <si>
    <t>Syokuhei Saku</t>
    <phoneticPr fontId="1"/>
  </si>
  <si>
    <t>しょくへい さく</t>
    <phoneticPr fontId="1"/>
  </si>
  <si>
    <t>一円</t>
    <phoneticPr fontId="1"/>
  </si>
  <si>
    <t>Ninomae Madoka</t>
    <phoneticPr fontId="1"/>
  </si>
  <si>
    <t>にのまえ まどか</t>
    <phoneticPr fontId="1"/>
  </si>
  <si>
    <t>綺月イオリ</t>
    <phoneticPr fontId="1"/>
  </si>
  <si>
    <t>Hazuki Iori</t>
    <phoneticPr fontId="1"/>
  </si>
  <si>
    <t>はづき いおり</t>
    <phoneticPr fontId="1"/>
  </si>
  <si>
    <t>夢識塞</t>
    <phoneticPr fontId="1"/>
  </si>
  <si>
    <t>Mushiki Sai</t>
    <phoneticPr fontId="1"/>
  </si>
  <si>
    <t>むしき さい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</si>
  <si>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</si>
  <si>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</si>
  <si>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</si>
  <si>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</si>
  <si>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Nanakiri Louis</t>
    <phoneticPr fontId="1"/>
  </si>
  <si>
    <t>ななきり るい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</si>
  <si>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</si>
  <si>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</si>
  <si>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</si>
  <si>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</si>
  <si>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</si>
  <si>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</si>
  <si>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</si>
  <si>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ねねお みゅー</t>
    <phoneticPr fontId="1"/>
  </si>
  <si>
    <t>Neneo mu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</si>
  <si>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</si>
  <si>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</si>
  <si>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</si>
  <si>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りつどき しどく</t>
    <phoneticPr fontId="1"/>
  </si>
  <si>
    <t xml:space="preserve">	​Ritsudoki Shidoku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</si>
  <si>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</si>
  <si>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</si>
  <si>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</si>
  <si>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</si>
  <si>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Kani Haku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</si>
  <si>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</si>
  <si>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</si>
  <si>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</si>
  <si>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</si>
  <si>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</si>
  <si>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</si>
  <si>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</si>
  <si>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</si>
  <si>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</si>
  <si>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</si>
  <si>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</si>
  <si>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</si>
  <si>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</si>
  <si>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</si>
  <si>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</si>
  <si>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</si>
  <si>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</si>
  <si>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Sabane Kan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</si>
  <si>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</si>
  <si>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</si>
  <si>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</si>
  <si>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</si>
  <si>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</si>
  <si>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</si>
  <si>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</si>
  <si>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ごうおん ろき</t>
    <phoneticPr fontId="1"/>
  </si>
  <si>
    <t>Gouon Roki</t>
    <phoneticPr fontId="1"/>
  </si>
  <si>
    <t>https://todosho1192.wixsite.com/my-site-3</t>
    <phoneticPr fontId="1"/>
  </si>
  <si>
    <t>緑音翡翠</t>
    <phoneticPr fontId="1"/>
  </si>
  <si>
    <t>Midorine Hisui</t>
    <phoneticPr fontId="1"/>
  </si>
  <si>
    <t>みどりね ひすい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</si>
  <si>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</si>
  <si>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</si>
  <si>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</si>
  <si>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</si>
  <si>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</si>
  <si>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</si>
  <si>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</si>
  <si>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</si>
  <si>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</si>
  <si>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ぎば よりか</t>
    <phoneticPr fontId="1"/>
  </si>
  <si>
    <t>Giba Yorika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</si>
  <si>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</si>
  <si>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</si>
  <si>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</si>
  <si>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</si>
  <si>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</si>
  <si>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</si>
  <si>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</si>
  <si>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</si>
  <si>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</si>
  <si>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</si>
  <si>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</si>
  <si>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</si>
  <si>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</si>
  <si>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</si>
  <si>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</si>
  <si>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</si>
  <si>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</si>
  <si>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</si>
  <si>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</si>
  <si>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</si>
  <si>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</si>
  <si>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</si>
  <si>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なやね ぶるー</t>
    <phoneticPr fontId="1"/>
  </si>
  <si>
    <t>Nayane 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</si>
  <si>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</si>
  <si>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</si>
  <si>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</si>
  <si>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Ronku No.1</t>
    <phoneticPr fontId="1"/>
  </si>
  <si>
    <t>ろんく いちごう</t>
    <phoneticPr fontId="1"/>
  </si>
  <si>
    <t>​星音ななし</t>
    <phoneticPr fontId="1"/>
  </si>
  <si>
    <t>Sorane Nanashi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</si>
  <si>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</si>
  <si>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</si>
  <si>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</si>
  <si>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</si>
  <si>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Tsukumo Ichioto</t>
    <phoneticPr fontId="1"/>
  </si>
  <si>
    <t>創音みか</t>
    <phoneticPr fontId="1"/>
  </si>
  <si>
    <t>寺戸ラヴ</t>
    <phoneticPr fontId="1"/>
  </si>
  <si>
    <t>寺永十逸</t>
    <phoneticPr fontId="1"/>
  </si>
  <si>
    <t>Teranaga Toichi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</si>
  <si>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</si>
  <si>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</si>
  <si>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</si>
  <si>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</si>
  <si>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Nagarene Nanashi</t>
    <phoneticPr fontId="1"/>
  </si>
  <si>
    <t>Higeki Muripo</t>
    <phoneticPr fontId="1"/>
  </si>
  <si>
    <t>申暋慧</t>
    <phoneticPr fontId="1"/>
  </si>
  <si>
    <t>Shin Min Hye</t>
    <phoneticPr fontId="1"/>
  </si>
  <si>
    <t>しん みんへ</t>
    <phoneticPr fontId="1"/>
  </si>
  <si>
    <t>https://twisibi.notion.site/1e947481a8ac80a59110fa6b43bf6319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</si>
  <si>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</si>
  <si>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</si>
  <si>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ちぬ やん</t>
    <phoneticPr fontId="1"/>
  </si>
  <si>
    <t>Chine Yan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</si>
  <si>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</si>
  <si>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</si>
  <si>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</si>
  <si>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</si>
  <si>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</si>
  <si>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</si>
  <si>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</si>
  <si>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</si>
  <si>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</si>
  <si>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</si>
  <si>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</si>
  <si>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</si>
  <si>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</si>
  <si>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</si>
  <si>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</si>
  <si>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</si>
  <si>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</si>
  <si>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</si>
  <si>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</si>
  <si>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</si>
  <si>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</si>
  <si>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</si>
  <si>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</si>
  <si>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</si>
  <si>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</si>
  <si>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T kun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</si>
  <si>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</si>
  <si>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</si>
  <si>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</si>
  <si>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</si>
  <si>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</si>
  <si>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</si>
  <si>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ふかみ まりん</t>
    <phoneticPr fontId="1"/>
  </si>
  <si>
    <t>Fukami Marine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</si>
  <si>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</si>
  <si>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</si>
  <si>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</si>
  <si>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</si>
  <si>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Colorful Sugar Sprinkle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</si>
  <si>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</si>
  <si>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</si>
  <si>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</si>
  <si>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</si>
  <si>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</si>
  <si>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</si>
  <si>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</si>
  <si>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からふる しゅがーすぷりんくる</t>
    <phoneticPr fontId="1"/>
  </si>
  <si>
    <t>めがねこ みっけた</t>
    <phoneticPr fontId="1"/>
  </si>
  <si>
    <t>Meganeko Mikketa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</si>
  <si>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</si>
  <si>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</si>
  <si>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</si>
  <si>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</si>
  <si>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</si>
  <si>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</si>
  <si>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せいどう あお</t>
    <phoneticPr fontId="1"/>
  </si>
  <si>
    <t>Seido Ao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</si>
  <si>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</si>
  <si>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</si>
  <si>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</si>
  <si>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</si>
  <si>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こうが ひづき</t>
    <phoneticPr fontId="1"/>
  </si>
  <si>
    <t>Koga Hizuki</t>
    <phoneticPr fontId="1"/>
  </si>
  <si>
    <t>アスター・フローレス</t>
    <phoneticPr fontId="1"/>
  </si>
  <si>
    <t>Aster・Flores</t>
    <phoneticPr fontId="1"/>
  </si>
  <si>
    <t>あすたー ふろーれす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</si>
  <si>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</si>
  <si>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</si>
  <si>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</si>
  <si>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</si>
  <si>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</si>
  <si>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</si>
  <si>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しらね あおい</t>
    <phoneticPr fontId="1"/>
  </si>
  <si>
    <t>Shirane Aoi</t>
    <phoneticPr fontId="1"/>
  </si>
  <si>
    <t>宵月未雲</t>
    <phoneticPr fontId="1"/>
  </si>
  <si>
    <t>影月澪音</t>
    <phoneticPr fontId="1"/>
  </si>
  <si>
    <t>暁月陽輝</t>
    <phoneticPr fontId="1"/>
  </si>
  <si>
    <t>よいづき みくも</t>
    <phoneticPr fontId="1"/>
  </si>
  <si>
    <t>Yoizuki Mikumo</t>
    <phoneticPr fontId="1"/>
  </si>
  <si>
    <t>Kagetsuki Reine</t>
    <phoneticPr fontId="1"/>
  </si>
  <si>
    <t>かげつき れいね</t>
    <phoneticPr fontId="1"/>
  </si>
  <si>
    <t>Akatsuki Haruki</t>
    <phoneticPr fontId="1"/>
  </si>
  <si>
    <t>あかつき はるき</t>
    <phoneticPr fontId="1"/>
  </si>
  <si>
    <t>姜運心</t>
    <phoneticPr fontId="1"/>
  </si>
  <si>
    <t>かん うんしむ</t>
    <phoneticPr fontId="1"/>
  </si>
  <si>
    <t>Kang Unshim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</si>
  <si>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</si>
  <si>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</si>
  <si>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</si>
  <si>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</si>
  <si>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</si>
  <si>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</si>
  <si>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</si>
  <si>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</si>
  <si>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かいる たいらー</t>
    <phoneticPr fontId="1"/>
  </si>
  <si>
    <t>Kyle Tyler</t>
    <phoneticPr fontId="1"/>
  </si>
  <si>
    <t>通音トオ</t>
    <phoneticPr fontId="1"/>
  </si>
  <si>
    <t>とおね とお</t>
    <phoneticPr fontId="1"/>
  </si>
  <si>
    <t>Tone Too</t>
    <phoneticPr fontId="1"/>
  </si>
  <si>
    <t>https://toooru421.booth.pm/items/8151791</t>
    <phoneticPr fontId="1"/>
  </si>
  <si>
    <t>#通音トオ #utau_tonetoo</t>
    <phoneticPr fontId="1"/>
  </si>
  <si>
    <t>不破マリア</t>
    <phoneticPr fontId="1"/>
  </si>
  <si>
    <t>ふわ まりあ</t>
    <phoneticPr fontId="1"/>
  </si>
  <si>
    <t>Fuwa Maria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</si>
  <si>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</si>
  <si>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</si>
  <si>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</si>
  <si>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</si>
  <si>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</si>
  <si>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</si>
  <si>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</si>
  <si>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</si>
  <si>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</si>
  <si>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Sanity Doyou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</si>
  <si>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</si>
  <si>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</si>
  <si>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</si>
  <si>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</si>
  <si>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</si>
  <si>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</si>
  <si>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</si>
  <si>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</si>
  <si>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</si>
  <si>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</si>
  <si>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</si>
  <si>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</si>
  <si>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</si>
  <si>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</si>
  <si>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</si>
  <si>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</si>
  <si>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</si>
  <si>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</si>
  <si>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</si>
  <si>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</si>
  <si>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学者</t>
    <rPh sb="0" eb="2">
      <t>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</si>
  <si>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</si>
  <si>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</si>
  <si>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</si>
  <si>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人間|機械</t>
    <rPh sb="0" eb="2">
      <t>ニンゲン</t>
    </rPh>
    <rPh sb="3" eb="5">
      <t>キカイ</t>
    </rPh>
    <phoneticPr fontId="1"/>
  </si>
  <si>
    <t>機械整備士</t>
    <phoneticPr fontId="1"/>
  </si>
  <si>
    <t>角(ツノ)|羽|尻尾</t>
    <rPh sb="0" eb="1">
      <t>ツノ</t>
    </rPh>
    <rPh sb="6" eb="7">
      <t>ハネ</t>
    </rPh>
    <rPh sb="8" eb="10">
      <t>シッポ</t>
    </rPh>
    <phoneticPr fontId="1"/>
  </si>
  <si>
    <t>ソーイングスタッフ</t>
    <phoneticPr fontId="1"/>
  </si>
  <si>
    <t>エンジェルヘイロゥ|カチューシャ</t>
    <phoneticPr fontId="1"/>
  </si>
  <si>
    <t>羽|尖耳|ギザ歯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</si>
  <si>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地磁気調査</t>
  </si>
  <si>
    <t>イヤーユニット</t>
  </si>
  <si>
    <t>イヤーユニット</t>
    <phoneticPr fontId="1"/>
  </si>
  <si>
    <t>メッシュ|尻尾</t>
    <rPh sb="5" eb="7">
      <t>シッポ</t>
    </rPh>
    <phoneticPr fontId="1"/>
  </si>
  <si>
    <t>バーチャル</t>
  </si>
  <si>
    <t>バーチャル</t>
    <phoneticPr fontId="1"/>
  </si>
  <si>
    <t>エンジェルヘイロゥ</t>
    <phoneticPr fontId="1"/>
  </si>
  <si>
    <t>メッシュ</t>
    <phoneticPr fontId="1"/>
  </si>
  <si>
    <t>リボン|鍵</t>
    <rPh sb="4" eb="5">
      <t>カギ</t>
    </rPh>
    <phoneticPr fontId="1"/>
  </si>
  <si>
    <t>機械</t>
    <rPh sb="0" eb="2">
      <t>キカイ</t>
    </rPh>
    <phoneticPr fontId="1"/>
  </si>
  <si>
    <t>鳥</t>
    <rPh sb="0" eb="1">
      <t>トリ</t>
    </rPh>
    <phoneticPr fontId="1"/>
  </si>
  <si>
    <t>マスク</t>
    <phoneticPr fontId="1"/>
  </si>
  <si>
    <t>羽</t>
    <rPh sb="0" eb="1">
      <t>ハネ</t>
    </rPh>
    <phoneticPr fontId="1"/>
  </si>
  <si>
    <t>人間|人形</t>
    <rPh sb="0" eb="2">
      <t>ニンゲン</t>
    </rPh>
    <rPh sb="3" eb="5">
      <t>ニンギョウ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</si>
  <si>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</si>
  <si>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</si>
  <si>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</si>
  <si>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</si>
  <si>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</si>
  <si>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</si>
  <si>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</si>
  <si>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妖精|双子</t>
    <rPh sb="0" eb="2">
      <t>ヨウセイ</t>
    </rPh>
    <rPh sb="3" eb="5">
      <t>フタゴ</t>
    </rPh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</si>
  <si>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</si>
  <si>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</si>
  <si>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</si>
  <si>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</si>
  <si>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</si>
  <si>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</si>
  <si>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</si>
  <si>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</si>
  <si>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人間|双子</t>
    <rPh sb="0" eb="2">
      <t>ニンゲン</t>
    </rPh>
    <phoneticPr fontId="1"/>
  </si>
  <si>
    <t>人間|双子|故人</t>
    <rPh sb="0" eb="2">
      <t>ニンゲン</t>
    </rPh>
    <rPh sb="6" eb="8">
      <t>コジン</t>
    </rPh>
    <phoneticPr fontId="1"/>
  </si>
  <si>
    <t>褐色肌</t>
    <rPh sb="0" eb="2">
      <t>カッショク</t>
    </rPh>
    <rPh sb="2" eb="3">
      <t>ハダ</t>
    </rPh>
    <phoneticPr fontId="1"/>
  </si>
  <si>
    <t>インナーカラー|片目隠れ</t>
    <rPh sb="8" eb="10">
      <t>カタメ</t>
    </rPh>
    <rPh sb="10" eb="11">
      <t>カク</t>
    </rPh>
    <phoneticPr fontId="1"/>
  </si>
  <si>
    <t>人間|天使</t>
  </si>
  <si>
    <t>吸血鬼</t>
  </si>
  <si>
    <t>渦巻き目、アホ毛</t>
  </si>
  <si>
    <t>ツートンカラー</t>
    <phoneticPr fontId="1"/>
  </si>
  <si>
    <t>セクションカラー</t>
    <phoneticPr fontId="1"/>
  </si>
  <si>
    <t>故人|ゾンビ</t>
    <rPh sb="0" eb="2">
      <t>コジン</t>
    </rPh>
    <phoneticPr fontId="1"/>
  </si>
  <si>
    <t>故人|幽霊</t>
    <rPh sb="0" eb="2">
      <t>コジン</t>
    </rPh>
    <rPh sb="3" eb="5">
      <t>ユウレイ</t>
    </rPh>
    <phoneticPr fontId="1"/>
  </si>
  <si>
    <t>ツートンカラー|片目隠れ</t>
    <rPh sb="8" eb="10">
      <t>カタメ</t>
    </rPh>
    <rPh sb="10" eb="11">
      <t>カク</t>
    </rPh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</si>
  <si>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</si>
  <si>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</si>
  <si>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</si>
  <si>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</si>
  <si>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</si>
  <si>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</si>
  <si>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</si>
  <si>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</si>
  <si>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</si>
  <si>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</si>
  <si>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</si>
  <si>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</si>
  <si>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</si>
  <si>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ヘアピン|拡声器</t>
    <rPh sb="5" eb="8">
      <t>カクセイキ</t>
    </rPh>
    <phoneticPr fontId="1"/>
  </si>
  <si>
    <t>人魚</t>
    <rPh sb="0" eb="2">
      <t>ニンギョ</t>
    </rPh>
    <phoneticPr fontId="1"/>
  </si>
  <si>
    <t>人間|鬼</t>
    <rPh sb="0" eb="2">
      <t>ニンゲン</t>
    </rPh>
    <rPh sb="3" eb="4">
      <t>オニ</t>
    </rPh>
    <phoneticPr fontId="1"/>
  </si>
  <si>
    <t>グラデーションカラー|角(ツノ)|黒い強膜</t>
    <rPh sb="11" eb="12">
      <t>カド</t>
    </rPh>
    <phoneticPr fontId="1"/>
  </si>
  <si>
    <t>キメラ</t>
  </si>
  <si>
    <t>堕天使</t>
    <rPh sb="0" eb="3">
      <t>ダテンシ</t>
    </rPh>
    <phoneticPr fontId="1"/>
  </si>
  <si>
    <t>両目隠れ|羽</t>
    <rPh sb="0" eb="2">
      <t>リョウメ</t>
    </rPh>
    <rPh sb="2" eb="3">
      <t>カク</t>
    </rPh>
    <rPh sb="5" eb="6">
      <t>ハネ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</si>
  <si>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</si>
  <si>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</si>
  <si>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</si>
  <si>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</si>
  <si>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</si>
  <si>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</si>
  <si>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いるや るい</t>
    <phoneticPr fontId="1"/>
  </si>
  <si>
    <t>Iruya Rui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</si>
  <si>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</si>
  <si>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</si>
  <si>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</si>
  <si>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イヤーユニット|鍵</t>
    <rPh sb="8" eb="9">
      <t>カギ</t>
    </rPh>
    <phoneticPr fontId="1"/>
  </si>
  <si>
    <t>刃華音メタ</t>
    <phoneticPr fontId="1"/>
  </si>
  <si>
    <t>はがね めた</t>
    <phoneticPr fontId="1"/>
  </si>
  <si>
    <t>​Hagane Meta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</si>
  <si>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</si>
  <si>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</si>
  <si>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</si>
  <si>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</si>
  <si>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</si>
  <si>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Yashiro Shiya</t>
    <phoneticPr fontId="1"/>
  </si>
  <si>
    <t>やしろしや</t>
    <phoneticPr fontId="1"/>
  </si>
  <si>
    <t>やしろ しや</t>
    <phoneticPr fontId="1"/>
  </si>
  <si>
    <t>カチューシャ|ヘアピン</t>
    <phoneticPr fontId="1"/>
  </si>
  <si>
    <t>まろ眉</t>
    <rPh sb="2" eb="3">
      <t>マユ</t>
    </rPh>
    <phoneticPr fontId="1"/>
  </si>
  <si>
    <t>グラデーションカラー|まろ眉</t>
    <phoneticPr fontId="1"/>
  </si>
  <si>
    <t>社畜</t>
    <rPh sb="0" eb="2">
      <t>シャチク</t>
    </rPh>
    <phoneticPr fontId="1"/>
  </si>
  <si>
    <t>かたづたか</t>
    <phoneticPr fontId="1"/>
  </si>
  <si>
    <t>かたづ たか</t>
    <phoneticPr fontId="1"/>
  </si>
  <si>
    <t>Katazu Taka</t>
    <phoneticPr fontId="1"/>
  </si>
  <si>
    <t>さすらいのユーフォリア</t>
    <phoneticPr fontId="1"/>
  </si>
  <si>
    <t>さすらいのゆーふぉりあ</t>
    <phoneticPr fontId="1"/>
  </si>
  <si>
    <t>The Bard Euphoria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</si>
  <si>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</si>
  <si>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</si>
  <si>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</si>
  <si>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</si>
  <si>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</si>
  <si>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</si>
  <si>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</si>
  <si>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あるじね さらさ</t>
    <phoneticPr fontId="1"/>
  </si>
  <si>
    <t>Arujine Sarasa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</si>
  <si>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</si>
  <si>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</si>
  <si>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</si>
  <si>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ケモ耳|尻尾</t>
    <rPh sb="2" eb="3">
      <t>ミミ</t>
    </rPh>
    <rPh sb="4" eb="6">
      <t>シッポ</t>
    </rPh>
    <phoneticPr fontId="1"/>
  </si>
  <si>
    <t>ピアス|首輪</t>
    <rPh sb="4" eb="6">
      <t>クビワ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</si>
  <si>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</si>
  <si>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</si>
  <si>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</si>
  <si>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あまが える</t>
    <phoneticPr fontId="1"/>
  </si>
  <si>
    <t>Amaga Eru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</si>
  <si>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</si>
  <si>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</si>
  <si>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</si>
  <si>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</si>
  <si>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なるかみ きょう</t>
    <phoneticPr fontId="1"/>
  </si>
  <si>
    <t>Narukami Kyou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</si>
  <si>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</si>
  <si>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</si>
  <si>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</si>
  <si>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</si>
  <si>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</si>
  <si>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</si>
  <si>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</si>
  <si>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動物</t>
    <rPh sb="0" eb="2">
      <t>ドウブツ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</si>
  <si>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</si>
  <si>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</si>
  <si>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</si>
  <si>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兎|さくらんぼ</t>
    <rPh sb="0" eb="1">
      <t>ウサギ</t>
    </rPh>
    <phoneticPr fontId="1"/>
  </si>
  <si>
    <t>髪飾り</t>
    <rPh sb="0" eb="2">
      <t>カミカザ</t>
    </rPh>
    <phoneticPr fontId="1"/>
  </si>
  <si>
    <t>司祭</t>
    <phoneticPr fontId="1"/>
  </si>
  <si>
    <t>エンジェルヘイロゥ|十字架</t>
    <rPh sb="10" eb="13">
      <t>ジュウジカ</t>
    </rPh>
    <phoneticPr fontId="1"/>
  </si>
  <si>
    <t>エンジェルヘイロゥ|包帯</t>
    <rPh sb="10" eb="12">
      <t>ホウタイ</t>
    </rPh>
    <phoneticPr fontId="1"/>
  </si>
  <si>
    <t>アホ毛</t>
    <rPh sb="2" eb="3">
      <t>ゲ</t>
    </rPh>
    <phoneticPr fontId="1"/>
  </si>
  <si>
    <t>ヘアピン|眼鏡</t>
  </si>
  <si>
    <t>ヘアピン|眼鏡</t>
    <phoneticPr fontId="1"/>
  </si>
  <si>
    <t>宇宙人</t>
    <rPh sb="0" eb="3">
      <t>ウチュウジン</t>
    </rPh>
    <phoneticPr fontId="1"/>
  </si>
  <si>
    <t>クラゲ</t>
    <phoneticPr fontId="1"/>
  </si>
  <si>
    <t>アホ毛|両目隠れ</t>
    <rPh sb="2" eb="3">
      <t>ゲ</t>
    </rPh>
    <rPh sb="4" eb="7">
      <t>リョウメカク</t>
    </rPh>
    <phoneticPr fontId="1"/>
  </si>
  <si>
    <t>プロゲーマー</t>
    <phoneticPr fontId="1"/>
  </si>
  <si>
    <t>アイドル</t>
  </si>
  <si>
    <t>アイドル</t>
    <phoneticPr fontId="1"/>
  </si>
  <si>
    <t>オッドアイ|ほくろ</t>
    <phoneticPr fontId="1"/>
  </si>
  <si>
    <t>ほくろ</t>
  </si>
  <si>
    <t>ほくろ</t>
    <phoneticPr fontId="1"/>
  </si>
  <si>
    <t>https://kinomihautaimas.wixsite.com/dongurihiroba</t>
    <phoneticPr fontId="1"/>
  </si>
  <si>
    <t>Kanari Nito</t>
    <phoneticPr fontId="1"/>
  </si>
  <si>
    <t>ニート</t>
    <phoneticPr fontId="1"/>
  </si>
  <si>
    <t>星</t>
    <rPh sb="0" eb="1">
      <t>ホシ</t>
    </rPh>
    <phoneticPr fontId="1"/>
  </si>
  <si>
    <t>Kine Kine</t>
    <phoneticPr fontId="1"/>
  </si>
  <si>
    <t>ピアス|首輪|指輪</t>
    <rPh sb="4" eb="6">
      <t>クビワ</t>
    </rPh>
    <rPh sb="7" eb="9">
      <t>ユビワ</t>
    </rPh>
    <phoneticPr fontId="1"/>
  </si>
  <si>
    <t>Ufuro Johomau Shifusyo</t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</si>
  <si>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</si>
  <si>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</si>
  <si>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</si>
  <si>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</si>
  <si>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人間|不老|不死|長寿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</si>
  <si>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天使|不老|長寿</t>
    <rPh sb="0" eb="2">
      <t>テンシ</t>
    </rPh>
    <rPh sb="3" eb="5">
      <t>フロウ</t>
    </rPh>
    <phoneticPr fontId="1"/>
  </si>
  <si>
    <t>エンジェルヘイロゥ|羽</t>
    <rPh sb="10" eb="11">
      <t>ハネ</t>
    </rPh>
    <phoneticPr fontId="1"/>
  </si>
  <si>
    <t>銃</t>
    <phoneticPr fontId="1"/>
  </si>
  <si>
    <t>人間|長寿</t>
    <rPh sb="0" eb="2">
      <t>ニンゲン</t>
    </rPh>
    <rPh sb="3" eb="5">
      <t>チョウジュ</t>
    </rPh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</si>
  <si>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</si>
  <si>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</si>
  <si>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神|不老|不死</t>
    <rPh sb="0" eb="1">
      <t>カミ</t>
    </rPh>
    <rPh sb="2" eb="4">
      <t>フロウ</t>
    </rPh>
    <rPh sb="5" eb="7">
      <t>フシ</t>
    </rPh>
    <phoneticPr fontId="1"/>
  </si>
  <si>
    <t>犯罪者</t>
    <rPh sb="0" eb="3">
      <t>ハンザイシャ</t>
    </rPh>
    <phoneticPr fontId="1"/>
  </si>
  <si>
    <t>ナイフ</t>
    <phoneticPr fontId="1"/>
  </si>
  <si>
    <t>傷|ほくろ</t>
    <rPh sb="0" eb="1">
      <t>キズ</t>
    </rPh>
    <phoneticPr fontId="1"/>
  </si>
  <si>
    <t>警察官</t>
    <rPh sb="0" eb="3">
      <t>ケイサツカン</t>
    </rPh>
    <phoneticPr fontId="1"/>
  </si>
  <si>
    <t>グラデーションカラー</t>
  </si>
  <si>
    <t>宇宙|猫</t>
    <rPh sb="0" eb="2">
      <t>ウチュウ</t>
    </rPh>
    <rPh sb="3" eb="4">
      <t>ネコ</t>
    </rPh>
    <phoneticPr fontId="1"/>
  </si>
  <si>
    <t>ケモ耳|髭</t>
    <rPh sb="4" eb="5">
      <t>ヒゲ</t>
    </rPh>
    <phoneticPr fontId="1"/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</si>
  <si>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</si>
  <si>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</si>
  <si>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</si>
  <si>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</si>
  <si>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</si>
  <si>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黒ベタ目|高身長|ボディペイント</t>
    <rPh sb="0" eb="1">
      <t>クロ</t>
    </rPh>
    <rPh sb="3" eb="4">
      <t>メ</t>
    </rPh>
    <rPh sb="5" eb="8">
      <t>コウシンチョウ</t>
    </rPh>
    <phoneticPr fontId="1"/>
  </si>
  <si>
    <t>サポーター|カウンセラー</t>
    <phoneticPr fontId="1"/>
  </si>
  <si>
    <t>メッシュ</t>
  </si>
  <si>
    <t>悪魔</t>
    <rPh sb="0" eb="2">
      <t>アクマ</t>
    </rPh>
    <phoneticPr fontId="1"/>
  </si>
  <si>
    <t>インナーカラー|羽</t>
    <rPh sb="8" eb="9">
      <t>ハネ</t>
    </rPh>
    <phoneticPr fontId="1"/>
  </si>
  <si>
    <t>殺し屋</t>
    <rPh sb="0" eb="1">
      <t>コロ</t>
    </rPh>
    <rPh sb="2" eb="3">
      <t>ヤ</t>
    </rPh>
    <phoneticPr fontId="1"/>
  </si>
  <si>
    <t>片目隠れ|火傷|ほくろ</t>
    <rPh sb="0" eb="2">
      <t>カタメ</t>
    </rPh>
    <rPh sb="2" eb="3">
      <t>カク</t>
    </rPh>
    <rPh sb="5" eb="7">
      <t>ヤケド</t>
    </rPh>
    <phoneticPr fontId="1"/>
  </si>
  <si>
    <t>天使|長寿</t>
    <rPh sb="0" eb="2">
      <t>テンシ</t>
    </rPh>
    <rPh sb="3" eb="5">
      <t>チョウジュ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</si>
  <si>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</si>
  <si>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</si>
  <si>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</si>
  <si>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</si>
  <si>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オッドアイ|アホ毛</t>
    <rPh sb="8" eb="9">
      <t>ゲ</t>
    </rPh>
    <phoneticPr fontId="1"/>
  </si>
  <si>
    <t>ケモ耳|メッシュ|尻尾</t>
    <rPh sb="2" eb="3">
      <t>ミミ</t>
    </rPh>
    <rPh sb="9" eb="11">
      <t>シッポ</t>
    </rPh>
    <phoneticPr fontId="1"/>
  </si>
  <si>
    <t>狐</t>
    <rPh sb="0" eb="1">
      <t>キツネ</t>
    </rPh>
    <phoneticPr fontId="1"/>
  </si>
  <si>
    <t>妖怪|長寿</t>
    <rPh sb="0" eb="2">
      <t>ヨウカイ</t>
    </rPh>
    <rPh sb="3" eb="5">
      <t>チョウジュ</t>
    </rPh>
    <phoneticPr fontId="1"/>
  </si>
  <si>
    <t>アホ毛|メッシュ</t>
    <rPh sb="2" eb="3">
      <t>ゲ</t>
    </rPh>
    <phoneticPr fontId="1"/>
  </si>
  <si>
    <t>故人|死神</t>
    <rPh sb="0" eb="2">
      <t>コジン</t>
    </rPh>
    <phoneticPr fontId="1"/>
  </si>
  <si>
    <t>仮面</t>
    <rPh sb="0" eb="2">
      <t>カメン</t>
    </rPh>
    <phoneticPr fontId="1"/>
  </si>
  <si>
    <t>ケモ耳|両目隠れ</t>
    <rPh sb="2" eb="3">
      <t>ミミ</t>
    </rPh>
    <rPh sb="4" eb="6">
      <t>リョウメ</t>
    </rPh>
    <rPh sb="6" eb="7">
      <t>カク</t>
    </rPh>
    <phoneticPr fontId="1"/>
  </si>
  <si>
    <t>妖精|長寿</t>
    <rPh sb="0" eb="2">
      <t>ヨウセイ</t>
    </rPh>
    <rPh sb="3" eb="5">
      <t>チョウジュ</t>
    </rPh>
    <phoneticPr fontId="1"/>
  </si>
  <si>
    <t>キョンシー</t>
    <phoneticPr fontId="1"/>
  </si>
  <si>
    <t>アホ毛|オッドアイ|特殊肌|尻尾</t>
    <rPh sb="2" eb="3">
      <t>ゲ</t>
    </rPh>
    <rPh sb="10" eb="13">
      <t>トクシュハダ</t>
    </rPh>
    <rPh sb="14" eb="16">
      <t>シッポ</t>
    </rPh>
    <phoneticPr fontId="1"/>
  </si>
  <si>
    <t>お札</t>
    <rPh sb="1" eb="2">
      <t>フダ</t>
    </rPh>
    <phoneticPr fontId="1"/>
  </si>
  <si>
    <t>黒白目|特殊肌|高身長</t>
    <rPh sb="0" eb="3">
      <t>クロシロメ</t>
    </rPh>
    <rPh sb="4" eb="7">
      <t>トクシュハダ</t>
    </rPh>
    <rPh sb="8" eb="11">
      <t>コウシンチョウ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</si>
  <si>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</si>
  <si>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</si>
  <si>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故人|妖怪</t>
    <rPh sb="0" eb="2">
      <t>コジン</t>
    </rPh>
    <phoneticPr fontId="1"/>
  </si>
  <si>
    <t>隻眼</t>
    <phoneticPr fontId="1"/>
  </si>
  <si>
    <t>魔法使い|手品師</t>
    <rPh sb="5" eb="8">
      <t>テジナシ</t>
    </rPh>
    <phoneticPr fontId="1"/>
  </si>
  <si>
    <t>学生|アイドル</t>
    <rPh sb="0" eb="2">
      <t>ガクセイ</t>
    </rPh>
    <phoneticPr fontId="1"/>
  </si>
  <si>
    <t>リボン|カチューシャ</t>
    <phoneticPr fontId="1"/>
  </si>
  <si>
    <t>アメイズ・メイズ・ノワゼット</t>
    <phoneticPr fontId="1"/>
  </si>
  <si>
    <t>あめいず めいず のわぜっと</t>
    <phoneticPr fontId="1"/>
  </si>
  <si>
    <t>Amaze Maze Noisette</t>
    <phoneticPr fontId="1"/>
  </si>
  <si>
    <t>天使|死神</t>
    <rPh sb="0" eb="2">
      <t>テンシ</t>
    </rPh>
    <rPh sb="3" eb="5">
      <t>シニガミ</t>
    </rPh>
    <phoneticPr fontId="1"/>
  </si>
  <si>
    <t>エンジェルヘイロゥ|リボン</t>
    <phoneticPr fontId="1"/>
  </si>
  <si>
    <t>神話生物|長寿</t>
    <rPh sb="5" eb="7">
      <t>チョウジュ</t>
    </rPh>
    <phoneticPr fontId="1"/>
  </si>
  <si>
    <t>メッシュ|インナーカラー</t>
    <phoneticPr fontId="1"/>
  </si>
  <si>
    <t>ヒナキ・Ｖ・ドラギニエ</t>
    <phoneticPr fontId="1"/>
  </si>
  <si>
    <t>Hinaki V Draginie</t>
    <phoneticPr fontId="1"/>
  </si>
  <si>
    <t>ひなき ぶい どらぎにえ</t>
    <phoneticPr fontId="1"/>
  </si>
  <si>
    <t>カチューシャ|髪飾り</t>
    <rPh sb="7" eb="9">
      <t>カミカザ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</si>
</sst>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4"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3"/>
      <tableStyleElement type="headerRow" dxfId="72"/>
      <tableStyleElement type="totalRow" dxfId="71"/>
      <tableStyleElement type="secondRowStripe" dxfId="70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41" headerRowDxfId="69" dataDxfId="68" tableBorderDxfId="67">
  <autoFilter ref="A1:Y441" xr:uid="{AFDEA6E0-6891-40ED-8736-87CEEF9CED2F}"/>
  <sortState xmlns:xlrd2="http://schemas.microsoft.com/office/spreadsheetml/2017/richdata2" ref="A2:Y441">
    <sortCondition ref="A1:A441"/>
  </sortState>
  <tableColumns count="25">
    <tableColumn id="7" xr3:uid="{9D671CE8-205F-4EC4-AF57-C49043815D5D}" name="番号" totalsRowLabel="集計" dataDxfId="66" totalsRowDxfId="65"/>
    <tableColumn id="1" xr3:uid="{BC0E7496-4241-40F3-92D1-BFEC8E2F21B0}" name="画像" dataDxfId="64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3" totalsRowDxfId="62"/>
    <tableColumn id="3" xr3:uid="{1CD1AB40-A0B3-43E1-8992-FB5152113AF0}" name="なまえ" dataDxfId="61" totalsRowDxfId="60"/>
    <tableColumn id="4" xr3:uid="{3A18F89A-C86D-435E-8081-BFA7EDB53407}" name="Name" dataDxfId="59" totalsRowDxfId="58"/>
    <tableColumn id="5" xr3:uid="{465CE434-66FF-4581-97B6-92FB1196AA88}" name="リンク" dataDxfId="57" totalsRowDxfId="56"/>
    <tableColumn id="6" xr3:uid="{C8A231EF-CEE1-4EDF-9F79-E20B4EE26A3B}" name="作品タグ" dataDxfId="55" totalsRowDxfId="54"/>
    <tableColumn id="21" xr3:uid="{A3F04976-FEAF-4AB6-883A-CBF50885B75B}" name="性別" dataDxfId="53" totalsRowDxfId="52"/>
    <tableColumn id="20" xr3:uid="{1BC45536-DCFC-46D8-8A1D-7CA1DB3A4086}" name="種族タグ" dataDxfId="51" totalsRowDxfId="50"/>
    <tableColumn id="22" xr3:uid="{A500EE07-F0A6-4CFF-83B6-145BEF44F05E}" name="モチーフタグ" dataDxfId="49" totalsRowDxfId="48"/>
    <tableColumn id="23" xr3:uid="{C7A460FE-A76F-44CC-BA42-F2EDCB5166B0}" name="職業タグ" dataDxfId="47" totalsRowDxfId="46"/>
    <tableColumn id="24" xr3:uid="{13CD4112-798D-4D06-B448-3A060DFAF850}" name="小物タグ" dataDxfId="45" totalsRowDxfId="44"/>
    <tableColumn id="25" xr3:uid="{BB31FC48-2C53-4F77-9754-878F1123A640}" name="ワンポイントタグ" dataDxfId="43" totalsRowDxfId="42"/>
    <tableColumn id="14" xr3:uid="{419D2296-96F6-49B6-A101-8BE8083A1FF8}" name="グッズ許可・許可" dataDxfId="41" totalsRowDxfId="40"/>
    <tableColumn id="10" xr3:uid="{A3DF9BE0-B684-4FD2-9C65-44C5CE7A0DC3}" name="描画状況" totalsRowFunction="count" dataDxfId="39" totalsRowDxfId="38"/>
    <tableColumn id="9" xr3:uid="{02AE6379-3B3C-4BB2-A47F-0A695072C3A9}" name="列1" dataDxfId="37" totalsRowDxfId="36">
      <calculatedColumnFormula>テーブル1[[#This Row],[リンク]]&amp;テーブル1[[#This Row],[描画状況]]</calculatedColumnFormula>
    </tableColumn>
    <tableColumn id="13" xr3:uid="{823DB8CC-CE55-4F0C-AE72-2EE293521925}" name="列2" dataDxfId="35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4" totalsRowDxfId="33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2" totalsRowDxfId="31">
      <totalsRowFormula>COUNTIF(テーブル1[投稿状況],"")</totalsRowFormula>
    </tableColumn>
    <tableColumn id="11" xr3:uid="{81D4E3E6-4E02-4A2D-B6F1-0BB82B392F85}" name="乱数B" dataDxfId="30" totalsRowDxfId="29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28" totalsRowDxfId="27">
      <calculatedColumnFormula>"|&amp;image("&amp;テーブル1[[#This Row],[画像]]&amp;".png,width=100,height=100)"</calculatedColumnFormula>
    </tableColumn>
    <tableColumn id="16" xr3:uid="{AC31EEC7-EDA4-4933-B34D-6F013BAC07AB}" name="|名前" dataDxfId="26" totalsRowDxfId="25">
      <calculatedColumnFormula>"|MIDDLE:​"&amp;テーブル1[[#This Row],[名前]]</calculatedColumnFormula>
    </tableColumn>
    <tableColumn id="17" xr3:uid="{5631FE5D-E14B-45F0-9DC6-C07DDBCF063D}" name="|なまえ" dataDxfId="24" totalsRowDxfId="23">
      <calculatedColumnFormula>"|MIDDLE:​"&amp;テーブル1[[#This Row],[なまえ]]</calculatedColumnFormula>
    </tableColumn>
    <tableColumn id="18" xr3:uid="{1D34E550-311D-4181-9DE5-9513280D0029}" name="|Name" dataDxfId="22" totalsRowDxfId="21">
      <calculatedColumnFormula>"|MIDDLE:​"&amp;テーブル1[[#This Row],[Name]]</calculatedColumnFormula>
    </tableColumn>
    <tableColumn id="19" xr3:uid="{742CFAB1-9F2D-444A-A881-F762695DCCB1}" name="|キャラクター情報リンク|" dataDxfId="20" totalsRowDxfId="19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33" totalsRowShown="0" headerRowDxfId="18" dataDxfId="17">
  <autoFilter ref="A1:M233" xr:uid="{E4C87AB3-D453-4364-A868-37CD257B126C}"/>
  <tableColumns count="13">
    <tableColumn id="1" xr3:uid="{1E92C13E-0744-4588-9D96-A833A7BD4B23}" name="id" dataDxfId="16">
      <calculatedColumnFormula>テーブル1[[#This Row],[番号]]</calculatedColumnFormula>
    </tableColumn>
    <tableColumn id="2" xr3:uid="{BFFC27FC-5A70-42B5-935F-18B299D9A450}" name="name" dataDxfId="15">
      <calculatedColumnFormula>テーブル1[[#This Row],[名前]]</calculatedColumnFormula>
    </tableColumn>
    <tableColumn id="3" xr3:uid="{376B9D63-7024-4C39-A1F3-F8A88D986D2E}" name="kana" dataDxfId="14">
      <calculatedColumnFormula>テーブル1[[#This Row],[なまえ]]</calculatedColumnFormula>
    </tableColumn>
    <tableColumn id="4" xr3:uid="{3A4FC950-495C-4C11-B6DB-96CE6A55121C}" name="romaji" dataDxfId="13">
      <calculatedColumnFormula>テーブル1[[#This Row],[Name]]</calculatedColumnFormula>
    </tableColumn>
    <tableColumn id="5" xr3:uid="{B264791E-28AE-437A-AA33-4258BDE55BAA}" name="icon" dataDxfId="12">
      <calculatedColumnFormula>"image/"&amp;テーブル1[[#This Row],[画像]]&amp;".png"</calculatedColumnFormula>
    </tableColumn>
    <tableColumn id="6" xr3:uid="{857A780E-B021-402A-872A-1CBFFEF7F813}" name="url" dataDxfId="11">
      <calculatedColumnFormula>テーブル1[[#This Row],[リンク]]</calculatedColumnFormula>
    </tableColumn>
    <tableColumn id="7" xr3:uid="{54796813-8C4A-4907-9B54-8EC5819BC55C}" name="workTags" dataDxfId="10">
      <calculatedColumnFormula>SUBSTITUTE(テーブル1[[#This Row],[作品タグ]]," ","|")</calculatedColumnFormula>
    </tableColumn>
    <tableColumn id="8" xr3:uid="{C71938D1-4F25-43A4-AC89-6B4F6A5026A2}" name="gender" dataDxfId="9">
      <calculatedColumnFormula>テーブル1[[#This Row],[性別]]&amp;""</calculatedColumnFormula>
    </tableColumn>
    <tableColumn id="9" xr3:uid="{39305227-2E4A-4CF9-88DD-B221FEC21124}" name="種族タグ" dataDxfId="8">
      <calculatedColumnFormula>テーブル1[[#This Row],[種族タグ]]&amp;""</calculatedColumnFormula>
    </tableColumn>
    <tableColumn id="13" xr3:uid="{B62C6CC3-DFD5-40D0-9E39-6AE6C719FF5E}" name="モチーフタグ" dataDxfId="7">
      <calculatedColumnFormula>テーブル1[[#This Row],[モチーフタグ]]&amp;""</calculatedColumnFormula>
    </tableColumn>
    <tableColumn id="10" xr3:uid="{4C1B4E5B-0816-4E7B-B94D-DABFCF9BB4A5}" name="職業タグ" dataDxfId="6">
      <calculatedColumnFormula>テーブル1[[#This Row],[職業タグ]]&amp;""</calculatedColumnFormula>
    </tableColumn>
    <tableColumn id="11" xr3:uid="{C1145559-52E6-4141-BB43-03D7F9D319F4}" name="小物タグ" dataDxfId="5">
      <calculatedColumnFormula>テーブル1[[#This Row],[小物タグ]]&amp;""</calculatedColumnFormula>
    </tableColumn>
    <tableColumn id="12" xr3:uid="{1869C5D2-E7D3-4710-BDB3-B35F4A761BEE}" name="ワンポイントタグ" dataDxfId="4">
      <calculatedColumnFormula>テーブル1[[#This Row],[ワンポイントタグ]]&amp;""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pessieuph.wixsite.com/meusycaseuphoria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bowlroll.net/user/946776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askdance.wixsite.com/monitor-room/monitor-room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kakokyu102krbs.wixsite.com/greenmilky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mitoristu.wixsite.com/kousaibako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28" Type="http://schemas.openxmlformats.org/officeDocument/2006/relationships/hyperlink" Target="https://kakokyu102krbs.wixsite.com/greenmilky" TargetMode="External"/><Relationship Id="rId249" Type="http://schemas.openxmlformats.org/officeDocument/2006/relationships/hyperlink" Target="https://chaka000.wixsite.com/chaka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vividseekers.utau.sorairomarch.com/" TargetMode="External"/><Relationship Id="rId281" Type="http://schemas.openxmlformats.org/officeDocument/2006/relationships/hyperlink" Target="https://utau.kurotsuka.xyz/" TargetMode="External"/><Relationship Id="rId316" Type="http://schemas.openxmlformats.org/officeDocument/2006/relationships/table" Target="../tables/table1.xml"/><Relationship Id="rId34" Type="http://schemas.openxmlformats.org/officeDocument/2006/relationships/hyperlink" Target="https://witchdoll.jimdofree.com/" TargetMode="External"/><Relationship Id="rId55" Type="http://schemas.openxmlformats.org/officeDocument/2006/relationships/hyperlink" Target="https://lit.link/sereinrain" TargetMode="External"/><Relationship Id="rId76" Type="http://schemas.openxmlformats.org/officeDocument/2006/relationships/hyperlink" Target="https://kasaneteto.jp/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62" Type="http://schemas.openxmlformats.org/officeDocument/2006/relationships/hyperlink" Target="https://ameutaulii.wixsite.com/telepathycapsule" TargetMode="External"/><Relationship Id="rId183" Type="http://schemas.openxmlformats.org/officeDocument/2006/relationships/hyperlink" Target="https://yautau.wixsite.com/0909" TargetMode="External"/><Relationship Id="rId218" Type="http://schemas.openxmlformats.org/officeDocument/2006/relationships/hyperlink" Target="https://666not.wixsite.com/partition-voyage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hunyinhui021.wixsite.com/mutyuusaisei" TargetMode="External"/><Relationship Id="rId271" Type="http://schemas.openxmlformats.org/officeDocument/2006/relationships/hyperlink" Target="https://vividseekers.utau.sorairomarch.com/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bowlroll.net/user/946776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cmamizki.wixsite.com/edelstein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vividseekers.utau.sorairomarch.com/" TargetMode="External"/><Relationship Id="rId293" Type="http://schemas.openxmlformats.org/officeDocument/2006/relationships/hyperlink" Target="https://bowlroll.net/user/980255" TargetMode="External"/><Relationship Id="rId307" Type="http://schemas.openxmlformats.org/officeDocument/2006/relationships/hyperlink" Target="https://kinomihautaimas.wixsite.com/dongurihiroba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piku.page/@toitoitoi23" TargetMode="External"/><Relationship Id="rId283" Type="http://schemas.openxmlformats.org/officeDocument/2006/relationships/hyperlink" Target="https://ameutaulii.wixsite.com/telepathycapsule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lclcofficial6565.wixsite.com/lclc" TargetMode="External"/><Relationship Id="rId308" Type="http://schemas.openxmlformats.org/officeDocument/2006/relationships/hyperlink" Target="https://nyaruru.wixsite.com/s-p-w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seirentoybox.jimdofree.com/" TargetMode="External"/><Relationship Id="rId284" Type="http://schemas.openxmlformats.org/officeDocument/2006/relationships/hyperlink" Target="https://ameutaulii.wixsite.com/telepathycapsule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flowerrocklove.wixsite.com/twilight-crisis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kagerou009.hatenablog.com/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hznonoka.wixsite.com/utau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magnawitch.wixsite.com/seong-ah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arujinesarasa.wixsite.com/official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toooru421.booth.pm/items/8151791" TargetMode="External"/><Relationship Id="rId297" Type="http://schemas.openxmlformats.org/officeDocument/2006/relationships/hyperlink" Target="https://lclcofficial6565.wixsite.com/lclc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www.mizuiro.info/amagaelu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ameutaulii.wixsite.com/telepathycapsule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mackerel178.wixsite.com/yuusensuizokukan" TargetMode="External"/><Relationship Id="rId277" Type="http://schemas.openxmlformats.org/officeDocument/2006/relationships/hyperlink" Target="https://strife-horizon.weebly.com/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sites.google.com/view/arcobaleno-utau/home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twisibi.notion.site/1e947481a8ac80a59110fa6b43bf631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nyaruru.wixsite.com/s-p-w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cgamy40.wixsite.com/tsuraiuroyoi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m.blog.naver.com/string_legacy/224045016399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komagatabone.fc2.page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41"/>
  <sheetViews>
    <sheetView tabSelected="1" zoomScale="85" zoomScaleNormal="85" workbookViewId="0">
      <pane ySplit="1" topLeftCell="A101" activePane="bottomLeft" state="frozen"/>
      <selection activeCell="E1" sqref="E1"/>
      <selection pane="bottomLeft" activeCell="M449" sqref="M449"/>
    </sheetView>
  </sheetViews>
  <sheetFormatPr defaultColWidth="8.73046875" defaultRowHeight="20.149999999999999" customHeight="1" x14ac:dyDescent="0.35"/>
  <cols>
    <col min="1" max="1" width="6.86328125" style="20" bestFit="1" customWidth="1"/>
    <col min="2" max="2" width="23.9296875" style="23" bestFit="1" customWidth="1"/>
    <col min="3" max="3" width="15.265625" style="24" bestFit="1" customWidth="1"/>
    <col min="4" max="4" width="18.19921875" style="23" bestFit="1" customWidth="1"/>
    <col min="5" max="5" width="18.53125" style="23" bestFit="1" customWidth="1"/>
    <col min="6" max="6" width="45.46484375" style="23" bestFit="1" customWidth="1"/>
    <col min="7" max="7" width="17.1328125" style="23" bestFit="1" customWidth="1"/>
    <col min="8" max="12" width="17.1328125" style="23" customWidth="1"/>
    <col min="13" max="13" width="22.33203125" style="23" bestFit="1" customWidth="1"/>
    <col min="14" max="14" width="13.59765625" style="1" bestFit="1" customWidth="1"/>
    <col min="15" max="15" width="9.53125" style="1" bestFit="1" customWidth="1"/>
    <col min="16" max="16" width="42.86328125" style="24" hidden="1" customWidth="1"/>
    <col min="17" max="17" width="6.86328125" style="17" hidden="1" customWidth="1"/>
    <col min="18" max="18" width="10.53125" style="16" hidden="1" customWidth="1"/>
    <col min="19" max="19" width="9.53125" style="1" bestFit="1" customWidth="1"/>
    <col min="20" max="20" width="9.53125" style="24" hidden="1" customWidth="1"/>
    <col min="21" max="21" width="42.53125" style="23" bestFit="1" customWidth="1"/>
    <col min="22" max="22" width="22.6640625" style="23" bestFit="1" customWidth="1"/>
    <col min="23" max="23" width="24.9296875" style="23" bestFit="1" customWidth="1"/>
    <col min="24" max="24" width="25.265625" style="23" bestFit="1" customWidth="1"/>
    <col min="25" max="25" width="52.59765625" style="23" bestFit="1" customWidth="1"/>
    <col min="26" max="16384" width="8.7304687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1615</v>
      </c>
      <c r="H1" s="1" t="s">
        <v>1614</v>
      </c>
      <c r="I1" s="1" t="s">
        <v>1619</v>
      </c>
      <c r="J1" s="1" t="s">
        <v>1760</v>
      </c>
      <c r="K1" s="1" t="s">
        <v>1620</v>
      </c>
      <c r="L1" s="1" t="s">
        <v>1621</v>
      </c>
      <c r="M1" s="1" t="s">
        <v>1622</v>
      </c>
      <c r="N1" s="1" t="s">
        <v>1509</v>
      </c>
      <c r="O1" s="1" t="s">
        <v>710</v>
      </c>
      <c r="P1" s="1" t="s">
        <v>1326</v>
      </c>
      <c r="Q1" s="17" t="s">
        <v>1327</v>
      </c>
      <c r="R1" s="22" t="s">
        <v>770</v>
      </c>
      <c r="S1" s="1" t="s">
        <v>6</v>
      </c>
      <c r="T1" s="1" t="s">
        <v>771</v>
      </c>
      <c r="U1" s="1" t="s">
        <v>1540</v>
      </c>
      <c r="V1" s="1" t="s">
        <v>1541</v>
      </c>
      <c r="W1" s="1" t="s">
        <v>1542</v>
      </c>
      <c r="X1" s="1" t="s">
        <v>1543</v>
      </c>
      <c r="Y1" s="1" t="s">
        <v>1544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1184</v>
      </c>
      <c r="D2" s="23" t="s">
        <v>210</v>
      </c>
      <c r="E2" s="23" t="s">
        <v>211</v>
      </c>
      <c r="F2" s="2" t="s">
        <v>212</v>
      </c>
      <c r="G2" s="23" t="s">
        <v>213</v>
      </c>
      <c r="H2" s="23" t="s">
        <v>1616</v>
      </c>
      <c r="I2" s="23" t="s">
        <v>1623</v>
      </c>
      <c r="M2" s="23" t="s">
        <v>1628</v>
      </c>
      <c r="N2" s="1" t="s">
        <v>1507</v>
      </c>
      <c r="O2" s="1" t="s">
        <v>1433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1185</v>
      </c>
      <c r="D3" s="23" t="s">
        <v>184</v>
      </c>
      <c r="E3" s="23" t="s">
        <v>185</v>
      </c>
      <c r="F3" s="2" t="s">
        <v>186</v>
      </c>
      <c r="G3" s="23" t="s">
        <v>187</v>
      </c>
      <c r="H3" s="23" t="s">
        <v>1617</v>
      </c>
      <c r="I3" s="23" t="s">
        <v>1626</v>
      </c>
      <c r="K3" s="23" t="s">
        <v>1625</v>
      </c>
      <c r="L3" s="23" t="s">
        <v>1627</v>
      </c>
      <c r="M3" s="23" t="s">
        <v>1668</v>
      </c>
      <c r="O3" s="1" t="s">
        <v>1433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1186</v>
      </c>
      <c r="D4" s="23" t="s">
        <v>88</v>
      </c>
      <c r="E4" s="23" t="s">
        <v>89</v>
      </c>
      <c r="F4" s="2" t="s">
        <v>90</v>
      </c>
      <c r="G4" s="23" t="s">
        <v>91</v>
      </c>
      <c r="H4" s="23" t="s">
        <v>1617</v>
      </c>
      <c r="I4" s="23" t="s">
        <v>1629</v>
      </c>
      <c r="J4" s="23" t="s">
        <v>1756</v>
      </c>
      <c r="K4" s="23" t="s">
        <v>1630</v>
      </c>
      <c r="M4" s="23" t="s">
        <v>1631</v>
      </c>
      <c r="N4" s="1" t="s">
        <v>1508</v>
      </c>
      <c r="O4" s="1" t="s">
        <v>1433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201</v>
      </c>
      <c r="D5" s="23" t="s">
        <v>202</v>
      </c>
      <c r="E5" s="23" t="s">
        <v>203</v>
      </c>
      <c r="F5" s="2" t="s">
        <v>204</v>
      </c>
      <c r="G5" s="23" t="s">
        <v>205</v>
      </c>
      <c r="H5" s="23" t="s">
        <v>1616</v>
      </c>
      <c r="I5" s="23" t="s">
        <v>1644</v>
      </c>
      <c r="L5" s="23" t="s">
        <v>1636</v>
      </c>
      <c r="O5" s="1" t="s">
        <v>1433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333</v>
      </c>
      <c r="D6" s="23" t="s">
        <v>334</v>
      </c>
      <c r="E6" s="23" t="s">
        <v>335</v>
      </c>
      <c r="F6" s="2" t="s">
        <v>336</v>
      </c>
      <c r="G6" s="23" t="s">
        <v>337</v>
      </c>
      <c r="H6" s="23" t="s">
        <v>1616</v>
      </c>
      <c r="I6" s="23" t="s">
        <v>1645</v>
      </c>
      <c r="J6" s="23" t="s">
        <v>1757</v>
      </c>
      <c r="L6" s="23" t="s">
        <v>1832</v>
      </c>
      <c r="M6" s="23" t="s">
        <v>1647</v>
      </c>
      <c r="O6" s="1" t="s">
        <v>1433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160</v>
      </c>
      <c r="D7" s="23" t="s">
        <v>161</v>
      </c>
      <c r="E7" s="23" t="s">
        <v>160</v>
      </c>
      <c r="F7" s="2" t="s">
        <v>162</v>
      </c>
      <c r="G7" s="23" t="s">
        <v>163</v>
      </c>
      <c r="H7" s="23" t="s">
        <v>1651</v>
      </c>
      <c r="I7" s="23" t="s">
        <v>1626</v>
      </c>
      <c r="O7" s="1" t="s">
        <v>1433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286</v>
      </c>
      <c r="D8" s="23" t="s">
        <v>287</v>
      </c>
      <c r="E8" s="23" t="s">
        <v>288</v>
      </c>
      <c r="F8" s="2" t="s">
        <v>289</v>
      </c>
      <c r="G8" s="23" t="s">
        <v>290</v>
      </c>
      <c r="H8" s="23" t="s">
        <v>1653</v>
      </c>
      <c r="I8" s="23" t="s">
        <v>1639</v>
      </c>
      <c r="L8" s="23" t="s">
        <v>1627</v>
      </c>
      <c r="M8" s="23" t="s">
        <v>1655</v>
      </c>
      <c r="N8" s="1" t="s">
        <v>1507</v>
      </c>
      <c r="O8" s="1" t="s">
        <v>1433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367</v>
      </c>
      <c r="D9" s="23" t="s">
        <v>368</v>
      </c>
      <c r="E9" s="23" t="s">
        <v>369</v>
      </c>
      <c r="F9" s="2" t="s">
        <v>370</v>
      </c>
      <c r="G9" s="23" t="s">
        <v>371</v>
      </c>
      <c r="H9" s="23" t="s">
        <v>1616</v>
      </c>
      <c r="I9" s="23" t="s">
        <v>1669</v>
      </c>
      <c r="M9" s="23" t="s">
        <v>1647</v>
      </c>
      <c r="O9" s="1" t="s">
        <v>1433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281</v>
      </c>
      <c r="D10" s="23" t="s">
        <v>282</v>
      </c>
      <c r="E10" s="23" t="s">
        <v>283</v>
      </c>
      <c r="F10" s="2" t="s">
        <v>284</v>
      </c>
      <c r="G10" s="23" t="s">
        <v>285</v>
      </c>
      <c r="H10" s="23" t="s">
        <v>1616</v>
      </c>
      <c r="I10" s="23" t="s">
        <v>1626</v>
      </c>
      <c r="J10" s="23" t="s">
        <v>1758</v>
      </c>
      <c r="L10" s="23" t="s">
        <v>1751</v>
      </c>
      <c r="M10" s="23" t="s">
        <v>1671</v>
      </c>
      <c r="O10" s="1" t="s">
        <v>1433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116</v>
      </c>
      <c r="D11" s="23" t="s">
        <v>117</v>
      </c>
      <c r="E11" s="23" t="s">
        <v>118</v>
      </c>
      <c r="F11" s="2" t="s">
        <v>119</v>
      </c>
      <c r="G11" s="23" t="s">
        <v>120</v>
      </c>
      <c r="H11" s="23" t="s">
        <v>1617</v>
      </c>
      <c r="I11" s="23" t="s">
        <v>1675</v>
      </c>
      <c r="M11" s="23" t="s">
        <v>1672</v>
      </c>
      <c r="O11" s="1" t="s">
        <v>1433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341</v>
      </c>
      <c r="D12" s="23" t="s">
        <v>342</v>
      </c>
      <c r="E12" s="23" t="s">
        <v>343</v>
      </c>
      <c r="F12" s="2" t="s">
        <v>344</v>
      </c>
      <c r="G12" s="23" t="s">
        <v>345</v>
      </c>
      <c r="H12" s="23" t="s">
        <v>1616</v>
      </c>
      <c r="I12" s="23" t="s">
        <v>1626</v>
      </c>
      <c r="K12" s="23" t="s">
        <v>1679</v>
      </c>
      <c r="L12" s="23" t="s">
        <v>1627</v>
      </c>
      <c r="O12" s="1" t="s">
        <v>1433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405</v>
      </c>
      <c r="D13" s="23" t="s">
        <v>406</v>
      </c>
      <c r="E13" s="23" t="s">
        <v>407</v>
      </c>
      <c r="F13" s="23" t="s">
        <v>418</v>
      </c>
      <c r="G13" s="23" t="s">
        <v>408</v>
      </c>
      <c r="H13" s="23" t="s">
        <v>1616</v>
      </c>
      <c r="L13" s="23" t="s">
        <v>1681</v>
      </c>
      <c r="N13" s="1" t="s">
        <v>1505</v>
      </c>
      <c r="O13" s="1" t="s">
        <v>1433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309</v>
      </c>
      <c r="D14" s="23" t="s">
        <v>310</v>
      </c>
      <c r="E14" s="23" t="s">
        <v>311</v>
      </c>
      <c r="F14" s="2" t="s">
        <v>312</v>
      </c>
      <c r="G14" s="23" t="s">
        <v>313</v>
      </c>
      <c r="H14" s="23" t="s">
        <v>1616</v>
      </c>
      <c r="I14" s="23" t="s">
        <v>1682</v>
      </c>
      <c r="J14" s="23" t="s">
        <v>1759</v>
      </c>
      <c r="M14" s="23" t="s">
        <v>1683</v>
      </c>
      <c r="O14" s="1" t="s">
        <v>1433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338</v>
      </c>
      <c r="D15" s="23" t="s">
        <v>339</v>
      </c>
      <c r="E15" s="23" t="s">
        <v>340</v>
      </c>
      <c r="F15" s="2" t="s">
        <v>336</v>
      </c>
      <c r="G15" s="23" t="s">
        <v>337</v>
      </c>
      <c r="H15" s="23" t="s">
        <v>1617</v>
      </c>
      <c r="I15" s="23" t="s">
        <v>1648</v>
      </c>
      <c r="K15" s="23" t="s">
        <v>1649</v>
      </c>
      <c r="M15" s="23" t="s">
        <v>1650</v>
      </c>
      <c r="O15" s="1" t="s">
        <v>1433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109</v>
      </c>
      <c r="D16" s="23" t="s">
        <v>110</v>
      </c>
      <c r="E16" s="23" t="s">
        <v>111</v>
      </c>
      <c r="F16" s="2" t="s">
        <v>112</v>
      </c>
      <c r="G16" s="23" t="s">
        <v>113</v>
      </c>
      <c r="H16" s="23" t="s">
        <v>1616</v>
      </c>
      <c r="I16" s="23" t="s">
        <v>1684</v>
      </c>
      <c r="K16" s="23" t="s">
        <v>1685</v>
      </c>
      <c r="M16" s="23" t="s">
        <v>1642</v>
      </c>
      <c r="N16" s="1" t="s">
        <v>1507</v>
      </c>
      <c r="O16" s="1" t="s">
        <v>1433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1506</v>
      </c>
      <c r="D17" s="23" t="s">
        <v>409</v>
      </c>
      <c r="E17" s="23" t="s">
        <v>410</v>
      </c>
      <c r="F17" s="15" t="s">
        <v>1527</v>
      </c>
      <c r="G17" s="23" t="s">
        <v>411</v>
      </c>
      <c r="H17" s="23" t="s">
        <v>1653</v>
      </c>
      <c r="I17" s="23" t="s">
        <v>1639</v>
      </c>
      <c r="N17" s="1" t="s">
        <v>1507</v>
      </c>
      <c r="O17" s="1" t="s">
        <v>1433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412</v>
      </c>
      <c r="D18" s="23" t="s">
        <v>413</v>
      </c>
      <c r="E18" s="23" t="s">
        <v>414</v>
      </c>
      <c r="F18" s="2" t="s">
        <v>1527</v>
      </c>
      <c r="G18" s="23" t="s">
        <v>411</v>
      </c>
      <c r="H18" s="23" t="s">
        <v>1653</v>
      </c>
      <c r="I18" s="23" t="s">
        <v>1639</v>
      </c>
      <c r="K18" s="23" t="s">
        <v>1688</v>
      </c>
      <c r="N18" s="1" t="s">
        <v>1507</v>
      </c>
      <c r="O18" s="1" t="s">
        <v>1433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43</v>
      </c>
      <c r="D19" s="23" t="s">
        <v>44</v>
      </c>
      <c r="E19" s="23" t="s">
        <v>45</v>
      </c>
      <c r="F19" s="15" t="s">
        <v>1689</v>
      </c>
      <c r="G19" s="23" t="s">
        <v>46</v>
      </c>
      <c r="H19" s="23" t="s">
        <v>1616</v>
      </c>
      <c r="L19" s="23" t="s">
        <v>1690</v>
      </c>
      <c r="N19" s="1" t="s">
        <v>1508</v>
      </c>
      <c r="O19" s="1" t="s">
        <v>1433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146</v>
      </c>
      <c r="D20" s="23" t="s">
        <v>147</v>
      </c>
      <c r="E20" s="23" t="s">
        <v>148</v>
      </c>
      <c r="F20" s="2" t="s">
        <v>149</v>
      </c>
      <c r="G20" s="23" t="s">
        <v>150</v>
      </c>
      <c r="H20" s="23" t="s">
        <v>1694</v>
      </c>
      <c r="I20" s="23" t="s">
        <v>1639</v>
      </c>
      <c r="L20" s="23" t="s">
        <v>1636</v>
      </c>
      <c r="O20" s="1" t="s">
        <v>1433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151</v>
      </c>
      <c r="D21" s="23" t="s">
        <v>152</v>
      </c>
      <c r="E21" s="23" t="s">
        <v>153</v>
      </c>
      <c r="F21" s="2" t="s">
        <v>149</v>
      </c>
      <c r="G21" s="23" t="s">
        <v>154</v>
      </c>
      <c r="H21" s="23" t="s">
        <v>1694</v>
      </c>
      <c r="I21" s="23" t="s">
        <v>1639</v>
      </c>
      <c r="O21" s="1" t="s">
        <v>1433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1396</v>
      </c>
      <c r="D22" s="23" t="s">
        <v>66</v>
      </c>
      <c r="E22" s="23" t="s">
        <v>67</v>
      </c>
      <c r="F22" s="2" t="s">
        <v>537</v>
      </c>
      <c r="G22" s="23" t="s">
        <v>68</v>
      </c>
      <c r="H22" s="23" t="s">
        <v>1616</v>
      </c>
      <c r="I22" s="23" t="s">
        <v>1695</v>
      </c>
      <c r="M22" s="23" t="s">
        <v>1696</v>
      </c>
      <c r="N22" s="1" t="s">
        <v>1507</v>
      </c>
      <c r="O22" s="1" t="s">
        <v>1433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164</v>
      </c>
      <c r="D23" s="23" t="s">
        <v>165</v>
      </c>
      <c r="E23" s="23" t="s">
        <v>166</v>
      </c>
      <c r="F23" s="2" t="s">
        <v>167</v>
      </c>
      <c r="G23" s="23" t="s">
        <v>168</v>
      </c>
      <c r="H23" s="23" t="s">
        <v>1617</v>
      </c>
      <c r="I23" s="23" t="s">
        <v>1626</v>
      </c>
      <c r="K23" s="23" t="s">
        <v>1768</v>
      </c>
      <c r="L23" s="23" t="s">
        <v>1769</v>
      </c>
      <c r="M23" s="23" t="s">
        <v>1662</v>
      </c>
      <c r="N23" s="1" t="s">
        <v>1579</v>
      </c>
      <c r="O23" s="1" t="s">
        <v>1433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1397</v>
      </c>
      <c r="D24" s="23" t="s">
        <v>291</v>
      </c>
      <c r="E24" s="23" t="s">
        <v>292</v>
      </c>
      <c r="F24" s="2" t="s">
        <v>289</v>
      </c>
      <c r="G24" s="23" t="s">
        <v>290</v>
      </c>
      <c r="H24" s="23" t="s">
        <v>1652</v>
      </c>
      <c r="I24" s="23" t="s">
        <v>1665</v>
      </c>
      <c r="L24" s="23" t="s">
        <v>1627</v>
      </c>
      <c r="N24" s="1" t="s">
        <v>1507</v>
      </c>
      <c r="O24" s="1" t="s">
        <v>1433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1398</v>
      </c>
      <c r="D25" s="23" t="s">
        <v>214</v>
      </c>
      <c r="E25" s="23" t="s">
        <v>215</v>
      </c>
      <c r="F25" s="2" t="s">
        <v>216</v>
      </c>
      <c r="G25" s="23" t="s">
        <v>217</v>
      </c>
      <c r="H25" s="23" t="s">
        <v>1617</v>
      </c>
      <c r="I25" s="23" t="s">
        <v>1644</v>
      </c>
      <c r="L25" s="23" t="s">
        <v>1773</v>
      </c>
      <c r="M25" s="23" t="s">
        <v>1662</v>
      </c>
      <c r="N25" s="1" t="s">
        <v>1579</v>
      </c>
      <c r="O25" s="1" t="s">
        <v>1433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121</v>
      </c>
      <c r="D26" s="23" t="s">
        <v>122</v>
      </c>
      <c r="E26" s="23" t="s">
        <v>123</v>
      </c>
      <c r="F26" s="2" t="s">
        <v>124</v>
      </c>
      <c r="G26" s="23" t="s">
        <v>125</v>
      </c>
      <c r="H26" s="23" t="s">
        <v>1616</v>
      </c>
      <c r="I26" s="23" t="s">
        <v>1626</v>
      </c>
      <c r="K26" s="23" t="s">
        <v>1779</v>
      </c>
      <c r="M26" s="23" t="s">
        <v>1780</v>
      </c>
      <c r="N26" s="1" t="s">
        <v>1579</v>
      </c>
      <c r="O26" s="1" t="s">
        <v>1433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126</v>
      </c>
      <c r="D27" s="23" t="s">
        <v>127</v>
      </c>
      <c r="E27" s="23" t="s">
        <v>128</v>
      </c>
      <c r="F27" s="2" t="s">
        <v>124</v>
      </c>
      <c r="G27" s="23" t="s">
        <v>129</v>
      </c>
      <c r="H27" s="23" t="s">
        <v>1617</v>
      </c>
      <c r="I27" s="23" t="s">
        <v>1626</v>
      </c>
      <c r="K27" s="23" t="s">
        <v>1779</v>
      </c>
      <c r="M27" s="23" t="s">
        <v>1782</v>
      </c>
      <c r="N27" s="1" t="s">
        <v>1579</v>
      </c>
      <c r="O27" s="1" t="s">
        <v>1433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61</v>
      </c>
      <c r="D28" s="23" t="s">
        <v>62</v>
      </c>
      <c r="E28" s="23" t="s">
        <v>1784</v>
      </c>
      <c r="F28" s="15" t="s">
        <v>1783</v>
      </c>
      <c r="G28" s="23" t="s">
        <v>63</v>
      </c>
      <c r="H28" s="23" t="s">
        <v>1652</v>
      </c>
      <c r="I28" s="23" t="s">
        <v>1626</v>
      </c>
      <c r="J28" s="23" t="s">
        <v>1786</v>
      </c>
      <c r="K28" s="23" t="s">
        <v>1785</v>
      </c>
      <c r="N28" s="1" t="s">
        <v>1507</v>
      </c>
      <c r="O28" s="1" t="s">
        <v>1433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1399</v>
      </c>
      <c r="D29" s="23" t="s">
        <v>130</v>
      </c>
      <c r="E29" s="23" t="s">
        <v>131</v>
      </c>
      <c r="F29" s="2" t="s">
        <v>132</v>
      </c>
      <c r="G29" s="23" t="s">
        <v>133</v>
      </c>
      <c r="H29" s="23" t="s">
        <v>1616</v>
      </c>
      <c r="I29" s="23" t="s">
        <v>1626</v>
      </c>
      <c r="O29" s="1" t="s">
        <v>1433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1400</v>
      </c>
      <c r="D30" s="23" t="s">
        <v>134</v>
      </c>
      <c r="E30" s="23" t="s">
        <v>135</v>
      </c>
      <c r="F30" s="2" t="s">
        <v>132</v>
      </c>
      <c r="G30" s="23" t="s">
        <v>133</v>
      </c>
      <c r="H30" s="23" t="s">
        <v>1653</v>
      </c>
      <c r="I30" s="23" t="s">
        <v>1626</v>
      </c>
      <c r="L30" s="23" t="s">
        <v>1797</v>
      </c>
      <c r="O30" s="1" t="s">
        <v>1433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1401</v>
      </c>
      <c r="D31" s="23" t="s">
        <v>361</v>
      </c>
      <c r="E31" s="23" t="s">
        <v>362</v>
      </c>
      <c r="F31" s="2" t="s">
        <v>363</v>
      </c>
      <c r="G31" s="23" t="s">
        <v>364</v>
      </c>
      <c r="H31" s="23" t="s">
        <v>1616</v>
      </c>
      <c r="I31" s="23" t="s">
        <v>1691</v>
      </c>
      <c r="O31" s="1" t="s">
        <v>1433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1402</v>
      </c>
      <c r="D32" s="23" t="s">
        <v>293</v>
      </c>
      <c r="E32" s="23" t="s">
        <v>294</v>
      </c>
      <c r="F32" s="2" t="s">
        <v>289</v>
      </c>
      <c r="G32" s="23" t="s">
        <v>290</v>
      </c>
      <c r="H32" s="23" t="s">
        <v>1616</v>
      </c>
      <c r="I32" s="23" t="s">
        <v>1656</v>
      </c>
      <c r="K32" s="23" t="s">
        <v>1657</v>
      </c>
      <c r="L32" s="23" t="s">
        <v>1659</v>
      </c>
      <c r="M32" s="23" t="s">
        <v>1660</v>
      </c>
      <c r="N32" s="1" t="s">
        <v>1507</v>
      </c>
      <c r="O32" s="1" t="s">
        <v>1433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250</v>
      </c>
      <c r="D33" s="23" t="s">
        <v>251</v>
      </c>
      <c r="E33" s="23" t="s">
        <v>252</v>
      </c>
      <c r="F33" s="15" t="s">
        <v>253</v>
      </c>
      <c r="G33" s="23" t="s">
        <v>254</v>
      </c>
      <c r="H33" s="23" t="s">
        <v>1617</v>
      </c>
      <c r="I33" s="23" t="s">
        <v>1801</v>
      </c>
      <c r="K33" s="23" t="s">
        <v>1802</v>
      </c>
      <c r="L33" s="23" t="s">
        <v>1803</v>
      </c>
      <c r="M33" s="23" t="s">
        <v>1804</v>
      </c>
      <c r="N33" s="1" t="s">
        <v>1579</v>
      </c>
      <c r="O33" s="1" t="s">
        <v>1433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64</v>
      </c>
      <c r="D34" s="23" t="s">
        <v>65</v>
      </c>
      <c r="E34" s="23" t="s">
        <v>1787</v>
      </c>
      <c r="F34" s="2" t="s">
        <v>1783</v>
      </c>
      <c r="G34" s="23" t="s">
        <v>63</v>
      </c>
      <c r="H34" s="23" t="s">
        <v>1616</v>
      </c>
      <c r="I34" s="23" t="s">
        <v>1626</v>
      </c>
      <c r="L34" s="23" t="s">
        <v>1788</v>
      </c>
      <c r="M34" s="23" t="s">
        <v>1814</v>
      </c>
      <c r="N34" s="1" t="s">
        <v>1507</v>
      </c>
      <c r="O34" s="1" t="s">
        <v>1433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1403</v>
      </c>
      <c r="D35" s="23" t="s">
        <v>365</v>
      </c>
      <c r="E35" s="23" t="s">
        <v>366</v>
      </c>
      <c r="F35" s="2" t="s">
        <v>363</v>
      </c>
      <c r="G35" s="23" t="s">
        <v>364</v>
      </c>
      <c r="H35" s="23" t="s">
        <v>1617</v>
      </c>
      <c r="I35" s="23" t="s">
        <v>1675</v>
      </c>
      <c r="K35" s="23" t="s">
        <v>1800</v>
      </c>
      <c r="L35" s="23" t="s">
        <v>1799</v>
      </c>
      <c r="M35" s="23" t="s">
        <v>1650</v>
      </c>
      <c r="O35" s="1" t="s">
        <v>1433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255</v>
      </c>
      <c r="D36" s="23" t="s">
        <v>256</v>
      </c>
      <c r="E36" s="23" t="s">
        <v>257</v>
      </c>
      <c r="F36" s="2" t="s">
        <v>253</v>
      </c>
      <c r="G36" s="23" t="s">
        <v>258</v>
      </c>
      <c r="H36" s="23" t="s">
        <v>1617</v>
      </c>
      <c r="I36" s="23" t="s">
        <v>1774</v>
      </c>
      <c r="K36" s="23" t="s">
        <v>1805</v>
      </c>
      <c r="L36" s="23" t="s">
        <v>1772</v>
      </c>
      <c r="M36" s="23" t="s">
        <v>1806</v>
      </c>
      <c r="N36" s="1" t="s">
        <v>1579</v>
      </c>
      <c r="O36" s="1" t="s">
        <v>1433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104</v>
      </c>
      <c r="D37" s="23" t="s">
        <v>105</v>
      </c>
      <c r="E37" s="23" t="s">
        <v>106</v>
      </c>
      <c r="F37" s="15" t="s">
        <v>107</v>
      </c>
      <c r="G37" s="23" t="s">
        <v>108</v>
      </c>
      <c r="H37" s="23" t="s">
        <v>1617</v>
      </c>
      <c r="I37" s="23" t="s">
        <v>1626</v>
      </c>
      <c r="K37" s="23" t="s">
        <v>1778</v>
      </c>
      <c r="L37" s="23" t="s">
        <v>1751</v>
      </c>
      <c r="N37" s="1" t="s">
        <v>1507</v>
      </c>
      <c r="O37" s="1" t="s">
        <v>1433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1404</v>
      </c>
      <c r="D38" s="23" t="s">
        <v>236</v>
      </c>
      <c r="E38" s="23" t="s">
        <v>237</v>
      </c>
      <c r="F38" s="2" t="s">
        <v>238</v>
      </c>
      <c r="G38" s="23" t="s">
        <v>239</v>
      </c>
      <c r="H38" s="23" t="s">
        <v>1616</v>
      </c>
      <c r="I38" s="23" t="s">
        <v>1644</v>
      </c>
      <c r="K38" s="23" t="s">
        <v>1815</v>
      </c>
      <c r="M38" s="23" t="s">
        <v>1816</v>
      </c>
      <c r="N38" s="1" t="s">
        <v>1579</v>
      </c>
      <c r="O38" s="1" t="s">
        <v>1433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314</v>
      </c>
      <c r="D39" s="23" t="s">
        <v>315</v>
      </c>
      <c r="E39" s="23" t="s">
        <v>316</v>
      </c>
      <c r="F39" s="2" t="s">
        <v>317</v>
      </c>
      <c r="G39" s="23" t="s">
        <v>318</v>
      </c>
      <c r="H39" s="23" t="s">
        <v>1617</v>
      </c>
      <c r="I39" s="23" t="s">
        <v>1626</v>
      </c>
      <c r="O39" s="1" t="s">
        <v>1433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1617</v>
      </c>
      <c r="I40" s="23" t="s">
        <v>1626</v>
      </c>
      <c r="K40" s="23" t="s">
        <v>1809</v>
      </c>
      <c r="N40" s="1" t="s">
        <v>1508</v>
      </c>
      <c r="O40" s="1" t="s">
        <v>1433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155</v>
      </c>
      <c r="D41" s="23" t="s">
        <v>156</v>
      </c>
      <c r="E41" s="23" t="s">
        <v>157</v>
      </c>
      <c r="F41" s="30" t="s">
        <v>158</v>
      </c>
      <c r="G41" s="23" t="s">
        <v>159</v>
      </c>
      <c r="H41" s="23" t="s">
        <v>1617</v>
      </c>
      <c r="I41" s="23" t="s">
        <v>1626</v>
      </c>
      <c r="O41" s="1" t="s">
        <v>1433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169</v>
      </c>
      <c r="D42" s="23" t="s">
        <v>170</v>
      </c>
      <c r="E42" s="23" t="s">
        <v>171</v>
      </c>
      <c r="F42" s="2" t="s">
        <v>167</v>
      </c>
      <c r="G42" s="23" t="s">
        <v>168</v>
      </c>
      <c r="H42" s="23" t="s">
        <v>1616</v>
      </c>
      <c r="I42" s="23" t="s">
        <v>1626</v>
      </c>
      <c r="L42" s="23" t="s">
        <v>1770</v>
      </c>
      <c r="M42" s="23" t="s">
        <v>1771</v>
      </c>
      <c r="N42" s="1" t="s">
        <v>1579</v>
      </c>
      <c r="O42" s="1" t="s">
        <v>1433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136</v>
      </c>
      <c r="D43" s="23" t="s">
        <v>137</v>
      </c>
      <c r="E43" s="23" t="s">
        <v>138</v>
      </c>
      <c r="F43" s="15" t="s">
        <v>139</v>
      </c>
      <c r="G43" s="23" t="s">
        <v>140</v>
      </c>
      <c r="H43" s="23" t="s">
        <v>1617</v>
      </c>
      <c r="I43" s="23" t="s">
        <v>1626</v>
      </c>
      <c r="N43" s="1" t="s">
        <v>1579</v>
      </c>
      <c r="O43" s="1" t="s">
        <v>1433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1405</v>
      </c>
      <c r="D44" s="23" t="s">
        <v>82</v>
      </c>
      <c r="E44" s="23" t="s">
        <v>83</v>
      </c>
      <c r="F44" s="27" t="s">
        <v>84</v>
      </c>
      <c r="G44" s="23" t="s">
        <v>85</v>
      </c>
      <c r="H44" s="23" t="s">
        <v>1617</v>
      </c>
      <c r="I44" s="23" t="s">
        <v>1829</v>
      </c>
      <c r="J44" s="23" t="s">
        <v>1828</v>
      </c>
      <c r="M44" s="23" t="s">
        <v>1827</v>
      </c>
      <c r="N44" s="1" t="s">
        <v>1508</v>
      </c>
      <c r="O44" s="1" t="s">
        <v>1433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1406</v>
      </c>
      <c r="D45" s="23" t="s">
        <v>376</v>
      </c>
      <c r="E45" s="23" t="s">
        <v>377</v>
      </c>
      <c r="F45" s="2" t="s">
        <v>378</v>
      </c>
      <c r="G45" s="23" t="s">
        <v>379</v>
      </c>
      <c r="H45" s="23" t="s">
        <v>1616</v>
      </c>
      <c r="I45" s="23" t="s">
        <v>1626</v>
      </c>
      <c r="K45" s="23" t="s">
        <v>1809</v>
      </c>
      <c r="L45" s="23" t="s">
        <v>1646</v>
      </c>
      <c r="O45" s="1" t="s">
        <v>1433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1407</v>
      </c>
      <c r="D46" s="23" t="s">
        <v>95</v>
      </c>
      <c r="E46" s="23" t="s">
        <v>96</v>
      </c>
      <c r="F46" s="2" t="s">
        <v>97</v>
      </c>
      <c r="G46" s="23" t="s">
        <v>98</v>
      </c>
      <c r="H46" s="23" t="s">
        <v>1616</v>
      </c>
      <c r="I46" s="23" t="s">
        <v>1626</v>
      </c>
      <c r="K46" s="23" t="s">
        <v>1844</v>
      </c>
      <c r="L46" s="23" t="s">
        <v>1845</v>
      </c>
      <c r="N46" s="1" t="s">
        <v>1507</v>
      </c>
      <c r="O46" s="1" t="s">
        <v>1433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1408</v>
      </c>
      <c r="D47" s="23" t="s">
        <v>221</v>
      </c>
      <c r="E47" s="23" t="s">
        <v>222</v>
      </c>
      <c r="F47" s="2" t="s">
        <v>223</v>
      </c>
      <c r="G47" s="23" t="s">
        <v>224</v>
      </c>
      <c r="O47" s="1" t="s">
        <v>1433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1409</v>
      </c>
      <c r="D48" s="23" t="s">
        <v>240</v>
      </c>
      <c r="E48" s="23" t="s">
        <v>241</v>
      </c>
      <c r="F48" s="2" t="s">
        <v>238</v>
      </c>
      <c r="G48" s="23" t="s">
        <v>239</v>
      </c>
      <c r="H48" s="23" t="s">
        <v>1616</v>
      </c>
      <c r="I48" s="23" t="s">
        <v>1817</v>
      </c>
      <c r="L48" s="23" t="s">
        <v>1767</v>
      </c>
      <c r="M48" s="23" t="s">
        <v>1818</v>
      </c>
      <c r="N48" s="1" t="s">
        <v>1579</v>
      </c>
      <c r="O48" s="1" t="s">
        <v>1433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1410</v>
      </c>
      <c r="D49" s="23" t="s">
        <v>232</v>
      </c>
      <c r="E49" s="23" t="s">
        <v>233</v>
      </c>
      <c r="F49" s="2" t="s">
        <v>234</v>
      </c>
      <c r="G49" s="23" t="s">
        <v>235</v>
      </c>
      <c r="O49" s="1" t="s">
        <v>1433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188</v>
      </c>
      <c r="D50" s="23" t="s">
        <v>188</v>
      </c>
      <c r="E50" s="23" t="s">
        <v>189</v>
      </c>
      <c r="F50" s="2" t="s">
        <v>186</v>
      </c>
      <c r="G50" s="23" t="s">
        <v>190</v>
      </c>
      <c r="O50" s="1" t="s">
        <v>1433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1411</v>
      </c>
      <c r="D51" s="23" t="s">
        <v>386</v>
      </c>
      <c r="E51" s="23" t="s">
        <v>1412</v>
      </c>
      <c r="F51" s="2" t="s">
        <v>387</v>
      </c>
      <c r="G51" s="23" t="s">
        <v>388</v>
      </c>
      <c r="O51" s="1" t="s">
        <v>1433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1413</v>
      </c>
      <c r="D52" s="23" t="s">
        <v>349</v>
      </c>
      <c r="E52" s="23" t="s">
        <v>350</v>
      </c>
      <c r="F52" s="2" t="s">
        <v>351</v>
      </c>
      <c r="G52" s="23" t="s">
        <v>352</v>
      </c>
      <c r="O52" s="1" t="s">
        <v>1433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1414</v>
      </c>
      <c r="D53" s="23" t="s">
        <v>242</v>
      </c>
      <c r="E53" s="23" t="s">
        <v>243</v>
      </c>
      <c r="F53" s="2" t="s">
        <v>238</v>
      </c>
      <c r="G53" s="23" t="s">
        <v>239</v>
      </c>
      <c r="H53" s="23" t="s">
        <v>1617</v>
      </c>
      <c r="I53" s="23" t="s">
        <v>1644</v>
      </c>
      <c r="K53" s="23" t="s">
        <v>1811</v>
      </c>
      <c r="N53" s="1" t="s">
        <v>1579</v>
      </c>
      <c r="O53" s="1" t="s">
        <v>1433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1415</v>
      </c>
      <c r="D54" s="23" t="s">
        <v>72</v>
      </c>
      <c r="E54" s="23" t="s">
        <v>73</v>
      </c>
      <c r="F54" s="15" t="s">
        <v>1618</v>
      </c>
      <c r="G54" s="23" t="s">
        <v>74</v>
      </c>
      <c r="N54" s="1" t="s">
        <v>1508</v>
      </c>
      <c r="O54" s="1" t="s">
        <v>1433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1416</v>
      </c>
      <c r="D55" s="23" t="s">
        <v>141</v>
      </c>
      <c r="E55" s="23" t="s">
        <v>142</v>
      </c>
      <c r="F55" s="2" t="s">
        <v>139</v>
      </c>
      <c r="G55" s="28" t="s">
        <v>140</v>
      </c>
      <c r="H55" s="28" t="s">
        <v>1616</v>
      </c>
      <c r="I55" s="28" t="s">
        <v>1626</v>
      </c>
      <c r="J55" s="28"/>
      <c r="K55" s="28"/>
      <c r="L55" s="28"/>
      <c r="M55" s="28" t="s">
        <v>1826</v>
      </c>
      <c r="N55" s="1" t="s">
        <v>1579</v>
      </c>
      <c r="O55" s="1" t="s">
        <v>1433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1417</v>
      </c>
      <c r="D56" s="23" t="s">
        <v>305</v>
      </c>
      <c r="E56" s="23" t="s">
        <v>306</v>
      </c>
      <c r="F56" s="2" t="s">
        <v>307</v>
      </c>
      <c r="G56" s="23" t="s">
        <v>308</v>
      </c>
      <c r="O56" s="1" t="s">
        <v>1433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206</v>
      </c>
      <c r="D57" s="23" t="s">
        <v>206</v>
      </c>
      <c r="E57" s="23" t="s">
        <v>207</v>
      </c>
      <c r="F57" s="2" t="s">
        <v>208</v>
      </c>
      <c r="G57" s="23" t="s">
        <v>209</v>
      </c>
      <c r="O57" s="1" t="s">
        <v>1433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1418</v>
      </c>
      <c r="D58" s="23" t="s">
        <v>52</v>
      </c>
      <c r="E58" s="23" t="s">
        <v>53</v>
      </c>
      <c r="F58" s="2" t="s">
        <v>54</v>
      </c>
      <c r="G58" s="23" t="s">
        <v>55</v>
      </c>
      <c r="N58" s="1" t="s">
        <v>1508</v>
      </c>
      <c r="O58" s="1" t="s">
        <v>1433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1419</v>
      </c>
      <c r="D59" s="23" t="s">
        <v>56</v>
      </c>
      <c r="E59" s="23" t="s">
        <v>57</v>
      </c>
      <c r="F59" s="2" t="s">
        <v>54</v>
      </c>
      <c r="G59" s="23" t="s">
        <v>55</v>
      </c>
      <c r="N59" s="1" t="s">
        <v>1508</v>
      </c>
      <c r="O59" s="1" t="s">
        <v>1433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271</v>
      </c>
      <c r="D60" s="23" t="s">
        <v>272</v>
      </c>
      <c r="E60" s="23" t="s">
        <v>273</v>
      </c>
      <c r="F60" s="2" t="s">
        <v>274</v>
      </c>
      <c r="G60" s="23" t="s">
        <v>275</v>
      </c>
      <c r="O60" s="1" t="s">
        <v>1433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23</v>
      </c>
      <c r="E61" s="23" t="s">
        <v>24</v>
      </c>
      <c r="F61" s="2" t="s">
        <v>20</v>
      </c>
      <c r="G61" s="23" t="s">
        <v>25</v>
      </c>
      <c r="H61" s="23" t="s">
        <v>1617</v>
      </c>
      <c r="I61" s="23" t="s">
        <v>1823</v>
      </c>
      <c r="J61" s="23" t="s">
        <v>1824</v>
      </c>
      <c r="N61" s="1" t="s">
        <v>1508</v>
      </c>
      <c r="O61" s="1" t="s">
        <v>1433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1466</v>
      </c>
      <c r="D62" s="23" t="s">
        <v>276</v>
      </c>
      <c r="E62" s="23" t="s">
        <v>1467</v>
      </c>
      <c r="F62" s="2" t="s">
        <v>277</v>
      </c>
      <c r="G62" s="23" t="s">
        <v>278</v>
      </c>
      <c r="O62" s="1" t="s">
        <v>1433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1263</v>
      </c>
      <c r="D63" s="23" t="s">
        <v>172</v>
      </c>
      <c r="E63" s="23" t="s">
        <v>173</v>
      </c>
      <c r="F63" s="15" t="s">
        <v>174</v>
      </c>
      <c r="G63" s="23" t="s">
        <v>175</v>
      </c>
      <c r="O63" s="1" t="s">
        <v>1433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1468</v>
      </c>
      <c r="D64" s="23" t="s">
        <v>78</v>
      </c>
      <c r="E64" s="23" t="s">
        <v>79</v>
      </c>
      <c r="F64" s="26" t="s">
        <v>80</v>
      </c>
      <c r="G64" s="23" t="s">
        <v>81</v>
      </c>
      <c r="N64" s="1" t="s">
        <v>1507</v>
      </c>
      <c r="O64" s="1" t="s">
        <v>1433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1469</v>
      </c>
      <c r="D65" s="23" t="s">
        <v>114</v>
      </c>
      <c r="E65" s="23" t="s">
        <v>115</v>
      </c>
      <c r="F65" s="2" t="s">
        <v>112</v>
      </c>
      <c r="G65" s="23" t="s">
        <v>113</v>
      </c>
      <c r="H65" s="23" t="s">
        <v>1617</v>
      </c>
      <c r="I65" s="23" t="s">
        <v>1644</v>
      </c>
      <c r="L65" s="23" t="s">
        <v>1686</v>
      </c>
      <c r="N65" s="1" t="s">
        <v>1507</v>
      </c>
      <c r="O65" s="1" t="s">
        <v>1433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1470</v>
      </c>
      <c r="D66" s="23" t="s">
        <v>86</v>
      </c>
      <c r="E66" s="23" t="s">
        <v>87</v>
      </c>
      <c r="F66" s="27" t="s">
        <v>84</v>
      </c>
      <c r="G66" s="23" t="s">
        <v>85</v>
      </c>
      <c r="H66" s="23" t="s">
        <v>1616</v>
      </c>
      <c r="I66" s="23" t="s">
        <v>1670</v>
      </c>
      <c r="M66" s="23" t="s">
        <v>1830</v>
      </c>
      <c r="N66" s="1" t="s">
        <v>1508</v>
      </c>
      <c r="O66" s="1" t="s">
        <v>1433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1471</v>
      </c>
      <c r="D67" s="23" t="s">
        <v>401</v>
      </c>
      <c r="E67" s="23" t="s">
        <v>1472</v>
      </c>
      <c r="F67" s="2" t="s">
        <v>402</v>
      </c>
      <c r="G67" s="23" t="s">
        <v>403</v>
      </c>
      <c r="O67" s="1" t="s">
        <v>1433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1473</v>
      </c>
      <c r="D68" s="23" t="s">
        <v>225</v>
      </c>
      <c r="E68" s="23" t="s">
        <v>226</v>
      </c>
      <c r="F68" s="2" t="s">
        <v>223</v>
      </c>
      <c r="G68" s="23" t="s">
        <v>224</v>
      </c>
      <c r="O68" s="1" t="s">
        <v>1433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58</v>
      </c>
      <c r="D69" s="23" t="s">
        <v>59</v>
      </c>
      <c r="E69" s="23" t="s">
        <v>60</v>
      </c>
      <c r="F69" s="2" t="s">
        <v>54</v>
      </c>
      <c r="G69" s="23" t="s">
        <v>55</v>
      </c>
      <c r="N69" s="1" t="s">
        <v>1508</v>
      </c>
      <c r="O69" s="1" t="s">
        <v>1433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1474</v>
      </c>
      <c r="D70" s="23" t="s">
        <v>389</v>
      </c>
      <c r="E70" s="23" t="s">
        <v>390</v>
      </c>
      <c r="F70" s="2" t="s">
        <v>387</v>
      </c>
      <c r="G70" s="23" t="s">
        <v>388</v>
      </c>
      <c r="O70" s="1" t="s">
        <v>1433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1475</v>
      </c>
      <c r="D71" s="23" t="s">
        <v>404</v>
      </c>
      <c r="E71" s="23" t="s">
        <v>1476</v>
      </c>
      <c r="F71" s="2" t="s">
        <v>402</v>
      </c>
      <c r="G71" s="23" t="s">
        <v>403</v>
      </c>
      <c r="O71" s="1" t="s">
        <v>1433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1477</v>
      </c>
      <c r="D72" s="23" t="s">
        <v>319</v>
      </c>
      <c r="E72" s="23" t="s">
        <v>320</v>
      </c>
      <c r="F72" s="2" t="s">
        <v>321</v>
      </c>
      <c r="G72" s="23" t="s">
        <v>322</v>
      </c>
      <c r="O72" s="1" t="s">
        <v>1433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1478</v>
      </c>
      <c r="D73" s="23" t="s">
        <v>323</v>
      </c>
      <c r="E73" s="23" t="s">
        <v>324</v>
      </c>
      <c r="F73" s="2" t="s">
        <v>321</v>
      </c>
      <c r="G73" s="23" t="s">
        <v>322</v>
      </c>
      <c r="O73" s="1" t="s">
        <v>1433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1479</v>
      </c>
      <c r="D74" s="23" t="s">
        <v>176</v>
      </c>
      <c r="E74" s="23" t="s">
        <v>177</v>
      </c>
      <c r="F74" s="2" t="s">
        <v>178</v>
      </c>
      <c r="G74" s="23" t="s">
        <v>179</v>
      </c>
      <c r="O74" s="1" t="s">
        <v>1433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47</v>
      </c>
      <c r="D75" s="23" t="s">
        <v>48</v>
      </c>
      <c r="E75" s="23" t="s">
        <v>49</v>
      </c>
      <c r="F75" s="2" t="s">
        <v>50</v>
      </c>
      <c r="G75" s="23" t="s">
        <v>51</v>
      </c>
      <c r="N75" s="1" t="s">
        <v>1507</v>
      </c>
      <c r="O75" s="1" t="s">
        <v>1433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1480</v>
      </c>
      <c r="D76" s="23" t="s">
        <v>295</v>
      </c>
      <c r="E76" s="23" t="s">
        <v>296</v>
      </c>
      <c r="F76" s="2" t="s">
        <v>289</v>
      </c>
      <c r="G76" s="23" t="s">
        <v>290</v>
      </c>
      <c r="H76" s="23" t="s">
        <v>1616</v>
      </c>
      <c r="I76" s="23" t="s">
        <v>1661</v>
      </c>
      <c r="L76" s="23" t="s">
        <v>1658</v>
      </c>
      <c r="N76" s="1" t="s">
        <v>1507</v>
      </c>
      <c r="O76" s="1" t="s">
        <v>1433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391</v>
      </c>
      <c r="D77" s="23" t="s">
        <v>392</v>
      </c>
      <c r="E77" s="23" t="s">
        <v>393</v>
      </c>
      <c r="F77" s="2" t="s">
        <v>394</v>
      </c>
      <c r="G77" s="23" t="s">
        <v>395</v>
      </c>
      <c r="O77" s="1" t="s">
        <v>1433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33</v>
      </c>
      <c r="D78" s="23" t="s">
        <v>34</v>
      </c>
      <c r="E78" s="23" t="s">
        <v>35</v>
      </c>
      <c r="F78" s="2" t="s">
        <v>36</v>
      </c>
      <c r="G78" s="23" t="s">
        <v>37</v>
      </c>
      <c r="N78" s="1" t="s">
        <v>1507</v>
      </c>
      <c r="O78" s="1" t="s">
        <v>1433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279</v>
      </c>
      <c r="D79" s="23" t="s">
        <v>280</v>
      </c>
      <c r="E79" s="23" t="s">
        <v>1481</v>
      </c>
      <c r="F79" s="2" t="s">
        <v>277</v>
      </c>
      <c r="G79" s="23" t="s">
        <v>278</v>
      </c>
      <c r="O79" s="1" t="s">
        <v>1433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26</v>
      </c>
      <c r="D80" s="23" t="s">
        <v>27</v>
      </c>
      <c r="E80" s="23" t="s">
        <v>28</v>
      </c>
      <c r="F80" s="2" t="s">
        <v>20</v>
      </c>
      <c r="G80" s="23" t="s">
        <v>29</v>
      </c>
      <c r="H80" s="23" t="s">
        <v>1616</v>
      </c>
      <c r="I80" s="23" t="s">
        <v>1762</v>
      </c>
      <c r="J80" s="23" t="s">
        <v>1825</v>
      </c>
      <c r="L80" s="23" t="s">
        <v>1658</v>
      </c>
      <c r="M80" s="23" t="s">
        <v>1742</v>
      </c>
      <c r="N80" s="1" t="s">
        <v>1508</v>
      </c>
      <c r="O80" s="1" t="s">
        <v>1433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191</v>
      </c>
      <c r="D81" s="23" t="s">
        <v>192</v>
      </c>
      <c r="E81" s="23" t="s">
        <v>193</v>
      </c>
      <c r="F81" s="2" t="s">
        <v>194</v>
      </c>
      <c r="G81" s="23" t="s">
        <v>195</v>
      </c>
      <c r="O81" s="1" t="s">
        <v>1433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259</v>
      </c>
      <c r="D82" s="23" t="s">
        <v>260</v>
      </c>
      <c r="E82" s="23" t="s">
        <v>261</v>
      </c>
      <c r="F82" s="2" t="s">
        <v>253</v>
      </c>
      <c r="G82" s="23" t="s">
        <v>262</v>
      </c>
      <c r="H82" s="23" t="s">
        <v>1653</v>
      </c>
      <c r="I82" s="23" t="s">
        <v>1774</v>
      </c>
      <c r="J82" s="23" t="s">
        <v>1807</v>
      </c>
      <c r="M82" s="23" t="s">
        <v>1808</v>
      </c>
      <c r="N82" s="1" t="s">
        <v>1579</v>
      </c>
      <c r="O82" s="1" t="s">
        <v>1433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325</v>
      </c>
      <c r="D83" s="23" t="s">
        <v>326</v>
      </c>
      <c r="E83" s="23" t="s">
        <v>327</v>
      </c>
      <c r="F83" s="2" t="s">
        <v>328</v>
      </c>
      <c r="G83" s="23" t="s">
        <v>329</v>
      </c>
      <c r="O83" s="1" t="s">
        <v>1433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330</v>
      </c>
      <c r="D84" s="23" t="s">
        <v>331</v>
      </c>
      <c r="E84" s="23" t="s">
        <v>332</v>
      </c>
      <c r="F84" s="2" t="s">
        <v>328</v>
      </c>
      <c r="G84" s="23" t="s">
        <v>329</v>
      </c>
      <c r="O84" s="1" t="s">
        <v>1433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180</v>
      </c>
      <c r="D85" s="23" t="s">
        <v>181</v>
      </c>
      <c r="E85" s="23" t="s">
        <v>182</v>
      </c>
      <c r="F85" s="2" t="s">
        <v>178</v>
      </c>
      <c r="G85" s="23" t="s">
        <v>183</v>
      </c>
      <c r="O85" s="1" t="s">
        <v>1433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415</v>
      </c>
      <c r="D86" s="23" t="s">
        <v>416</v>
      </c>
      <c r="E86" s="23" t="s">
        <v>417</v>
      </c>
      <c r="F86" s="23" t="s">
        <v>418</v>
      </c>
      <c r="G86" s="23" t="str">
        <f>テーブル1[[#This Row],[名前]]&amp;"(UTAU)"</f>
        <v>覗キ視炉(UTAU)</v>
      </c>
      <c r="N86" s="1" t="s">
        <v>1507</v>
      </c>
      <c r="O86" s="1" t="s">
        <v>1433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297</v>
      </c>
      <c r="D87" s="23" t="s">
        <v>298</v>
      </c>
      <c r="E87" s="23" t="s">
        <v>1482</v>
      </c>
      <c r="F87" s="2" t="s">
        <v>289</v>
      </c>
      <c r="G87" s="23" t="s">
        <v>290</v>
      </c>
      <c r="H87" s="23" t="s">
        <v>1617</v>
      </c>
      <c r="I87" s="23" t="s">
        <v>1656</v>
      </c>
      <c r="K87" s="23" t="s">
        <v>1657</v>
      </c>
      <c r="L87" s="23" t="s">
        <v>1659</v>
      </c>
      <c r="M87" s="23" t="s">
        <v>1660</v>
      </c>
      <c r="N87" s="1" t="s">
        <v>1507</v>
      </c>
      <c r="O87" s="1" t="s">
        <v>1433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299</v>
      </c>
      <c r="D88" s="23" t="s">
        <v>300</v>
      </c>
      <c r="E88" s="23" t="s">
        <v>301</v>
      </c>
      <c r="F88" s="2" t="s">
        <v>289</v>
      </c>
      <c r="G88" s="23" t="s">
        <v>290</v>
      </c>
      <c r="H88" s="23" t="s">
        <v>1617</v>
      </c>
      <c r="I88" s="23" t="s">
        <v>1626</v>
      </c>
      <c r="L88" s="23" t="s">
        <v>1627</v>
      </c>
      <c r="M88" s="23" t="s">
        <v>1662</v>
      </c>
      <c r="N88" s="1" t="s">
        <v>1507</v>
      </c>
      <c r="O88" s="1" t="s">
        <v>1433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38</v>
      </c>
      <c r="D89" s="23" t="s">
        <v>39</v>
      </c>
      <c r="E89" s="23" t="s">
        <v>40</v>
      </c>
      <c r="F89" s="2" t="s">
        <v>41</v>
      </c>
      <c r="G89" s="23" t="s">
        <v>42</v>
      </c>
      <c r="N89" s="1" t="s">
        <v>1507</v>
      </c>
      <c r="O89" s="1" t="s">
        <v>1433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356</v>
      </c>
      <c r="D90" s="23" t="s">
        <v>357</v>
      </c>
      <c r="E90" s="23" t="s">
        <v>358</v>
      </c>
      <c r="F90" s="2" t="s">
        <v>359</v>
      </c>
      <c r="G90" s="23" t="s">
        <v>360</v>
      </c>
      <c r="O90" s="1" t="s">
        <v>1433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263</v>
      </c>
      <c r="D91" s="23" t="s">
        <v>264</v>
      </c>
      <c r="E91" s="23" t="s">
        <v>265</v>
      </c>
      <c r="F91" s="2" t="s">
        <v>253</v>
      </c>
      <c r="G91" s="23" t="s">
        <v>266</v>
      </c>
      <c r="H91" s="23" t="s">
        <v>1616</v>
      </c>
      <c r="I91" s="23" t="s">
        <v>1774</v>
      </c>
      <c r="K91" s="23" t="s">
        <v>1809</v>
      </c>
      <c r="L91" s="23" t="s">
        <v>1687</v>
      </c>
      <c r="N91" s="1" t="s">
        <v>1579</v>
      </c>
      <c r="O91" s="1" t="s">
        <v>1433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267</v>
      </c>
      <c r="D92" s="23" t="s">
        <v>268</v>
      </c>
      <c r="E92" s="23" t="s">
        <v>269</v>
      </c>
      <c r="F92" s="2" t="s">
        <v>253</v>
      </c>
      <c r="G92" s="23" t="s">
        <v>270</v>
      </c>
      <c r="H92" s="23" t="s">
        <v>1616</v>
      </c>
      <c r="I92" s="23" t="s">
        <v>1774</v>
      </c>
      <c r="K92" s="23" t="s">
        <v>1805</v>
      </c>
      <c r="L92" s="23" t="s">
        <v>1751</v>
      </c>
      <c r="N92" s="1" t="s">
        <v>1579</v>
      </c>
      <c r="O92" s="1" t="s">
        <v>1433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99</v>
      </c>
      <c r="D93" s="23" t="s">
        <v>100</v>
      </c>
      <c r="E93" s="23" t="s">
        <v>101</v>
      </c>
      <c r="F93" s="2" t="s">
        <v>102</v>
      </c>
      <c r="G93" s="23" t="s">
        <v>103</v>
      </c>
      <c r="N93" s="1" t="s">
        <v>1507</v>
      </c>
      <c r="O93" s="1" t="s">
        <v>1433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30</v>
      </c>
      <c r="D94" s="23" t="s">
        <v>31</v>
      </c>
      <c r="E94" s="23" t="s">
        <v>32</v>
      </c>
      <c r="F94" s="2" t="s">
        <v>20</v>
      </c>
      <c r="G94" s="23" t="s">
        <v>21</v>
      </c>
      <c r="H94" s="23" t="s">
        <v>1616</v>
      </c>
      <c r="I94" s="23" t="s">
        <v>1626</v>
      </c>
      <c r="K94" s="23" t="s">
        <v>1809</v>
      </c>
      <c r="N94" s="1" t="s">
        <v>1508</v>
      </c>
      <c r="O94" s="1" t="s">
        <v>1433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1507</v>
      </c>
      <c r="O95" s="1" t="s">
        <v>1433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1507</v>
      </c>
      <c r="O96" s="1" t="s">
        <v>1433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244</v>
      </c>
      <c r="D97" s="23" t="s">
        <v>245</v>
      </c>
      <c r="E97" s="23" t="s">
        <v>246</v>
      </c>
      <c r="F97" s="2" t="s">
        <v>238</v>
      </c>
      <c r="G97" s="23" t="s">
        <v>239</v>
      </c>
      <c r="H97" s="23" t="s">
        <v>1616</v>
      </c>
      <c r="I97" s="23" t="s">
        <v>1626</v>
      </c>
      <c r="K97" s="23" t="s">
        <v>1819</v>
      </c>
      <c r="M97" s="23" t="s">
        <v>1820</v>
      </c>
      <c r="N97" s="1" t="s">
        <v>1579</v>
      </c>
      <c r="O97" s="1" t="s">
        <v>1433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396</v>
      </c>
      <c r="D98" s="23" t="s">
        <v>397</v>
      </c>
      <c r="E98" s="23" t="s">
        <v>398</v>
      </c>
      <c r="F98" s="2" t="s">
        <v>399</v>
      </c>
      <c r="G98" s="23" t="s">
        <v>400</v>
      </c>
      <c r="O98" s="1" t="s">
        <v>1433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380</v>
      </c>
      <c r="D99" s="23" t="s">
        <v>381</v>
      </c>
      <c r="E99" s="23" t="s">
        <v>382</v>
      </c>
      <c r="F99" s="2" t="s">
        <v>378</v>
      </c>
      <c r="G99" s="23" t="s">
        <v>379</v>
      </c>
      <c r="H99" s="23" t="s">
        <v>1617</v>
      </c>
      <c r="I99" s="23" t="s">
        <v>1626</v>
      </c>
      <c r="M99" s="23" t="s">
        <v>1842</v>
      </c>
      <c r="O99" s="1" t="s">
        <v>1433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383</v>
      </c>
      <c r="D100" s="23" t="s">
        <v>384</v>
      </c>
      <c r="E100" s="23" t="s">
        <v>385</v>
      </c>
      <c r="F100" s="2" t="s">
        <v>378</v>
      </c>
      <c r="G100" s="23" t="s">
        <v>379</v>
      </c>
      <c r="H100" s="23" t="s">
        <v>1653</v>
      </c>
      <c r="I100" s="23" t="s">
        <v>1798</v>
      </c>
      <c r="K100" s="23" t="s">
        <v>1843</v>
      </c>
      <c r="O100" s="1" t="s">
        <v>1433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372</v>
      </c>
      <c r="D101" s="23" t="s">
        <v>373</v>
      </c>
      <c r="E101" s="23" t="s">
        <v>374</v>
      </c>
      <c r="F101" s="2" t="s">
        <v>370</v>
      </c>
      <c r="G101" s="23" t="s">
        <v>375</v>
      </c>
      <c r="H101" s="23" t="s">
        <v>1616</v>
      </c>
      <c r="I101" s="23" t="s">
        <v>1670</v>
      </c>
      <c r="J101" s="23" t="s">
        <v>1766</v>
      </c>
      <c r="K101" s="23" t="s">
        <v>1791</v>
      </c>
      <c r="L101" s="23" t="s">
        <v>1856</v>
      </c>
      <c r="O101" s="1" t="s">
        <v>1433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218</v>
      </c>
      <c r="D102" s="23" t="s">
        <v>219</v>
      </c>
      <c r="E102" s="23" t="s">
        <v>220</v>
      </c>
      <c r="F102" s="2" t="s">
        <v>216</v>
      </c>
      <c r="G102" s="23" t="s">
        <v>217</v>
      </c>
      <c r="H102" s="23" t="s">
        <v>1617</v>
      </c>
      <c r="I102" s="23" t="s">
        <v>1644</v>
      </c>
      <c r="L102" s="23" t="s">
        <v>1698</v>
      </c>
      <c r="M102" s="23" t="s">
        <v>1650</v>
      </c>
      <c r="N102" s="1" t="s">
        <v>1579</v>
      </c>
      <c r="O102" s="1" t="s">
        <v>1433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75</v>
      </c>
      <c r="D103" s="23" t="s">
        <v>76</v>
      </c>
      <c r="E103" s="23" t="s">
        <v>77</v>
      </c>
      <c r="F103" s="27" t="s">
        <v>1618</v>
      </c>
      <c r="G103" s="23" t="s">
        <v>74</v>
      </c>
      <c r="N103" s="1" t="s">
        <v>1508</v>
      </c>
      <c r="O103" s="1" t="s">
        <v>1433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346</v>
      </c>
      <c r="D104" s="23" t="s">
        <v>347</v>
      </c>
      <c r="E104" s="23" t="s">
        <v>348</v>
      </c>
      <c r="F104" s="2" t="s">
        <v>344</v>
      </c>
      <c r="G104" s="23" t="s">
        <v>345</v>
      </c>
      <c r="H104" s="23" t="s">
        <v>1617</v>
      </c>
      <c r="I104" s="23" t="s">
        <v>1626</v>
      </c>
      <c r="K104" s="23" t="s">
        <v>1679</v>
      </c>
      <c r="L104" s="23" t="s">
        <v>1627</v>
      </c>
      <c r="O104" s="1" t="s">
        <v>1433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227</v>
      </c>
      <c r="D105" s="23" t="s">
        <v>228</v>
      </c>
      <c r="E105" s="23" t="s">
        <v>229</v>
      </c>
      <c r="F105" s="2" t="s">
        <v>230</v>
      </c>
      <c r="G105" s="23" t="s">
        <v>231</v>
      </c>
      <c r="O105" s="1" t="s">
        <v>1433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419</v>
      </c>
      <c r="D106" s="23" t="s">
        <v>420</v>
      </c>
      <c r="E106" s="23" t="s">
        <v>421</v>
      </c>
      <c r="F106" s="15" t="s">
        <v>1395</v>
      </c>
      <c r="G106" s="23" t="s">
        <v>422</v>
      </c>
      <c r="O106" s="1" t="s">
        <v>1433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247</v>
      </c>
      <c r="D107" s="23" t="s">
        <v>248</v>
      </c>
      <c r="E107" s="23" t="s">
        <v>249</v>
      </c>
      <c r="F107" s="2" t="s">
        <v>238</v>
      </c>
      <c r="G107" s="23" t="s">
        <v>239</v>
      </c>
      <c r="H107" s="23" t="s">
        <v>1616</v>
      </c>
      <c r="I107" s="23" t="s">
        <v>1821</v>
      </c>
      <c r="K107" s="23" t="s">
        <v>1822</v>
      </c>
      <c r="L107" s="23" t="s">
        <v>1769</v>
      </c>
      <c r="M107" s="23" t="s">
        <v>1668</v>
      </c>
      <c r="N107" s="1" t="s">
        <v>1579</v>
      </c>
      <c r="O107" s="1" t="s">
        <v>1433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196</v>
      </c>
      <c r="D108" s="23" t="s">
        <v>197</v>
      </c>
      <c r="E108" s="23" t="s">
        <v>198</v>
      </c>
      <c r="F108" s="2" t="s">
        <v>199</v>
      </c>
      <c r="G108" s="23" t="s">
        <v>200</v>
      </c>
      <c r="O108" s="1" t="s">
        <v>1433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302</v>
      </c>
      <c r="D109" s="23" t="s">
        <v>303</v>
      </c>
      <c r="E109" s="23" t="s">
        <v>304</v>
      </c>
      <c r="F109" s="2" t="s">
        <v>289</v>
      </c>
      <c r="G109" s="23" t="s">
        <v>290</v>
      </c>
      <c r="H109" s="23" t="s">
        <v>1617</v>
      </c>
      <c r="I109" s="23" t="s">
        <v>1644</v>
      </c>
      <c r="K109" s="23" t="s">
        <v>1663</v>
      </c>
      <c r="M109" s="23" t="s">
        <v>1654</v>
      </c>
      <c r="N109" s="1" t="s">
        <v>1507</v>
      </c>
      <c r="O109" s="1" t="s">
        <v>1433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143</v>
      </c>
      <c r="D110" s="23" t="s">
        <v>144</v>
      </c>
      <c r="E110" s="23" t="s">
        <v>145</v>
      </c>
      <c r="F110" s="2" t="s">
        <v>139</v>
      </c>
      <c r="G110" s="23" t="s">
        <v>140</v>
      </c>
      <c r="H110" s="23" t="s">
        <v>1617</v>
      </c>
      <c r="M110" s="23" t="s">
        <v>1781</v>
      </c>
      <c r="N110" s="1" t="s">
        <v>1579</v>
      </c>
      <c r="O110" s="1" t="s">
        <v>1433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353</v>
      </c>
      <c r="D111" s="23" t="s">
        <v>354</v>
      </c>
      <c r="E111" s="23" t="s">
        <v>355</v>
      </c>
      <c r="F111" s="2" t="s">
        <v>351</v>
      </c>
      <c r="G111" s="23" t="s">
        <v>352</v>
      </c>
      <c r="O111" s="1" t="s">
        <v>1433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69</v>
      </c>
      <c r="D112" s="23" t="s">
        <v>70</v>
      </c>
      <c r="E112" s="23" t="s">
        <v>71</v>
      </c>
      <c r="F112" s="2" t="s">
        <v>537</v>
      </c>
      <c r="G112" s="23" t="s">
        <v>68</v>
      </c>
      <c r="H112" s="23" t="s">
        <v>1617</v>
      </c>
      <c r="I112" s="23" t="s">
        <v>1644</v>
      </c>
      <c r="K112" s="23" t="s">
        <v>1697</v>
      </c>
      <c r="L112" s="23" t="s">
        <v>1699</v>
      </c>
      <c r="M112" s="23" t="s">
        <v>1650</v>
      </c>
      <c r="N112" s="1" t="s">
        <v>1507</v>
      </c>
      <c r="O112" s="1" t="s">
        <v>1433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92</v>
      </c>
      <c r="D113" s="23" t="s">
        <v>93</v>
      </c>
      <c r="E113" s="23" t="s">
        <v>94</v>
      </c>
      <c r="F113" s="2" t="s">
        <v>90</v>
      </c>
      <c r="G113" s="23" t="s">
        <v>91</v>
      </c>
      <c r="H113" s="23" t="s">
        <v>1616</v>
      </c>
      <c r="I113" s="23" t="s">
        <v>1626</v>
      </c>
      <c r="K113" s="23" t="s">
        <v>1632</v>
      </c>
      <c r="L113" s="23" t="s">
        <v>1633</v>
      </c>
      <c r="M113" s="23" t="s">
        <v>1634</v>
      </c>
      <c r="N113" s="1" t="s">
        <v>1508</v>
      </c>
      <c r="O113" s="1" t="s">
        <v>1433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1493</v>
      </c>
      <c r="D114" s="23" t="s">
        <v>446</v>
      </c>
      <c r="E114" s="23" t="s">
        <v>447</v>
      </c>
      <c r="F114" s="2" t="s">
        <v>54</v>
      </c>
      <c r="G114" s="23" t="s">
        <v>55</v>
      </c>
      <c r="N114" s="1" t="s">
        <v>1508</v>
      </c>
      <c r="O114" s="1" t="s">
        <v>1433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774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738</v>
      </c>
      <c r="D115" s="23" t="s">
        <v>739</v>
      </c>
      <c r="E115" s="23" t="s">
        <v>740</v>
      </c>
      <c r="F115" s="15" t="s">
        <v>741</v>
      </c>
      <c r="G115" s="23" t="str">
        <f>テーブル1[[#This Row],[名前]]&amp;"(UTAU)"</f>
        <v>飯音モグ(UTAU)</v>
      </c>
      <c r="N115" s="1" t="s">
        <v>1507</v>
      </c>
      <c r="O115" s="1" t="s">
        <v>1433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774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544</v>
      </c>
      <c r="D116" s="23" t="s">
        <v>545</v>
      </c>
      <c r="E116" s="23" t="s">
        <v>546</v>
      </c>
      <c r="F116" s="2" t="s">
        <v>234</v>
      </c>
      <c r="G116" s="23" t="s">
        <v>547</v>
      </c>
      <c r="O116" s="1" t="s">
        <v>1433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774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560</v>
      </c>
      <c r="D117" s="23" t="s">
        <v>561</v>
      </c>
      <c r="E117" s="23" t="s">
        <v>562</v>
      </c>
      <c r="F117" s="2" t="s">
        <v>90</v>
      </c>
      <c r="G117" s="23" t="s">
        <v>91</v>
      </c>
      <c r="H117" s="23" t="s">
        <v>1617</v>
      </c>
      <c r="I117" s="23" t="s">
        <v>1629</v>
      </c>
      <c r="J117" s="23" t="s">
        <v>1761</v>
      </c>
      <c r="K117" s="23" t="s">
        <v>1635</v>
      </c>
      <c r="L117" s="23" t="s">
        <v>1637</v>
      </c>
      <c r="M117" s="23" t="s">
        <v>1638</v>
      </c>
      <c r="N117" s="1" t="s">
        <v>1508</v>
      </c>
      <c r="O117" s="1" t="s">
        <v>1433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774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458</v>
      </c>
      <c r="D118" s="23" t="s">
        <v>459</v>
      </c>
      <c r="E118" s="23" t="s">
        <v>460</v>
      </c>
      <c r="F118" s="2" t="s">
        <v>54</v>
      </c>
      <c r="G118" s="23" t="s">
        <v>55</v>
      </c>
      <c r="N118" s="1" t="s">
        <v>1508</v>
      </c>
      <c r="O118" s="1" t="s">
        <v>1433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774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665</v>
      </c>
      <c r="D119" s="23" t="s">
        <v>666</v>
      </c>
      <c r="E119" s="23" t="s">
        <v>667</v>
      </c>
      <c r="F119" s="15" t="s">
        <v>668</v>
      </c>
      <c r="G119" s="23" t="s">
        <v>669</v>
      </c>
      <c r="N119" s="1" t="s">
        <v>1507</v>
      </c>
      <c r="O119" s="1" t="s">
        <v>1433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774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1494</v>
      </c>
      <c r="D120" s="23" t="s">
        <v>450</v>
      </c>
      <c r="E120" s="23" t="s">
        <v>451</v>
      </c>
      <c r="F120" s="2" t="s">
        <v>54</v>
      </c>
      <c r="G120" s="23" t="s">
        <v>55</v>
      </c>
      <c r="N120" s="1" t="s">
        <v>1508</v>
      </c>
      <c r="O120" s="1" t="s">
        <v>1433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774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649</v>
      </c>
      <c r="D121" s="23" t="s">
        <v>650</v>
      </c>
      <c r="E121" s="23" t="s">
        <v>651</v>
      </c>
      <c r="F121" s="2" t="s">
        <v>646</v>
      </c>
      <c r="G121" s="23" t="s">
        <v>648</v>
      </c>
      <c r="O121" s="1" t="s">
        <v>1433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774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689</v>
      </c>
      <c r="D122" s="23" t="s">
        <v>690</v>
      </c>
      <c r="E122" s="23" t="s">
        <v>691</v>
      </c>
      <c r="F122" s="2" t="s">
        <v>687</v>
      </c>
      <c r="G122" s="23" t="s">
        <v>688</v>
      </c>
      <c r="O122" s="1" t="s">
        <v>1433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774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1495</v>
      </c>
      <c r="D123" s="23" t="s">
        <v>454</v>
      </c>
      <c r="E123" s="23" t="s">
        <v>455</v>
      </c>
      <c r="F123" s="2" t="s">
        <v>54</v>
      </c>
      <c r="G123" s="23" t="s">
        <v>55</v>
      </c>
      <c r="N123" s="1" t="s">
        <v>1508</v>
      </c>
      <c r="O123" s="1" t="s">
        <v>1433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774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475</v>
      </c>
      <c r="D124" s="23" t="s">
        <v>476</v>
      </c>
      <c r="E124" s="23" t="s">
        <v>477</v>
      </c>
      <c r="F124" s="15" t="s">
        <v>230</v>
      </c>
      <c r="G124" s="23" t="s">
        <v>231</v>
      </c>
      <c r="O124" s="1" t="s">
        <v>1433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774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610</v>
      </c>
      <c r="D125" s="23" t="s">
        <v>611</v>
      </c>
      <c r="E125" s="23" t="s">
        <v>612</v>
      </c>
      <c r="F125" s="2" t="s">
        <v>199</v>
      </c>
      <c r="G125" s="23" t="s">
        <v>200</v>
      </c>
      <c r="O125" s="1" t="s">
        <v>1433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774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1496</v>
      </c>
      <c r="D126" s="23" t="s">
        <v>723</v>
      </c>
      <c r="E126" s="23" t="s">
        <v>724</v>
      </c>
      <c r="F126" s="2" t="s">
        <v>726</v>
      </c>
      <c r="G126" s="23" t="s">
        <v>725</v>
      </c>
      <c r="O126" s="1" t="s">
        <v>1433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774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660</v>
      </c>
      <c r="D127" s="23" t="s">
        <v>661</v>
      </c>
      <c r="E127" s="23" t="s">
        <v>662</v>
      </c>
      <c r="F127" s="2" t="s">
        <v>663</v>
      </c>
      <c r="G127" s="23" t="s">
        <v>664</v>
      </c>
      <c r="O127" s="1" t="s">
        <v>1433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774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461</v>
      </c>
      <c r="D128" s="23" t="s">
        <v>462</v>
      </c>
      <c r="E128" s="23" t="s">
        <v>463</v>
      </c>
      <c r="F128" s="2" t="s">
        <v>54</v>
      </c>
      <c r="G128" s="23" t="s">
        <v>55</v>
      </c>
      <c r="N128" s="1" t="s">
        <v>1508</v>
      </c>
      <c r="O128" s="1" t="s">
        <v>1433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774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1497</v>
      </c>
      <c r="D129" s="23" t="s">
        <v>448</v>
      </c>
      <c r="E129" s="23" t="s">
        <v>449</v>
      </c>
      <c r="F129" s="2" t="s">
        <v>54</v>
      </c>
      <c r="G129" s="23" t="s">
        <v>55</v>
      </c>
      <c r="N129" s="1" t="s">
        <v>1508</v>
      </c>
      <c r="O129" s="1" t="s">
        <v>1433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774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505</v>
      </c>
      <c r="D130" s="23" t="s">
        <v>506</v>
      </c>
      <c r="E130" s="23" t="s">
        <v>507</v>
      </c>
      <c r="F130" s="2" t="s">
        <v>132</v>
      </c>
      <c r="G130" s="23" t="s">
        <v>133</v>
      </c>
      <c r="H130" s="23" t="s">
        <v>1617</v>
      </c>
      <c r="I130" s="23" t="s">
        <v>1626</v>
      </c>
      <c r="L130" s="23" t="s">
        <v>1797</v>
      </c>
      <c r="O130" s="1" t="s">
        <v>1433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774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626</v>
      </c>
      <c r="D131" s="23" t="s">
        <v>627</v>
      </c>
      <c r="E131" s="24" t="s">
        <v>626</v>
      </c>
      <c r="F131" s="2" t="s">
        <v>162</v>
      </c>
      <c r="G131" s="23" t="s">
        <v>163</v>
      </c>
      <c r="H131" s="23" t="s">
        <v>1617</v>
      </c>
      <c r="I131" s="23" t="s">
        <v>1626</v>
      </c>
      <c r="O131" s="1" t="s">
        <v>1433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774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682</v>
      </c>
      <c r="D132" s="23" t="s">
        <v>679</v>
      </c>
      <c r="E132" s="23" t="s">
        <v>680</v>
      </c>
      <c r="F132" s="2" t="s">
        <v>681</v>
      </c>
      <c r="G132" s="23" t="s">
        <v>683</v>
      </c>
      <c r="O132" s="1" t="s">
        <v>1433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774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528</v>
      </c>
      <c r="D133" s="23" t="s">
        <v>529</v>
      </c>
      <c r="E133" s="23" t="s">
        <v>530</v>
      </c>
      <c r="F133" s="2" t="s">
        <v>321</v>
      </c>
      <c r="G133" s="23" t="s">
        <v>322</v>
      </c>
      <c r="O133" s="1" t="s">
        <v>1433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774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472</v>
      </c>
      <c r="D134" s="23" t="s">
        <v>473</v>
      </c>
      <c r="E134" s="23" t="s">
        <v>474</v>
      </c>
      <c r="F134" s="2" t="s">
        <v>230</v>
      </c>
      <c r="G134" s="23" t="s">
        <v>231</v>
      </c>
      <c r="O134" s="1" t="s">
        <v>1433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774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1161</v>
      </c>
      <c r="D135" s="23" t="s">
        <v>1162</v>
      </c>
      <c r="E135" s="23" t="s">
        <v>1163</v>
      </c>
      <c r="F135" s="2" t="s">
        <v>1154</v>
      </c>
      <c r="G135" s="23" t="s">
        <v>1164</v>
      </c>
      <c r="O135" s="1" t="s">
        <v>1433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1183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488</v>
      </c>
      <c r="D136" s="23" t="s">
        <v>489</v>
      </c>
      <c r="E136" s="23" t="s">
        <v>490</v>
      </c>
      <c r="F136" s="2" t="s">
        <v>491</v>
      </c>
      <c r="G136" s="23" t="s">
        <v>492</v>
      </c>
      <c r="O136" s="1" t="s">
        <v>1433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1183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531</v>
      </c>
      <c r="D137" s="23" t="s">
        <v>532</v>
      </c>
      <c r="E137" s="23" t="s">
        <v>533</v>
      </c>
      <c r="F137" s="2" t="s">
        <v>321</v>
      </c>
      <c r="G137" s="23" t="s">
        <v>322</v>
      </c>
      <c r="O137" s="1" t="s">
        <v>1433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1183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582</v>
      </c>
      <c r="D138" s="23" t="s">
        <v>583</v>
      </c>
      <c r="E138" s="23" t="s">
        <v>584</v>
      </c>
      <c r="F138" s="2" t="s">
        <v>119</v>
      </c>
      <c r="G138" s="23" t="s">
        <v>120</v>
      </c>
      <c r="H138" s="23" t="s">
        <v>1616</v>
      </c>
      <c r="I138" s="23" t="s">
        <v>1674</v>
      </c>
      <c r="L138" s="23" t="s">
        <v>1678</v>
      </c>
      <c r="M138" s="23" t="s">
        <v>1676</v>
      </c>
      <c r="O138" s="1" t="s">
        <v>1433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1183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922</v>
      </c>
      <c r="D139" s="23" t="s">
        <v>923</v>
      </c>
      <c r="E139" s="23" t="s">
        <v>924</v>
      </c>
      <c r="F139" s="2" t="s">
        <v>673</v>
      </c>
      <c r="G139" s="23" t="s">
        <v>674</v>
      </c>
      <c r="N139" s="1" t="s">
        <v>1507</v>
      </c>
      <c r="O139" s="1" t="s">
        <v>1433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1183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426</v>
      </c>
      <c r="D140" s="23" t="s">
        <v>427</v>
      </c>
      <c r="E140" s="23" t="s">
        <v>428</v>
      </c>
      <c r="F140" s="2" t="s">
        <v>54</v>
      </c>
      <c r="G140" s="23" t="s">
        <v>55</v>
      </c>
      <c r="N140" s="1" t="s">
        <v>1508</v>
      </c>
      <c r="O140" s="1" t="s">
        <v>1433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1183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548</v>
      </c>
      <c r="D141" s="23" t="s">
        <v>549</v>
      </c>
      <c r="E141" s="23" t="s">
        <v>550</v>
      </c>
      <c r="F141" s="2" t="s">
        <v>551</v>
      </c>
      <c r="G141" s="23" t="s">
        <v>552</v>
      </c>
      <c r="N141" s="1" t="s">
        <v>1507</v>
      </c>
      <c r="O141" s="1" t="s">
        <v>1433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1183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640</v>
      </c>
      <c r="D142" s="23" t="s">
        <v>641</v>
      </c>
      <c r="E142" s="23" t="s">
        <v>642</v>
      </c>
      <c r="F142" s="2" t="s">
        <v>638</v>
      </c>
      <c r="G142" s="23" t="s">
        <v>647</v>
      </c>
      <c r="O142" s="1" t="s">
        <v>1433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1183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557</v>
      </c>
      <c r="D143" s="23" t="s">
        <v>558</v>
      </c>
      <c r="E143" s="23" t="s">
        <v>559</v>
      </c>
      <c r="F143" s="2" t="s">
        <v>556</v>
      </c>
      <c r="G143" s="23" t="str">
        <f>テーブル1[[#This Row],[名前]]&amp;"(UTAU)"</f>
        <v>悪戯清子(UTAU)</v>
      </c>
      <c r="N143" s="1" t="s">
        <v>1507</v>
      </c>
      <c r="O143" s="1" t="s">
        <v>1433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1183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1001</v>
      </c>
      <c r="D144" s="23" t="s">
        <v>1005</v>
      </c>
      <c r="E144" s="23" t="s">
        <v>1789</v>
      </c>
      <c r="F144" s="2" t="s">
        <v>1783</v>
      </c>
      <c r="G144" s="23" t="s">
        <v>63</v>
      </c>
      <c r="H144" s="23" t="s">
        <v>1616</v>
      </c>
      <c r="I144" s="23" t="s">
        <v>1794</v>
      </c>
      <c r="K144" s="23" t="s">
        <v>1791</v>
      </c>
      <c r="L144" s="23" t="s">
        <v>1790</v>
      </c>
      <c r="N144" s="1" t="s">
        <v>1507</v>
      </c>
      <c r="O144" s="1" t="s">
        <v>1433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1183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1498</v>
      </c>
      <c r="D145" s="23" t="s">
        <v>435</v>
      </c>
      <c r="E145" s="23" t="s">
        <v>436</v>
      </c>
      <c r="F145" s="2" t="s">
        <v>54</v>
      </c>
      <c r="G145" s="23" t="s">
        <v>55</v>
      </c>
      <c r="N145" s="1" t="s">
        <v>1508</v>
      </c>
      <c r="O145" s="1" t="s">
        <v>1433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1183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604</v>
      </c>
      <c r="D146" s="23" t="s">
        <v>605</v>
      </c>
      <c r="E146" s="23" t="s">
        <v>606</v>
      </c>
      <c r="F146" s="2" t="s">
        <v>602</v>
      </c>
      <c r="G146" s="23" t="s">
        <v>603</v>
      </c>
      <c r="O146" s="1" t="s">
        <v>1433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1183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670</v>
      </c>
      <c r="D147" s="23" t="s">
        <v>671</v>
      </c>
      <c r="E147" s="23" t="s">
        <v>672</v>
      </c>
      <c r="F147" s="2" t="s">
        <v>673</v>
      </c>
      <c r="G147" s="23" t="s">
        <v>674</v>
      </c>
      <c r="N147" s="1" t="s">
        <v>1507</v>
      </c>
      <c r="O147" s="1" t="s">
        <v>1433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1183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579</v>
      </c>
      <c r="D148" s="23" t="s">
        <v>580</v>
      </c>
      <c r="E148" s="23" t="s">
        <v>581</v>
      </c>
      <c r="F148" s="2" t="s">
        <v>119</v>
      </c>
      <c r="G148" s="23" t="s">
        <v>120</v>
      </c>
      <c r="H148" s="23" t="s">
        <v>1616</v>
      </c>
      <c r="I148" s="23" t="s">
        <v>1626</v>
      </c>
      <c r="J148" s="23" t="s">
        <v>1758</v>
      </c>
      <c r="M148" s="23" t="s">
        <v>1677</v>
      </c>
      <c r="O148" s="1" t="s">
        <v>1433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1183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791</v>
      </c>
      <c r="D149" s="23" t="s">
        <v>792</v>
      </c>
      <c r="E149" s="23" t="s">
        <v>799</v>
      </c>
      <c r="F149" s="15" t="s">
        <v>775</v>
      </c>
      <c r="G149" s="23" t="str">
        <f>テーブル1[[#This Row],[名前]]&amp;"(UTAU)"</f>
        <v>クリノクロア(UTAU)</v>
      </c>
      <c r="N149" s="1" t="s">
        <v>1507</v>
      </c>
      <c r="O149" s="1" t="s">
        <v>1433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1183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1382</v>
      </c>
      <c r="D150" s="23" t="s">
        <v>1383</v>
      </c>
      <c r="E150" s="23" t="s">
        <v>1384</v>
      </c>
      <c r="F150" s="15" t="s">
        <v>1385</v>
      </c>
      <c r="G150" s="23" t="s">
        <v>1386</v>
      </c>
      <c r="N150" s="1" t="s">
        <v>1507</v>
      </c>
      <c r="O150" s="1" t="s">
        <v>1433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1183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684</v>
      </c>
      <c r="D151" s="23" t="s">
        <v>685</v>
      </c>
      <c r="E151" s="23" t="s">
        <v>686</v>
      </c>
      <c r="F151" s="2" t="s">
        <v>687</v>
      </c>
      <c r="G151" s="23" t="s">
        <v>688</v>
      </c>
      <c r="O151" s="1" t="s">
        <v>1433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1183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1499</v>
      </c>
      <c r="D152" s="23" t="s">
        <v>456</v>
      </c>
      <c r="E152" s="23" t="s">
        <v>457</v>
      </c>
      <c r="F152" s="2" t="s">
        <v>54</v>
      </c>
      <c r="G152" s="23" t="s">
        <v>55</v>
      </c>
      <c r="N152" s="1" t="s">
        <v>1508</v>
      </c>
      <c r="O152" s="1" t="s">
        <v>1433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1183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600</v>
      </c>
      <c r="D153" s="23" t="s">
        <v>601</v>
      </c>
      <c r="E153" s="23" t="s">
        <v>600</v>
      </c>
      <c r="F153" s="2" t="s">
        <v>602</v>
      </c>
      <c r="G153" s="23" t="s">
        <v>603</v>
      </c>
      <c r="O153" s="1" t="s">
        <v>1433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1183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822</v>
      </c>
      <c r="D154" s="23" t="s">
        <v>824</v>
      </c>
      <c r="E154" s="23" t="s">
        <v>823</v>
      </c>
      <c r="F154" s="2" t="s">
        <v>811</v>
      </c>
      <c r="G154" s="23" t="s">
        <v>812</v>
      </c>
      <c r="O154" s="1" t="s">
        <v>1433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1183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571</v>
      </c>
      <c r="D155" s="23" t="s">
        <v>572</v>
      </c>
      <c r="E155" s="23" t="s">
        <v>573</v>
      </c>
      <c r="F155" s="2" t="s">
        <v>569</v>
      </c>
      <c r="G155" s="23" t="s">
        <v>570</v>
      </c>
      <c r="N155" s="1" t="s">
        <v>1507</v>
      </c>
      <c r="O155" s="1" t="s">
        <v>1433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1183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502</v>
      </c>
      <c r="D156" s="23" t="s">
        <v>503</v>
      </c>
      <c r="E156" s="23" t="s">
        <v>504</v>
      </c>
      <c r="F156" s="2" t="s">
        <v>132</v>
      </c>
      <c r="G156" s="23" t="s">
        <v>133</v>
      </c>
      <c r="H156" s="23" t="s">
        <v>1616</v>
      </c>
      <c r="I156" s="23" t="s">
        <v>1798</v>
      </c>
      <c r="O156" s="1" t="s">
        <v>1433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1183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498</v>
      </c>
      <c r="D157" s="23" t="s">
        <v>499</v>
      </c>
      <c r="E157" s="23" t="s">
        <v>500</v>
      </c>
      <c r="F157" s="2" t="s">
        <v>496</v>
      </c>
      <c r="G157" s="23" t="s">
        <v>501</v>
      </c>
      <c r="N157" s="1" t="s">
        <v>1507</v>
      </c>
      <c r="O157" s="1" t="s">
        <v>1433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1183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708</v>
      </c>
      <c r="D158" s="23" t="s">
        <v>707</v>
      </c>
      <c r="E158" s="23" t="s">
        <v>708</v>
      </c>
      <c r="F158" s="2" t="s">
        <v>253</v>
      </c>
      <c r="G158" s="23" t="s">
        <v>709</v>
      </c>
      <c r="H158" s="23" t="s">
        <v>1653</v>
      </c>
      <c r="I158" s="23" t="s">
        <v>1644</v>
      </c>
      <c r="J158" s="23" t="s">
        <v>1810</v>
      </c>
      <c r="K158" s="23" t="s">
        <v>1812</v>
      </c>
      <c r="M158" s="23" t="s">
        <v>1683</v>
      </c>
      <c r="N158" s="1" t="s">
        <v>1579</v>
      </c>
      <c r="O158" s="1" t="s">
        <v>1433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1183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1045</v>
      </c>
      <c r="D159" s="23" t="s">
        <v>1046</v>
      </c>
      <c r="E159" s="24" t="s">
        <v>1045</v>
      </c>
      <c r="F159" s="15" t="s">
        <v>668</v>
      </c>
      <c r="G159" s="23" t="s">
        <v>669</v>
      </c>
      <c r="N159" s="1" t="s">
        <v>1507</v>
      </c>
      <c r="O159" s="1" t="s">
        <v>1433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1183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700</v>
      </c>
      <c r="D160" s="23" t="s">
        <v>701</v>
      </c>
      <c r="E160" s="23" t="s">
        <v>702</v>
      </c>
      <c r="F160" s="2" t="s">
        <v>703</v>
      </c>
      <c r="G160" s="23" t="str">
        <f>テーブル1[[#This Row],[名前]]&amp;"(UTAU)"</f>
        <v>マック音サイ(UTAU)</v>
      </c>
      <c r="O160" s="1" t="s">
        <v>1433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1183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429</v>
      </c>
      <c r="D161" s="23" t="s">
        <v>430</v>
      </c>
      <c r="E161" s="23" t="s">
        <v>431</v>
      </c>
      <c r="F161" s="2" t="s">
        <v>54</v>
      </c>
      <c r="G161" s="23" t="s">
        <v>55</v>
      </c>
      <c r="N161" s="1" t="s">
        <v>1508</v>
      </c>
      <c r="O161" s="1" t="s">
        <v>1433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1183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675</v>
      </c>
      <c r="D162" s="23" t="s">
        <v>676</v>
      </c>
      <c r="E162" s="23" t="s">
        <v>677</v>
      </c>
      <c r="F162" s="2" t="s">
        <v>678</v>
      </c>
      <c r="G162" s="23" t="str">
        <f>テーブル1[[#This Row],[名前]]&amp;"(UTAU)"</f>
        <v>澳音ぱす(UTAU)</v>
      </c>
      <c r="O162" s="1" t="s">
        <v>1433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1183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541</v>
      </c>
      <c r="D163" s="23" t="s">
        <v>542</v>
      </c>
      <c r="E163" s="23" t="s">
        <v>543</v>
      </c>
      <c r="F163" s="2" t="s">
        <v>234</v>
      </c>
      <c r="G163" s="23" t="s">
        <v>235</v>
      </c>
      <c r="O163" s="1" t="s">
        <v>1433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1183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1393</v>
      </c>
      <c r="D164" s="23" t="s">
        <v>1291</v>
      </c>
      <c r="E164" s="23" t="s">
        <v>1394</v>
      </c>
      <c r="F164" s="15" t="s">
        <v>1292</v>
      </c>
      <c r="G164" s="23" t="s">
        <v>1293</v>
      </c>
      <c r="O164" s="1" t="s">
        <v>1433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1183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1387</v>
      </c>
      <c r="D165" s="23" t="s">
        <v>1388</v>
      </c>
      <c r="E165" s="23" t="s">
        <v>1389</v>
      </c>
      <c r="F165" s="2" t="s">
        <v>1390</v>
      </c>
      <c r="G165" s="23" t="s">
        <v>1391</v>
      </c>
      <c r="O165" s="1" t="s">
        <v>1433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1183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1124</v>
      </c>
      <c r="D166" s="23" t="s">
        <v>1126</v>
      </c>
      <c r="E166" s="23" t="s">
        <v>1125</v>
      </c>
      <c r="F166" s="15" t="s">
        <v>1139</v>
      </c>
      <c r="G166" s="23" t="str">
        <f>テーブル1[[#This Row],[名前]]&amp;"(UTAU)"</f>
        <v>吟児(UTAU)</v>
      </c>
      <c r="O166" s="1" t="s">
        <v>1433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1183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1500</v>
      </c>
      <c r="D167" s="23" t="s">
        <v>585</v>
      </c>
      <c r="E167" s="23" t="s">
        <v>586</v>
      </c>
      <c r="F167" s="2" t="s">
        <v>714</v>
      </c>
      <c r="G167" s="23" t="s">
        <v>587</v>
      </c>
      <c r="O167" s="1" t="s">
        <v>1433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1183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808</v>
      </c>
      <c r="D168" s="23" t="s">
        <v>810</v>
      </c>
      <c r="E168" s="23" t="s">
        <v>809</v>
      </c>
      <c r="F168" s="2" t="s">
        <v>811</v>
      </c>
      <c r="G168" s="23" t="s">
        <v>812</v>
      </c>
      <c r="O168" s="1" t="s">
        <v>1433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1183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481</v>
      </c>
      <c r="E169" s="23" t="s">
        <v>482</v>
      </c>
      <c r="F169" s="2" t="s">
        <v>483</v>
      </c>
      <c r="G169" s="23" t="s">
        <v>484</v>
      </c>
      <c r="O169" s="1" t="s">
        <v>1433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1183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832</v>
      </c>
      <c r="D170" s="23" t="s">
        <v>833</v>
      </c>
      <c r="E170" s="23" t="s">
        <v>834</v>
      </c>
      <c r="F170" s="2" t="s">
        <v>830</v>
      </c>
      <c r="G170" s="23" t="s">
        <v>831</v>
      </c>
      <c r="O170" s="1" t="s">
        <v>1433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1183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563</v>
      </c>
      <c r="D171" s="23" t="s">
        <v>564</v>
      </c>
      <c r="E171" s="23" t="s">
        <v>565</v>
      </c>
      <c r="F171" s="2" t="s">
        <v>90</v>
      </c>
      <c r="G171" s="23" t="s">
        <v>91</v>
      </c>
      <c r="H171" s="23" t="s">
        <v>1617</v>
      </c>
      <c r="I171" s="23" t="s">
        <v>1640</v>
      </c>
      <c r="L171" s="23" t="s">
        <v>1641</v>
      </c>
      <c r="M171" s="23" t="s">
        <v>1642</v>
      </c>
      <c r="N171" s="1" t="s">
        <v>1508</v>
      </c>
      <c r="O171" s="1" t="s">
        <v>1433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1183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635</v>
      </c>
      <c r="D172" s="23" t="s">
        <v>636</v>
      </c>
      <c r="E172" s="23" t="s">
        <v>637</v>
      </c>
      <c r="F172" s="2" t="s">
        <v>638</v>
      </c>
      <c r="G172" s="23" t="s">
        <v>639</v>
      </c>
      <c r="O172" s="1" t="s">
        <v>1433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1183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485</v>
      </c>
      <c r="E173" s="23" t="s">
        <v>486</v>
      </c>
      <c r="F173" s="2" t="s">
        <v>483</v>
      </c>
      <c r="G173" s="23" t="s">
        <v>487</v>
      </c>
      <c r="O173" s="1" t="s">
        <v>1433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1183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1346</v>
      </c>
      <c r="D174" s="23" t="s">
        <v>1347</v>
      </c>
      <c r="E174" s="23" t="s">
        <v>1348</v>
      </c>
      <c r="F174" s="15" t="s">
        <v>1392</v>
      </c>
      <c r="G174" s="23" t="s">
        <v>1349</v>
      </c>
      <c r="O174" s="1" t="s">
        <v>1433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1183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493</v>
      </c>
      <c r="D175" s="23" t="s">
        <v>494</v>
      </c>
      <c r="E175" s="23" t="s">
        <v>495</v>
      </c>
      <c r="F175" s="2" t="s">
        <v>496</v>
      </c>
      <c r="G175" s="23" t="s">
        <v>497</v>
      </c>
      <c r="N175" s="1" t="s">
        <v>1507</v>
      </c>
      <c r="O175" s="1" t="s">
        <v>1433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1183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890</v>
      </c>
      <c r="D176" s="23" t="s">
        <v>891</v>
      </c>
      <c r="E176" s="23" t="s">
        <v>892</v>
      </c>
      <c r="F176" s="15" t="s">
        <v>1376</v>
      </c>
      <c r="G176" s="23" t="s">
        <v>893</v>
      </c>
      <c r="O176" s="1" t="s">
        <v>1433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1183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1377</v>
      </c>
      <c r="D177" s="23" t="s">
        <v>1378</v>
      </c>
      <c r="E177" s="23" t="s">
        <v>1379</v>
      </c>
      <c r="F177" s="15" t="s">
        <v>1380</v>
      </c>
      <c r="G177" s="23" t="s">
        <v>1381</v>
      </c>
      <c r="O177" s="1" t="s">
        <v>1433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1183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1501</v>
      </c>
      <c r="D178" s="23" t="s">
        <v>452</v>
      </c>
      <c r="E178" s="23" t="s">
        <v>453</v>
      </c>
      <c r="F178" s="2" t="s">
        <v>54</v>
      </c>
      <c r="G178" s="23" t="s">
        <v>55</v>
      </c>
      <c r="N178" s="1" t="s">
        <v>1508</v>
      </c>
      <c r="O178" s="1" t="s">
        <v>1433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1183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704</v>
      </c>
      <c r="D179" s="23" t="s">
        <v>705</v>
      </c>
      <c r="E179" s="23" t="s">
        <v>706</v>
      </c>
      <c r="F179" s="2" t="s">
        <v>703</v>
      </c>
      <c r="G179" s="23" t="str">
        <f>テーブル1[[#This Row],[名前]]&amp;"(UTAU)"</f>
        <v>マック音ヒトキ(UTAU)</v>
      </c>
      <c r="O179" s="1" t="s">
        <v>1433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1183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468</v>
      </c>
      <c r="D180" s="23" t="s">
        <v>469</v>
      </c>
      <c r="E180" s="23" t="s">
        <v>470</v>
      </c>
      <c r="F180" s="2" t="s">
        <v>186</v>
      </c>
      <c r="G180" s="23" t="s">
        <v>471</v>
      </c>
      <c r="O180" s="1" t="s">
        <v>1433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1183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826</v>
      </c>
      <c r="D181" s="23" t="s">
        <v>827</v>
      </c>
      <c r="E181" s="23" t="s">
        <v>828</v>
      </c>
      <c r="F181" s="15" t="s">
        <v>825</v>
      </c>
      <c r="G181" s="23" t="s">
        <v>829</v>
      </c>
      <c r="O181" s="1" t="s">
        <v>1433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1183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1332</v>
      </c>
      <c r="D182" s="23" t="s">
        <v>1335</v>
      </c>
      <c r="E182" s="23" t="s">
        <v>1334</v>
      </c>
      <c r="F182" s="15" t="s">
        <v>1333</v>
      </c>
      <c r="G182" s="23" t="s">
        <v>1336</v>
      </c>
      <c r="O182" s="1" t="s">
        <v>1433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1183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1423</v>
      </c>
      <c r="D183" s="23" t="s">
        <v>1425</v>
      </c>
      <c r="E183" s="23" t="s">
        <v>1424</v>
      </c>
      <c r="F183" s="15" t="s">
        <v>1422</v>
      </c>
      <c r="G183" s="23" t="s">
        <v>1431</v>
      </c>
      <c r="O183" s="1" t="s">
        <v>1433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1183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925</v>
      </c>
      <c r="D184" s="23" t="s">
        <v>926</v>
      </c>
      <c r="E184" s="23" t="s">
        <v>927</v>
      </c>
      <c r="F184" s="2" t="s">
        <v>673</v>
      </c>
      <c r="G184" s="23" t="s">
        <v>674</v>
      </c>
      <c r="N184" s="1" t="s">
        <v>1507</v>
      </c>
      <c r="O184" s="1" t="s">
        <v>1433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1183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538</v>
      </c>
      <c r="D185" s="23" t="s">
        <v>539</v>
      </c>
      <c r="E185" s="23" t="s">
        <v>540</v>
      </c>
      <c r="F185" s="2" t="s">
        <v>537</v>
      </c>
      <c r="G185" s="23" t="s">
        <v>68</v>
      </c>
      <c r="H185" s="23" t="s">
        <v>1617</v>
      </c>
      <c r="I185" s="23" t="s">
        <v>1626</v>
      </c>
      <c r="K185" s="23" t="s">
        <v>1624</v>
      </c>
      <c r="L185" s="23" t="s">
        <v>1698</v>
      </c>
      <c r="M185" s="23" t="s">
        <v>1650</v>
      </c>
      <c r="N185" s="1" t="s">
        <v>1507</v>
      </c>
      <c r="O185" s="1" t="s">
        <v>1433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1183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432</v>
      </c>
      <c r="D186" s="23" t="s">
        <v>433</v>
      </c>
      <c r="E186" s="23" t="s">
        <v>434</v>
      </c>
      <c r="F186" s="2" t="s">
        <v>54</v>
      </c>
      <c r="G186" s="23" t="s">
        <v>55</v>
      </c>
      <c r="N186" s="1" t="s">
        <v>1508</v>
      </c>
      <c r="O186" s="1" t="s">
        <v>1433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1183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478</v>
      </c>
      <c r="D187" s="23" t="s">
        <v>479</v>
      </c>
      <c r="E187" s="23" t="s">
        <v>480</v>
      </c>
      <c r="F187" s="2" t="s">
        <v>289</v>
      </c>
      <c r="G187" s="23" t="s">
        <v>290</v>
      </c>
      <c r="H187" s="23" t="s">
        <v>1652</v>
      </c>
      <c r="I187" s="23" t="s">
        <v>1666</v>
      </c>
      <c r="K187" s="23" t="s">
        <v>1664</v>
      </c>
      <c r="N187" s="1" t="s">
        <v>1507</v>
      </c>
      <c r="O187" s="1" t="s">
        <v>1433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1183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1350</v>
      </c>
      <c r="D188" s="23" t="s">
        <v>1351</v>
      </c>
      <c r="E188" s="23" t="s">
        <v>1352</v>
      </c>
      <c r="F188" s="2" t="s">
        <v>1353</v>
      </c>
      <c r="G188" s="23" t="s">
        <v>1354</v>
      </c>
      <c r="O188" s="1" t="s">
        <v>1433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1183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1502</v>
      </c>
      <c r="D189" s="23" t="s">
        <v>441</v>
      </c>
      <c r="E189" s="23" t="s">
        <v>442</v>
      </c>
      <c r="F189" s="2" t="s">
        <v>54</v>
      </c>
      <c r="G189" s="23" t="s">
        <v>55</v>
      </c>
      <c r="N189" s="1" t="s">
        <v>1508</v>
      </c>
      <c r="O189" s="1" t="s">
        <v>1433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1183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1198</v>
      </c>
      <c r="D190" s="23" t="s">
        <v>1200</v>
      </c>
      <c r="E190" s="23" t="s">
        <v>1449</v>
      </c>
      <c r="F190" s="15" t="s">
        <v>1201</v>
      </c>
      <c r="G190" s="23" t="s">
        <v>1199</v>
      </c>
      <c r="N190" s="1" t="s">
        <v>1507</v>
      </c>
      <c r="O190" s="1" t="s">
        <v>1433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1183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716</v>
      </c>
      <c r="D191" s="23" t="s">
        <v>717</v>
      </c>
      <c r="E191" s="23" t="s">
        <v>718</v>
      </c>
      <c r="F191" s="15" t="s">
        <v>722</v>
      </c>
      <c r="G191" s="23" t="s">
        <v>1190</v>
      </c>
      <c r="N191" s="1" t="s">
        <v>1508</v>
      </c>
      <c r="O191" s="1" t="s">
        <v>1433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1183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464</v>
      </c>
      <c r="D192" s="23" t="s">
        <v>465</v>
      </c>
      <c r="E192" s="23" t="s">
        <v>466</v>
      </c>
      <c r="F192" s="2" t="s">
        <v>186</v>
      </c>
      <c r="G192" s="23" t="s">
        <v>467</v>
      </c>
      <c r="O192" s="1" t="s">
        <v>1433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1183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1503</v>
      </c>
      <c r="D193" s="23" t="s">
        <v>439</v>
      </c>
      <c r="E193" s="23" t="s">
        <v>440</v>
      </c>
      <c r="F193" s="2" t="s">
        <v>54</v>
      </c>
      <c r="G193" s="23" t="s">
        <v>55</v>
      </c>
      <c r="N193" s="1" t="s">
        <v>1508</v>
      </c>
      <c r="O193" s="1" t="s">
        <v>1433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1183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522</v>
      </c>
      <c r="D194" s="23" t="s">
        <v>523</v>
      </c>
      <c r="E194" s="23" t="s">
        <v>524</v>
      </c>
      <c r="F194" s="2" t="s">
        <v>216</v>
      </c>
      <c r="G194" s="23" t="s">
        <v>217</v>
      </c>
      <c r="H194" s="23" t="s">
        <v>1616</v>
      </c>
      <c r="I194" s="23" t="s">
        <v>1774</v>
      </c>
      <c r="J194" s="23" t="s">
        <v>1775</v>
      </c>
      <c r="M194" s="23" t="s">
        <v>1776</v>
      </c>
      <c r="N194" s="1" t="s">
        <v>1579</v>
      </c>
      <c r="O194" s="1" t="s">
        <v>1433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1183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1504</v>
      </c>
      <c r="D195" s="23" t="s">
        <v>437</v>
      </c>
      <c r="E195" s="23" t="s">
        <v>438</v>
      </c>
      <c r="F195" s="2" t="s">
        <v>54</v>
      </c>
      <c r="G195" s="23" t="s">
        <v>55</v>
      </c>
      <c r="N195" s="1" t="s">
        <v>1508</v>
      </c>
      <c r="O195" s="1" t="s">
        <v>1433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1183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644</v>
      </c>
      <c r="D196" s="23" t="s">
        <v>645</v>
      </c>
      <c r="E196" s="23" t="s">
        <v>643</v>
      </c>
      <c r="F196" s="2" t="s">
        <v>646</v>
      </c>
      <c r="G196" s="23" t="s">
        <v>648</v>
      </c>
      <c r="O196" s="1" t="s">
        <v>1433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1183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652</v>
      </c>
      <c r="D197" s="23" t="s">
        <v>653</v>
      </c>
      <c r="E197" s="23" t="s">
        <v>654</v>
      </c>
      <c r="F197" s="2" t="s">
        <v>655</v>
      </c>
      <c r="G197" s="23" t="s">
        <v>659</v>
      </c>
      <c r="O197" s="1" t="s">
        <v>1433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1183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423</v>
      </c>
      <c r="D198" s="23" t="s">
        <v>424</v>
      </c>
      <c r="E198" s="23" t="s">
        <v>425</v>
      </c>
      <c r="F198" s="2" t="s">
        <v>54</v>
      </c>
      <c r="G198" s="23" t="s">
        <v>55</v>
      </c>
      <c r="N198" s="1" t="s">
        <v>1508</v>
      </c>
      <c r="O198" s="1" t="s">
        <v>1433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1183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750</v>
      </c>
      <c r="D199" s="23" t="s">
        <v>751</v>
      </c>
      <c r="E199" s="23" t="s">
        <v>752</v>
      </c>
      <c r="F199" s="15" t="s">
        <v>753</v>
      </c>
      <c r="G199" s="23" t="s">
        <v>757</v>
      </c>
      <c r="N199" s="1" t="s">
        <v>1507</v>
      </c>
      <c r="O199" s="1" t="s">
        <v>1433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1183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1082</v>
      </c>
      <c r="D200" s="23" t="s">
        <v>1083</v>
      </c>
      <c r="E200" s="23" t="s">
        <v>1084</v>
      </c>
      <c r="F200" s="15" t="s">
        <v>1062</v>
      </c>
      <c r="G200" s="23" t="s">
        <v>1063</v>
      </c>
      <c r="O200" s="1" t="s">
        <v>1433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1183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1308</v>
      </c>
      <c r="D201" s="23" t="s">
        <v>1310</v>
      </c>
      <c r="E201" s="23" t="s">
        <v>1309</v>
      </c>
      <c r="F201" s="15" t="s">
        <v>1311</v>
      </c>
      <c r="G201" s="23" t="s">
        <v>1312</v>
      </c>
      <c r="O201" s="1" t="s">
        <v>1433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1183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1488</v>
      </c>
      <c r="D202" s="23" t="s">
        <v>1489</v>
      </c>
      <c r="E202" s="23" t="s">
        <v>1490</v>
      </c>
      <c r="F202" s="2" t="s">
        <v>1491</v>
      </c>
      <c r="G202" s="23" t="s">
        <v>1492</v>
      </c>
      <c r="O202" s="1" t="s">
        <v>1433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1183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1458</v>
      </c>
      <c r="D203" s="23" t="s">
        <v>1459</v>
      </c>
      <c r="E203" s="23" t="s">
        <v>1460</v>
      </c>
      <c r="F203" s="15" t="s">
        <v>1461</v>
      </c>
      <c r="G203" s="23" t="s">
        <v>1462</v>
      </c>
      <c r="N203" s="1" t="s">
        <v>1507</v>
      </c>
      <c r="O203" s="1" t="s">
        <v>1433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1183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1426</v>
      </c>
      <c r="D204" s="23" t="s">
        <v>1427</v>
      </c>
      <c r="E204" s="23" t="s">
        <v>1428</v>
      </c>
      <c r="F204" s="15" t="s">
        <v>1422</v>
      </c>
      <c r="G204" s="23" t="s">
        <v>1432</v>
      </c>
      <c r="O204" s="1" t="s">
        <v>1433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1183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1483</v>
      </c>
      <c r="D205" s="23" t="s">
        <v>1485</v>
      </c>
      <c r="E205" s="23" t="s">
        <v>1484</v>
      </c>
      <c r="F205" s="2" t="s">
        <v>1486</v>
      </c>
      <c r="G205" s="23" t="s">
        <v>1487</v>
      </c>
      <c r="O205" s="1" t="s">
        <v>1433</v>
      </c>
      <c r="P205" s="24" t="str">
        <f>テーブル1[[#This Row],[リンク]]&amp;テーブル1[[#This Row],[描画状況]]</f>
        <v>https://twisibi.notion.site/1e947481a8ac80a59110fa6b43bf6319済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1183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|MIDDLE:​&amp;link(配布所はこちら){​https://twisibi.notion.site/1e947481a8ac80a59110fa6b43bf6319}|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1429</v>
      </c>
      <c r="D206" s="23" t="s">
        <v>1420</v>
      </c>
      <c r="E206" s="23" t="s">
        <v>1421</v>
      </c>
      <c r="F206" s="15" t="s">
        <v>1422</v>
      </c>
      <c r="G206" s="23" t="s">
        <v>1430</v>
      </c>
      <c r="M206" s="23" t="s">
        <v>1673</v>
      </c>
      <c r="O206" s="1" t="s">
        <v>1433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1183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1454</v>
      </c>
      <c r="D207" s="23" t="s">
        <v>1457</v>
      </c>
      <c r="E207" s="23" t="s">
        <v>1455</v>
      </c>
      <c r="F207" s="15" t="s">
        <v>1456</v>
      </c>
      <c r="G207" s="23" t="str">
        <f>テーブル1[[#This Row],[名前]]&amp;"(UTAU)"</f>
        <v>16号(UTAU)</v>
      </c>
      <c r="O207" s="1" t="s">
        <v>1433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1183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1450</v>
      </c>
      <c r="D208" s="23" t="s">
        <v>1451</v>
      </c>
      <c r="E208" s="23" t="s">
        <v>1452</v>
      </c>
      <c r="F208" s="15" t="s">
        <v>1453</v>
      </c>
      <c r="G208" s="23" t="str">
        <f>テーブル1[[#This Row],[名前]]&amp;"(UTAU)"</f>
        <v>シズルう(UTAU)</v>
      </c>
      <c r="O208" s="1" t="s">
        <v>1433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1183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443</v>
      </c>
      <c r="D209" s="23" t="s">
        <v>444</v>
      </c>
      <c r="E209" s="23" t="s">
        <v>445</v>
      </c>
      <c r="F209" s="2" t="s">
        <v>54</v>
      </c>
      <c r="G209" s="23" t="s">
        <v>55</v>
      </c>
      <c r="N209" s="1" t="s">
        <v>1508</v>
      </c>
      <c r="O209" s="1" t="s">
        <v>1433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1183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1463</v>
      </c>
      <c r="D210" s="23" t="s">
        <v>1465</v>
      </c>
      <c r="E210" s="23" t="s">
        <v>1464</v>
      </c>
      <c r="F210" s="15" t="s">
        <v>1456</v>
      </c>
      <c r="G210" s="23" t="str">
        <f>テーブル1[[#This Row],[名前]]&amp;"(UTAU)"</f>
        <v>ろんく1号(UTAU)</v>
      </c>
      <c r="O210" s="1" t="s">
        <v>1433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1183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1511</v>
      </c>
      <c r="D211" s="23" t="s">
        <v>1510</v>
      </c>
      <c r="E211" s="23" t="s">
        <v>1512</v>
      </c>
      <c r="F211" s="26" t="s">
        <v>1521</v>
      </c>
      <c r="G211" s="23" t="s">
        <v>1513</v>
      </c>
      <c r="N211" s="1" t="s">
        <v>1507</v>
      </c>
      <c r="O211" s="1" t="s">
        <v>1433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1183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1744</v>
      </c>
      <c r="D212" s="23" t="s">
        <v>1515</v>
      </c>
      <c r="E212" s="23" t="s">
        <v>1516</v>
      </c>
      <c r="F212" s="15" t="s">
        <v>1517</v>
      </c>
      <c r="G212" s="23" t="s">
        <v>1520</v>
      </c>
      <c r="H212" s="23" t="s">
        <v>1617</v>
      </c>
      <c r="I212" s="23" t="s">
        <v>1626</v>
      </c>
      <c r="L212" s="23" t="s">
        <v>1680</v>
      </c>
      <c r="N212" s="1" t="s">
        <v>1508</v>
      </c>
      <c r="O212" s="1" t="s">
        <v>1433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1183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1518</v>
      </c>
      <c r="E213" s="23" t="s">
        <v>1519</v>
      </c>
      <c r="F213" s="15" t="s">
        <v>1517</v>
      </c>
      <c r="G213" s="23" t="s">
        <v>1520</v>
      </c>
      <c r="H213" s="23" t="s">
        <v>1653</v>
      </c>
      <c r="I213" s="23" t="s">
        <v>1745</v>
      </c>
      <c r="L213" s="23" t="s">
        <v>1714</v>
      </c>
      <c r="M213" s="23" t="s">
        <v>1836</v>
      </c>
      <c r="N213" s="1" t="s">
        <v>1508</v>
      </c>
      <c r="O213" s="1" t="s">
        <v>1433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1183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1522</v>
      </c>
      <c r="D214" s="23" t="s">
        <v>1523</v>
      </c>
      <c r="E214" s="23" t="s">
        <v>1524</v>
      </c>
      <c r="F214" s="15" t="s">
        <v>1526</v>
      </c>
      <c r="G214" s="23" t="s">
        <v>1525</v>
      </c>
      <c r="N214" s="1" t="s">
        <v>1507</v>
      </c>
      <c r="O214" s="1" t="s">
        <v>1433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1183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1528</v>
      </c>
      <c r="D215" s="23" t="s">
        <v>1537</v>
      </c>
      <c r="E215" s="23" t="s">
        <v>1529</v>
      </c>
      <c r="F215" s="15" t="s">
        <v>1600</v>
      </c>
      <c r="G215" s="23" t="s">
        <v>1530</v>
      </c>
      <c r="N215" s="1" t="s">
        <v>1507</v>
      </c>
      <c r="O215" s="1" t="s">
        <v>1433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1183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534</v>
      </c>
      <c r="D216" s="23" t="s">
        <v>535</v>
      </c>
      <c r="E216" s="23" t="s">
        <v>536</v>
      </c>
      <c r="F216" s="2" t="s">
        <v>537</v>
      </c>
      <c r="G216" s="23" t="s">
        <v>68</v>
      </c>
      <c r="H216" s="23" t="s">
        <v>1617</v>
      </c>
      <c r="I216" s="23" t="s">
        <v>1639</v>
      </c>
      <c r="L216" s="23" t="s">
        <v>1627</v>
      </c>
      <c r="M216" s="23" t="s">
        <v>1700</v>
      </c>
      <c r="N216" s="1" t="s">
        <v>1507</v>
      </c>
      <c r="O216" s="1" t="s">
        <v>1433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1183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1531</v>
      </c>
      <c r="D217" s="23" t="s">
        <v>1532</v>
      </c>
      <c r="E217" s="23" t="s">
        <v>1533</v>
      </c>
      <c r="F217" s="15" t="s">
        <v>1534</v>
      </c>
      <c r="G217" s="23" t="s">
        <v>1535</v>
      </c>
      <c r="N217" s="1" t="s">
        <v>1507</v>
      </c>
      <c r="O217" s="1" t="s">
        <v>1433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1183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1536</v>
      </c>
      <c r="D218" s="23" t="s">
        <v>1538</v>
      </c>
      <c r="E218" s="23" t="s">
        <v>1539</v>
      </c>
      <c r="F218" s="15" t="s">
        <v>289</v>
      </c>
      <c r="G218" s="23" t="s">
        <v>290</v>
      </c>
      <c r="H218" s="23" t="s">
        <v>1617</v>
      </c>
      <c r="I218" s="23" t="s">
        <v>1626</v>
      </c>
      <c r="K218" s="23" t="s">
        <v>1624</v>
      </c>
      <c r="L218" s="23" t="s">
        <v>1627</v>
      </c>
      <c r="M218" s="23" t="s">
        <v>1667</v>
      </c>
      <c r="N218" s="1" t="s">
        <v>1507</v>
      </c>
      <c r="O218" s="1" t="s">
        <v>1433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1183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1554</v>
      </c>
      <c r="D219" s="23" t="s">
        <v>1556</v>
      </c>
      <c r="E219" s="23" t="s">
        <v>1555</v>
      </c>
      <c r="F219" s="2" t="s">
        <v>212</v>
      </c>
      <c r="G219" s="23" t="s">
        <v>213</v>
      </c>
      <c r="N219" s="1" t="s">
        <v>1507</v>
      </c>
      <c r="O219" s="1" t="s">
        <v>1433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1183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1565</v>
      </c>
      <c r="D220" s="23" t="s">
        <v>1568</v>
      </c>
      <c r="E220" s="23" t="s">
        <v>1569</v>
      </c>
      <c r="F220" s="15" t="s">
        <v>1527</v>
      </c>
      <c r="G220" s="23" t="s">
        <v>411</v>
      </c>
      <c r="H220" s="23" t="s">
        <v>1616</v>
      </c>
      <c r="I220" s="23" t="s">
        <v>1639</v>
      </c>
      <c r="L220" s="23" t="s">
        <v>1687</v>
      </c>
      <c r="N220" s="1" t="s">
        <v>1507</v>
      </c>
      <c r="O220" s="1" t="s">
        <v>1433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1183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1574</v>
      </c>
      <c r="D221" s="23" t="s">
        <v>1575</v>
      </c>
      <c r="E221" s="23" t="s">
        <v>1576</v>
      </c>
      <c r="F221" s="15" t="s">
        <v>1577</v>
      </c>
      <c r="G221" s="23" t="s">
        <v>1578</v>
      </c>
      <c r="N221" s="1" t="s">
        <v>1579</v>
      </c>
      <c r="O221" s="1" t="s">
        <v>1433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1183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1580</v>
      </c>
      <c r="D222" s="23" t="s">
        <v>1581</v>
      </c>
      <c r="E222" s="23" t="s">
        <v>1582</v>
      </c>
      <c r="F222" s="15" t="s">
        <v>1577</v>
      </c>
      <c r="G222" s="23" t="s">
        <v>1583</v>
      </c>
      <c r="N222" s="1" t="s">
        <v>1579</v>
      </c>
      <c r="O222" s="1" t="s">
        <v>1433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1183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1584</v>
      </c>
      <c r="D223" s="23" t="s">
        <v>1585</v>
      </c>
      <c r="E223" s="23" t="s">
        <v>1586</v>
      </c>
      <c r="F223" s="15" t="s">
        <v>1577</v>
      </c>
      <c r="G223" s="23" t="str">
        <f>テーブル1[[#This Row],[名前]]&amp;"(UTAU)"</f>
        <v>カイル・タイラー(UTAU)</v>
      </c>
      <c r="N223" s="1" t="s">
        <v>1579</v>
      </c>
      <c r="O223" s="1" t="s">
        <v>1433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1183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1587</v>
      </c>
      <c r="D224" s="23" t="s">
        <v>1588</v>
      </c>
      <c r="E224" s="23" t="s">
        <v>1589</v>
      </c>
      <c r="F224" s="15" t="s">
        <v>1590</v>
      </c>
      <c r="G224" s="23" t="s">
        <v>1591</v>
      </c>
      <c r="O224" s="1" t="s">
        <v>1433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1183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1592</v>
      </c>
      <c r="D225" s="23" t="s">
        <v>1593</v>
      </c>
      <c r="E225" s="23" t="s">
        <v>1594</v>
      </c>
      <c r="F225" s="15" t="s">
        <v>1595</v>
      </c>
      <c r="G225" s="23" t="s">
        <v>1596</v>
      </c>
      <c r="N225" s="1" t="s">
        <v>1579</v>
      </c>
      <c r="O225" s="1" t="s">
        <v>1433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1183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1597</v>
      </c>
      <c r="D226" s="23" t="s">
        <v>1598</v>
      </c>
      <c r="E226" s="23" t="s">
        <v>1599</v>
      </c>
      <c r="F226" s="15" t="s">
        <v>1600</v>
      </c>
      <c r="G226" s="23" t="s">
        <v>1601</v>
      </c>
      <c r="N226" s="1" t="s">
        <v>1579</v>
      </c>
      <c r="O226" s="1" t="s">
        <v>1433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1183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1602</v>
      </c>
      <c r="D227" s="23" t="s">
        <v>1603</v>
      </c>
      <c r="E227" s="23" t="s">
        <v>1604</v>
      </c>
      <c r="F227" s="15" t="s">
        <v>1600</v>
      </c>
      <c r="G227" s="23" t="s">
        <v>1605</v>
      </c>
      <c r="N227" s="1" t="s">
        <v>1579</v>
      </c>
      <c r="O227" s="1" t="s">
        <v>1433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1183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1702</v>
      </c>
      <c r="D228" s="23" t="s">
        <v>1703</v>
      </c>
      <c r="E228" s="23" t="s">
        <v>1704</v>
      </c>
      <c r="F228" s="15" t="s">
        <v>1705</v>
      </c>
      <c r="G228" s="23" t="s">
        <v>1706</v>
      </c>
      <c r="H228" s="23" t="s">
        <v>1616</v>
      </c>
      <c r="I228" s="23" t="s">
        <v>1639</v>
      </c>
      <c r="K228" s="23" t="s">
        <v>1707</v>
      </c>
      <c r="L228" s="23" t="s">
        <v>1708</v>
      </c>
      <c r="M228" s="23" t="s">
        <v>1722</v>
      </c>
      <c r="N228" s="1" t="s">
        <v>1579</v>
      </c>
      <c r="O228" s="1" t="s">
        <v>1433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1183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1709</v>
      </c>
      <c r="D229" s="23" t="s">
        <v>1710</v>
      </c>
      <c r="E229" s="23" t="s">
        <v>1711</v>
      </c>
      <c r="F229" s="3" t="s">
        <v>1712</v>
      </c>
      <c r="G229" s="23" t="s">
        <v>1713</v>
      </c>
      <c r="H229" s="23" t="s">
        <v>1616</v>
      </c>
      <c r="I229" s="23" t="s">
        <v>1626</v>
      </c>
      <c r="L229" s="23" t="s">
        <v>1714</v>
      </c>
      <c r="N229" s="1" t="s">
        <v>1715</v>
      </c>
      <c r="O229" s="1" t="s">
        <v>1433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1183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1727</v>
      </c>
      <c r="D230" s="23" t="s">
        <v>1728</v>
      </c>
      <c r="E230" s="23" t="s">
        <v>1729</v>
      </c>
      <c r="F230" s="29" t="s">
        <v>1735</v>
      </c>
      <c r="G230" s="23" t="s">
        <v>1731</v>
      </c>
      <c r="H230" s="23" t="s">
        <v>1652</v>
      </c>
      <c r="I230" s="23" t="s">
        <v>1626</v>
      </c>
      <c r="K230" s="23" t="s">
        <v>1730</v>
      </c>
      <c r="N230" s="1" t="s">
        <v>1579</v>
      </c>
      <c r="O230" s="1" t="s">
        <v>1433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1183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1736</v>
      </c>
      <c r="D231" s="23" t="s">
        <v>1737</v>
      </c>
      <c r="E231" s="23" t="s">
        <v>1738</v>
      </c>
      <c r="F231" s="29" t="s">
        <v>1739</v>
      </c>
      <c r="G231" s="23" t="s">
        <v>1740</v>
      </c>
      <c r="H231" s="23" t="s">
        <v>1617</v>
      </c>
      <c r="I231" s="23" t="s">
        <v>1762</v>
      </c>
      <c r="J231" s="23" t="s">
        <v>1741</v>
      </c>
      <c r="L231" s="23" t="s">
        <v>1743</v>
      </c>
      <c r="M231" s="23" t="s">
        <v>1742</v>
      </c>
      <c r="N231" s="1" t="s">
        <v>1579</v>
      </c>
      <c r="O231" s="1" t="s">
        <v>1433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1183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1746</v>
      </c>
      <c r="D232" s="23" t="s">
        <v>1747</v>
      </c>
      <c r="E232" s="23" t="s">
        <v>1748</v>
      </c>
      <c r="F232" s="29" t="s">
        <v>1749</v>
      </c>
      <c r="G232" s="23" t="s">
        <v>1750</v>
      </c>
      <c r="H232" s="23" t="s">
        <v>1616</v>
      </c>
      <c r="I232" s="23" t="s">
        <v>1626</v>
      </c>
      <c r="J232" s="23" t="s">
        <v>1763</v>
      </c>
      <c r="L232" s="23" t="s">
        <v>1767</v>
      </c>
      <c r="N232" s="1" t="s">
        <v>1579</v>
      </c>
      <c r="O232" s="1" t="s">
        <v>1433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1183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1752</v>
      </c>
      <c r="D233" s="23" t="s">
        <v>1753</v>
      </c>
      <c r="E233" s="23" t="s">
        <v>1754</v>
      </c>
      <c r="F233" s="29" t="s">
        <v>1755</v>
      </c>
      <c r="G233" s="23" t="str">
        <f>テーブル1[[#This Row],[名前]]&amp;"(UTAU)"</f>
        <v>鳴上キョウ(UTAU)</v>
      </c>
      <c r="H233" s="23" t="s">
        <v>1617</v>
      </c>
      <c r="I233" s="23" t="s">
        <v>1626</v>
      </c>
      <c r="N233" s="1" t="s">
        <v>1579</v>
      </c>
      <c r="O233" s="1" t="s">
        <v>1433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1183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B234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34" s="24" t="s">
        <v>1732</v>
      </c>
      <c r="D234" s="23" t="s">
        <v>1733</v>
      </c>
      <c r="E234" s="23" t="s">
        <v>1734</v>
      </c>
      <c r="F234" s="3" t="s">
        <v>1735</v>
      </c>
      <c r="G234" s="23" t="s">
        <v>1731</v>
      </c>
      <c r="H234" s="23" t="s">
        <v>1616</v>
      </c>
      <c r="I234" s="23" t="s">
        <v>1626</v>
      </c>
      <c r="N234" s="1" t="s">
        <v>1579</v>
      </c>
      <c r="P234" s="24" t="str">
        <f>テーブル1[[#This Row],[リンク]]&amp;テーブル1[[#This Row],[描画状況]]</f>
        <v>https://pessieuph.wixsite.com/meusycaseuphoria</v>
      </c>
      <c r="Q234" s="17">
        <f>1-(COUNTIF(P:P,_xlfn.TEXTJOIN(",",TRUE,テーブル1[[#This Row],[リンク]],テーブル1[[#This Row],[描画状況]]))/COUNTIF(F:F,テーブル1[[#This Row],[リンク]]))</f>
        <v>0.5</v>
      </c>
      <c r="R234" s="16">
        <f ca="1">IFERROR(IF(テーブル1[[#This Row],[描画状況]]="",RAND()+(テーブル1[[#This Row],[列2]]*100),""),RAND())</f>
        <v>50.089153120370995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|&amp;image(aira.png,width=100,height=100)</v>
      </c>
      <c r="V234" s="23" t="str">
        <f>"|MIDDLE:​"&amp;テーブル1[[#This Row],[名前]]</f>
        <v>|MIDDLE:​アイラ</v>
      </c>
      <c r="W234" s="23" t="str">
        <f>"|MIDDLE:​"&amp;テーブル1[[#This Row],[なまえ]]</f>
        <v>|MIDDLE:​あいら</v>
      </c>
      <c r="X234" s="23" t="str">
        <f>"|MIDDLE:​"&amp;テーブル1[[#This Row],[Name]]</f>
        <v>|MIDDLE:​Aira</v>
      </c>
      <c r="Y234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5" spans="1:25" ht="20.149999999999999" customHeight="1" x14ac:dyDescent="0.35">
      <c r="B235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235" s="24" t="s">
        <v>1566</v>
      </c>
      <c r="D235" s="23" t="s">
        <v>1571</v>
      </c>
      <c r="E235" s="23" t="s">
        <v>1570</v>
      </c>
      <c r="F235" s="2" t="s">
        <v>1527</v>
      </c>
      <c r="G235" s="23" t="s">
        <v>411</v>
      </c>
      <c r="H235" s="23" t="s">
        <v>1616</v>
      </c>
      <c r="I235" s="23" t="s">
        <v>1639</v>
      </c>
      <c r="M235" s="23" t="s">
        <v>1662</v>
      </c>
      <c r="N235" s="1" t="s">
        <v>1507</v>
      </c>
      <c r="P235" s="24" t="str">
        <f>テーブル1[[#This Row],[リンク]]&amp;テーブル1[[#This Row],[描画状況]]</f>
        <v>https://vividseekers.utau.sorairomarch.com</v>
      </c>
      <c r="Q235" s="17">
        <f>1-(COUNTIF(P:P,_xlfn.TEXTJOIN(",",TRUE,テーブル1[[#This Row],[リンク]],テーブル1[[#This Row],[描画状況]]))/COUNTIF(F:F,テーブル1[[#This Row],[リンク]]))</f>
        <v>0.6</v>
      </c>
      <c r="R235" s="16">
        <f ca="1">IFERROR(IF(テーブル1[[#This Row],[描画状況]]="",RAND()+(テーブル1[[#This Row],[列2]]*100),""),RAND())</f>
        <v>60.330091045217493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|&amp;image(kagetsuki-reine.png,width=100,height=100)</v>
      </c>
      <c r="V235" s="23" t="str">
        <f>"|MIDDLE:​"&amp;テーブル1[[#This Row],[名前]]</f>
        <v>|MIDDLE:​影月澪音</v>
      </c>
      <c r="W235" s="23" t="str">
        <f>"|MIDDLE:​"&amp;テーブル1[[#This Row],[なまえ]]</f>
        <v>|MIDDLE:​かげつき れいね</v>
      </c>
      <c r="X235" s="23" t="str">
        <f>"|MIDDLE:​"&amp;テーブル1[[#This Row],[Name]]</f>
        <v>|MIDDLE:​Kagetsuki Reine</v>
      </c>
      <c r="Y235" s="23" t="str">
        <f>"|MIDDLE:​&amp;link(配布所はこちら){​"&amp;テーブル1[[#This Row],[リンク]]&amp;"}|"</f>
        <v>|MIDDLE:​&amp;link(配布所はこちら){​https://vividseekers.utau.sorairomarch.com}|</v>
      </c>
    </row>
    <row r="236" spans="1:25" ht="20.149999999999999" customHeight="1" x14ac:dyDescent="0.35">
      <c r="B236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36" s="24" t="s">
        <v>1567</v>
      </c>
      <c r="D236" s="23" t="s">
        <v>1573</v>
      </c>
      <c r="E236" s="23" t="s">
        <v>1572</v>
      </c>
      <c r="F236" s="2" t="s">
        <v>1527</v>
      </c>
      <c r="G236" s="23" t="s">
        <v>411</v>
      </c>
      <c r="H236" s="23" t="s">
        <v>1617</v>
      </c>
      <c r="I236" s="23" t="s">
        <v>1639</v>
      </c>
      <c r="N236" s="1" t="s">
        <v>1507</v>
      </c>
      <c r="P236" s="24" t="str">
        <f>テーブル1[[#This Row],[リンク]]&amp;テーブル1[[#This Row],[描画状況]]</f>
        <v>https://vividseekers.utau.sorairomarch.com</v>
      </c>
      <c r="Q236" s="17">
        <f>1-(COUNTIF(P:P,_xlfn.TEXTJOIN(",",TRUE,テーブル1[[#This Row],[リンク]],テーブル1[[#This Row],[描画状況]]))/COUNTIF(F:F,テーブル1[[#This Row],[リンク]]))</f>
        <v>0.6</v>
      </c>
      <c r="R236" s="16">
        <f ca="1">IFERROR(IF(テーブル1[[#This Row],[描画状況]]="",RAND()+(テーブル1[[#This Row],[列2]]*100),""),RAND())</f>
        <v>60.027184846758495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|&amp;image(akatsuki-haruki.png,width=100,height=100)</v>
      </c>
      <c r="V236" s="23" t="str">
        <f>"|MIDDLE:​"&amp;テーブル1[[#This Row],[名前]]</f>
        <v>|MIDDLE:​暁月陽輝</v>
      </c>
      <c r="W236" s="23" t="str">
        <f>"|MIDDLE:​"&amp;テーブル1[[#This Row],[なまえ]]</f>
        <v>|MIDDLE:​あかつき はるき</v>
      </c>
      <c r="X236" s="23" t="str">
        <f>"|MIDDLE:​"&amp;テーブル1[[#This Row],[Name]]</f>
        <v>|MIDDLE:​Akatsuki Haruki</v>
      </c>
      <c r="Y236" s="23" t="str">
        <f>"|MIDDLE:​&amp;link(配布所はこちら){​"&amp;テーブル1[[#This Row],[リンク]]&amp;"}|"</f>
        <v>|MIDDLE:​&amp;link(配布所はこちら){​https://vividseekers.utau.sorairomarch.com}|</v>
      </c>
    </row>
    <row r="237" spans="1:25" ht="20.149999999999999" customHeight="1" x14ac:dyDescent="0.35">
      <c r="B237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37" s="24" t="s">
        <v>1036</v>
      </c>
      <c r="D237" s="23" t="s">
        <v>1037</v>
      </c>
      <c r="E237" s="23" t="s">
        <v>1038</v>
      </c>
      <c r="F237" s="2" t="s">
        <v>517</v>
      </c>
      <c r="G237" s="23" t="s">
        <v>518</v>
      </c>
      <c r="N237" s="1" t="s">
        <v>1507</v>
      </c>
      <c r="P237" s="24" t="str">
        <f>テーブル1[[#This Row],[リンク]]&amp;テーブル1[[#This Row],[描画状況]]</f>
        <v>https://coyukimachi.wixsite.com/my-site</v>
      </c>
      <c r="Q237" s="17">
        <f>1-(COUNTIF(P:P,_xlfn.TEXTJOIN(",",TRUE,テーブル1[[#This Row],[リンク]],テーブル1[[#This Row],[描画状況]]))/COUNTIF(F:F,テーブル1[[#This Row],[リンク]]))</f>
        <v>0</v>
      </c>
      <c r="R237" s="16">
        <f ca="1">IFERROR(IF(テーブル1[[#This Row],[描画状況]]="",RAND()+(テーブル1[[#This Row],[列2]]*100),""),RAND())</f>
        <v>0.98048526512834555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|&amp;image(asahibashi-nagisa.png,width=100,height=100)</v>
      </c>
      <c r="V237" s="23" t="str">
        <f>"|MIDDLE:​"&amp;テーブル1[[#This Row],[名前]]</f>
        <v>|MIDDLE:​旭橋渚</v>
      </c>
      <c r="W237" s="23" t="str">
        <f>"|MIDDLE:​"&amp;テーブル1[[#This Row],[なまえ]]</f>
        <v>|MIDDLE:​​あさひばし なぎさ</v>
      </c>
      <c r="X237" s="23" t="str">
        <f>"|MIDDLE:​"&amp;テーブル1[[#This Row],[Name]]</f>
        <v>|MIDDLE:​Asahibashi Nagisa</v>
      </c>
      <c r="Y237" s="23" t="str">
        <f>"|MIDDLE:​&amp;link(配布所はこちら){​"&amp;テーブル1[[#This Row],[リンク]]&amp;"}|"</f>
        <v>|MIDDLE:​&amp;link(配布所はこちら){​https://coyukimachi.wixsite.com/my-site}|</v>
      </c>
    </row>
    <row r="238" spans="1:25" ht="20.149999999999999" customHeight="1" x14ac:dyDescent="0.35">
      <c r="B238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38" s="24" t="s">
        <v>763</v>
      </c>
      <c r="D238" s="23" t="s">
        <v>764</v>
      </c>
      <c r="E238" s="23" t="s">
        <v>765</v>
      </c>
      <c r="F238" s="15" t="s">
        <v>753</v>
      </c>
      <c r="G238" s="23" t="s">
        <v>757</v>
      </c>
      <c r="N238" s="1" t="s">
        <v>1507</v>
      </c>
      <c r="P238" s="24" t="str">
        <f>テーブル1[[#This Row],[リンク]]&amp;テーブル1[[#This Row],[描画状況]]</f>
        <v>http://shadeofgreen.web.fc2.com</v>
      </c>
      <c r="Q238" s="17">
        <f>1-(COUNTIF(P:P,_xlfn.TEXTJOIN(",",TRUE,テーブル1[[#This Row],[リンク]],テーブル1[[#This Row],[描画状況]]))/COUNTIF(F:F,テーブル1[[#This Row],[リンク]]))</f>
        <v>0.33333333333333337</v>
      </c>
      <c r="R238" s="16">
        <f ca="1">IFERROR(IF(テーブル1[[#This Row],[描画状況]]="",RAND()+(テーブル1[[#This Row],[列2]]*100),""),RAND())</f>
        <v>34.31195702997865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|&amp;image(aoba-shin.png,width=100,height=100)</v>
      </c>
      <c r="V238" s="23" t="str">
        <f>"|MIDDLE:​"&amp;テーブル1[[#This Row],[名前]]</f>
        <v>|MIDDLE:​青葉シン</v>
      </c>
      <c r="W238" s="23" t="str">
        <f>"|MIDDLE:​"&amp;テーブル1[[#This Row],[なまえ]]</f>
        <v>|MIDDLE:​あおば しん</v>
      </c>
      <c r="X238" s="23" t="str">
        <f>"|MIDDLE:​"&amp;テーブル1[[#This Row],[Name]]</f>
        <v>|MIDDLE:​Aoba Shin</v>
      </c>
      <c r="Y238" s="23" t="str">
        <f>"|MIDDLE:​&amp;link(配布所はこちら){​"&amp;テーブル1[[#This Row],[リンク]]&amp;"}|"</f>
        <v>|MIDDLE:​&amp;link(配布所はこちら){​http://shadeofgreen.web.fc2.com}|</v>
      </c>
    </row>
    <row r="239" spans="1:25" ht="20.149999999999999" customHeight="1" x14ac:dyDescent="0.35">
      <c r="B239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39" s="24" t="s">
        <v>754</v>
      </c>
      <c r="D239" s="23" t="s">
        <v>755</v>
      </c>
      <c r="E239" s="23" t="s">
        <v>756</v>
      </c>
      <c r="F239" s="15" t="s">
        <v>753</v>
      </c>
      <c r="G239" s="23" t="s">
        <v>757</v>
      </c>
      <c r="N239" s="1" t="s">
        <v>1507</v>
      </c>
      <c r="P239" s="24" t="str">
        <f>テーブル1[[#This Row],[リンク]]&amp;テーブル1[[#This Row],[描画状況]]</f>
        <v>http://shadeofgreen.web.fc2.com</v>
      </c>
      <c r="Q239" s="17">
        <f>1-(COUNTIF(P:P,_xlfn.TEXTJOIN(",",TRUE,テーブル1[[#This Row],[リンク]],テーブル1[[#This Row],[描画状況]]))/COUNTIF(F:F,テーブル1[[#This Row],[リンク]]))</f>
        <v>0.33333333333333337</v>
      </c>
      <c r="R239" s="16">
        <f ca="1">IFERROR(IF(テーブル1[[#This Row],[描画状況]]="",RAND()+(テーブル1[[#This Row],[列2]]*100),""),RAND())</f>
        <v>34.099315097180373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|&amp;image(aoba-ryoku.png,width=100,height=100)</v>
      </c>
      <c r="V239" s="23" t="str">
        <f>"|MIDDLE:​"&amp;テーブル1[[#This Row],[名前]]</f>
        <v>|MIDDLE:​青葉リョク</v>
      </c>
      <c r="W239" s="23" t="str">
        <f>"|MIDDLE:​"&amp;テーブル1[[#This Row],[なまえ]]</f>
        <v>|MIDDLE:​あおば りょく</v>
      </c>
      <c r="X239" s="23" t="str">
        <f>"|MIDDLE:​"&amp;テーブル1[[#This Row],[Name]]</f>
        <v>|MIDDLE:​Aoba Ryoku</v>
      </c>
      <c r="Y239" s="23" t="str">
        <f>"|MIDDLE:​&amp;link(配布所はこちら){​"&amp;テーブル1[[#This Row],[リンク]]&amp;"}|"</f>
        <v>|MIDDLE:​&amp;link(配布所はこちら){​http://shadeofgreen.web.fc2.com}|</v>
      </c>
    </row>
    <row r="240" spans="1:25" ht="20.149999999999999" customHeight="1" x14ac:dyDescent="0.35">
      <c r="B240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40" s="24" t="s">
        <v>1370</v>
      </c>
      <c r="D240" s="23" t="s">
        <v>1372</v>
      </c>
      <c r="E240" s="23" t="s">
        <v>1371</v>
      </c>
      <c r="F240" s="2" t="s">
        <v>1353</v>
      </c>
      <c r="G240" s="23" t="s">
        <v>1354</v>
      </c>
      <c r="P240" s="24" t="str">
        <f>テーブル1[[#This Row],[リンク]]&amp;テーブル1[[#This Row],[描画状況]]</f>
        <v>https://maybeanglo0mochi.wixsite.com/mochiyanosouko</v>
      </c>
      <c r="Q240" s="17">
        <f>1-(COUNTIF(P:P,_xlfn.TEXTJOIN(",",TRUE,テーブル1[[#This Row],[リンク]],テーブル1[[#This Row],[描画状況]]))/COUNTIF(F:F,テーブル1[[#This Row],[リンク]]))</f>
        <v>0.125</v>
      </c>
      <c r="R240" s="16">
        <f ca="1">IFERROR(IF(テーブル1[[#This Row],[描画状況]]="",RAND()+(テーブル1[[#This Row],[列2]]*100),""),RAND())</f>
        <v>12.761743919833039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|&amp;image(akasha＝sophia.png,width=100,height=100)</v>
      </c>
      <c r="V240" s="23" t="str">
        <f>"|MIDDLE:​"&amp;テーブル1[[#This Row],[名前]]</f>
        <v>|MIDDLE:​アカシャ＝ソフィア</v>
      </c>
      <c r="W240" s="23" t="str">
        <f>"|MIDDLE:​"&amp;テーブル1[[#This Row],[なまえ]]</f>
        <v>|MIDDLE:​あかしゃ＝そふぃあ</v>
      </c>
      <c r="X240" s="23" t="str">
        <f>"|MIDDLE:​"&amp;テーブル1[[#This Row],[Name]]</f>
        <v>|MIDDLE:​Akasha＝Sophia</v>
      </c>
      <c r="Y240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41" spans="2:25" ht="20.149999999999999" customHeight="1" x14ac:dyDescent="0.35">
      <c r="B241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41" s="24" t="s">
        <v>981</v>
      </c>
      <c r="D241" s="23" t="s">
        <v>982</v>
      </c>
      <c r="E241" s="23" t="s">
        <v>983</v>
      </c>
      <c r="F241" s="2" t="s">
        <v>569</v>
      </c>
      <c r="G241" s="23" t="s">
        <v>570</v>
      </c>
      <c r="N241" s="1" t="s">
        <v>1507</v>
      </c>
      <c r="P241" s="24" t="str">
        <f>テーブル1[[#This Row],[リンク]]&amp;テーブル1[[#This Row],[描画状況]]</f>
        <v>https://askdance.wixsite.com/monitor-room/monitor-room</v>
      </c>
      <c r="Q241" s="17">
        <f>1-(COUNTIF(P:P,_xlfn.TEXTJOIN(",",TRUE,テーブル1[[#This Row],[リンク]],テーブル1[[#This Row],[描画状況]]))/COUNTIF(F:F,テーブル1[[#This Row],[リンク]]))</f>
        <v>9.9999999999999978E-2</v>
      </c>
      <c r="R241" s="16">
        <f ca="1">IFERROR(IF(テーブル1[[#This Row],[描画状況]]="",RAND()+(テーブル1[[#This Row],[列2]]*100),""),RAND())</f>
        <v>10.550067058402242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|&amp;image(akaruiji-satsu.png,width=100,height=100)</v>
      </c>
      <c r="V241" s="23" t="str">
        <f>"|MIDDLE:​"&amp;テーブル1[[#This Row],[名前]]</f>
        <v>|MIDDLE:​明泪寺早津</v>
      </c>
      <c r="W241" s="23" t="str">
        <f>"|MIDDLE:​"&amp;テーブル1[[#This Row],[なまえ]]</f>
        <v>|MIDDLE:​あかるいじ さつ</v>
      </c>
      <c r="X241" s="23" t="str">
        <f>"|MIDDLE:​"&amp;テーブル1[[#This Row],[Name]]</f>
        <v>|MIDDLE:​Akaruiji Satsu</v>
      </c>
      <c r="Y241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2" spans="2:25" ht="20.149999999999999" customHeight="1" x14ac:dyDescent="0.35">
      <c r="B242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42" s="24" t="s">
        <v>616</v>
      </c>
      <c r="D242" s="23" t="s">
        <v>617</v>
      </c>
      <c r="E242" s="23" t="s">
        <v>618</v>
      </c>
      <c r="F242" s="2" t="s">
        <v>212</v>
      </c>
      <c r="G242" s="23" t="s">
        <v>213</v>
      </c>
      <c r="N242" s="1" t="s">
        <v>1507</v>
      </c>
      <c r="P242" s="24" t="str">
        <f>テーブル1[[#This Row],[リンク]]&amp;テーブル1[[#This Row],[描画状況]]</f>
        <v>https://mitoristu.wixsite.com/kousaibako</v>
      </c>
      <c r="Q242" s="17">
        <f>1-(COUNTIF(P:P,_xlfn.TEXTJOIN(",",TRUE,テーブル1[[#This Row],[リンク]],テーブル1[[#This Row],[描画状況]]))/COUNTIF(F:F,テーブル1[[#This Row],[リンク]]))</f>
        <v>0.19999999999999996</v>
      </c>
      <c r="R242" s="16">
        <f ca="1">IFERROR(IF(テーブル1[[#This Row],[描画状況]]="",RAND()+(テーブル1[[#This Row],[列2]]*100),""),RAND())</f>
        <v>20.474251742334072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|&amp;image(amatsuka-yuki.png,width=100,height=100)</v>
      </c>
      <c r="V242" s="23" t="str">
        <f>"|MIDDLE:​"&amp;テーブル1[[#This Row],[名前]]</f>
        <v>|MIDDLE:​天使雪</v>
      </c>
      <c r="W242" s="23" t="str">
        <f>"|MIDDLE:​"&amp;テーブル1[[#This Row],[なまえ]]</f>
        <v>|MIDDLE:​あまつか ゆき</v>
      </c>
      <c r="X242" s="23" t="str">
        <f>"|MIDDLE:​"&amp;テーブル1[[#This Row],[Name]]</f>
        <v>|MIDDLE:​Amatsuka Yuki</v>
      </c>
      <c r="Y242" s="23" t="str">
        <f>"|MIDDLE:​&amp;link(配布所はこちら){​"&amp;テーブル1[[#This Row],[リンク]]&amp;"}|"</f>
        <v>|MIDDLE:​&amp;link(配布所はこちら){​https://mitoristu.wixsite.com/kousaibako}|</v>
      </c>
    </row>
    <row r="243" spans="2:25" ht="20.149999999999999" customHeight="1" x14ac:dyDescent="0.35">
      <c r="B243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43" s="24" t="s">
        <v>1260</v>
      </c>
      <c r="D243" s="23" t="s">
        <v>1262</v>
      </c>
      <c r="E243" s="23" t="s">
        <v>1261</v>
      </c>
      <c r="F243" s="15" t="s">
        <v>174</v>
      </c>
      <c r="G243" s="24" t="s">
        <v>1280</v>
      </c>
      <c r="H243" s="24"/>
      <c r="I243" s="24"/>
      <c r="J243" s="24"/>
      <c r="K243" s="24"/>
      <c r="L243" s="24"/>
      <c r="M243" s="24"/>
      <c r="P243" s="24" t="str">
        <f>テーブル1[[#This Row],[リンク]]&amp;テーブル1[[#This Row],[描画状況]]</f>
        <v>https://lenskkpb.wixsite.com/len-sakaki-official</v>
      </c>
      <c r="Q243" s="17">
        <f>1-(COUNTIF(P:P,_xlfn.TEXTJOIN(",",TRUE,テーブル1[[#This Row],[リンク]],テーブル1[[#This Row],[描画状況]]))/COUNTIF(F:F,テーブル1[[#This Row],[リンク]]))</f>
        <v>0.125</v>
      </c>
      <c r="R243" s="16">
        <f ca="1">IFERROR(IF(テーブル1[[#This Row],[描画状況]]="",RAND()+(テーブル1[[#This Row],[列2]]*100),""),RAND())</f>
        <v>13.024335115177962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|&amp;image(amatsuji-azuma.png,width=100,height=100)</v>
      </c>
      <c r="V243" s="23" t="str">
        <f>"|MIDDLE:​"&amp;テーブル1[[#This Row],[名前]]</f>
        <v>|MIDDLE:​天辻雷</v>
      </c>
      <c r="W243" s="23" t="str">
        <f>"|MIDDLE:​"&amp;テーブル1[[#This Row],[なまえ]]</f>
        <v>|MIDDLE:​あまつじ あずま</v>
      </c>
      <c r="X243" s="23" t="str">
        <f>"|MIDDLE:​"&amp;テーブル1[[#This Row],[Name]]</f>
        <v>|MIDDLE:​Amatsuji Azuma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2:25" ht="20.149999999999999" customHeight="1" x14ac:dyDescent="0.35">
      <c r="B244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44" s="24" t="s">
        <v>847</v>
      </c>
      <c r="D244" s="23" t="s">
        <v>848</v>
      </c>
      <c r="E244" s="23" t="s">
        <v>849</v>
      </c>
      <c r="F244" s="2" t="s">
        <v>830</v>
      </c>
      <c r="G244" s="23" t="s">
        <v>831</v>
      </c>
      <c r="P244" s="24" t="str">
        <f>テーブル1[[#This Row],[リンク]]&amp;テーブル1[[#This Row],[描画状況]]</f>
        <v>https://kaedekatusaki.wixsite.com/yanagiroutyou</v>
      </c>
      <c r="Q244" s="17">
        <f>1-(COUNTIF(P:P,_xlfn.TEXTJOIN(",",TRUE,テーブル1[[#This Row],[リンク]],テーブル1[[#This Row],[描画状況]]))/COUNTIF(F:F,テーブル1[[#This Row],[リンク]]))</f>
        <v>0.125</v>
      </c>
      <c r="R244" s="16">
        <f ca="1">IFERROR(IF(テーブル1[[#This Row],[描画状況]]="",RAND()+(テーブル1[[#This Row],[列2]]*100),""),RAND())</f>
        <v>12.683984430219224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|&amp;image(amatsuroid.png,width=100,height=100)</v>
      </c>
      <c r="V244" s="23" t="str">
        <f>"|MIDDLE:​"&amp;テーブル1[[#This Row],[名前]]</f>
        <v>|MIDDLE:​アマツロイド</v>
      </c>
      <c r="W244" s="23" t="str">
        <f>"|MIDDLE:​"&amp;テーブル1[[#This Row],[なまえ]]</f>
        <v>|MIDDLE:​あまつろいど</v>
      </c>
      <c r="X244" s="23" t="str">
        <f>"|MIDDLE:​"&amp;テーブル1[[#This Row],[Name]]</f>
        <v>|MIDDLE:​Amatsuroid</v>
      </c>
      <c r="Y244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45" spans="2:25" ht="20.149999999999999" customHeight="1" x14ac:dyDescent="0.35">
      <c r="B245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45" s="24" t="s">
        <v>991</v>
      </c>
      <c r="D245" s="23" t="s">
        <v>992</v>
      </c>
      <c r="E245" s="23" t="s">
        <v>993</v>
      </c>
      <c r="F245" s="2" t="s">
        <v>569</v>
      </c>
      <c r="G245" s="23" t="s">
        <v>570</v>
      </c>
      <c r="N245" s="1" t="s">
        <v>1507</v>
      </c>
      <c r="P245" s="24" t="str">
        <f>テーブル1[[#This Row],[リンク]]&amp;テーブル1[[#This Row],[描画状況]]</f>
        <v>https://askdance.wixsite.com/monitor-room/monitor-room</v>
      </c>
      <c r="Q245" s="17">
        <f>1-(COUNTIF(P:P,_xlfn.TEXTJOIN(",",TRUE,テーブル1[[#This Row],[リンク]],テーブル1[[#This Row],[描画状況]]))/COUNTIF(F:F,テーブル1[[#This Row],[リンク]]))</f>
        <v>9.9999999999999978E-2</v>
      </c>
      <c r="R245" s="16">
        <f ca="1">IFERROR(IF(テーブル1[[#This Row],[描画状況]]="",RAND()+(テーブル1[[#This Row],[列2]]*100),""),RAND())</f>
        <v>10.451690819462611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|&amp;image(ameaya-nano.png,width=100,height=100)</v>
      </c>
      <c r="V245" s="23" t="str">
        <f>"|MIDDLE:​"&amp;テーブル1[[#This Row],[名前]]</f>
        <v>|MIDDLE:​天彩渚乃</v>
      </c>
      <c r="W245" s="23" t="str">
        <f>"|MIDDLE:​"&amp;テーブル1[[#This Row],[なまえ]]</f>
        <v>|MIDDLE:​あめあや なの</v>
      </c>
      <c r="X245" s="23" t="str">
        <f>"|MIDDLE:​"&amp;テーブル1[[#This Row],[Name]]</f>
        <v>|MIDDLE:​Ameaya Nano</v>
      </c>
      <c r="Y24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46" spans="2:25" ht="20.149999999999999" customHeight="1" x14ac:dyDescent="0.35">
      <c r="B246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46" s="24" t="s">
        <v>1846</v>
      </c>
      <c r="D246" s="23" t="s">
        <v>1847</v>
      </c>
      <c r="E246" s="23" t="s">
        <v>1848</v>
      </c>
      <c r="F246" s="2" t="s">
        <v>97</v>
      </c>
      <c r="G246" s="23" t="s">
        <v>98</v>
      </c>
      <c r="H246" s="23" t="s">
        <v>1616</v>
      </c>
      <c r="I246" s="23" t="s">
        <v>1849</v>
      </c>
      <c r="L246" s="23" t="s">
        <v>1850</v>
      </c>
      <c r="M246" s="23" t="s">
        <v>1647</v>
      </c>
      <c r="N246" s="1" t="s">
        <v>1507</v>
      </c>
      <c r="P246" s="24" t="str">
        <f>テーブル1[[#This Row],[リンク]]&amp;テーブル1[[#This Row],[描画状況]]</f>
        <v>https://hinagitsune-utau.wixsite.com/utaukokorone</v>
      </c>
      <c r="Q246" s="17">
        <f>1-(COUNTIF(P:P,_xlfn.TEXTJOIN(",",TRUE,テーブル1[[#This Row],[リンク]],テーブル1[[#This Row],[描画状況]]))/COUNTIF(F:F,テーブル1[[#This Row],[リンク]]))</f>
        <v>0.19999999999999996</v>
      </c>
      <c r="R246" s="16">
        <f ca="1">IFERROR(IF(テーブル1[[#This Row],[描画状況]]="",RAND()+(テーブル1[[#This Row],[列2]]*100),""),RAND())</f>
        <v>20.421608034398052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|&amp;image(amaze-maze-noisette.png,width=100,height=100)</v>
      </c>
      <c r="V246" s="23" t="str">
        <f>"|MIDDLE:​"&amp;テーブル1[[#This Row],[名前]]</f>
        <v>|MIDDLE:​アメイズ・メイズ・ノワゼット</v>
      </c>
      <c r="W246" s="23" t="str">
        <f>"|MIDDLE:​"&amp;テーブル1[[#This Row],[なまえ]]</f>
        <v>|MIDDLE:​あめいず めいず のわぜっと</v>
      </c>
      <c r="X246" s="23" t="str">
        <f>"|MIDDLE:​"&amp;テーブル1[[#This Row],[Name]]</f>
        <v>|MIDDLE:​Amaze Maze Noisette</v>
      </c>
      <c r="Y2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47" spans="2:25" ht="20.149999999999999" customHeight="1" x14ac:dyDescent="0.35">
      <c r="B247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47" s="24" t="s">
        <v>949</v>
      </c>
      <c r="D247" s="23" t="s">
        <v>950</v>
      </c>
      <c r="E247" s="23" t="s">
        <v>951</v>
      </c>
      <c r="F247" s="2" t="s">
        <v>673</v>
      </c>
      <c r="G247" s="23" t="s">
        <v>674</v>
      </c>
      <c r="N247" s="1" t="s">
        <v>1507</v>
      </c>
      <c r="P247" s="24" t="str">
        <f>テーブル1[[#This Row],[リンク]]&amp;テーブル1[[#This Row],[描画状況]]</f>
        <v>https://ametro.jimdofree.com</v>
      </c>
      <c r="Q247" s="17">
        <f>1-(COUNTIF(P:P,_xlfn.TEXTJOIN(",",TRUE,テーブル1[[#This Row],[リンク]],テーブル1[[#This Row],[描画状況]]))/COUNTIF(F:F,テーブル1[[#This Row],[リンク]]))</f>
        <v>0.19999999999999996</v>
      </c>
      <c r="R247" s="16">
        <f ca="1">IFERROR(IF(テーブル1[[#This Row],[描画状況]]="",RAND()+(テーブル1[[#This Row],[列2]]*100),""),RAND())</f>
        <v>20.965204798302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|&amp;image(ameuta-nives.png,width=100,height=100)</v>
      </c>
      <c r="V247" s="23" t="str">
        <f>"|MIDDLE:​"&amp;テーブル1[[#This Row],[名前]]</f>
        <v>|MIDDLE:​飴唄ニーヴェス</v>
      </c>
      <c r="W247" s="23" t="str">
        <f>"|MIDDLE:​"&amp;テーブル1[[#This Row],[なまえ]]</f>
        <v>|MIDDLE:​あめうた にーゔぇす</v>
      </c>
      <c r="X247" s="23" t="str">
        <f>"|MIDDLE:​"&amp;テーブル1[[#This Row],[Name]]</f>
        <v>|MIDDLE:​Ameuta Nives</v>
      </c>
      <c r="Y247" s="23" t="str">
        <f>"|MIDDLE:​&amp;link(配布所はこちら){​"&amp;テーブル1[[#This Row],[リンク]]&amp;"}|"</f>
        <v>|MIDDLE:​&amp;link(配布所はこちら){​https://ametro.jimdofree.com}|</v>
      </c>
    </row>
    <row r="248" spans="2:25" ht="20.149999999999999" customHeight="1" x14ac:dyDescent="0.35">
      <c r="B248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48" s="24" t="s">
        <v>928</v>
      </c>
      <c r="D248" s="23" t="s">
        <v>929</v>
      </c>
      <c r="E248" s="23" t="s">
        <v>930</v>
      </c>
      <c r="F248" s="2" t="s">
        <v>673</v>
      </c>
      <c r="G248" s="23" t="s">
        <v>674</v>
      </c>
      <c r="N248" s="1" t="s">
        <v>1507</v>
      </c>
      <c r="P248" s="24" t="str">
        <f>テーブル1[[#This Row],[リンク]]&amp;テーブル1[[#This Row],[描画状況]]</f>
        <v>https://ametro.jimdofree.com</v>
      </c>
      <c r="Q248" s="17">
        <f>1-(COUNTIF(P:P,_xlfn.TEXTJOIN(",",TRUE,テーブル1[[#This Row],[リンク]],テーブル1[[#This Row],[描画状況]]))/COUNTIF(F:F,テーブル1[[#This Row],[リンク]]))</f>
        <v>0.19999999999999996</v>
      </c>
      <c r="R248" s="16">
        <f ca="1">IFERROR(IF(テーブル1[[#This Row],[描画状況]]="",RAND()+(テーブル1[[#This Row],[列2]]*100),""),RAND())</f>
        <v>20.467900289962561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|&amp;image(ameuta-niko.png,width=100,height=100)</v>
      </c>
      <c r="V248" s="23" t="str">
        <f>"|MIDDLE:​"&amp;テーブル1[[#This Row],[名前]]</f>
        <v>|MIDDLE:​飴唄仁胡</v>
      </c>
      <c r="W248" s="23" t="str">
        <f>"|MIDDLE:​"&amp;テーブル1[[#This Row],[なまえ]]</f>
        <v>|MIDDLE:​あめうた にこ</v>
      </c>
      <c r="X248" s="23" t="str">
        <f>"|MIDDLE:​"&amp;テーブル1[[#This Row],[Name]]</f>
        <v>|MIDDLE:​Ameuta Niko</v>
      </c>
      <c r="Y248" s="23" t="str">
        <f>"|MIDDLE:​&amp;link(配布所はこちら){​"&amp;テーブル1[[#This Row],[リンク]]&amp;"}|"</f>
        <v>|MIDDLE:​&amp;link(配布所はこちら){​https://ametro.jimdofree.com}|</v>
      </c>
    </row>
    <row r="249" spans="2:25" ht="20.149999999999999" customHeight="1" x14ac:dyDescent="0.35">
      <c r="B249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49" s="24" t="s">
        <v>934</v>
      </c>
      <c r="D249" s="23" t="s">
        <v>935</v>
      </c>
      <c r="E249" s="23" t="s">
        <v>936</v>
      </c>
      <c r="F249" s="2" t="s">
        <v>673</v>
      </c>
      <c r="G249" s="23" t="s">
        <v>674</v>
      </c>
      <c r="N249" s="1" t="s">
        <v>1507</v>
      </c>
      <c r="P249" s="24" t="str">
        <f>テーブル1[[#This Row],[リンク]]&amp;テーブル1[[#This Row],[描画状況]]</f>
        <v>https://ametro.jimdofree.com</v>
      </c>
      <c r="Q249" s="17">
        <f>1-(COUNTIF(P:P,_xlfn.TEXTJOIN(",",TRUE,テーブル1[[#This Row],[リンク]],テーブル1[[#This Row],[描画状況]]))/COUNTIF(F:F,テーブル1[[#This Row],[リンク]]))</f>
        <v>0.19999999999999996</v>
      </c>
      <c r="R249" s="16">
        <f ca="1">IFERROR(IF(テーブル1[[#This Row],[描画状況]]="",RAND()+(テーブル1[[#This Row],[列2]]*100),""),RAND())</f>
        <v>20.780047932139269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|&amp;image(ameuta-nije.png,width=100,height=100)</v>
      </c>
      <c r="V249" s="23" t="str">
        <f>"|MIDDLE:​"&amp;テーブル1[[#This Row],[名前]]</f>
        <v>|MIDDLE:​飴唄ニジェ</v>
      </c>
      <c r="W249" s="23" t="str">
        <f>"|MIDDLE:​"&amp;テーブル1[[#This Row],[なまえ]]</f>
        <v>|MIDDLE:​あめうた にじぇ</v>
      </c>
      <c r="X249" s="23" t="str">
        <f>"|MIDDLE:​"&amp;テーブル1[[#This Row],[Name]]</f>
        <v>|MIDDLE:​Ameuta Nije</v>
      </c>
      <c r="Y249" s="23" t="str">
        <f>"|MIDDLE:​&amp;link(配布所はこちら){​"&amp;テーブル1[[#This Row],[リンク]]&amp;"}|"</f>
        <v>|MIDDLE:​&amp;link(配布所はこちら){​https://ametro.jimdofree.com}|</v>
      </c>
    </row>
    <row r="250" spans="2:25" ht="20.149999999999999" customHeight="1" x14ac:dyDescent="0.35">
      <c r="B250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50" s="24" t="s">
        <v>952</v>
      </c>
      <c r="D250" s="23" t="s">
        <v>953</v>
      </c>
      <c r="E250" s="23" t="s">
        <v>954</v>
      </c>
      <c r="F250" s="2" t="s">
        <v>673</v>
      </c>
      <c r="G250" s="23" t="s">
        <v>674</v>
      </c>
      <c r="N250" s="1" t="s">
        <v>1507</v>
      </c>
      <c r="P250" s="24" t="str">
        <f>テーブル1[[#This Row],[リンク]]&amp;テーブル1[[#This Row],[描画状況]]</f>
        <v>https://ametro.jimdofree.com</v>
      </c>
      <c r="Q250" s="17">
        <f>1-(COUNTIF(P:P,_xlfn.TEXTJOIN(",",TRUE,テーブル1[[#This Row],[リンク]],テーブル1[[#This Row],[描画状況]]))/COUNTIF(F:F,テーブル1[[#This Row],[リンク]]))</f>
        <v>0.19999999999999996</v>
      </c>
      <c r="R250" s="16">
        <f ca="1">IFERROR(IF(テーブル1[[#This Row],[描画状況]]="",RAND()+(テーブル1[[#This Row],[列2]]*100),""),RAND())</f>
        <v>20.10582401367882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|&amp;image(ameuta-nisen.png,width=100,height=100)</v>
      </c>
      <c r="V250" s="23" t="str">
        <f>"|MIDDLE:​"&amp;テーブル1[[#This Row],[名前]]</f>
        <v>|MIDDLE:​飴唄2000</v>
      </c>
      <c r="W250" s="23" t="str">
        <f>"|MIDDLE:​"&amp;テーブル1[[#This Row],[なまえ]]</f>
        <v>|MIDDLE:​あめうた にせん</v>
      </c>
      <c r="X250" s="23" t="str">
        <f>"|MIDDLE:​"&amp;テーブル1[[#This Row],[Name]]</f>
        <v>|MIDDLE:​Ameuta Nisen</v>
      </c>
      <c r="Y250" s="23" t="str">
        <f>"|MIDDLE:​&amp;link(配布所はこちら){​"&amp;テーブル1[[#This Row],[リンク]]&amp;"}|"</f>
        <v>|MIDDLE:​&amp;link(配布所はこちら){​https://ametro.jimdofree.com}|</v>
      </c>
    </row>
    <row r="251" spans="2:25" ht="20.149999999999999" customHeight="1" x14ac:dyDescent="0.35">
      <c r="B251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51" s="24" t="s">
        <v>937</v>
      </c>
      <c r="D251" s="23" t="s">
        <v>938</v>
      </c>
      <c r="E251" s="23" t="s">
        <v>939</v>
      </c>
      <c r="F251" s="2" t="s">
        <v>673</v>
      </c>
      <c r="G251" s="23" t="s">
        <v>674</v>
      </c>
      <c r="N251" s="1" t="s">
        <v>1507</v>
      </c>
      <c r="P251" s="24" t="str">
        <f>テーブル1[[#This Row],[リンク]]&amp;テーブル1[[#This Row],[描画状況]]</f>
        <v>https://ametro.jimdofree.com</v>
      </c>
      <c r="Q251" s="17">
        <f>1-(COUNTIF(P:P,_xlfn.TEXTJOIN(",",TRUE,テーブル1[[#This Row],[リンク]],テーブル1[[#This Row],[描画状況]]))/COUNTIF(F:F,テーブル1[[#This Row],[リンク]]))</f>
        <v>0.19999999999999996</v>
      </c>
      <c r="R251" s="16">
        <f ca="1">IFERROR(IF(テーブル1[[#This Row],[描画状況]]="",RAND()+(テーブル1[[#This Row],[列2]]*100),""),RAND())</f>
        <v>20.04896632197838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|&amp;image(ameuta-nina.png,width=100,height=100)</v>
      </c>
      <c r="V251" s="23" t="str">
        <f>"|MIDDLE:​"&amp;テーブル1[[#This Row],[名前]]</f>
        <v>|MIDDLE:​飴唄ニナ</v>
      </c>
      <c r="W251" s="23" t="str">
        <f>"|MIDDLE:​"&amp;テーブル1[[#This Row],[なまえ]]</f>
        <v>|MIDDLE:​あめうた にな</v>
      </c>
      <c r="X251" s="23" t="str">
        <f>"|MIDDLE:​"&amp;テーブル1[[#This Row],[Name]]</f>
        <v>|MIDDLE:​Ameuta Nina</v>
      </c>
      <c r="Y251" s="23" t="str">
        <f>"|MIDDLE:​&amp;link(配布所はこちら){​"&amp;テーブル1[[#This Row],[リンク]]&amp;"}|"</f>
        <v>|MIDDLE:​&amp;link(配布所はこちら){​https://ametro.jimdofree.com}|</v>
      </c>
    </row>
    <row r="252" spans="2:25" ht="20.149999999999999" customHeight="1" x14ac:dyDescent="0.35">
      <c r="B252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52" s="24" t="s">
        <v>946</v>
      </c>
      <c r="D252" s="23" t="s">
        <v>947</v>
      </c>
      <c r="E252" s="23" t="s">
        <v>948</v>
      </c>
      <c r="F252" s="2" t="s">
        <v>673</v>
      </c>
      <c r="G252" s="23" t="s">
        <v>674</v>
      </c>
      <c r="N252" s="1" t="s">
        <v>1507</v>
      </c>
      <c r="P252" s="24" t="str">
        <f>テーブル1[[#This Row],[リンク]]&amp;テーブル1[[#This Row],[描画状況]]</f>
        <v>https://ametro.jimdofree.com</v>
      </c>
      <c r="Q252" s="17">
        <f>1-(COUNTIF(P:P,_xlfn.TEXTJOIN(",",TRUE,テーブル1[[#This Row],[リンク]],テーブル1[[#This Row],[描画状況]]))/COUNTIF(F:F,テーブル1[[#This Row],[リンク]]))</f>
        <v>0.19999999999999996</v>
      </c>
      <c r="R252" s="16">
        <f ca="1">IFERROR(IF(テーブル1[[#This Row],[描画状況]]="",RAND()+(テーブル1[[#This Row],[列2]]*100),""),RAND())</f>
        <v>20.574871027300606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|&amp;image(ameuta-ninon.png,width=100,height=100)</v>
      </c>
      <c r="V252" s="23" t="str">
        <f>"|MIDDLE:​"&amp;テーブル1[[#This Row],[名前]]</f>
        <v>|MIDDLE:​飴唄ニノン</v>
      </c>
      <c r="W252" s="23" t="str">
        <f>"|MIDDLE:​"&amp;テーブル1[[#This Row],[なまえ]]</f>
        <v>|MIDDLE:​あめうた にのん</v>
      </c>
      <c r="X252" s="23" t="str">
        <f>"|MIDDLE:​"&amp;テーブル1[[#This Row],[Name]]</f>
        <v>|MIDDLE:​Ameuta Ninon</v>
      </c>
      <c r="Y252" s="23" t="str">
        <f>"|MIDDLE:​&amp;link(配布所はこちら){​"&amp;テーブル1[[#This Row],[リンク]]&amp;"}|"</f>
        <v>|MIDDLE:​&amp;link(配布所はこちら){​https://ametro.jimdofree.com}|</v>
      </c>
    </row>
    <row r="253" spans="2:25" ht="20.149999999999999" customHeight="1" x14ac:dyDescent="0.35">
      <c r="B253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53" s="24" t="s">
        <v>766</v>
      </c>
      <c r="D253" s="23" t="s">
        <v>767</v>
      </c>
      <c r="E253" s="23" t="s">
        <v>768</v>
      </c>
      <c r="F253" s="2" t="s">
        <v>673</v>
      </c>
      <c r="G253" s="23" t="s">
        <v>674</v>
      </c>
      <c r="N253" s="1" t="s">
        <v>1507</v>
      </c>
      <c r="P253" s="24" t="str">
        <f>テーブル1[[#This Row],[リンク]]&amp;テーブル1[[#This Row],[描画状況]]</f>
        <v>https://ametro.jimdofree.com</v>
      </c>
      <c r="Q253" s="17">
        <f>1-(COUNTIF(P:P,_xlfn.TEXTJOIN(",",TRUE,テーブル1[[#This Row],[リンク]],テーブル1[[#This Row],[描画状況]]))/COUNTIF(F:F,テーブル1[[#This Row],[リンク]]))</f>
        <v>0.19999999999999996</v>
      </c>
      <c r="R253" s="16">
        <f ca="1">IFERROR(IF(テーブル1[[#This Row],[描画状況]]="",RAND()+(テーブル1[[#This Row],[列2]]*100),""),RAND())</f>
        <v>20.571751412021015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|&amp;image(ameuta-nihito.png,width=100,height=100)</v>
      </c>
      <c r="V253" s="23" t="str">
        <f>"|MIDDLE:​"&amp;テーブル1[[#This Row],[名前]]</f>
        <v>|MIDDLE:​飴唄ニヒト</v>
      </c>
      <c r="W253" s="23" t="str">
        <f>"|MIDDLE:​"&amp;テーブル1[[#This Row],[なまえ]]</f>
        <v>|MIDDLE:​あめうた にひと</v>
      </c>
      <c r="X253" s="23" t="str">
        <f>"|MIDDLE:​"&amp;テーブル1[[#This Row],[Name]]</f>
        <v>|MIDDLE:​Ameuta Nihito</v>
      </c>
      <c r="Y253" s="23" t="str">
        <f>"|MIDDLE:​&amp;link(配布所はこちら){​"&amp;テーブル1[[#This Row],[リンク]]&amp;"}|"</f>
        <v>|MIDDLE:​&amp;link(配布所はこちら){​https://ametro.jimdofree.com}|</v>
      </c>
    </row>
    <row r="254" spans="2:25" ht="20.149999999999999" customHeight="1" x14ac:dyDescent="0.35">
      <c r="B254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54" s="24" t="s">
        <v>919</v>
      </c>
      <c r="D254" s="23" t="s">
        <v>920</v>
      </c>
      <c r="E254" s="23" t="s">
        <v>921</v>
      </c>
      <c r="F254" s="2" t="s">
        <v>673</v>
      </c>
      <c r="G254" s="23" t="s">
        <v>674</v>
      </c>
      <c r="N254" s="1" t="s">
        <v>1507</v>
      </c>
      <c r="P254" s="24" t="str">
        <f>テーブル1[[#This Row],[リンク]]&amp;テーブル1[[#This Row],[描画状況]]</f>
        <v>https://ametro.jimdofree.com</v>
      </c>
      <c r="Q254" s="17">
        <f>1-(COUNTIF(P:P,_xlfn.TEXTJOIN(",",TRUE,テーブル1[[#This Row],[リンク]],テーブル1[[#This Row],[描画状況]]))/COUNTIF(F:F,テーブル1[[#This Row],[リンク]]))</f>
        <v>0.19999999999999996</v>
      </c>
      <c r="R254" s="16">
        <f ca="1">IFERROR(IF(テーブル1[[#This Row],[描画状況]]="",RAND()+(テーブル1[[#This Row],[列2]]*100),""),RAND())</f>
        <v>20.748001814644748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|&amp;image(ameuta-nipo.png,width=100,height=100)</v>
      </c>
      <c r="V254" s="23" t="str">
        <f>"|MIDDLE:​"&amp;テーブル1[[#This Row],[名前]]</f>
        <v>|MIDDLE:​飴唄にぽ</v>
      </c>
      <c r="W254" s="23" t="str">
        <f>"|MIDDLE:​"&amp;テーブル1[[#This Row],[なまえ]]</f>
        <v>|MIDDLE:​あめうた にぽ</v>
      </c>
      <c r="X254" s="23" t="str">
        <f>"|MIDDLE:​"&amp;テーブル1[[#This Row],[Name]]</f>
        <v>|MIDDLE:​Ameuta Nipo</v>
      </c>
      <c r="Y254" s="23" t="str">
        <f>"|MIDDLE:​&amp;link(配布所はこちら){​"&amp;テーブル1[[#This Row],[リンク]]&amp;"}|"</f>
        <v>|MIDDLE:​&amp;link(配布所はこちら){​https://ametro.jimdofree.com}|</v>
      </c>
    </row>
    <row r="255" spans="2:25" ht="20.149999999999999" customHeight="1" x14ac:dyDescent="0.35">
      <c r="B255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55" s="24" t="s">
        <v>943</v>
      </c>
      <c r="D255" s="23" t="s">
        <v>944</v>
      </c>
      <c r="E255" s="23" t="s">
        <v>945</v>
      </c>
      <c r="F255" s="2" t="s">
        <v>673</v>
      </c>
      <c r="G255" s="23" t="s">
        <v>674</v>
      </c>
      <c r="N255" s="1" t="s">
        <v>1507</v>
      </c>
      <c r="P255" s="24" t="str">
        <f>テーブル1[[#This Row],[リンク]]&amp;テーブル1[[#This Row],[描画状況]]</f>
        <v>https://ametro.jimdofree.com</v>
      </c>
      <c r="Q255" s="17">
        <f>1-(COUNTIF(P:P,_xlfn.TEXTJOIN(",",TRUE,テーブル1[[#This Row],[リンク]],テーブル1[[#This Row],[描画状況]]))/COUNTIF(F:F,テーブル1[[#This Row],[リンク]]))</f>
        <v>0.19999999999999996</v>
      </c>
      <c r="R255" s="16">
        <f ca="1">IFERROR(IF(テーブル1[[#This Row],[描画状況]]="",RAND()+(テーブル1[[#This Row],[列2]]*100),""),RAND())</f>
        <v>20.922035014366429</v>
      </c>
      <c r="T255" s="24" t="str">
        <f ca="1">IF(AND(テーブル1[[#This Row],[描画状況]]="済",テーブル1[[#This Row],[投稿状況]]=""),RAND(),"")</f>
        <v/>
      </c>
      <c r="U255" s="23" t="str">
        <f>"|&amp;image("&amp;テーブル1[[#This Row],[画像]]&amp;".png,width=100,height=100)"</f>
        <v>|&amp;image(ameuta-niyusu.png,width=100,height=100)</v>
      </c>
      <c r="V255" s="23" t="str">
        <f>"|MIDDLE:​"&amp;テーブル1[[#This Row],[名前]]</f>
        <v>|MIDDLE:​飴唄ニユス</v>
      </c>
      <c r="W255" s="23" t="str">
        <f>"|MIDDLE:​"&amp;テーブル1[[#This Row],[なまえ]]</f>
        <v>|MIDDLE:​あめうた にゆす</v>
      </c>
      <c r="X255" s="23" t="str">
        <f>"|MIDDLE:​"&amp;テーブル1[[#This Row],[Name]]</f>
        <v>|MIDDLE:​Ameuta Niyusu</v>
      </c>
      <c r="Y255" s="23" t="str">
        <f>"|MIDDLE:​&amp;link(配布所はこちら){​"&amp;テーブル1[[#This Row],[リンク]]&amp;"}|"</f>
        <v>|MIDDLE:​&amp;link(配布所はこちら){​https://ametro.jimdofree.com}|</v>
      </c>
    </row>
    <row r="256" spans="2:25" ht="20.149999999999999" customHeight="1" x14ac:dyDescent="0.35">
      <c r="B256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56" s="24" t="s">
        <v>940</v>
      </c>
      <c r="D256" s="23" t="s">
        <v>941</v>
      </c>
      <c r="E256" s="23" t="s">
        <v>942</v>
      </c>
      <c r="F256" s="2" t="s">
        <v>673</v>
      </c>
      <c r="G256" s="23" t="s">
        <v>674</v>
      </c>
      <c r="N256" s="1" t="s">
        <v>1507</v>
      </c>
      <c r="P256" s="24" t="str">
        <f>テーブル1[[#This Row],[リンク]]&amp;テーブル1[[#This Row],[描画状況]]</f>
        <v>https://ametro.jimdofree.com</v>
      </c>
      <c r="Q256" s="17">
        <f>1-(COUNTIF(P:P,_xlfn.TEXTJOIN(",",TRUE,テーブル1[[#This Row],[リンク]],テーブル1[[#This Row],[描画状況]]))/COUNTIF(F:F,テーブル1[[#This Row],[リンク]]))</f>
        <v>0.19999999999999996</v>
      </c>
      <c r="R256" s="16">
        <f ca="1">IFERROR(IF(テーブル1[[#This Row],[描画状況]]="",RAND()+(テーブル1[[#This Row],[列2]]*100),""),RAND())</f>
        <v>20.599556995715524</v>
      </c>
      <c r="T256" s="24" t="str">
        <f ca="1">IF(AND(テーブル1[[#This Row],[描画状況]]="済",テーブル1[[#This Row],[投稿状況]]=""),RAND(),"")</f>
        <v/>
      </c>
      <c r="U256" s="23" t="str">
        <f>"|&amp;image("&amp;テーブル1[[#This Row],[画像]]&amp;".png,width=100,height=100)"</f>
        <v>|&amp;image(ameuta-niriya.png,width=100,height=100)</v>
      </c>
      <c r="V256" s="23" t="str">
        <f>"|MIDDLE:​"&amp;テーブル1[[#This Row],[名前]]</f>
        <v>|MIDDLE:​飴唄ニリヤ</v>
      </c>
      <c r="W256" s="23" t="str">
        <f>"|MIDDLE:​"&amp;テーブル1[[#This Row],[なまえ]]</f>
        <v>|MIDDLE:​あめうた にりや</v>
      </c>
      <c r="X256" s="23" t="str">
        <f>"|MIDDLE:​"&amp;テーブル1[[#This Row],[Name]]</f>
        <v>|MIDDLE:​Ameuta Niriya</v>
      </c>
      <c r="Y256" s="23" t="str">
        <f>"|MIDDLE:​&amp;link(配布所はこちら){​"&amp;テーブル1[[#This Row],[リンク]]&amp;"}|"</f>
        <v>|MIDDLE:​&amp;link(配布所はこちら){​https://ametro.jimdofree.com}|</v>
      </c>
    </row>
    <row r="257" spans="2:25" ht="20.149999999999999" customHeight="1" x14ac:dyDescent="0.35">
      <c r="B257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57" s="24" t="s">
        <v>931</v>
      </c>
      <c r="D257" s="23" t="s">
        <v>932</v>
      </c>
      <c r="E257" s="23" t="s">
        <v>933</v>
      </c>
      <c r="F257" s="2" t="s">
        <v>673</v>
      </c>
      <c r="G257" s="23" t="s">
        <v>674</v>
      </c>
      <c r="N257" s="1" t="s">
        <v>1507</v>
      </c>
      <c r="P257" s="24" t="str">
        <f>テーブル1[[#This Row],[リンク]]&amp;テーブル1[[#This Row],[描画状況]]</f>
        <v>https://ametro.jimdofree.com</v>
      </c>
      <c r="Q257" s="17">
        <f>1-(COUNTIF(P:P,_xlfn.TEXTJOIN(",",TRUE,テーブル1[[#This Row],[リンク]],テーブル1[[#This Row],[描画状況]]))/COUNTIF(F:F,テーブル1[[#This Row],[リンク]]))</f>
        <v>0.19999999999999996</v>
      </c>
      <c r="R257" s="16">
        <f ca="1">IFERROR(IF(テーブル1[[#This Row],[描画状況]]="",RAND()+(テーブル1[[#This Row],[列2]]*100),""),RAND())</f>
        <v>20.595808366214612</v>
      </c>
      <c r="T257" s="24" t="str">
        <f ca="1">IF(AND(テーブル1[[#This Row],[描画状況]]="済",テーブル1[[#This Row],[投稿状況]]=""),RAND(),"")</f>
        <v/>
      </c>
      <c r="U257" s="23" t="str">
        <f>"|&amp;image("&amp;テーブル1[[#This Row],[画像]]&amp;".png,width=100,height=100)"</f>
        <v>|&amp;image(ameuta-niru.png,width=100,height=100)</v>
      </c>
      <c r="V257" s="23" t="str">
        <f>"|MIDDLE:​"&amp;テーブル1[[#This Row],[名前]]</f>
        <v>|MIDDLE:​飴唄ニル</v>
      </c>
      <c r="W257" s="23" t="str">
        <f>"|MIDDLE:​"&amp;テーブル1[[#This Row],[なまえ]]</f>
        <v>|MIDDLE:​あめうた にる</v>
      </c>
      <c r="X257" s="23" t="str">
        <f>"|MIDDLE:​"&amp;テーブル1[[#This Row],[Name]]</f>
        <v>|MIDDLE:​Ameuta Niru</v>
      </c>
      <c r="Y257" s="23" t="str">
        <f>"|MIDDLE:​&amp;link(配布所はこちら){​"&amp;テーブル1[[#This Row],[リンク]]&amp;"}|"</f>
        <v>|MIDDLE:​&amp;link(配布所はこちら){​https://ametro.jimdofree.com}|</v>
      </c>
    </row>
    <row r="258" spans="2:25" ht="20.149999999999999" customHeight="1" x14ac:dyDescent="0.35">
      <c r="B258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58" s="24" t="s">
        <v>1121</v>
      </c>
      <c r="D258" s="23" t="s">
        <v>1123</v>
      </c>
      <c r="E258" s="23" t="s">
        <v>1122</v>
      </c>
      <c r="F258" s="15" t="s">
        <v>1139</v>
      </c>
      <c r="G258" s="23" t="str">
        <f>テーブル1[[#This Row],[名前]]&amp;"(UTAU)"</f>
        <v>斐音ハチカ(UTAU)</v>
      </c>
      <c r="P258" s="24" t="str">
        <f>テーブル1[[#This Row],[リンク]]&amp;テーブル1[[#This Row],[描画状況]]</f>
        <v>https://yautau.wixsite.com/0909</v>
      </c>
      <c r="Q258" s="17">
        <f>1-(COUNTIF(P:P,_xlfn.TEXTJOIN(",",TRUE,テーブル1[[#This Row],[リンク]],テーブル1[[#This Row],[描画状況]]))/COUNTIF(F:F,テーブル1[[#This Row],[リンク]]))</f>
        <v>0.125</v>
      </c>
      <c r="R258" s="16">
        <f ca="1">IFERROR(IF(テーブル1[[#This Row],[描画状況]]="",RAND()+(テーブル1[[#This Row],[列2]]*100),""),RAND())</f>
        <v>13.043983828965118</v>
      </c>
      <c r="T258" s="24" t="str">
        <f ca="1">IF(AND(テーブル1[[#This Row],[描画状況]]="済",テーブル1[[#This Row],[投稿状況]]=""),RAND(),"")</f>
        <v/>
      </c>
      <c r="U258" s="23" t="str">
        <f>"|&amp;image("&amp;テーブル1[[#This Row],[画像]]&amp;".png,width=100,height=100)"</f>
        <v>|&amp;image(ayarune-hachika.png,width=100,height=100)</v>
      </c>
      <c r="V258" s="23" t="str">
        <f>"|MIDDLE:​"&amp;テーブル1[[#This Row],[名前]]</f>
        <v>|MIDDLE:​斐音ハチカ</v>
      </c>
      <c r="W258" s="23" t="str">
        <f>"|MIDDLE:​"&amp;テーブル1[[#This Row],[なまえ]]</f>
        <v>|MIDDLE:​あやるね はちか</v>
      </c>
      <c r="X258" s="23" t="str">
        <f>"|MIDDLE:​"&amp;テーブル1[[#This Row],[Name]]</f>
        <v>|MIDDLE:​Ayarune Hachika</v>
      </c>
      <c r="Y258" s="23" t="str">
        <f>"|MIDDLE:​&amp;link(配布所はこちら){​"&amp;テーブル1[[#This Row],[リンク]]&amp;"}|"</f>
        <v>|MIDDLE:​&amp;link(配布所はこちら){​https://yautau.wixsite.com/0909}|</v>
      </c>
    </row>
    <row r="259" spans="2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59" s="24" t="s">
        <v>819</v>
      </c>
      <c r="D259" s="23" t="s">
        <v>820</v>
      </c>
      <c r="E259" s="23" t="s">
        <v>821</v>
      </c>
      <c r="F259" s="2" t="s">
        <v>811</v>
      </c>
      <c r="G259" s="23" t="s">
        <v>812</v>
      </c>
      <c r="P259" s="24" t="str">
        <f>テーブル1[[#This Row],[リンク]]&amp;テーブル1[[#This Row],[描画状況]]</f>
        <v>https://makurakue.wixsite.com/kemononokemono</v>
      </c>
      <c r="Q259" s="17">
        <f>1-(COUNTIF(P:P,_xlfn.TEXTJOIN(",",TRUE,テーブル1[[#This Row],[リンク]],テーブル1[[#This Row],[描画状況]]))/COUNTIF(F:F,テーブル1[[#This Row],[リンク]]))</f>
        <v>0.4</v>
      </c>
      <c r="R259" s="16">
        <f ca="1">IFERROR(IF(テーブル1[[#This Row],[描画状況]]="",RAND()+(テーブル1[[#This Row],[列2]]*100),""),RAND())</f>
        <v>40.052905858898534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|&amp;image(alia.png,width=100,height=100)</v>
      </c>
      <c r="V259" s="23" t="str">
        <f>"|MIDDLE:​"&amp;テーブル1[[#This Row],[名前]]</f>
        <v>|MIDDLE:​アリア</v>
      </c>
      <c r="W259" s="23" t="str">
        <f>"|MIDDLE:​"&amp;テーブル1[[#This Row],[なまえ]]</f>
        <v>|MIDDLE:​ありあ</v>
      </c>
      <c r="X259" s="23" t="str">
        <f>"|MIDDLE:​"&amp;テーブル1[[#This Row],[Name]]</f>
        <v>|MIDDLE:​Alia</v>
      </c>
      <c r="Y2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260" spans="2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60" s="24" t="s">
        <v>1076</v>
      </c>
      <c r="D260" s="23" t="s">
        <v>1077</v>
      </c>
      <c r="E260" s="23" t="s">
        <v>1078</v>
      </c>
      <c r="F260" s="15" t="s">
        <v>1062</v>
      </c>
      <c r="G260" s="23" t="s">
        <v>1063</v>
      </c>
      <c r="P260" s="24" t="str">
        <f>テーブル1[[#This Row],[リンク]]&amp;テーブル1[[#This Row],[描画状況]]</f>
        <v>https://yukimiyashimusho.jimdofree.com</v>
      </c>
      <c r="Q260" s="17">
        <f>1-(COUNTIF(P:P,_xlfn.TEXTJOIN(",",TRUE,テーブル1[[#This Row],[リンク]],テーブル1[[#This Row],[描画状況]]))/COUNTIF(F:F,テーブル1[[#This Row],[リンク]]))</f>
        <v>7.1428571428571397E-2</v>
      </c>
      <c r="R260" s="16">
        <f ca="1">IFERROR(IF(テーブル1[[#This Row],[描画状況]]="",RAND()+(テーブル1[[#This Row],[列2]]*100),""),RAND())</f>
        <v>7.6490050880459961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|&amp;image(awaawa-chan.png,width=100,height=100)</v>
      </c>
      <c r="V260" s="23" t="str">
        <f>"|MIDDLE:​"&amp;テーブル1[[#This Row],[名前]]</f>
        <v>|MIDDLE:​粟沫ちゃん</v>
      </c>
      <c r="W260" s="23" t="str">
        <f>"|MIDDLE:​"&amp;テーブル1[[#This Row],[なまえ]]</f>
        <v>|MIDDLE:​あわあわちゃん</v>
      </c>
      <c r="X260" s="23" t="str">
        <f>"|MIDDLE:​"&amp;テーブル1[[#This Row],[Name]]</f>
        <v>|MIDDLE:​Awaawa-chan</v>
      </c>
      <c r="Y260" s="23" t="str">
        <f>"|MIDDLE:​&amp;link(配布所はこちら){​"&amp;テーブル1[[#This Row],[リンク]]&amp;"}|"</f>
        <v>|MIDDLE:​&amp;link(配布所はこちら){​https://yukimiyashimusho.jimdofree.com}|</v>
      </c>
    </row>
    <row r="261" spans="2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61" s="24" t="s">
        <v>656</v>
      </c>
      <c r="D261" s="23" t="s">
        <v>657</v>
      </c>
      <c r="E261" s="23" t="s">
        <v>658</v>
      </c>
      <c r="F261" s="2" t="s">
        <v>655</v>
      </c>
      <c r="G261" s="23" t="s">
        <v>659</v>
      </c>
      <c r="P261" s="24" t="str">
        <f>テーブル1[[#This Row],[リンク]]&amp;テーブル1[[#This Row],[描画状況]]</f>
        <v>https://mashimo0330.wixsite.com/awaka-utau</v>
      </c>
      <c r="Q261" s="17">
        <f>1-(COUNTIF(P:P,_xlfn.TEXTJOIN(",",TRUE,テーブル1[[#This Row],[リンク]],テーブル1[[#This Row],[描画状況]]))/COUNTIF(F:F,テーブル1[[#This Row],[リンク]]))</f>
        <v>0.5</v>
      </c>
      <c r="R261" s="16">
        <f ca="1">IFERROR(IF(テーブル1[[#This Row],[描画状況]]="",RAND()+(テーブル1[[#This Row],[列2]]*100),""),RAND())</f>
        <v>50.950969087882235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|&amp;image(awaka-mizuha.png,width=100,height=100)</v>
      </c>
      <c r="V261" s="23" t="str">
        <f>"|MIDDLE:​"&amp;テーブル1[[#This Row],[名前]]</f>
        <v>|MIDDLE:​泡歌ミズハ</v>
      </c>
      <c r="W261" s="23" t="str">
        <f>"|MIDDLE:​"&amp;テーブル1[[#This Row],[なまえ]]</f>
        <v>|MIDDLE:​あわか みずは</v>
      </c>
      <c r="X261" s="23" t="str">
        <f>"|MIDDLE:​"&amp;テーブル1[[#This Row],[Name]]</f>
        <v>|MIDDLE:​Awaka Mizuha</v>
      </c>
      <c r="Y261" s="23" t="str">
        <f>"|MIDDLE:​&amp;link(配布所はこちら){​"&amp;テーブル1[[#This Row],[リンク]]&amp;"}|"</f>
        <v>|MIDDLE:​&amp;link(配布所はこちら){​https://mashimo0330.wixsite.com/awaka-utau}|</v>
      </c>
    </row>
    <row r="262" spans="2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62" s="24" t="s">
        <v>1147</v>
      </c>
      <c r="D262" s="23" t="s">
        <v>1148</v>
      </c>
      <c r="E262" s="23" t="s">
        <v>1149</v>
      </c>
      <c r="F262" s="15" t="s">
        <v>1140</v>
      </c>
      <c r="G262" s="23" t="s">
        <v>1153</v>
      </c>
      <c r="P262" s="24" t="str">
        <f>テーブル1[[#This Row],[リンク]]&amp;テーブル1[[#This Row],[描画状況]]</f>
        <v>https://sites.google.com/view/report1023</v>
      </c>
      <c r="Q262" s="17">
        <f>1-(COUNTIF(P:P,_xlfn.TEXTJOIN(",",TRUE,テーブル1[[#This Row],[リンク]],テーブル1[[#This Row],[描画状況]]))/COUNTIF(F:F,テーブル1[[#This Row],[リンク]]))</f>
        <v>0</v>
      </c>
      <c r="R262" s="16">
        <f ca="1">IFERROR(IF(テーブル1[[#This Row],[描画状況]]="",RAND()+(テーブル1[[#This Row],[列2]]*100),""),RAND())</f>
        <v>0.5579253026449692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|&amp;image(ion-moka.png,width=100,height=100)</v>
      </c>
      <c r="V262" s="23" t="str">
        <f>"|MIDDLE:​"&amp;テーブル1[[#This Row],[名前]]</f>
        <v>|MIDDLE:​唯音文歌</v>
      </c>
      <c r="W262" s="23" t="str">
        <f>"|MIDDLE:​"&amp;テーブル1[[#This Row],[なまえ]]</f>
        <v>|MIDDLE:​いおん もか</v>
      </c>
      <c r="X262" s="23" t="str">
        <f>"|MIDDLE:​"&amp;テーブル1[[#This Row],[Name]]</f>
        <v>|MIDDLE:​Ion Moka</v>
      </c>
      <c r="Y262" s="23" t="str">
        <f>"|MIDDLE:​&amp;link(配布所はこちら){​"&amp;テーブル1[[#This Row],[リンク]]&amp;"}|"</f>
        <v>|MIDDLE:​&amp;link(配布所はこちら){​https://sites.google.com/view/report1023}|</v>
      </c>
    </row>
    <row r="263" spans="2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63" s="24" t="s">
        <v>1141</v>
      </c>
      <c r="D263" s="23" t="s">
        <v>1142</v>
      </c>
      <c r="E263" s="23" t="s">
        <v>1143</v>
      </c>
      <c r="F263" s="15" t="s">
        <v>1140</v>
      </c>
      <c r="G263" s="23" t="s">
        <v>1153</v>
      </c>
      <c r="P263" s="24" t="str">
        <f>テーブル1[[#This Row],[リンク]]&amp;テーブル1[[#This Row],[描画状況]]</f>
        <v>https://sites.google.com/view/report1023</v>
      </c>
      <c r="Q263" s="17">
        <f>1-(COUNTIF(P:P,_xlfn.TEXTJOIN(",",TRUE,テーブル1[[#This Row],[リンク]],テーブル1[[#This Row],[描画状況]]))/COUNTIF(F:F,テーブル1[[#This Row],[リンク]]))</f>
        <v>0</v>
      </c>
      <c r="R263" s="16">
        <f ca="1">IFERROR(IF(テーブル1[[#This Row],[描画状況]]="",RAND()+(テーブル1[[#This Row],[列2]]*100),""),RAND())</f>
        <v>0.82538949944544138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|&amp;image(ion-rika.png,width=100,height=100)</v>
      </c>
      <c r="V263" s="23" t="str">
        <f>"|MIDDLE:​"&amp;テーブル1[[#This Row],[名前]]</f>
        <v>|MIDDLE:​唯音理歌</v>
      </c>
      <c r="W263" s="23" t="str">
        <f>"|MIDDLE:​"&amp;テーブル1[[#This Row],[なまえ]]</f>
        <v>|MIDDLE:​いおん りか</v>
      </c>
      <c r="X263" s="23" t="str">
        <f>"|MIDDLE:​"&amp;テーブル1[[#This Row],[Name]]</f>
        <v>|MIDDLE:​Ion Rika</v>
      </c>
      <c r="Y263" s="23" t="str">
        <f>"|MIDDLE:​&amp;link(配布所はこちら){​"&amp;テーブル1[[#This Row],[リンク]]&amp;"}|"</f>
        <v>|MIDDLE:​&amp;link(配布所はこちら){​https://sites.google.com/view/report1023}|</v>
      </c>
    </row>
    <row r="264" spans="2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64" s="24" t="s">
        <v>1097</v>
      </c>
      <c r="D264" s="23" t="s">
        <v>1098</v>
      </c>
      <c r="E264" s="23" t="s">
        <v>1099</v>
      </c>
      <c r="F264" s="15" t="s">
        <v>1062</v>
      </c>
      <c r="G264" s="23" t="s">
        <v>1063</v>
      </c>
      <c r="P264" s="24" t="str">
        <f>テーブル1[[#This Row],[リンク]]&amp;テーブル1[[#This Row],[描画状況]]</f>
        <v>https://yukimiyashimusho.jimdofree.com</v>
      </c>
      <c r="Q264" s="17">
        <f>1-(COUNTIF(P:P,_xlfn.TEXTJOIN(",",TRUE,テーブル1[[#This Row],[リンク]],テーブル1[[#This Row],[描画状況]]))/COUNTIF(F:F,テーブル1[[#This Row],[リンク]]))</f>
        <v>7.1428571428571397E-2</v>
      </c>
      <c r="R264" s="16">
        <f ca="1">IFERROR(IF(テーブル1[[#This Row],[描画状況]]="",RAND()+(テーブル1[[#This Row],[列2]]*100),""),RAND())</f>
        <v>7.5974610838840038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|&amp;image(ikuuta-sein.png,width=100,height=100)</v>
      </c>
      <c r="V264" s="23" t="str">
        <f>"|MIDDLE:​"&amp;テーブル1[[#This Row],[名前]]</f>
        <v>|MIDDLE:​郁歌セイン</v>
      </c>
      <c r="W264" s="23" t="str">
        <f>"|MIDDLE:​"&amp;テーブル1[[#This Row],[なまえ]]</f>
        <v>|MIDDLE:​いくうた せいん</v>
      </c>
      <c r="X264" s="23" t="str">
        <f>"|MIDDLE:​"&amp;テーブル1[[#This Row],[Name]]</f>
        <v>|MIDDLE:​Ikuuta Sein</v>
      </c>
      <c r="Y264" s="23" t="str">
        <f>"|MIDDLE:​&amp;link(配布所はこちら){​"&amp;テーブル1[[#This Row],[リンク]]&amp;"}|"</f>
        <v>|MIDDLE:​&amp;link(配布所はこちら){​https://yukimiyashimusho.jimdofree.com}|</v>
      </c>
    </row>
    <row r="265" spans="2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65" s="24" t="s">
        <v>553</v>
      </c>
      <c r="D265" s="23" t="s">
        <v>554</v>
      </c>
      <c r="E265" s="23" t="s">
        <v>555</v>
      </c>
      <c r="F265" s="2" t="s">
        <v>556</v>
      </c>
      <c r="G265" s="23" t="str">
        <f>テーブル1[[#This Row],[名前]]&amp;"(UTAU)"</f>
        <v>悪戯セト(UTAU)</v>
      </c>
      <c r="N265" s="1" t="s">
        <v>1507</v>
      </c>
      <c r="P265" s="24" t="str">
        <f>テーブル1[[#This Row],[リンク]]&amp;テーブル1[[#This Row],[描画状況]]</f>
        <v>https://bowlroll.net/user/700434</v>
      </c>
      <c r="Q265" s="17">
        <f>1-(COUNTIF(P:P,_xlfn.TEXTJOIN(",",TRUE,テーブル1[[#This Row],[リンク]],テーブル1[[#This Row],[描画状況]]))/COUNTIF(F:F,テーブル1[[#This Row],[リンク]]))</f>
        <v>0.5</v>
      </c>
      <c r="R265" s="16">
        <f ca="1">IFERROR(IF(テーブル1[[#This Row],[描画状況]]="",RAND()+(テーブル1[[#This Row],[列2]]*100),""),RAND())</f>
        <v>50.93669511380233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|&amp;image(itazura-seto.png,width=100,height=100)</v>
      </c>
      <c r="V265" s="23" t="str">
        <f>"|MIDDLE:​"&amp;テーブル1[[#This Row],[名前]]</f>
        <v>|MIDDLE:​悪戯セト</v>
      </c>
      <c r="W265" s="23" t="str">
        <f>"|MIDDLE:​"&amp;テーブル1[[#This Row],[なまえ]]</f>
        <v>|MIDDLE:​いたずら せと</v>
      </c>
      <c r="X265" s="23" t="str">
        <f>"|MIDDLE:​"&amp;テーブル1[[#This Row],[Name]]</f>
        <v>|MIDDLE:​Itazura Seto</v>
      </c>
      <c r="Y265" s="23" t="str">
        <f>"|MIDDLE:​&amp;link(配布所はこちら){​"&amp;テーブル1[[#This Row],[リンク]]&amp;"}|"</f>
        <v>|MIDDLE:​&amp;link(配布所はこちら){​https://bowlroll.net/user/700434}|</v>
      </c>
    </row>
    <row r="266" spans="2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66" s="24" t="s">
        <v>915</v>
      </c>
      <c r="D266" s="23" t="s">
        <v>917</v>
      </c>
      <c r="E266" s="23" t="s">
        <v>918</v>
      </c>
      <c r="F266" s="23" t="s">
        <v>418</v>
      </c>
      <c r="G266" s="23" t="s">
        <v>916</v>
      </c>
      <c r="P266" s="24" t="str">
        <f>テーブル1[[#This Row],[リンク]]&amp;テーブル1[[#This Row],[描画状況]]</f>
        <v>-</v>
      </c>
      <c r="Q266" s="17">
        <f>1-(COUNTIF(P:P,_xlfn.TEXTJOIN(",",TRUE,テーブル1[[#This Row],[リンク]],テーブル1[[#This Row],[描画状況]]))/COUNTIF(F:F,テーブル1[[#This Row],[リンク]]))</f>
        <v>0.33333333333333337</v>
      </c>
      <c r="R266" s="16">
        <f ca="1">IFERROR(IF(テーブル1[[#This Row],[描画状況]]="",RAND()+(テーブル1[[#This Row],[列2]]*100),""),RAND())</f>
        <v>34.330557926902635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|&amp;image(itokuri-samayu.png,width=100,height=100)</v>
      </c>
      <c r="V266" s="23" t="str">
        <f>"|MIDDLE:​"&amp;テーブル1[[#This Row],[名前]]</f>
        <v>|MIDDLE:​糸來さまゆ</v>
      </c>
      <c r="W266" s="23" t="str">
        <f>"|MIDDLE:​"&amp;テーブル1[[#This Row],[なまえ]]</f>
        <v>|MIDDLE:​いとくり さまゆ</v>
      </c>
      <c r="X266" s="23" t="str">
        <f>"|MIDDLE:​"&amp;テーブル1[[#This Row],[Name]]</f>
        <v>|MIDDLE:​Itokuri Samayu</v>
      </c>
      <c r="Y266" s="23" t="str">
        <f>"|MIDDLE:​&amp;link(配布所はこちら){​"&amp;テーブル1[[#This Row],[リンク]]&amp;"}|"</f>
        <v>|MIDDLE:​&amp;link(配布所はこちら){​-}|</v>
      </c>
    </row>
    <row r="267" spans="2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67" s="24" t="s">
        <v>1059</v>
      </c>
      <c r="D267" s="23" t="s">
        <v>1060</v>
      </c>
      <c r="E267" s="23" t="s">
        <v>1061</v>
      </c>
      <c r="F267" s="15" t="s">
        <v>1062</v>
      </c>
      <c r="G267" s="23" t="s">
        <v>1063</v>
      </c>
      <c r="P267" s="24" t="str">
        <f>テーブル1[[#This Row],[リンク]]&amp;テーブル1[[#This Row],[描画状況]]</f>
        <v>https://yukimiyashimusho.jimdofree.com</v>
      </c>
      <c r="Q267" s="17">
        <f>1-(COUNTIF(P:P,_xlfn.TEXTJOIN(",",TRUE,テーブル1[[#This Row],[リンク]],テーブル1[[#This Row],[描画状況]]))/COUNTIF(F:F,テーブル1[[#This Row],[リンク]]))</f>
        <v>7.1428571428571397E-2</v>
      </c>
      <c r="R267" s="16">
        <f ca="1">IFERROR(IF(テーブル1[[#This Row],[描画状況]]="",RAND()+(テーブル1[[#This Row],[列2]]*100),""),RAND())</f>
        <v>7.4186539934119526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|&amp;image(usone-kuro.png,width=100,height=100)</v>
      </c>
      <c r="V267" s="23" t="str">
        <f>"|MIDDLE:​"&amp;テーブル1[[#This Row],[名前]]</f>
        <v>|MIDDLE:​噓音クロ</v>
      </c>
      <c r="W267" s="23" t="str">
        <f>"|MIDDLE:​"&amp;テーブル1[[#This Row],[なまえ]]</f>
        <v>|MIDDLE:​うそね くろ</v>
      </c>
      <c r="X267" s="23" t="str">
        <f>"|MIDDLE:​"&amp;テーブル1[[#This Row],[Name]]</f>
        <v>|MIDDLE:​Usone Kuro</v>
      </c>
      <c r="Y267" s="23" t="str">
        <f>"|MIDDLE:​&amp;link(配布所はこちら){​"&amp;テーブル1[[#This Row],[リンク]]&amp;"}|"</f>
        <v>|MIDDLE:​&amp;link(配布所はこちら){​https://yukimiyashimusho.jimdofree.com}|</v>
      </c>
    </row>
    <row r="268" spans="2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68" s="24" t="s">
        <v>1204</v>
      </c>
      <c r="D268" s="23" t="s">
        <v>1220</v>
      </c>
      <c r="E268" s="23" t="s">
        <v>1219</v>
      </c>
      <c r="F268" s="15" t="s">
        <v>336</v>
      </c>
      <c r="G268" s="23" t="s">
        <v>337</v>
      </c>
      <c r="P268" s="24" t="str">
        <f>テーブル1[[#This Row],[リンク]]&amp;テーブル1[[#This Row],[描画状況]]</f>
        <v>https://torinosu-hikikomori.jimdofree.com</v>
      </c>
      <c r="Q268" s="17">
        <f>1-(COUNTIF(P:P,_xlfn.TEXTJOIN(",",TRUE,テーブル1[[#This Row],[リンク]],テーブル1[[#This Row],[描画状況]]))/COUNTIF(F:F,テーブル1[[#This Row],[リンク]]))</f>
        <v>0.125</v>
      </c>
      <c r="R268" s="16">
        <f ca="1">IFERROR(IF(テーブル1[[#This Row],[描画状況]]="",RAND()+(テーブル1[[#This Row],[列2]]*100),""),RAND())</f>
        <v>13.491400077144949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|&amp;image(uta-senshi.png,width=100,height=100)</v>
      </c>
      <c r="V268" s="23" t="str">
        <f>"|MIDDLE:​"&amp;テーブル1[[#This Row],[名前]]</f>
        <v>|MIDDLE:​UTA戦死</v>
      </c>
      <c r="W268" s="23" t="str">
        <f>"|MIDDLE:​"&amp;テーブル1[[#This Row],[なまえ]]</f>
        <v>|MIDDLE:​うた せんし</v>
      </c>
      <c r="X268" s="23" t="str">
        <f>"|MIDDLE:​"&amp;テーブル1[[#This Row],[Name]]</f>
        <v>|MIDDLE:​Uta Senshi</v>
      </c>
      <c r="Y268" s="23" t="str">
        <f>"|MIDDLE:​&amp;link(配布所はこちら){​"&amp;テーブル1[[#This Row],[リンク]]&amp;"}|"</f>
        <v>|MIDDLE:​&amp;link(配布所はこちら){​https://torinosu-hikikomori.jimdofree.com}|</v>
      </c>
    </row>
    <row r="269" spans="2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69" s="24" t="s">
        <v>1203</v>
      </c>
      <c r="D269" s="23" t="s">
        <v>1218</v>
      </c>
      <c r="E269" s="23" t="s">
        <v>1217</v>
      </c>
      <c r="F269" s="15" t="s">
        <v>336</v>
      </c>
      <c r="G269" s="23" t="s">
        <v>337</v>
      </c>
      <c r="P269" s="24" t="str">
        <f>テーブル1[[#This Row],[リンク]]&amp;テーブル1[[#This Row],[描画状況]]</f>
        <v>https://torinosu-hikikomori.jimdofree.com</v>
      </c>
      <c r="Q269" s="17">
        <f>1-(COUNTIF(P:P,_xlfn.TEXTJOIN(",",TRUE,テーブル1[[#This Row],[リンク]],テーブル1[[#This Row],[描画状況]]))/COUNTIF(F:F,テーブル1[[#This Row],[リンク]]))</f>
        <v>0.125</v>
      </c>
      <c r="R269" s="16">
        <f ca="1">IFERROR(IF(テーブル1[[#This Row],[描画状況]]="",RAND()+(テーブル1[[#This Row],[列2]]*100),""),RAND())</f>
        <v>12.960013942845334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|&amp;image(uta-tuufuu.png,width=100,height=100)</v>
      </c>
      <c r="V269" s="23" t="str">
        <f>"|MIDDLE:​"&amp;テーブル1[[#This Row],[名前]]</f>
        <v>|MIDDLE:​UTA痛風</v>
      </c>
      <c r="W269" s="23" t="str">
        <f>"|MIDDLE:​"&amp;テーブル1[[#This Row],[なまえ]]</f>
        <v>|MIDDLE:​うた つうふう</v>
      </c>
      <c r="X269" s="23" t="str">
        <f>"|MIDDLE:​"&amp;テーブル1[[#This Row],[Name]]</f>
        <v>|MIDDLE:​Uta Tuufuu</v>
      </c>
      <c r="Y269" s="23" t="str">
        <f>"|MIDDLE:​&amp;link(配布所はこちら){​"&amp;テーブル1[[#This Row],[リンク]]&amp;"}|"</f>
        <v>|MIDDLE:​&amp;link(配布所はこちら){​https://torinosu-hikikomori.jimdofree.com}|</v>
      </c>
    </row>
    <row r="270" spans="2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70" s="24" t="s">
        <v>1202</v>
      </c>
      <c r="D270" s="23" t="s">
        <v>1215</v>
      </c>
      <c r="E270" s="23" t="s">
        <v>1214</v>
      </c>
      <c r="F270" s="15" t="s">
        <v>336</v>
      </c>
      <c r="G270" s="23" t="s">
        <v>337</v>
      </c>
      <c r="P270" s="24" t="str">
        <f>テーブル1[[#This Row],[リンク]]&amp;テーブル1[[#This Row],[描画状況]]</f>
        <v>https://torinosu-hikikomori.jimdofree.com</v>
      </c>
      <c r="Q270" s="17">
        <f>1-(COUNTIF(P:P,_xlfn.TEXTJOIN(",",TRUE,テーブル1[[#This Row],[リンク]],テーブル1[[#This Row],[描画状況]]))/COUNTIF(F:F,テーブル1[[#This Row],[リンク]]))</f>
        <v>0.125</v>
      </c>
      <c r="R270" s="16">
        <f ca="1">IFERROR(IF(テーブル1[[#This Row],[描画状況]]="",RAND()+(テーブル1[[#This Row],[列2]]*100),""),RAND())</f>
        <v>12.834105390773347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|&amp;image(uta-naitou.png,width=100,height=100)</v>
      </c>
      <c r="V270" s="23" t="str">
        <f>"|MIDDLE:​"&amp;テーブル1[[#This Row],[名前]]</f>
        <v>|MIDDLE:​UTA内藤</v>
      </c>
      <c r="W270" s="23" t="str">
        <f>"|MIDDLE:​"&amp;テーブル1[[#This Row],[なまえ]]</f>
        <v>|MIDDLE:​うた ないとう</v>
      </c>
      <c r="X270" s="23" t="str">
        <f>"|MIDDLE:​"&amp;テーブル1[[#This Row],[Name]]</f>
        <v>|MIDDLE:​Uta Naitou</v>
      </c>
      <c r="Y270" s="23" t="str">
        <f>"|MIDDLE:​&amp;link(配布所はこちら){​"&amp;テーブル1[[#This Row],[リンク]]&amp;"}|"</f>
        <v>|MIDDLE:​&amp;link(配布所はこちら){​https://torinosu-hikikomori.jimdofree.com}|</v>
      </c>
    </row>
    <row r="271" spans="2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71" s="24" t="s">
        <v>525</v>
      </c>
      <c r="D271" s="23" t="s">
        <v>526</v>
      </c>
      <c r="E271" s="28" t="s">
        <v>527</v>
      </c>
      <c r="F271" s="2" t="s">
        <v>216</v>
      </c>
      <c r="G271" s="23" t="s">
        <v>217</v>
      </c>
      <c r="H271" s="23" t="s">
        <v>1617</v>
      </c>
      <c r="I271" s="23" t="s">
        <v>1639</v>
      </c>
      <c r="K271" s="23" t="s">
        <v>1777</v>
      </c>
      <c r="L271" s="23" t="s">
        <v>1627</v>
      </c>
      <c r="M271" s="23" t="s">
        <v>1650</v>
      </c>
      <c r="N271" s="1" t="s">
        <v>1579</v>
      </c>
      <c r="P271" s="24" t="str">
        <f>テーブル1[[#This Row],[リンク]]&amp;テーブル1[[#This Row],[描画状況]]</f>
        <v>https://moqujc.wixsite.com/mqtop</v>
      </c>
      <c r="Q271" s="17">
        <f>1-(COUNTIF(P:P,_xlfn.TEXTJOIN(",",TRUE,テーブル1[[#This Row],[リンク]],テーブル1[[#This Row],[描画状況]]))/COUNTIF(F:F,テーブル1[[#This Row],[リンク]]))</f>
        <v>0.75</v>
      </c>
      <c r="R271" s="16">
        <f ca="1">IFERROR(IF(テーブル1[[#This Row],[描画状況]]="",RAND()+(テーブル1[[#This Row],[列2]]*100),""),RAND())</f>
        <v>75.595820454174387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|&amp;image(eke.png,width=100,height=100)</v>
      </c>
      <c r="V271" s="23" t="str">
        <f>"|MIDDLE:​"&amp;テーブル1[[#This Row],[名前]]</f>
        <v>|MIDDLE:​Akerr</v>
      </c>
      <c r="W271" s="23" t="str">
        <f>"|MIDDLE:​"&amp;テーブル1[[#This Row],[なまえ]]</f>
        <v>|MIDDLE:​えーけー</v>
      </c>
      <c r="X271" s="23" t="str">
        <f>"|MIDDLE:​"&amp;テーブル1[[#This Row],[Name]]</f>
        <v>|MIDDLE:​eke</v>
      </c>
      <c r="Y271" s="23" t="str">
        <f>"|MIDDLE:​&amp;link(配布所はこちら){​"&amp;テーブル1[[#This Row],[リンク]]&amp;"}|"</f>
        <v>|MIDDLE:​&amp;link(配布所はこちら){​https://moqujc.wixsite.com/mqtop}|</v>
      </c>
    </row>
    <row r="272" spans="2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72" s="24" t="s">
        <v>850</v>
      </c>
      <c r="D272" s="23" t="s">
        <v>851</v>
      </c>
      <c r="E272" s="23" t="s">
        <v>854</v>
      </c>
      <c r="F272" s="2" t="s">
        <v>830</v>
      </c>
      <c r="G272" s="23" t="s">
        <v>831</v>
      </c>
      <c r="P272" s="24" t="str">
        <f>テーブル1[[#This Row],[リンク]]&amp;テーブル1[[#This Row],[描画状況]]</f>
        <v>https://kaedekatusaki.wixsite.com/yanagiroutyou</v>
      </c>
      <c r="Q272" s="17">
        <f>1-(COUNTIF(P:P,_xlfn.TEXTJOIN(",",TRUE,テーブル1[[#This Row],[リンク]],テーブル1[[#This Row],[描画状況]]))/COUNTIF(F:F,テーブル1[[#This Row],[リンク]]))</f>
        <v>0.125</v>
      </c>
      <c r="R272" s="16">
        <f ca="1">IFERROR(IF(テーブル1[[#This Row],[描画状況]]="",RAND()+(テーブル1[[#This Row],[列2]]*100),""),RAND())</f>
        <v>13.152660136648874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|&amp;image(ekida-mari.png,width=100,height=100)</v>
      </c>
      <c r="V272" s="23" t="str">
        <f>"|MIDDLE:​"&amp;テーブル1[[#This Row],[名前]]</f>
        <v>|MIDDLE:​柄木田真理</v>
      </c>
      <c r="W272" s="23" t="str">
        <f>"|MIDDLE:​"&amp;テーブル1[[#This Row],[なまえ]]</f>
        <v>|MIDDLE:​えきだ まり</v>
      </c>
      <c r="X272" s="23" t="str">
        <f>"|MIDDLE:​"&amp;テーブル1[[#This Row],[Name]]</f>
        <v>|MIDDLE:​Ekida Mari</v>
      </c>
      <c r="Y27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73" s="24" t="s">
        <v>852</v>
      </c>
      <c r="D273" s="23" t="s">
        <v>853</v>
      </c>
      <c r="E273" s="23" t="s">
        <v>855</v>
      </c>
      <c r="F273" s="2" t="s">
        <v>830</v>
      </c>
      <c r="G273" s="23" t="s">
        <v>831</v>
      </c>
      <c r="P273" s="24" t="str">
        <f>テーブル1[[#This Row],[リンク]]&amp;テーブル1[[#This Row],[描画状況]]</f>
        <v>https://kaedekatusaki.wixsite.com/yanagiroutyou</v>
      </c>
      <c r="Q273" s="17">
        <f>1-(COUNTIF(P:P,_xlfn.TEXTJOIN(",",TRUE,テーブル1[[#This Row],[リンク]],テーブル1[[#This Row],[描画状況]]))/COUNTIF(F:F,テーブル1[[#This Row],[リンク]]))</f>
        <v>0.125</v>
      </c>
      <c r="R273" s="16">
        <f ca="1">IFERROR(IF(テーブル1[[#This Row],[描画状況]]="",RAND()+(テーブル1[[#This Row],[列2]]*100),""),RAND())</f>
        <v>12.672954924772798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|&amp;image(ekida-rima.png,width=100,height=100)</v>
      </c>
      <c r="V273" s="23" t="str">
        <f>"|MIDDLE:​"&amp;テーブル1[[#This Row],[名前]]</f>
        <v>|MIDDLE:​柄木田理真</v>
      </c>
      <c r="W273" s="23" t="str">
        <f>"|MIDDLE:​"&amp;テーブル1[[#This Row],[なまえ]]</f>
        <v>|MIDDLE:​えきだ りま</v>
      </c>
      <c r="X273" s="23" t="str">
        <f>"|MIDDLE:​"&amp;テーブル1[[#This Row],[Name]]</f>
        <v>|MIDDLE:​Ekida Rima</v>
      </c>
      <c r="Y273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74" s="24" t="s">
        <v>1442</v>
      </c>
      <c r="D274" s="23" t="s">
        <v>1442</v>
      </c>
      <c r="E274" s="23" t="s">
        <v>1443</v>
      </c>
      <c r="F274" s="15" t="s">
        <v>1437</v>
      </c>
      <c r="G274" s="23" t="s">
        <v>1438</v>
      </c>
      <c r="P274" s="24" t="str">
        <f>テーブル1[[#This Row],[リンク]]&amp;テーブル1[[#This Row],[描画状況]]</f>
        <v>https://bowlroll.net/user/992955</v>
      </c>
      <c r="Q274" s="17">
        <f>1-(COUNTIF(P:P,_xlfn.TEXTJOIN(",",TRUE,テーブル1[[#This Row],[リンク]],テーブル1[[#This Row],[描画状況]]))/COUNTIF(F:F,テーブル1[[#This Row],[リンク]]))</f>
        <v>0</v>
      </c>
      <c r="R274" s="16">
        <f ca="1">IFERROR(IF(テーブル1[[#This Row],[描画状況]]="",RAND()+(テーブル1[[#This Row],[列2]]*100),""),RAND())</f>
        <v>0.89907718569464834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|&amp;image(elmarie.png,width=100,height=100)</v>
      </c>
      <c r="V274" s="23" t="str">
        <f>"|MIDDLE:​"&amp;テーブル1[[#This Row],[名前]]</f>
        <v>|MIDDLE:​えるまりー</v>
      </c>
      <c r="W274" s="23" t="str">
        <f>"|MIDDLE:​"&amp;テーブル1[[#This Row],[なまえ]]</f>
        <v>|MIDDLE:​えるまりー</v>
      </c>
      <c r="X274" s="23" t="str">
        <f>"|MIDDLE:​"&amp;テーブル1[[#This Row],[Name]]</f>
        <v>|MIDDLE:​Elmarie</v>
      </c>
      <c r="Y274" s="23" t="str">
        <f>"|MIDDLE:​&amp;link(配布所はこちら){​"&amp;テーブル1[[#This Row],[リンク]]&amp;"}|"</f>
        <v>|MIDDLE:​&amp;link(配布所はこちら){​https://bowlroll.net/user/992955}|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275" s="24" t="s">
        <v>1337</v>
      </c>
      <c r="D275" s="23" t="s">
        <v>1338</v>
      </c>
      <c r="E275" s="23" t="s">
        <v>1339</v>
      </c>
      <c r="F275" s="23" t="s">
        <v>418</v>
      </c>
      <c r="G275" s="23" t="s">
        <v>1340</v>
      </c>
      <c r="P275" s="24" t="str">
        <f>テーブル1[[#This Row],[リンク]]&amp;テーブル1[[#This Row],[描画状況]]</f>
        <v>-</v>
      </c>
      <c r="Q275" s="17">
        <f>1-(COUNTIF(P:P,_xlfn.TEXTJOIN(",",TRUE,テーブル1[[#This Row],[リンク]],テーブル1[[#This Row],[描画状況]]))/COUNTIF(F:F,テーブル1[[#This Row],[リンク]]))</f>
        <v>0.33333333333333337</v>
      </c>
      <c r="R275" s="16">
        <f ca="1">IFERROR(IF(テーブル1[[#This Row],[描画状況]]="",RAND()+(テーブル1[[#This Row],[列2]]*100),""),RAND())</f>
        <v>34.267459388912961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|&amp;image(ouka-arisu.png,width=100,height=100)</v>
      </c>
      <c r="V275" s="23" t="str">
        <f>"|MIDDLE:​"&amp;テーブル1[[#This Row],[名前]]</f>
        <v>|MIDDLE:​櫻花アリス</v>
      </c>
      <c r="W275" s="23" t="str">
        <f>"|MIDDLE:​"&amp;テーブル1[[#This Row],[なまえ]]</f>
        <v>|MIDDLE:​おうか ありす</v>
      </c>
      <c r="X275" s="23" t="str">
        <f>"|MIDDLE:​"&amp;テーブル1[[#This Row],[Name]]</f>
        <v>|MIDDLE:​Ouka Arisu</v>
      </c>
      <c r="Y275" s="23" t="str">
        <f>"|MIDDLE:​&amp;link(配布所はこちら){​"&amp;テーブル1[[#This Row],[リンク]]&amp;"}|"</f>
        <v>|MIDDLE:​&amp;link(配布所はこちら){​-}|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276" s="24" t="s">
        <v>844</v>
      </c>
      <c r="D276" s="23" t="s">
        <v>845</v>
      </c>
      <c r="E276" s="23" t="s">
        <v>846</v>
      </c>
      <c r="F276" s="2" t="s">
        <v>830</v>
      </c>
      <c r="G276" s="23" t="s">
        <v>831</v>
      </c>
      <c r="P276" s="24" t="str">
        <f>テーブル1[[#This Row],[リンク]]&amp;テーブル1[[#This Row],[描画状況]]</f>
        <v>https://kaedekatusaki.wixsite.com/yanagiroutyou</v>
      </c>
      <c r="Q276" s="17">
        <f>1-(COUNTIF(P:P,_xlfn.TEXTJOIN(",",TRUE,テーブル1[[#This Row],[リンク]],テーブル1[[#This Row],[描画状況]]))/COUNTIF(F:F,テーブル1[[#This Row],[リンク]]))</f>
        <v>0.125</v>
      </c>
      <c r="R276" s="16">
        <f ca="1">IFERROR(IF(テーブル1[[#This Row],[描画状況]]="",RAND()+(テーブル1[[#This Row],[列2]]*100),""),RAND())</f>
        <v>12.739408592099652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|&amp;image(okashiikun.png,width=100,height=100)</v>
      </c>
      <c r="V276" s="23" t="str">
        <f>"|MIDDLE:​"&amp;テーブル1[[#This Row],[名前]]</f>
        <v>|MIDDLE:​おｋしいくん</v>
      </c>
      <c r="W276" s="23" t="str">
        <f>"|MIDDLE:​"&amp;テーブル1[[#This Row],[なまえ]]</f>
        <v>|MIDDLE:​おかしいくん</v>
      </c>
      <c r="X276" s="23" t="str">
        <f>"|MIDDLE:​"&amp;テーブル1[[#This Row],[Name]]</f>
        <v>|MIDDLE:​Okashiikun</v>
      </c>
      <c r="Y27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277" s="24" t="s">
        <v>1209</v>
      </c>
      <c r="D277" s="23" t="s">
        <v>1230</v>
      </c>
      <c r="E277" s="23" t="s">
        <v>1229</v>
      </c>
      <c r="F277" s="15" t="s">
        <v>336</v>
      </c>
      <c r="G277" s="23" t="s">
        <v>337</v>
      </c>
      <c r="P277" s="24" t="str">
        <f>テーブル1[[#This Row],[リンク]]&amp;テーブル1[[#This Row],[描画状況]]</f>
        <v>https://torinosu-hikikomori.jimdofree.com</v>
      </c>
      <c r="Q277" s="17">
        <f>1-(COUNTIF(P:P,_xlfn.TEXTJOIN(",",TRUE,テーブル1[[#This Row],[リンク]],テーブル1[[#This Row],[描画状況]]))/COUNTIF(F:F,テーブル1[[#This Row],[リンク]]))</f>
        <v>0.125</v>
      </c>
      <c r="R277" s="16">
        <f ca="1">IFERROR(IF(テーブル1[[#This Row],[描画状況]]="",RAND()+(テーブル1[[#This Row],[列2]]*100),""),RAND())</f>
        <v>12.696707215771362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|&amp;image(ohgi-fuki.png,width=100,height=100)</v>
      </c>
      <c r="V277" s="23" t="str">
        <f>"|MIDDLE:​"&amp;テーブル1[[#This Row],[名前]]</f>
        <v>|MIDDLE:​オーギ・フーキ</v>
      </c>
      <c r="W277" s="23" t="str">
        <f>"|MIDDLE:​"&amp;テーブル1[[#This Row],[なまえ]]</f>
        <v>|MIDDLE:​おぎ ふき</v>
      </c>
      <c r="X277" s="23" t="str">
        <f>"|MIDDLE:​"&amp;テーブル1[[#This Row],[Name]]</f>
        <v>|MIDDLE:​Ohgi Fuki</v>
      </c>
      <c r="Y277" s="23" t="str">
        <f>"|MIDDLE:​&amp;link(配布所はこちら){​"&amp;テーブル1[[#This Row],[リンク]]&amp;"}|"</f>
        <v>|MIDDLE:​&amp;link(配布所はこちら){​https://torinosu-hikikomori.jimdofree.com}|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278" s="24" t="s">
        <v>508</v>
      </c>
      <c r="D278" s="23" t="s">
        <v>509</v>
      </c>
      <c r="E278" s="23" t="s">
        <v>510</v>
      </c>
      <c r="F278" s="2" t="s">
        <v>36</v>
      </c>
      <c r="G278" s="23" t="s">
        <v>511</v>
      </c>
      <c r="N278" s="1" t="s">
        <v>1507</v>
      </c>
      <c r="P278" s="24" t="str">
        <f>テーブル1[[#This Row],[リンク]]&amp;テーブル1[[#This Row],[描画状況]]</f>
        <v>https://666not.wixsite.com/partition-voyage</v>
      </c>
      <c r="Q278" s="17">
        <f>1-(COUNTIF(P:P,_xlfn.TEXTJOIN(",",TRUE,テーブル1[[#This Row],[リンク]],テーブル1[[#This Row],[描画状況]]))/COUNTIF(F:F,テーブル1[[#This Row],[リンク]]))</f>
        <v>0.5</v>
      </c>
      <c r="R278" s="16">
        <f ca="1">IFERROR(IF(テーブル1[[#This Row],[描画状況]]="",RAND()+(テーブル1[[#This Row],[列2]]*100),""),RAND())</f>
        <v>50.632774771261239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|&amp;image(oshiro-tabi.png,width=100,height=100)</v>
      </c>
      <c r="V278" s="23" t="str">
        <f>"|MIDDLE:​"&amp;テーブル1[[#This Row],[名前]]</f>
        <v>|MIDDLE:​嗚代タビ</v>
      </c>
      <c r="W278" s="23" t="str">
        <f>"|MIDDLE:​"&amp;テーブル1[[#This Row],[なまえ]]</f>
        <v>|MIDDLE:​おしろ たび</v>
      </c>
      <c r="X278" s="23" t="str">
        <f>"|MIDDLE:​"&amp;テーブル1[[#This Row],[Name]]</f>
        <v>|MIDDLE:​Oshiro Tabi</v>
      </c>
      <c r="Y278" s="23" t="str">
        <f>"|MIDDLE:​&amp;link(配布所はこちら){​"&amp;テーブル1[[#This Row],[リンク]]&amp;"}|"</f>
        <v>|MIDDLE:​&amp;link(配布所はこちら){​https://666not.wixsite.com/partition-voyage}|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279" s="24" t="s">
        <v>758</v>
      </c>
      <c r="D279" s="23" t="s">
        <v>759</v>
      </c>
      <c r="E279" s="23" t="s">
        <v>760</v>
      </c>
      <c r="F279" s="15" t="s">
        <v>761</v>
      </c>
      <c r="G279" s="23" t="s">
        <v>762</v>
      </c>
      <c r="P279" s="24" t="str">
        <f>テーブル1[[#This Row],[リンク]]&amp;テーブル1[[#This Row],[描画状況]]</f>
        <v>https://bowlroll.net/user/634941</v>
      </c>
      <c r="Q279" s="17">
        <f>1-(COUNTIF(P:P,_xlfn.TEXTJOIN(",",TRUE,テーブル1[[#This Row],[リンク]],テーブル1[[#This Row],[描画状況]]))/COUNTIF(F:F,テーブル1[[#This Row],[リンク]]))</f>
        <v>0</v>
      </c>
      <c r="R279" s="16">
        <f ca="1">IFERROR(IF(テーブル1[[#This Row],[描画状況]]="",RAND()+(テーブル1[[#This Row],[列2]]*100),""),RAND())</f>
        <v>0.34751940217963073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|&amp;image(oda-maki.png,width=100,height=100)</v>
      </c>
      <c r="V279" s="23" t="str">
        <f>"|MIDDLE:​"&amp;テーブル1[[#This Row],[名前]]</f>
        <v>|MIDDLE:​苧田マキ</v>
      </c>
      <c r="W279" s="23" t="str">
        <f>"|MIDDLE:​"&amp;テーブル1[[#This Row],[なまえ]]</f>
        <v>|MIDDLE:​おだ まき</v>
      </c>
      <c r="X279" s="23" t="str">
        <f>"|MIDDLE:​"&amp;テーブル1[[#This Row],[Name]]</f>
        <v>|MIDDLE:​Oda Maki</v>
      </c>
      <c r="Y279" s="23" t="str">
        <f>"|MIDDLE:​&amp;link(配布所はこちら){​"&amp;テーブル1[[#This Row],[リンク]]&amp;"}|"</f>
        <v>|MIDDLE:​&amp;link(配布所はこちら){​https://bowlroll.net/user/634941}|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280" s="24" t="s">
        <v>595</v>
      </c>
      <c r="D280" s="23" t="s">
        <v>596</v>
      </c>
      <c r="E280" s="23" t="s">
        <v>597</v>
      </c>
      <c r="F280" s="2" t="s">
        <v>598</v>
      </c>
      <c r="G280" s="23" t="s">
        <v>599</v>
      </c>
      <c r="P280" s="24" t="str">
        <f>テーブル1[[#This Row],[リンク]]&amp;テーブル1[[#This Row],[描画状況]]</f>
        <v>https://bowlroll.net/user/253605</v>
      </c>
      <c r="Q280" s="17">
        <f>1-(COUNTIF(P:P,_xlfn.TEXTJOIN(",",TRUE,テーブル1[[#This Row],[リンク]],テーブル1[[#This Row],[描画状況]]))/COUNTIF(F:F,テーブル1[[#This Row],[リンク]]))</f>
        <v>0</v>
      </c>
      <c r="R280" s="16">
        <f ca="1">IFERROR(IF(テーブル1[[#This Row],[描画状況]]="",RAND()+(テーブル1[[#This Row],[列2]]*100),""),RAND())</f>
        <v>0.5788920569471141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|&amp;image(otoori-kouji.png,width=100,height=100)</v>
      </c>
      <c r="V280" s="23" t="str">
        <f>"|MIDDLE:​"&amp;テーブル1[[#This Row],[名前]]</f>
        <v>|MIDDLE:​音通コウジ</v>
      </c>
      <c r="W280" s="23" t="str">
        <f>"|MIDDLE:​"&amp;テーブル1[[#This Row],[なまえ]]</f>
        <v>|MIDDLE:​おとおり こうじ</v>
      </c>
      <c r="X280" s="23" t="str">
        <f>"|MIDDLE:​"&amp;テーブル1[[#This Row],[Name]]</f>
        <v>|MIDDLE:​Otoori Kouji</v>
      </c>
      <c r="Y280" s="23" t="str">
        <f>"|MIDDLE:​&amp;link(配布所はこちら){​"&amp;テーブル1[[#This Row],[リンク]]&amp;"}|"</f>
        <v>|MIDDLE:​&amp;link(配布所はこちら){​https://bowlroll.net/user/253605}|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281" s="24" t="s">
        <v>802</v>
      </c>
      <c r="D281" s="23" t="s">
        <v>804</v>
      </c>
      <c r="E281" s="23" t="s">
        <v>803</v>
      </c>
      <c r="F281" s="15" t="s">
        <v>775</v>
      </c>
      <c r="G281" s="23" t="str">
        <f>テーブル1[[#This Row],[名前]]&amp;"(UTAU)"</f>
        <v>音偽ユウ(UTAU)</v>
      </c>
      <c r="N281" s="1" t="s">
        <v>1507</v>
      </c>
      <c r="P281" s="24" t="str">
        <f>テーブル1[[#This Row],[リンク]]&amp;テーブル1[[#This Row],[描画状況]]</f>
        <v>https://cmamizki.wixsite.com/edelstein</v>
      </c>
      <c r="Q281" s="17">
        <f>1-(COUNTIF(P:P,_xlfn.TEXTJOIN(",",TRUE,テーブル1[[#This Row],[リンク]],テーブル1[[#This Row],[描画状況]]))/COUNTIF(F:F,テーブル1[[#This Row],[リンク]]))</f>
        <v>9.0909090909090939E-2</v>
      </c>
      <c r="R281" s="16">
        <f ca="1">IFERROR(IF(テーブル1[[#This Row],[描画状況]]="",RAND()+(テーブル1[[#This Row],[列2]]*100),""),RAND())</f>
        <v>9.6884706201781405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|&amp;image(otogi-yu.png,width=100,height=100)</v>
      </c>
      <c r="V281" s="23" t="str">
        <f>"|MIDDLE:​"&amp;テーブル1[[#This Row],[名前]]</f>
        <v>|MIDDLE:​音偽ユウ</v>
      </c>
      <c r="W281" s="23" t="str">
        <f>"|MIDDLE:​"&amp;テーブル1[[#This Row],[なまえ]]</f>
        <v>|MIDDLE:​おとぎ ゆう</v>
      </c>
      <c r="X281" s="23" t="str">
        <f>"|MIDDLE:​"&amp;テーブル1[[#This Row],[Name]]</f>
        <v>|MIDDLE:​Otogi Yu</v>
      </c>
      <c r="Y281" s="23" t="str">
        <f>"|MIDDLE:​&amp;link(配布所はこちら){​"&amp;テーブル1[[#This Row],[リンク]]&amp;"}|"</f>
        <v>|MIDDLE:​&amp;link(配布所はこちら){​https://cmamizki.wixsite.com/edelstein}|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282" s="24" t="s">
        <v>1013</v>
      </c>
      <c r="D282" s="23" t="s">
        <v>1016</v>
      </c>
      <c r="E282" s="23" t="s">
        <v>1017</v>
      </c>
      <c r="F282" s="2" t="s">
        <v>537</v>
      </c>
      <c r="G282" s="23" t="s">
        <v>1009</v>
      </c>
      <c r="H282" s="23" t="s">
        <v>1616</v>
      </c>
      <c r="I282" s="23" t="s">
        <v>1644</v>
      </c>
      <c r="K282" s="23" t="s">
        <v>1701</v>
      </c>
      <c r="L282" s="23" t="s">
        <v>1680</v>
      </c>
      <c r="P282" s="24" t="str">
        <f>テーブル1[[#This Row],[リンク]]&amp;テーブル1[[#This Row],[描画状況]]</f>
        <v>https://bowlroll.net/user/980255</v>
      </c>
      <c r="Q282" s="17">
        <f>1-(COUNTIF(P:P,_xlfn.TEXTJOIN(",",TRUE,テーブル1[[#This Row],[リンク]],テーブル1[[#This Row],[描画状況]]))/COUNTIF(F:F,テーブル1[[#This Row],[リンク]]))</f>
        <v>0.5714285714285714</v>
      </c>
      <c r="R282" s="16">
        <f ca="1">IFERROR(IF(テーブル1[[#This Row],[描画状況]]="",RAND()+(テーブル1[[#This Row],[列2]]*100),""),RAND())</f>
        <v>57.44276208034546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|&amp;image(otonashi-kae.png,width=100,height=100)</v>
      </c>
      <c r="V282" s="23" t="str">
        <f>"|MIDDLE:​"&amp;テーブル1[[#This Row],[名前]]</f>
        <v>|MIDDLE:​於菟無カエ</v>
      </c>
      <c r="W282" s="23" t="str">
        <f>"|MIDDLE:​"&amp;テーブル1[[#This Row],[なまえ]]</f>
        <v>|MIDDLE:​おとなし かえ</v>
      </c>
      <c r="X282" s="23" t="str">
        <f>"|MIDDLE:​"&amp;テーブル1[[#This Row],[Name]]</f>
        <v>|MIDDLE:​Otonashi Kae</v>
      </c>
      <c r="Y282" s="23" t="str">
        <f>"|MIDDLE:​&amp;link(配布所はこちら){​"&amp;テーブル1[[#This Row],[リンク]]&amp;"}|"</f>
        <v>|MIDDLE:​&amp;link(配布所はこちら){​https://bowlroll.net/user/980255}|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283" s="24" t="s">
        <v>1323</v>
      </c>
      <c r="D283" s="23" t="s">
        <v>1325</v>
      </c>
      <c r="E283" s="23" t="s">
        <v>1324</v>
      </c>
      <c r="F283" s="15" t="s">
        <v>1311</v>
      </c>
      <c r="G283" s="23" t="str">
        <f>テーブル1[[#This Row],[名前]]&amp;"(UTAU)"</f>
        <v>オトワシグレ(UTAU)</v>
      </c>
      <c r="P283" s="24" t="str">
        <f>テーブル1[[#This Row],[リンク]]&amp;テーブル1[[#This Row],[描画状況]]</f>
        <v>https://jiwajiwakirinn.wixsite.com/sakurada</v>
      </c>
      <c r="Q283" s="17">
        <f>1-(COUNTIF(P:P,_xlfn.TEXTJOIN(",",TRUE,テーブル1[[#This Row],[リンク]],テーブル1[[#This Row],[描画状況]]))/COUNTIF(F:F,テーブル1[[#This Row],[リンク]]))</f>
        <v>0.19999999999999996</v>
      </c>
      <c r="R283" s="16">
        <f ca="1">IFERROR(IF(テーブル1[[#This Row],[描画状況]]="",RAND()+(テーブル1[[#This Row],[列2]]*100),""),RAND())</f>
        <v>20.996865336766909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|&amp;image(otowa-shigure.png,width=100,height=100)</v>
      </c>
      <c r="V283" s="23" t="str">
        <f>"|MIDDLE:​"&amp;テーブル1[[#This Row],[名前]]</f>
        <v>|MIDDLE:​オトワシグレ</v>
      </c>
      <c r="W283" s="23" t="str">
        <f>"|MIDDLE:​"&amp;テーブル1[[#This Row],[なまえ]]</f>
        <v>|MIDDLE:​おとわ しぐれ</v>
      </c>
      <c r="X283" s="23" t="str">
        <f>"|MIDDLE:​"&amp;テーブル1[[#This Row],[Name]]</f>
        <v>|MIDDLE:​Otowa Shigure</v>
      </c>
      <c r="Y283" s="23" t="str">
        <f>"|MIDDLE:​&amp;link(配布所はこちら){​"&amp;テーブル1[[#This Row],[リンク]]&amp;"}|"</f>
        <v>|MIDDLE:​&amp;link(配布所はこちら){​https://jiwajiwakirinn.wixsite.com/sakurada}|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284" s="24" t="s">
        <v>908</v>
      </c>
      <c r="D284" s="23" t="s">
        <v>910</v>
      </c>
      <c r="E284" s="23" t="s">
        <v>909</v>
      </c>
      <c r="F284" s="15" t="s">
        <v>901</v>
      </c>
      <c r="G284" s="23" t="s">
        <v>914</v>
      </c>
      <c r="P284" s="24" t="str">
        <f>テーブル1[[#This Row],[リンク]]&amp;テーブル1[[#This Row],[描画状況]]</f>
        <v>https://suukedayo.wixsite.com/shiawasefairu</v>
      </c>
      <c r="Q284" s="17">
        <f>1-(COUNTIF(P:P,_xlfn.TEXTJOIN(",",TRUE,テーブル1[[#This Row],[リンク]],テーブル1[[#This Row],[描画状況]]))/COUNTIF(F:F,テーブル1[[#This Row],[リンク]]))</f>
        <v>0</v>
      </c>
      <c r="R284" s="16">
        <f ca="1">IFERROR(IF(テーブル1[[#This Row],[描画状況]]="",RAND()+(テーブル1[[#This Row],[列2]]*100),""),RAND())</f>
        <v>0.83706565885490081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|&amp;image(kaiko-rito.png,width=100,height=100)</v>
      </c>
      <c r="V284" s="23" t="str">
        <f>"|MIDDLE:​"&amp;テーブル1[[#This Row],[名前]]</f>
        <v>|MIDDLE:​开狐リト</v>
      </c>
      <c r="W284" s="23" t="str">
        <f>"|MIDDLE:​"&amp;テーブル1[[#This Row],[なまえ]]</f>
        <v>|MIDDLE:​かいこ りと</v>
      </c>
      <c r="X284" s="23" t="str">
        <f>"|MIDDLE:​"&amp;テーブル1[[#This Row],[Name]]</f>
        <v>|MIDDLE:​Kaiko Rito</v>
      </c>
      <c r="Y284" s="23" t="str">
        <f>"|MIDDLE:​&amp;link(配布所はこちら){​"&amp;テーブル1[[#This Row],[リンク]]&amp;"}|"</f>
        <v>|MIDDLE:​&amp;link(配布所はこちら){​https://suukedayo.wixsite.com/shiawasefairu}|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285" s="24" t="s">
        <v>987</v>
      </c>
      <c r="D285" s="23" t="s">
        <v>990</v>
      </c>
      <c r="E285" s="23" t="s">
        <v>988</v>
      </c>
      <c r="F285" s="2" t="s">
        <v>569</v>
      </c>
      <c r="G285" s="23" t="s">
        <v>570</v>
      </c>
      <c r="N285" s="1" t="s">
        <v>1507</v>
      </c>
      <c r="P285" s="24" t="str">
        <f>テーブル1[[#This Row],[リンク]]&amp;テーブル1[[#This Row],[描画状況]]</f>
        <v>https://askdance.wixsite.com/monitor-room/monitor-room</v>
      </c>
      <c r="Q285" s="17">
        <f>1-(COUNTIF(P:P,_xlfn.TEXTJOIN(",",TRUE,テーブル1[[#This Row],[リンク]],テーブル1[[#This Row],[描画状況]]))/COUNTIF(F:F,テーブル1[[#This Row],[リンク]]))</f>
        <v>9.9999999999999978E-2</v>
      </c>
      <c r="R285" s="16">
        <f ca="1">IFERROR(IF(テーブル1[[#This Row],[描画状況]]="",RAND()+(テーブル1[[#This Row],[列2]]*100),""),RAND())</f>
        <v>10.395369024971581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|&amp;image(gaitou-nashi.png,width=100,height=100)</v>
      </c>
      <c r="V285" s="23" t="str">
        <f>"|MIDDLE:​"&amp;テーブル1[[#This Row],[名前]]</f>
        <v>|MIDDLE:​該当ナシ</v>
      </c>
      <c r="W285" s="23" t="str">
        <f>"|MIDDLE:​"&amp;テーブル1[[#This Row],[なまえ]]</f>
        <v>|MIDDLE:​がいとう なし</v>
      </c>
      <c r="X285" s="23" t="str">
        <f>"|MIDDLE:​"&amp;テーブル1[[#This Row],[Name]]</f>
        <v>|MIDDLE:​Gaitou Nashi</v>
      </c>
      <c r="Y28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286" s="24" t="s">
        <v>1030</v>
      </c>
      <c r="D286" s="23" t="s">
        <v>1032</v>
      </c>
      <c r="E286" s="23" t="s">
        <v>1031</v>
      </c>
      <c r="F286" s="2" t="s">
        <v>90</v>
      </c>
      <c r="G286" s="23" t="s">
        <v>91</v>
      </c>
      <c r="H286" s="23" t="s">
        <v>1616</v>
      </c>
      <c r="I286" s="23" t="s">
        <v>1640</v>
      </c>
      <c r="L286" s="23" t="s">
        <v>1643</v>
      </c>
      <c r="N286" s="1" t="s">
        <v>1508</v>
      </c>
      <c r="P286" s="24" t="str">
        <f>テーブル1[[#This Row],[リンク]]&amp;テーブル1[[#This Row],[描画状況]]</f>
        <v>https://cloudcatch1224.wixsite.com/godsfoot</v>
      </c>
      <c r="Q286" s="17">
        <f>1-(COUNTIF(P:P,_xlfn.TEXTJOIN(",",TRUE,テーブル1[[#This Row],[リンク]],テーブル1[[#This Row],[描画状況]]))/COUNTIF(F:F,テーブル1[[#This Row],[リンク]]))</f>
        <v>0.8</v>
      </c>
      <c r="R286" s="16">
        <f ca="1">IFERROR(IF(テーブル1[[#This Row],[描画状況]]="",RAND()+(テーブル1[[#This Row],[列2]]*100),""),RAND())</f>
        <v>80.902351917133416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|&amp;image(kagibako-moka.png,width=100,height=100)</v>
      </c>
      <c r="V286" s="23" t="str">
        <f>"|MIDDLE:​"&amp;テーブル1[[#This Row],[名前]]</f>
        <v>|MIDDLE:​鍵箱モカ</v>
      </c>
      <c r="W286" s="23" t="str">
        <f>"|MIDDLE:​"&amp;テーブル1[[#This Row],[なまえ]]</f>
        <v>|MIDDLE:​かぎばこ もか</v>
      </c>
      <c r="X286" s="23" t="str">
        <f>"|MIDDLE:​"&amp;テーブル1[[#This Row],[Name]]</f>
        <v>|MIDDLE:​Kagibako Moka</v>
      </c>
      <c r="Y286" s="23" t="str">
        <f>"|MIDDLE:​&amp;link(配布所はこちら){​"&amp;テーブル1[[#This Row],[リンク]]&amp;"}|"</f>
        <v>|MIDDLE:​&amp;link(配布所はこちら){​https://cloudcatch1224.wixsite.com/godsfoot}|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287" s="24" t="s">
        <v>1070</v>
      </c>
      <c r="D287" s="23" t="s">
        <v>1071</v>
      </c>
      <c r="E287" s="23" t="s">
        <v>1072</v>
      </c>
      <c r="F287" s="15" t="s">
        <v>1062</v>
      </c>
      <c r="G287" s="23" t="s">
        <v>1063</v>
      </c>
      <c r="P287" s="24" t="str">
        <f>テーブル1[[#This Row],[リンク]]&amp;テーブル1[[#This Row],[描画状況]]</f>
        <v>https://yukimiyashimusho.jimdofree.com</v>
      </c>
      <c r="Q287" s="17">
        <f>1-(COUNTIF(P:P,_xlfn.TEXTJOIN(",",TRUE,テーブル1[[#This Row],[リンク]],テーブル1[[#This Row],[描画状況]]))/COUNTIF(F:F,テーブル1[[#This Row],[リンク]]))</f>
        <v>7.1428571428571397E-2</v>
      </c>
      <c r="R287" s="16">
        <f ca="1">IFERROR(IF(テーブル1[[#This Row],[描画状況]]="",RAND()+(テーブル1[[#This Row],[列2]]*100),""),RAND())</f>
        <v>7.5029649281983337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|&amp;image(kashihara-xavier.png,width=100,height=100)</v>
      </c>
      <c r="V287" s="23" t="str">
        <f>"|MIDDLE:​"&amp;テーブル1[[#This Row],[名前]]</f>
        <v>|MIDDLE:​橿原ザビエル</v>
      </c>
      <c r="W287" s="23" t="str">
        <f>"|MIDDLE:​"&amp;テーブル1[[#This Row],[なまえ]]</f>
        <v>|MIDDLE:​かしはら ざびえる</v>
      </c>
      <c r="X287" s="23" t="str">
        <f>"|MIDDLE:​"&amp;テーブル1[[#This Row],[Name]]</f>
        <v>|MIDDLE:​Kashihara Xavier</v>
      </c>
      <c r="Y287" s="23" t="str">
        <f>"|MIDDLE:​&amp;link(配布所はこちら){​"&amp;テーブル1[[#This Row],[リンク]]&amp;"}|"</f>
        <v>|MIDDLE:​&amp;link(配布所はこちら){​https://yukimiyashimusho.jimdofree.com}|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288" s="24" t="s">
        <v>1205</v>
      </c>
      <c r="D288" s="23" t="s">
        <v>1222</v>
      </c>
      <c r="E288" s="23" t="s">
        <v>1221</v>
      </c>
      <c r="F288" s="15" t="s">
        <v>336</v>
      </c>
      <c r="G288" s="23" t="s">
        <v>337</v>
      </c>
      <c r="P288" s="24" t="str">
        <f>テーブル1[[#This Row],[リンク]]&amp;テーブル1[[#This Row],[描画状況]]</f>
        <v>https://torinosu-hikikomori.jimdofree.com</v>
      </c>
      <c r="Q288" s="17">
        <f>1-(COUNTIF(P:P,_xlfn.TEXTJOIN(",",TRUE,テーブル1[[#This Row],[リンク]],テーブル1[[#This Row],[描画状況]]))/COUNTIF(F:F,テーブル1[[#This Row],[リンク]]))</f>
        <v>0.125</v>
      </c>
      <c r="R288" s="16">
        <f ca="1">IFERROR(IF(テーブル1[[#This Row],[描画状況]]="",RAND()+(テーブル1[[#This Row],[列2]]*100),""),RAND())</f>
        <v>12.586966605222065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|&amp;image(cutter-knife-girl-in-love.png,width=100,height=100)</v>
      </c>
      <c r="V288" s="23" t="str">
        <f>"|MIDDLE:​"&amp;テーブル1[[#This Row],[名前]]</f>
        <v>|MIDDLE:​カッターナイフと恋する少女</v>
      </c>
      <c r="W288" s="23" t="str">
        <f>"|MIDDLE:​"&amp;テーブル1[[#This Row],[なまえ]]</f>
        <v>|MIDDLE:​かったーないふとこいするしょうじょ</v>
      </c>
      <c r="X288" s="23" t="str">
        <f>"|MIDDLE:​"&amp;テーブル1[[#This Row],[Name]]</f>
        <v>|MIDDLE:​Cutter Knife &amp; Girl in Love</v>
      </c>
      <c r="Y288" s="23" t="str">
        <f>"|MIDDLE:​&amp;link(配布所はこちら){​"&amp;テーブル1[[#This Row],[リンク]]&amp;"}|"</f>
        <v>|MIDDLE:​&amp;link(配布所はこちら){​https://torinosu-hikikomori.jimdofree.com}|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289" s="24" t="s">
        <v>779</v>
      </c>
      <c r="D289" s="23" t="s">
        <v>780</v>
      </c>
      <c r="E289" s="23" t="s">
        <v>782</v>
      </c>
      <c r="F289" s="15" t="s">
        <v>775</v>
      </c>
      <c r="G289" s="23" t="s">
        <v>781</v>
      </c>
      <c r="N289" s="1" t="s">
        <v>1507</v>
      </c>
      <c r="P289" s="24" t="str">
        <f>テーブル1[[#This Row],[リンク]]&amp;テーブル1[[#This Row],[描画状況]]</f>
        <v>https://cmamizki.wixsite.com/edelstein</v>
      </c>
      <c r="Q289" s="17">
        <f>1-(COUNTIF(P:P,_xlfn.TEXTJOIN(",",TRUE,テーブル1[[#This Row],[リンク]],テーブル1[[#This Row],[描画状況]]))/COUNTIF(F:F,テーブル1[[#This Row],[リンク]]))</f>
        <v>9.0909090909090939E-2</v>
      </c>
      <c r="R289" s="16">
        <f ca="1">IFERROR(IF(テーブル1[[#This Row],[描画状況]]="",RAND()+(テーブル1[[#This Row],[列2]]*100),""),RAND())</f>
        <v>9.3603950433407093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|&amp;image(caffin.png,width=100,height=100)</v>
      </c>
      <c r="V289" s="23" t="str">
        <f>"|MIDDLE:​"&amp;テーブル1[[#This Row],[名前]]</f>
        <v>|MIDDLE:​カフィン</v>
      </c>
      <c r="W289" s="23" t="str">
        <f>"|MIDDLE:​"&amp;テーブル1[[#This Row],[なまえ]]</f>
        <v>|MIDDLE:​かふぃん</v>
      </c>
      <c r="X289" s="23" t="str">
        <f>"|MIDDLE:​"&amp;テーブル1[[#This Row],[Name]]</f>
        <v>|MIDDLE:​Caffin</v>
      </c>
      <c r="Y289" s="23" t="str">
        <f>"|MIDDLE:​&amp;link(配布所はこちら){​"&amp;テーブル1[[#This Row],[リンク]]&amp;"}|"</f>
        <v>|MIDDLE:​&amp;link(配布所はこちら){​https://cmamizki.wixsite.com/edelstein}|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290" s="24" t="s">
        <v>1172</v>
      </c>
      <c r="D290" s="23" t="s">
        <v>1173</v>
      </c>
      <c r="E290" s="23" t="s">
        <v>1174</v>
      </c>
      <c r="F290" s="15" t="s">
        <v>1171</v>
      </c>
      <c r="G290" s="23" t="s">
        <v>1175</v>
      </c>
      <c r="P290" s="24" t="str">
        <f>テーブル1[[#This Row],[リンク]]&amp;テーブル1[[#This Row],[描画状況]]</f>
        <v>http://lunacalan.com</v>
      </c>
      <c r="Q290" s="17">
        <f>1-(COUNTIF(P:P,_xlfn.TEXTJOIN(",",TRUE,テーブル1[[#This Row],[リンク]],テーブル1[[#This Row],[描画状況]]))/COUNTIF(F:F,テーブル1[[#This Row],[リンク]]))</f>
        <v>0</v>
      </c>
      <c r="R290" s="16">
        <f ca="1">IFERROR(IF(テーブル1[[#This Row],[描画状況]]="",RAND()+(テーブル1[[#This Row],[列2]]*100),""),RAND())</f>
        <v>0.78246597586283506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|&amp;image(karan-runa.png,width=100,height=100)</v>
      </c>
      <c r="V290" s="23" t="str">
        <f>"|MIDDLE:​"&amp;テーブル1[[#This Row],[名前]]</f>
        <v>|MIDDLE:​花蘭るな</v>
      </c>
      <c r="W290" s="23" t="str">
        <f>"|MIDDLE:​"&amp;テーブル1[[#This Row],[なまえ]]</f>
        <v>|MIDDLE:​からん るな</v>
      </c>
      <c r="X290" s="23" t="str">
        <f>"|MIDDLE:​"&amp;テーブル1[[#This Row],[Name]]</f>
        <v>|MIDDLE:​Karan Runa</v>
      </c>
      <c r="Y290" s="23" t="str">
        <f>"|MIDDLE:​&amp;link(配布所はこちら){​"&amp;テーブル1[[#This Row],[リンク]]&amp;"}|"</f>
        <v>|MIDDLE:​&amp;link(配布所はこちら){​http://lunacalan.com}|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291" s="24" t="s">
        <v>1012</v>
      </c>
      <c r="D291" s="23" t="s">
        <v>1014</v>
      </c>
      <c r="E291" s="23" t="s">
        <v>1015</v>
      </c>
      <c r="F291" s="2" t="s">
        <v>537</v>
      </c>
      <c r="G291" s="23" t="s">
        <v>1009</v>
      </c>
      <c r="H291" s="23" t="s">
        <v>1617</v>
      </c>
      <c r="I291" s="23" t="s">
        <v>1626</v>
      </c>
      <c r="K291" s="23" t="s">
        <v>1701</v>
      </c>
      <c r="L291" s="23" t="s">
        <v>1627</v>
      </c>
      <c r="P291" s="24" t="str">
        <f>テーブル1[[#This Row],[リンク]]&amp;テーブル1[[#This Row],[描画状況]]</f>
        <v>https://bowlroll.net/user/980255</v>
      </c>
      <c r="Q291" s="17">
        <f>1-(COUNTIF(P:P,_xlfn.TEXTJOIN(",",TRUE,テーブル1[[#This Row],[リンク]],テーブル1[[#This Row],[描画状況]]))/COUNTIF(F:F,テーブル1[[#This Row],[リンク]]))</f>
        <v>0.5714285714285714</v>
      </c>
      <c r="R291" s="16">
        <f ca="1">IFERROR(IF(テーブル1[[#This Row],[描画状況]]="",RAND()+(テーブル1[[#This Row],[列2]]*100),""),RAND())</f>
        <v>57.987747829064062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|&amp;image(karuta-koya.png,width=100,height=100)</v>
      </c>
      <c r="V291" s="23" t="str">
        <f>"|MIDDLE:​"&amp;テーブル1[[#This Row],[名前]]</f>
        <v>|MIDDLE:​歌留多耕也</v>
      </c>
      <c r="W291" s="23" t="str">
        <f>"|MIDDLE:​"&amp;テーブル1[[#This Row],[なまえ]]</f>
        <v>|MIDDLE:​かるた こうや</v>
      </c>
      <c r="X291" s="23" t="str">
        <f>"|MIDDLE:​"&amp;テーブル1[[#This Row],[Name]]</f>
        <v>|MIDDLE:​Karuta Koya</v>
      </c>
      <c r="Y291" s="23" t="str">
        <f>"|MIDDLE:​&amp;link(配布所はこちら){​"&amp;テーブル1[[#This Row],[リンク]]&amp;"}|"</f>
        <v>|MIDDLE:​&amp;link(配布所はこちら){​https://bowlroll.net/user/980255}|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292" s="24" t="s">
        <v>841</v>
      </c>
      <c r="D292" s="23" t="s">
        <v>842</v>
      </c>
      <c r="E292" s="23" t="s">
        <v>843</v>
      </c>
      <c r="F292" s="2" t="s">
        <v>830</v>
      </c>
      <c r="G292" s="23" t="s">
        <v>831</v>
      </c>
      <c r="P292" s="24" t="str">
        <f>テーブル1[[#This Row],[リンク]]&amp;テーブル1[[#This Row],[描画状況]]</f>
        <v>https://kaedekatusaki.wixsite.com/yanagiroutyou</v>
      </c>
      <c r="Q292" s="17">
        <f>1-(COUNTIF(P:P,_xlfn.TEXTJOIN(",",TRUE,テーブル1[[#This Row],[リンク]],テーブル1[[#This Row],[描画状況]]))/COUNTIF(F:F,テーブル1[[#This Row],[リンク]]))</f>
        <v>0.125</v>
      </c>
      <c r="R292" s="16">
        <f ca="1">IFERROR(IF(テーブル1[[#This Row],[描画状況]]="",RAND()+(テーブル1[[#This Row],[列2]]*100),""),RAND())</f>
        <v>13.197329068554174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|&amp;image(kido-on.png,width=100,height=100)</v>
      </c>
      <c r="V292" s="23" t="str">
        <f>"|MIDDLE:​"&amp;テーブル1[[#This Row],[名前]]</f>
        <v>|MIDDLE:​​機動穏</v>
      </c>
      <c r="W292" s="23" t="str">
        <f>"|MIDDLE:​"&amp;テーブル1[[#This Row],[なまえ]]</f>
        <v>|MIDDLE:​きどう おん</v>
      </c>
      <c r="X292" s="23" t="str">
        <f>"|MIDDLE:​"&amp;テーブル1[[#This Row],[Name]]</f>
        <v>|MIDDLE:​Kido On</v>
      </c>
      <c r="Y292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293" s="24" t="s">
        <v>1056</v>
      </c>
      <c r="D293" s="23" t="s">
        <v>1057</v>
      </c>
      <c r="E293" s="23" t="s">
        <v>1058</v>
      </c>
      <c r="F293" s="15" t="s">
        <v>668</v>
      </c>
      <c r="G293" s="23" t="s">
        <v>669</v>
      </c>
      <c r="N293" s="1" t="s">
        <v>1507</v>
      </c>
      <c r="P293" s="24" t="str">
        <f>テーブル1[[#This Row],[リンク]]&amp;テーブル1[[#This Row],[描画状況]]</f>
        <v>https://flowerrocklove.wixsite.com/twilight-crisis</v>
      </c>
      <c r="Q293" s="17">
        <f>1-(COUNTIF(P:P,_xlfn.TEXTJOIN(",",TRUE,テーブル1[[#This Row],[リンク]],テーブル1[[#This Row],[描画状況]]))/COUNTIF(F:F,テーブル1[[#This Row],[リンク]]))</f>
        <v>0.22222222222222221</v>
      </c>
      <c r="R293" s="16">
        <f ca="1">IFERROR(IF(テーブル1[[#This Row],[描画状況]]="",RAND()+(テーブル1[[#This Row],[列2]]*100),""),RAND())</f>
        <v>23.169028889890495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|&amp;image(gitorasan.png,width=100,height=100)</v>
      </c>
      <c r="V293" s="23" t="str">
        <f>"|MIDDLE:​"&amp;テーブル1[[#This Row],[名前]]</f>
        <v>|MIDDLE:​ギトラさん</v>
      </c>
      <c r="W293" s="23" t="str">
        <f>"|MIDDLE:​"&amp;テーブル1[[#This Row],[なまえ]]</f>
        <v>|MIDDLE:​ぎとらさん</v>
      </c>
      <c r="X293" s="23" t="str">
        <f>"|MIDDLE:​"&amp;テーブル1[[#This Row],[Name]]</f>
        <v>|MIDDLE:​Gitorasan</v>
      </c>
      <c r="Y29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294" s="24" t="s">
        <v>1000</v>
      </c>
      <c r="D294" s="23" t="s">
        <v>1003</v>
      </c>
      <c r="E294" s="23" t="s">
        <v>1004</v>
      </c>
      <c r="F294" s="2" t="s">
        <v>1783</v>
      </c>
      <c r="G294" s="23" t="s">
        <v>63</v>
      </c>
      <c r="H294" s="23" t="s">
        <v>1652</v>
      </c>
      <c r="I294" s="23" t="s">
        <v>1626</v>
      </c>
      <c r="J294" s="23" t="s">
        <v>1792</v>
      </c>
      <c r="M294" s="23" t="s">
        <v>1793</v>
      </c>
      <c r="N294" s="1" t="s">
        <v>1507</v>
      </c>
      <c r="P294" s="24" t="str">
        <f>テーブル1[[#This Row],[リンク]]&amp;テーブル1[[#This Row],[描画状況]]</f>
        <v>https://kinomihautaimas.wixsite.com/dongurihiroba</v>
      </c>
      <c r="Q294" s="17">
        <f>1-(COUNTIF(P:P,_xlfn.TEXTJOIN(",",TRUE,テーブル1[[#This Row],[リンク]],テーブル1[[#This Row],[描画状況]]))/COUNTIF(F:F,テーブル1[[#This Row],[リンク]]))</f>
        <v>0.6</v>
      </c>
      <c r="R294" s="16">
        <f ca="1">IFERROR(IF(テーブル1[[#This Row],[描画状況]]="",RAND()+(テーブル1[[#This Row],[列2]]*100),""),RAND())</f>
        <v>60.322105228669038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|&amp;image(kinone-moto.png,width=100,height=100)</v>
      </c>
      <c r="V294" s="23" t="str">
        <f>"|MIDDLE:​"&amp;テーブル1[[#This Row],[名前]]</f>
        <v>|MIDDLE:​きの音もと</v>
      </c>
      <c r="W294" s="23" t="str">
        <f>"|MIDDLE:​"&amp;テーブル1[[#This Row],[なまえ]]</f>
        <v>|MIDDLE:​きのね もと</v>
      </c>
      <c r="X294" s="23" t="str">
        <f>"|MIDDLE:​"&amp;テーブル1[[#This Row],[Name]]</f>
        <v>|MIDDLE:​Kinone Moto</v>
      </c>
      <c r="Y29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295" s="24" t="s">
        <v>1434</v>
      </c>
      <c r="D295" s="23" t="s">
        <v>1435</v>
      </c>
      <c r="E295" s="23" t="s">
        <v>1436</v>
      </c>
      <c r="F295" s="15" t="s">
        <v>1437</v>
      </c>
      <c r="G295" s="23" t="s">
        <v>1438</v>
      </c>
      <c r="P295" s="24" t="str">
        <f>テーブル1[[#This Row],[リンク]]&amp;テーブル1[[#This Row],[描画状況]]</f>
        <v>https://bowlroll.net/user/992955</v>
      </c>
      <c r="Q295" s="17">
        <f>1-(COUNTIF(P:P,_xlfn.TEXTJOIN(",",TRUE,テーブル1[[#This Row],[リンク]],テーブル1[[#This Row],[描画状況]]))/COUNTIF(F:F,テーブル1[[#This Row],[リンク]]))</f>
        <v>0</v>
      </c>
      <c r="R295" s="16">
        <f ca="1">IFERROR(IF(テーブル1[[#This Row],[描画状況]]="",RAND()+(テーブル1[[#This Row],[列2]]*100),""),RAND())</f>
        <v>0.94331296531349063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|&amp;image(giba-yorika.png,width=100,height=100)</v>
      </c>
      <c r="V295" s="23" t="str">
        <f>"|MIDDLE:​"&amp;テーブル1[[#This Row],[名前]]</f>
        <v>|MIDDLE:​義羽よりか</v>
      </c>
      <c r="W295" s="23" t="str">
        <f>"|MIDDLE:​"&amp;テーブル1[[#This Row],[なまえ]]</f>
        <v>|MIDDLE:​ぎば よりか</v>
      </c>
      <c r="X295" s="23" t="str">
        <f>"|MIDDLE:​"&amp;テーブル1[[#This Row],[Name]]</f>
        <v>|MIDDLE:​Giba Yorika</v>
      </c>
      <c r="Y295" s="23" t="str">
        <f>"|MIDDLE:​&amp;link(配布所はこちら){​"&amp;テーブル1[[#This Row],[リンク]]&amp;"}|"</f>
        <v>|MIDDLE:​&amp;link(配布所はこちら){​https://bowlroll.net/user/992955}|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296" s="24" t="s">
        <v>727</v>
      </c>
      <c r="D296" s="23" t="s">
        <v>729</v>
      </c>
      <c r="E296" s="23" t="s">
        <v>728</v>
      </c>
      <c r="F296" s="2" t="s">
        <v>726</v>
      </c>
      <c r="G296" s="23" t="s">
        <v>725</v>
      </c>
      <c r="P296" s="24" t="str">
        <f>テーブル1[[#This Row],[リンク]]&amp;テーブル1[[#This Row],[描画状況]]</f>
        <v>https://shiromeneko162.wixsite.com/shiromean-official</v>
      </c>
      <c r="Q296" s="17">
        <f>1-(COUNTIF(P:P,_xlfn.TEXTJOIN(",",TRUE,テーブル1[[#This Row],[リンク]],テーブル1[[#This Row],[描画状況]]))/COUNTIF(F:F,テーブル1[[#This Row],[リンク]]))</f>
        <v>0.5</v>
      </c>
      <c r="R296" s="16">
        <f ca="1">IFERROR(IF(テーブル1[[#This Row],[描画状況]]="",RAND()+(テーブル1[[#This Row],[列2]]*100),""),RAND())</f>
        <v>50.814522399768336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|&amp;image(gyokuto.png,width=100,height=100)</v>
      </c>
      <c r="V296" s="23" t="str">
        <f>"|MIDDLE:​"&amp;テーブル1[[#This Row],[名前]]</f>
        <v>|MIDDLE:​​玉兎</v>
      </c>
      <c r="W296" s="23" t="str">
        <f>"|MIDDLE:​"&amp;テーブル1[[#This Row],[なまえ]]</f>
        <v>|MIDDLE:​ぎょくと</v>
      </c>
      <c r="X296" s="23" t="str">
        <f>"|MIDDLE:​"&amp;テーブル1[[#This Row],[Name]]</f>
        <v>|MIDDLE:​Gyokuto</v>
      </c>
      <c r="Y29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297" s="24" t="s">
        <v>978</v>
      </c>
      <c r="D297" s="23" t="s">
        <v>980</v>
      </c>
      <c r="E297" s="23" t="s">
        <v>979</v>
      </c>
      <c r="F297" s="2" t="s">
        <v>569</v>
      </c>
      <c r="G297" s="23" t="s">
        <v>570</v>
      </c>
      <c r="N297" s="1" t="s">
        <v>1507</v>
      </c>
      <c r="P297" s="24" t="str">
        <f>テーブル1[[#This Row],[リンク]]&amp;テーブル1[[#This Row],[描画状況]]</f>
        <v>https://askdance.wixsite.com/monitor-room/monitor-room</v>
      </c>
      <c r="Q297" s="17">
        <f>1-(COUNTIF(P:P,_xlfn.TEXTJOIN(",",TRUE,テーブル1[[#This Row],[リンク]],テーブル1[[#This Row],[描画状況]]))/COUNTIF(F:F,テーブル1[[#This Row],[リンク]]))</f>
        <v>9.9999999999999978E-2</v>
      </c>
      <c r="R297" s="16">
        <f ca="1">IFERROR(IF(テーブル1[[#This Row],[描画状況]]="",RAND()+(テーブル1[[#This Row],[列2]]*100),""),RAND())</f>
        <v>10.93246802480383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|&amp;image(kusuzato-kimeru.png,width=100,height=100)</v>
      </c>
      <c r="V297" s="23" t="str">
        <f>"|MIDDLE:​"&amp;テーブル1[[#This Row],[名前]]</f>
        <v xml:space="preserve">|MIDDLE:​楠里極 </v>
      </c>
      <c r="W297" s="23" t="str">
        <f>"|MIDDLE:​"&amp;テーブル1[[#This Row],[なまえ]]</f>
        <v>|MIDDLE:​くすざと きめる</v>
      </c>
      <c r="X297" s="23" t="str">
        <f>"|MIDDLE:​"&amp;テーブル1[[#This Row],[Name]]</f>
        <v>|MIDDLE:​Kusuzato Kimeru</v>
      </c>
      <c r="Y29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298" s="24" t="s">
        <v>1252</v>
      </c>
      <c r="D298" s="23" t="s">
        <v>1253</v>
      </c>
      <c r="E298" s="23" t="s">
        <v>1254</v>
      </c>
      <c r="F298" s="15" t="s">
        <v>1255</v>
      </c>
      <c r="G298" s="23" t="s">
        <v>1256</v>
      </c>
      <c r="P298" s="24" t="str">
        <f>テーブル1[[#This Row],[リンク]]&amp;テーブル1[[#This Row],[描画状況]]</f>
        <v>https://bowlroll.net/user/934800</v>
      </c>
      <c r="Q298" s="17">
        <f>1-(COUNTIF(P:P,_xlfn.TEXTJOIN(",",TRUE,テーブル1[[#This Row],[リンク]],テーブル1[[#This Row],[描画状況]]))/COUNTIF(F:F,テーブル1[[#This Row],[リンク]]))</f>
        <v>0</v>
      </c>
      <c r="R298" s="16">
        <f ca="1">IFERROR(IF(テーブル1[[#This Row],[描画状況]]="",RAND()+(テーブル1[[#This Row],[列2]]*100),""),RAND())</f>
        <v>0.72890066594459579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|&amp;image(kuzuhira-tsumari.png,width=100,height=100)</v>
      </c>
      <c r="V298" s="23" t="str">
        <f>"|MIDDLE:​"&amp;テーブル1[[#This Row],[名前]]</f>
        <v>|MIDDLE:​葛平ツマリ</v>
      </c>
      <c r="W298" s="23" t="str">
        <f>"|MIDDLE:​"&amp;テーブル1[[#This Row],[なまえ]]</f>
        <v>|MIDDLE:​くずひら つまり</v>
      </c>
      <c r="X298" s="23" t="str">
        <f>"|MIDDLE:​"&amp;テーブル1[[#This Row],[Name]]</f>
        <v>|MIDDLE:​Kuzuhira tsumari</v>
      </c>
      <c r="Y298" s="23" t="str">
        <f>"|MIDDLE:​&amp;link(配布所はこちら){​"&amp;テーブル1[[#This Row],[リンク]]&amp;"}|"</f>
        <v>|MIDDLE:​&amp;link(配布所はこちら){​https://bowlroll.net/user/934800}|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299" s="24" t="s">
        <v>519</v>
      </c>
      <c r="D299" s="23" t="s">
        <v>520</v>
      </c>
      <c r="E299" s="23" t="s">
        <v>521</v>
      </c>
      <c r="F299" s="2" t="s">
        <v>517</v>
      </c>
      <c r="G299" s="23" t="s">
        <v>518</v>
      </c>
      <c r="N299" s="1" t="s">
        <v>1507</v>
      </c>
      <c r="P299" s="24" t="str">
        <f>テーブル1[[#This Row],[リンク]]&amp;テーブル1[[#This Row],[描画状況]]</f>
        <v>https://coyukimachi.wixsite.com/my-site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0.58028924173365848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|&amp;image(kunisue-kiyomasa.png,width=100,height=100)</v>
      </c>
      <c r="V299" s="23" t="str">
        <f>"|MIDDLE:​"&amp;テーブル1[[#This Row],[名前]]</f>
        <v>|MIDDLE:​​國居清正</v>
      </c>
      <c r="W299" s="23" t="str">
        <f>"|MIDDLE:​"&amp;テーブル1[[#This Row],[なまえ]]</f>
        <v>|MIDDLE:​くにすえ きよまさ</v>
      </c>
      <c r="X299" s="23" t="str">
        <f>"|MIDDLE:​"&amp;テーブル1[[#This Row],[Name]]</f>
        <v>|MIDDLE:​Kunisue Kiyomasa</v>
      </c>
      <c r="Y299" s="23" t="str">
        <f>"|MIDDLE:​&amp;link(配布所はこちら){​"&amp;テーブル1[[#This Row],[リンク]]&amp;"}|"</f>
        <v>|MIDDLE:​&amp;link(配布所はこちら){​https://coyukimachi.wixsite.com/my-site}|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00" s="24" t="s">
        <v>1008</v>
      </c>
      <c r="D300" s="23" t="s">
        <v>1010</v>
      </c>
      <c r="E300" s="23" t="s">
        <v>1011</v>
      </c>
      <c r="F300" s="2" t="s">
        <v>537</v>
      </c>
      <c r="G300" s="23" t="s">
        <v>68</v>
      </c>
      <c r="H300" s="23" t="s">
        <v>1653</v>
      </c>
      <c r="I300" s="23" t="s">
        <v>1765</v>
      </c>
      <c r="J300" s="23" t="s">
        <v>1764</v>
      </c>
      <c r="P300" s="24" t="str">
        <f>テーブル1[[#This Row],[リンク]]&amp;テーブル1[[#This Row],[描画状況]]</f>
        <v>https://bowlroll.net/user/980255</v>
      </c>
      <c r="Q300" s="17">
        <f>1-(COUNTIF(P:P,_xlfn.TEXTJOIN(",",TRUE,テーブル1[[#This Row],[リンク]],テーブル1[[#This Row],[描画状況]]))/COUNTIF(F:F,テーブル1[[#This Row],[リンク]]))</f>
        <v>0.5714285714285714</v>
      </c>
      <c r="R300" s="16">
        <f ca="1">IFERROR(IF(テーブル1[[#This Row],[描画状況]]="",RAND()+(テーブル1[[#This Row],[列2]]*100),""),RAND())</f>
        <v>57.352557766851085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|&amp;image(kurene-shito.png,width=100,height=100)</v>
      </c>
      <c r="V300" s="23" t="str">
        <f>"|MIDDLE:​"&amp;テーブル1[[#This Row],[名前]]</f>
        <v>|MIDDLE:​暮音シト</v>
      </c>
      <c r="W300" s="23" t="str">
        <f>"|MIDDLE:​"&amp;テーブル1[[#This Row],[なまえ]]</f>
        <v>|MIDDLE:​くれね しと</v>
      </c>
      <c r="X300" s="23" t="str">
        <f>"|MIDDLE:​"&amp;テーブル1[[#This Row],[Name]]</f>
        <v>|MIDDLE:​Kurene Shito</v>
      </c>
      <c r="Y300" s="23" t="str">
        <f>"|MIDDLE:​&amp;link(配布所はこちら){​"&amp;テーブル1[[#This Row],[リンク]]&amp;"}|"</f>
        <v>|MIDDLE:​&amp;link(配布所はこちら){​https://bowlroll.net/user/980255}|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01" s="24" t="s">
        <v>735</v>
      </c>
      <c r="D301" s="23" t="s">
        <v>736</v>
      </c>
      <c r="E301" s="23" t="s">
        <v>737</v>
      </c>
      <c r="F301" s="15" t="s">
        <v>733</v>
      </c>
      <c r="G301" s="23" t="s">
        <v>734</v>
      </c>
      <c r="P301" s="24" t="str">
        <f>テーブル1[[#This Row],[リンク]]&amp;テーブル1[[#This Row],[描画状況]]</f>
        <v>https://t7ttttttt.wixsite.com/t7-re</v>
      </c>
      <c r="Q301" s="17">
        <f>1-(COUNTIF(P:P,_xlfn.TEXTJOIN(",",TRUE,テーブル1[[#This Row],[リンク]],テーブル1[[#This Row],[描画状況]]))/COUNTIF(F:F,テーブル1[[#This Row],[リンク]]))</f>
        <v>0</v>
      </c>
      <c r="R301" s="16">
        <f ca="1">IFERROR(IF(テーブル1[[#This Row],[描画状況]]="",RAND()+(テーブル1[[#This Row],[列2]]*100),""),RAND())</f>
        <v>0.21109723212857123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|&amp;image(kurobai-pafia.png,width=100,height=100)</v>
      </c>
      <c r="V301" s="23" t="str">
        <f>"|MIDDLE:​"&amp;テーブル1[[#This Row],[名前]]</f>
        <v>|MIDDLE:​黒這パフィア</v>
      </c>
      <c r="W301" s="23" t="str">
        <f>"|MIDDLE:​"&amp;テーブル1[[#This Row],[なまえ]]</f>
        <v>|MIDDLE:​くろばい ぱふぃあ</v>
      </c>
      <c r="X301" s="23" t="str">
        <f>"|MIDDLE:​"&amp;テーブル1[[#This Row],[Name]]</f>
        <v>|MIDDLE:​Kurobai Pafia</v>
      </c>
      <c r="Y301" s="23" t="str">
        <f>"|MIDDLE:​&amp;link(配布所はこちら){​"&amp;テーブル1[[#This Row],[リンク]]&amp;"}|"</f>
        <v>|MIDDLE:​&amp;link(配布所はこちら){​https://t7ttttttt.wixsite.com/t7-re}|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02" s="24" t="s">
        <v>1294</v>
      </c>
      <c r="D302" s="23" t="s">
        <v>1296</v>
      </c>
      <c r="E302" s="23" t="s">
        <v>1295</v>
      </c>
      <c r="F302" s="15" t="s">
        <v>1300</v>
      </c>
      <c r="G302" s="23" t="s">
        <v>1301</v>
      </c>
      <c r="P302" s="24" t="str">
        <f>テーブル1[[#This Row],[リンク]]&amp;テーブル1[[#This Row],[描画状況]]</f>
        <v>https://keitaiware.com</v>
      </c>
      <c r="Q302" s="17">
        <f>1-(COUNTIF(P:P,_xlfn.TEXTJOIN(",",TRUE,テーブル1[[#This Row],[リンク]],テーブル1[[#This Row],[描画状況]]))/COUNTIF(F:F,テーブル1[[#This Row],[リンク]]))</f>
        <v>0</v>
      </c>
      <c r="R302" s="16">
        <f ca="1">IFERROR(IF(テーブル1[[#This Row],[描画状況]]="",RAND()+(テーブル1[[#This Row],[列2]]*100),""),RAND())</f>
        <v>0.8209101625814661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|&amp;image(keitai-hakken.png,width=100,height=100)</v>
      </c>
      <c r="V302" s="23" t="str">
        <f>"|MIDDLE:​"&amp;テーブル1[[#This Row],[名前]]</f>
        <v>|MIDDLE:​携帯ハッケン</v>
      </c>
      <c r="W302" s="23" t="str">
        <f>"|MIDDLE:​"&amp;テーブル1[[#This Row],[なまえ]]</f>
        <v>|MIDDLE:​けいたい はっけん</v>
      </c>
      <c r="X302" s="23" t="str">
        <f>"|MIDDLE:​"&amp;テーブル1[[#This Row],[Name]]</f>
        <v>|MIDDLE:​Keitai Hakken</v>
      </c>
      <c r="Y302" s="23" t="str">
        <f>"|MIDDLE:​&amp;link(配布所はこちら){​"&amp;テーブル1[[#This Row],[リンク]]&amp;"}|"</f>
        <v>|MIDDLE:​&amp;link(配布所はこちら){​https://keitaiware.com}|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03" s="24" t="s">
        <v>1298</v>
      </c>
      <c r="D303" s="23" t="s">
        <v>1299</v>
      </c>
      <c r="E303" s="23" t="s">
        <v>1297</v>
      </c>
      <c r="F303" s="15" t="s">
        <v>1300</v>
      </c>
      <c r="G303" s="23" t="s">
        <v>1302</v>
      </c>
      <c r="P303" s="24" t="str">
        <f>テーブル1[[#This Row],[リンク]]&amp;テーブル1[[#This Row],[描画状況]]</f>
        <v>https://keitaiware.com</v>
      </c>
      <c r="Q303" s="17">
        <f>1-(COUNTIF(P:P,_xlfn.TEXTJOIN(",",TRUE,テーブル1[[#This Row],[リンク]],テーブル1[[#This Row],[描画状況]]))/COUNTIF(F:F,テーブル1[[#This Row],[リンク]]))</f>
        <v>0</v>
      </c>
      <c r="R303" s="16">
        <f ca="1">IFERROR(IF(テーブル1[[#This Row],[描画状況]]="",RAND()+(テーブル1[[#This Row],[列2]]*100),""),RAND())</f>
        <v>0.60593645335335999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|&amp;image(keitai-ron.png,width=100,height=100)</v>
      </c>
      <c r="V303" s="23" t="str">
        <f>"|MIDDLE:​"&amp;テーブル1[[#This Row],[名前]]</f>
        <v>|MIDDLE:​携帯ロン</v>
      </c>
      <c r="W303" s="23" t="str">
        <f>"|MIDDLE:​"&amp;テーブル1[[#This Row],[なまえ]]</f>
        <v>|MIDDLE:​けいたい ろん</v>
      </c>
      <c r="X303" s="23" t="str">
        <f>"|MIDDLE:​"&amp;テーブル1[[#This Row],[Name]]</f>
        <v>|MIDDLE:​Keitai Ron</v>
      </c>
      <c r="Y303" s="23" t="str">
        <f>"|MIDDLE:​&amp;link(配布所はこちら){​"&amp;テーブル1[[#This Row],[リンク]]&amp;"}|"</f>
        <v>|MIDDLE:​&amp;link(配布所はこちら){​https://keitaiware.com}|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04" s="24" t="s">
        <v>869</v>
      </c>
      <c r="D304" s="23" t="s">
        <v>870</v>
      </c>
      <c r="E304" s="23" t="s">
        <v>871</v>
      </c>
      <c r="F304" s="15" t="s">
        <v>868</v>
      </c>
      <c r="G304" s="23" t="s">
        <v>872</v>
      </c>
      <c r="P304" s="24" t="str">
        <f>テーブル1[[#This Row],[リンク]]&amp;テーブル1[[#This Row],[描画状況]]</f>
        <v>https://bindumechan.wixsite.com/koinearuutau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0.70595167402415737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|&amp;image(koine-aru.png,width=100,height=100)</v>
      </c>
      <c r="V304" s="23" t="str">
        <f>"|MIDDLE:​"&amp;テーブル1[[#This Row],[名前]]</f>
        <v>|MIDDLE:​恋音アル</v>
      </c>
      <c r="W304" s="23" t="str">
        <f>"|MIDDLE:​"&amp;テーブル1[[#This Row],[なまえ]]</f>
        <v>|MIDDLE:​こいね ある</v>
      </c>
      <c r="X304" s="23" t="str">
        <f>"|MIDDLE:​"&amp;テーブル1[[#This Row],[Name]]</f>
        <v>|MIDDLE:​Koine Aru</v>
      </c>
      <c r="Y304" s="23" t="str">
        <f>"|MIDDLE:​&amp;link(配布所はこちら){​"&amp;テーブル1[[#This Row],[リンク]]&amp;"}|"</f>
        <v>|MIDDLE:​&amp;link(配布所はこちら){​https://bindumechan.wixsite.com/koinearuutau}|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05" s="24" t="s">
        <v>1024</v>
      </c>
      <c r="D305" s="23" t="s">
        <v>1025</v>
      </c>
      <c r="E305" s="23" t="s">
        <v>1026</v>
      </c>
      <c r="F305" s="27" t="s">
        <v>84</v>
      </c>
      <c r="G305" s="23" t="s">
        <v>85</v>
      </c>
      <c r="H305" s="23" t="s">
        <v>1616</v>
      </c>
      <c r="I305" s="23" t="s">
        <v>1831</v>
      </c>
      <c r="J305" s="23" t="s">
        <v>1828</v>
      </c>
      <c r="L305" s="23" t="s">
        <v>1832</v>
      </c>
      <c r="M305" s="23" t="s">
        <v>1833</v>
      </c>
      <c r="N305" s="1" t="s">
        <v>1508</v>
      </c>
      <c r="P305" s="24" t="str">
        <f>テーブル1[[#This Row],[リンク]]&amp;テーブル1[[#This Row],[描画状況]]</f>
        <v>https://chunyinhui021.wixsite.com/mutyuusaisei</v>
      </c>
      <c r="Q305" s="17">
        <f>1-(COUNTIF(P:P,_xlfn.TEXTJOIN(",",TRUE,テーブル1[[#This Row],[リンク]],テーブル1[[#This Row],[描画状況]]))/COUNTIF(F:F,テーブル1[[#This Row],[リンク]]))</f>
        <v>0.33333333333333337</v>
      </c>
      <c r="R305" s="16">
        <f ca="1">IFERROR(IF(テーブル1[[#This Row],[描画状況]]="",RAND()+(テーブル1[[#This Row],[列2]]*100),""),RAND())</f>
        <v>34.108683262236561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|&amp;image(kon-suishi.png,width=100,height=100)</v>
      </c>
      <c r="V305" s="23" t="str">
        <f>"|MIDDLE:​"&amp;テーブル1[[#This Row],[名前]]</f>
        <v>|MIDDLE:​​狐隠祟紫</v>
      </c>
      <c r="W305" s="23" t="str">
        <f>"|MIDDLE:​"&amp;テーブル1[[#This Row],[なまえ]]</f>
        <v>|MIDDLE:​こおん すいし</v>
      </c>
      <c r="X305" s="23" t="str">
        <f>"|MIDDLE:​"&amp;テーブル1[[#This Row],[Name]]</f>
        <v>|MIDDLE:​Kon Suishi</v>
      </c>
      <c r="Y305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06" s="24" t="s">
        <v>1165</v>
      </c>
      <c r="D306" s="23" t="s">
        <v>1166</v>
      </c>
      <c r="E306" s="23" t="s">
        <v>1167</v>
      </c>
      <c r="F306" s="2" t="s">
        <v>97</v>
      </c>
      <c r="G306" s="23" t="s">
        <v>98</v>
      </c>
      <c r="H306" s="23" t="s">
        <v>1616</v>
      </c>
      <c r="I306" s="23" t="s">
        <v>1626</v>
      </c>
      <c r="N306" s="1" t="s">
        <v>1507</v>
      </c>
      <c r="P306" s="24" t="str">
        <f>テーブル1[[#This Row],[リンク]]&amp;テーブル1[[#This Row],[描画状況]]</f>
        <v>https://hinagitsune-utau.wixsite.com/utaukokorone</v>
      </c>
      <c r="Q306" s="17">
        <f>1-(COUNTIF(P:P,_xlfn.TEXTJOIN(",",TRUE,テーブル1[[#This Row],[リンク]],テーブル1[[#This Row],[描画状況]]))/COUNTIF(F:F,テーブル1[[#This Row],[リンク]]))</f>
        <v>0.19999999999999996</v>
      </c>
      <c r="R306" s="16">
        <f ca="1">IFERROR(IF(テーブル1[[#This Row],[描画状況]]="",RAND()+(テーブル1[[#This Row],[列2]]*100),""),RAND())</f>
        <v>20.706149365933992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|&amp;image(kokorone-aoba.png,width=100,height=100)</v>
      </c>
      <c r="V306" s="23" t="str">
        <f>"|MIDDLE:​"&amp;テーブル1[[#This Row],[名前]]</f>
        <v>|MIDDLE:​​心音アオバ</v>
      </c>
      <c r="W306" s="23" t="str">
        <f>"|MIDDLE:​"&amp;テーブル1[[#This Row],[なまえ]]</f>
        <v>|MIDDLE:​こころね あおば</v>
      </c>
      <c r="X306" s="23" t="str">
        <f>"|MIDDLE:​"&amp;テーブル1[[#This Row],[Name]]</f>
        <v>|MIDDLE:​Kokorone Aoba</v>
      </c>
      <c r="Y30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07" s="24" t="s">
        <v>1177</v>
      </c>
      <c r="D307" s="23" t="s">
        <v>1177</v>
      </c>
      <c r="E307" s="23" t="s">
        <v>1178</v>
      </c>
      <c r="F307" s="15" t="s">
        <v>1176</v>
      </c>
      <c r="G307" s="23" t="s">
        <v>1179</v>
      </c>
      <c r="P307" s="24" t="str">
        <f>テーブル1[[#This Row],[リンク]]&amp;テーブル1[[#This Row],[描画状況]]</f>
        <v>https://bowlroll.net/user/367777</v>
      </c>
      <c r="Q307" s="17">
        <f>1-(COUNTIF(P:P,_xlfn.TEXTJOIN(",",TRUE,テーブル1[[#This Row],[リンク]],テーブル1[[#This Row],[描画状況]]))/COUNTIF(F:F,テーブル1[[#This Row],[リンク]]))</f>
        <v>0</v>
      </c>
      <c r="R307" s="16">
        <f ca="1">IFERROR(IF(テーブル1[[#This Row],[描画状況]]="",RAND()+(テーブル1[[#This Row],[列2]]*100),""),RAND())</f>
        <v>0.23896249770403255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|&amp;image(kochie.png,width=100,height=100)</v>
      </c>
      <c r="V307" s="23" t="str">
        <f>"|MIDDLE:​"&amp;テーブル1[[#This Row],[名前]]</f>
        <v>|MIDDLE:​こちぇ</v>
      </c>
      <c r="W307" s="23" t="str">
        <f>"|MIDDLE:​"&amp;テーブル1[[#This Row],[なまえ]]</f>
        <v>|MIDDLE:​こちぇ</v>
      </c>
      <c r="X307" s="23" t="str">
        <f>"|MIDDLE:​"&amp;テーブル1[[#This Row],[Name]]</f>
        <v>|MIDDLE:​Kochie</v>
      </c>
      <c r="Y307" s="23" t="str">
        <f>"|MIDDLE:​&amp;link(配布所はこちら){​"&amp;テーブル1[[#This Row],[リンク]]&amp;"}|"</f>
        <v>|MIDDLE:​&amp;link(配布所はこちら){​https://bowlroll.net/user/367777}|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08" s="24" t="s">
        <v>1155</v>
      </c>
      <c r="D308" s="23" t="s">
        <v>1156</v>
      </c>
      <c r="E308" s="23" t="s">
        <v>1157</v>
      </c>
      <c r="F308" s="2" t="s">
        <v>1154</v>
      </c>
      <c r="G308" s="23" t="s">
        <v>1164</v>
      </c>
      <c r="P308" s="24" t="str">
        <f>テーブル1[[#This Row],[リンク]]&amp;テーブル1[[#This Row],[描画状況]]</f>
        <v>https://osomatsu-poid.wixsite.com/konari-san-chi</v>
      </c>
      <c r="Q308" s="17">
        <f>1-(COUNTIF(P:P,_xlfn.TEXTJOIN(",",TRUE,テーブル1[[#This Row],[リンク]],テーブル1[[#This Row],[描画状況]]))/COUNTIF(F:F,テーブル1[[#This Row],[リンク]]))</f>
        <v>0.33333333333333337</v>
      </c>
      <c r="R308" s="16">
        <f ca="1">IFERROR(IF(テーブル1[[#This Row],[描画状況]]="",RAND()+(テーブル1[[#This Row],[列2]]*100),""),RAND())</f>
        <v>34.211771684720283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|&amp;image(konari-haruta.png,width=100,height=100)</v>
      </c>
      <c r="V308" s="23" t="str">
        <f>"|MIDDLE:​"&amp;テーブル1[[#This Row],[名前]]</f>
        <v>|MIDDLE:​狐鳴陽夛</v>
      </c>
      <c r="W308" s="23" t="str">
        <f>"|MIDDLE:​"&amp;テーブル1[[#This Row],[なまえ]]</f>
        <v>|MIDDLE:​こなり はるた</v>
      </c>
      <c r="X308" s="23" t="str">
        <f>"|MIDDLE:​"&amp;テーブル1[[#This Row],[Name]]</f>
        <v>|MIDDLE:​Konari Haruta</v>
      </c>
      <c r="Y308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09" s="24" t="s">
        <v>1158</v>
      </c>
      <c r="D309" s="23" t="s">
        <v>1159</v>
      </c>
      <c r="E309" s="23" t="s">
        <v>1160</v>
      </c>
      <c r="F309" s="2" t="s">
        <v>1154</v>
      </c>
      <c r="G309" s="23" t="s">
        <v>1164</v>
      </c>
      <c r="P309" s="24" t="str">
        <f>テーブル1[[#This Row],[リンク]]&amp;テーブル1[[#This Row],[描画状況]]</f>
        <v>https://osomatsu-poid.wixsite.com/konari-san-chi</v>
      </c>
      <c r="Q309" s="17">
        <f>1-(COUNTIF(P:P,_xlfn.TEXTJOIN(",",TRUE,テーブル1[[#This Row],[リンク]],テーブル1[[#This Row],[描画状況]]))/COUNTIF(F:F,テーブル1[[#This Row],[リンク]]))</f>
        <v>0.33333333333333337</v>
      </c>
      <c r="R309" s="16">
        <f ca="1">IFERROR(IF(テーブル1[[#This Row],[描画状況]]="",RAND()+(テーブル1[[#This Row],[列2]]*100),""),RAND())</f>
        <v>34.303608897108852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|&amp;image(konari-hina.png,width=100,height=100)</v>
      </c>
      <c r="V309" s="23" t="str">
        <f>"|MIDDLE:​"&amp;テーブル1[[#This Row],[名前]]</f>
        <v>|MIDDLE:​狐鳴陽</v>
      </c>
      <c r="W309" s="23" t="str">
        <f>"|MIDDLE:​"&amp;テーブル1[[#This Row],[なまえ]]</f>
        <v>|MIDDLE:​こなり ひな</v>
      </c>
      <c r="X309" s="23" t="str">
        <f>"|MIDDLE:​"&amp;テーブル1[[#This Row],[Name]]</f>
        <v>|MIDDLE:​Konari Hina</v>
      </c>
      <c r="Y309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10" s="24" t="s">
        <v>805</v>
      </c>
      <c r="D310" s="23" t="s">
        <v>807</v>
      </c>
      <c r="E310" s="23" t="s">
        <v>806</v>
      </c>
      <c r="F310" s="15" t="s">
        <v>775</v>
      </c>
      <c r="G310" s="23" t="str">
        <f>テーブル1[[#This Row],[名前]]&amp;"(UTAU)"</f>
        <v>狐者異カゴメ(UTAU)</v>
      </c>
      <c r="N310" s="1" t="s">
        <v>1507</v>
      </c>
      <c r="P310" s="24" t="str">
        <f>テーブル1[[#This Row],[リンク]]&amp;テーブル1[[#This Row],[描画状況]]</f>
        <v>https://cmamizki.wixsite.com/edelstein</v>
      </c>
      <c r="Q310" s="17">
        <f>1-(COUNTIF(P:P,_xlfn.TEXTJOIN(",",TRUE,テーブル1[[#This Row],[リンク]],テーブル1[[#This Row],[描画状況]]))/COUNTIF(F:F,テーブル1[[#This Row],[リンク]]))</f>
        <v>9.0909090909090939E-2</v>
      </c>
      <c r="R310" s="16">
        <f ca="1">IFERROR(IF(テーブル1[[#This Row],[描画状況]]="",RAND()+(テーブル1[[#This Row],[列2]]*100),""),RAND())</f>
        <v>9.472378963312611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|&amp;image(kowai-kagome.png,width=100,height=100)</v>
      </c>
      <c r="V310" s="23" t="str">
        <f>"|MIDDLE:​"&amp;テーブル1[[#This Row],[名前]]</f>
        <v>|MIDDLE:​狐者異カゴメ</v>
      </c>
      <c r="W310" s="23" t="str">
        <f>"|MIDDLE:​"&amp;テーブル1[[#This Row],[なまえ]]</f>
        <v>|MIDDLE:​こわい かごめ</v>
      </c>
      <c r="X310" s="23" t="str">
        <f>"|MIDDLE:​"&amp;テーブル1[[#This Row],[Name]]</f>
        <v>|MIDDLE:​Kowai Kagome</v>
      </c>
      <c r="Y310" s="23" t="str">
        <f>"|MIDDLE:​&amp;link(配布所はこちら){​"&amp;テーブル1[[#This Row],[リンク]]&amp;"}|"</f>
        <v>|MIDDLE:​&amp;link(配布所はこちら){​https://cmamizki.wixsite.com/edelstein}|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11" s="24" t="s">
        <v>1113</v>
      </c>
      <c r="D311" s="23" t="s">
        <v>1115</v>
      </c>
      <c r="E311" s="23" t="s">
        <v>1114</v>
      </c>
      <c r="F311" s="15" t="s">
        <v>1100</v>
      </c>
      <c r="G311" s="23" t="str">
        <f>テーブル1[[#This Row],[名前]]&amp;"(UTAU)"</f>
        <v>XI -sai-(UTAU)</v>
      </c>
      <c r="P311" s="24" t="str">
        <f>テーブル1[[#This Row],[リンク]]&amp;テーブル1[[#This Row],[描画状況]]</f>
        <v>https://harujpg.wixsite.com/sanshoku</v>
      </c>
      <c r="Q311" s="17">
        <f>1-(COUNTIF(P:P,_xlfn.TEXTJOIN(",",TRUE,テーブル1[[#This Row],[リンク]],テーブル1[[#This Row],[描画状況]]))/COUNTIF(F:F,テーブル1[[#This Row],[リンク]]))</f>
        <v>0</v>
      </c>
      <c r="R311" s="16">
        <f ca="1">IFERROR(IF(テーブル1[[#This Row],[描画状況]]="",RAND()+(テーブル1[[#This Row],[列2]]*100),""),RAND())</f>
        <v>0.4727727956777491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|&amp;image(sai.png,width=100,height=100)</v>
      </c>
      <c r="V311" s="23" t="str">
        <f>"|MIDDLE:​"&amp;テーブル1[[#This Row],[名前]]</f>
        <v>|MIDDLE:​XI -sai-</v>
      </c>
      <c r="W311" s="23" t="str">
        <f>"|MIDDLE:​"&amp;テーブル1[[#This Row],[なまえ]]</f>
        <v>|MIDDLE:​さい</v>
      </c>
      <c r="X311" s="23" t="str">
        <f>"|MIDDLE:​"&amp;テーブル1[[#This Row],[Name]]</f>
        <v>|MIDDLE:​sai</v>
      </c>
      <c r="Y311" s="23" t="str">
        <f>"|MIDDLE:​&amp;link(配布所はこちら){​"&amp;テーブル1[[#This Row],[リンク]]&amp;"}|"</f>
        <v>|MIDDLE:​&amp;link(配布所はこちら){​https://harujpg.wixsite.com/sanshoku}|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312" s="24" t="s">
        <v>1257</v>
      </c>
      <c r="D312" s="23" t="s">
        <v>1259</v>
      </c>
      <c r="E312" s="23" t="s">
        <v>1258</v>
      </c>
      <c r="F312" s="15" t="s">
        <v>174</v>
      </c>
      <c r="G312" s="24" t="s">
        <v>1279</v>
      </c>
      <c r="H312" s="24"/>
      <c r="I312" s="24"/>
      <c r="J312" s="24"/>
      <c r="K312" s="24"/>
      <c r="L312" s="24"/>
      <c r="M312" s="24"/>
      <c r="P312" s="24" t="str">
        <f>テーブル1[[#This Row],[リンク]]&amp;テーブル1[[#This Row],[描画状況]]</f>
        <v>https://lenskkpb.wixsite.com/len-sakaki-official</v>
      </c>
      <c r="Q312" s="17">
        <f>1-(COUNTIF(P:P,_xlfn.TEXTJOIN(",",TRUE,テーブル1[[#This Row],[リンク]],テーブル1[[#This Row],[描画状況]]))/COUNTIF(F:F,テーブル1[[#This Row],[リンク]]))</f>
        <v>0.125</v>
      </c>
      <c r="R312" s="16">
        <f ca="1">IFERROR(IF(テーブル1[[#This Row],[描画状況]]="",RAND()+(テーブル1[[#This Row],[列2]]*100),""),RAND())</f>
        <v>12.785258495811139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|&amp;image(sakaki-leo.png,width=100,height=100)</v>
      </c>
      <c r="V312" s="23" t="str">
        <f>"|MIDDLE:​"&amp;テーブル1[[#This Row],[名前]]</f>
        <v>|MIDDLE:​榊れを</v>
      </c>
      <c r="W312" s="23" t="str">
        <f>"|MIDDLE:​"&amp;テーブル1[[#This Row],[なまえ]]</f>
        <v>|MIDDLE:​さかき れお</v>
      </c>
      <c r="X312" s="23" t="str">
        <f>"|MIDDLE:​"&amp;テーブル1[[#This Row],[Name]]</f>
        <v>|MIDDLE:​Sakaki Leo</v>
      </c>
      <c r="Y31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13" s="24" t="s">
        <v>1244</v>
      </c>
      <c r="D313" s="23" t="s">
        <v>1246</v>
      </c>
      <c r="E313" s="23" t="s">
        <v>1249</v>
      </c>
      <c r="F313" s="15" t="s">
        <v>1247</v>
      </c>
      <c r="G313" s="23" t="s">
        <v>1251</v>
      </c>
      <c r="P313" s="24" t="str">
        <f>テーブル1[[#This Row],[リンク]]&amp;テーブル1[[#This Row],[描画状況]]</f>
        <v>https://sites.google.com/view/fullmoon-ruro</v>
      </c>
      <c r="Q313" s="17">
        <f>1-(COUNTIF(P:P,_xlfn.TEXTJOIN(",",TRUE,テーブル1[[#This Row],[リンク]],テーブル1[[#This Row],[描画状況]]))/COUNTIF(F:F,テーブル1[[#This Row],[リンク]]))</f>
        <v>0</v>
      </c>
      <c r="R313" s="16">
        <f ca="1">IFERROR(IF(テーブル1[[#This Row],[描画状況]]="",RAND()+(テーブル1[[#This Row],[列2]]*100),""),RAND())</f>
        <v>0.20231242076793021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|&amp;image(sakune-shino.png,width=100,height=100)</v>
      </c>
      <c r="V313" s="23" t="str">
        <f>"|MIDDLE:​"&amp;テーブル1[[#This Row],[名前]]</f>
        <v>|MIDDLE:​錯音シノ</v>
      </c>
      <c r="W313" s="23" t="str">
        <f>"|MIDDLE:​"&amp;テーブル1[[#This Row],[なまえ]]</f>
        <v>|MIDDLE:​さくね しの</v>
      </c>
      <c r="X313" s="23" t="str">
        <f>"|MIDDLE:​"&amp;テーブル1[[#This Row],[Name]]</f>
        <v>|MIDDLE:​Sakune Shino</v>
      </c>
      <c r="Y313" s="23" t="str">
        <f>"|MIDDLE:​&amp;link(配布所はこちら){​"&amp;テーブル1[[#This Row],[リンク]]&amp;"}|"</f>
        <v>|MIDDLE:​&amp;link(配布所はこちら){​https://sites.google.com/view/fullmoon-ruro}|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14" s="24" t="s">
        <v>1243</v>
      </c>
      <c r="D314" s="23" t="s">
        <v>1245</v>
      </c>
      <c r="E314" s="23" t="s">
        <v>1248</v>
      </c>
      <c r="F314" s="15" t="s">
        <v>1247</v>
      </c>
      <c r="G314" s="23" t="s">
        <v>1250</v>
      </c>
      <c r="P314" s="24" t="str">
        <f>テーブル1[[#This Row],[リンク]]&amp;テーブル1[[#This Row],[描画状況]]</f>
        <v>https://sites.google.com/view/fullmoon-ruro</v>
      </c>
      <c r="Q314" s="17">
        <f>1-(COUNTIF(P:P,_xlfn.TEXTJOIN(",",TRUE,テーブル1[[#This Row],[リンク]],テーブル1[[#This Row],[描画状況]]))/COUNTIF(F:F,テーブル1[[#This Row],[リンク]]))</f>
        <v>0</v>
      </c>
      <c r="R314" s="16">
        <f ca="1">IFERROR(IF(テーブル1[[#This Row],[描画状況]]="",RAND()+(テーブル1[[#This Row],[列2]]*100),""),RAND())</f>
        <v>0.11587023326012325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|&amp;image(sakune-jiba.png,width=100,height=100)</v>
      </c>
      <c r="V314" s="23" t="str">
        <f>"|MIDDLE:​"&amp;テーブル1[[#This Row],[名前]]</f>
        <v>|MIDDLE:​錯音ジバ</v>
      </c>
      <c r="W314" s="23" t="str">
        <f>"|MIDDLE:​"&amp;テーブル1[[#This Row],[なまえ]]</f>
        <v>|MIDDLE:​さくね じば</v>
      </c>
      <c r="X314" s="23" t="str">
        <f>"|MIDDLE:​"&amp;テーブル1[[#This Row],[Name]]</f>
        <v>|MIDDLE:​Sakune Jiba</v>
      </c>
      <c r="Y314" s="23" t="str">
        <f>"|MIDDLE:​&amp;link(配布所はこちら){​"&amp;テーブル1[[#This Row],[リンク]]&amp;"}|"</f>
        <v>|MIDDLE:​&amp;link(配布所はこちら){​https://sites.google.com/view/fullmoon-ruro}|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15" s="24" t="s">
        <v>1208</v>
      </c>
      <c r="D315" s="23" t="s">
        <v>1228</v>
      </c>
      <c r="E315" s="23" t="s">
        <v>1227</v>
      </c>
      <c r="F315" s="15" t="s">
        <v>336</v>
      </c>
      <c r="G315" s="23" t="s">
        <v>337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12.972242728570553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|&amp;image(sara-shedy.png,width=100,height=100)</v>
      </c>
      <c r="V315" s="23" t="str">
        <f>"|MIDDLE:​"&amp;テーブル1[[#This Row],[名前]]</f>
        <v>|MIDDLE:​サラ・シェーディ</v>
      </c>
      <c r="W315" s="23" t="str">
        <f>"|MIDDLE:​"&amp;テーブル1[[#This Row],[なまえ]]</f>
        <v>|MIDDLE:​さら しぇーでぃ</v>
      </c>
      <c r="X315" s="23" t="str">
        <f>"|MIDDLE:​"&amp;テーブル1[[#This Row],[Name]]</f>
        <v>|MIDDLE:​Sara Shedy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16" s="24" t="s">
        <v>1181</v>
      </c>
      <c r="D316" s="23" t="s">
        <v>1181</v>
      </c>
      <c r="E316" s="23" t="s">
        <v>1182</v>
      </c>
      <c r="F316" s="15" t="s">
        <v>1180</v>
      </c>
      <c r="G316" s="23" t="str">
        <f>テーブル1[[#This Row],[名前]]&amp;"(UTAU)"</f>
        <v>ざんしゅ(UTAU)</v>
      </c>
      <c r="P316" s="24" t="str">
        <f>テーブル1[[#This Row],[リンク]]&amp;テーブル1[[#This Row],[描画状況]]</f>
        <v>https://ahogepucyi.wixsite.com/zannsyuutau</v>
      </c>
      <c r="Q316" s="17">
        <f>1-(COUNTIF(P:P,_xlfn.TEXTJOIN(",",TRUE,テーブル1[[#This Row],[リンク]],テーブル1[[#This Row],[描画状況]]))/COUNTIF(F:F,テーブル1[[#This Row],[リンク]]))</f>
        <v>0</v>
      </c>
      <c r="R316" s="16">
        <f ca="1">IFERROR(IF(テーブル1[[#This Row],[描画状況]]="",RAND()+(テーブル1[[#This Row],[列2]]*100),""),RAND())</f>
        <v>0.78260853422500321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|&amp;image(zanshu.png,width=100,height=100)</v>
      </c>
      <c r="V316" s="23" t="str">
        <f>"|MIDDLE:​"&amp;テーブル1[[#This Row],[名前]]</f>
        <v>|MIDDLE:​ざんしゅ</v>
      </c>
      <c r="W316" s="23" t="str">
        <f>"|MIDDLE:​"&amp;テーブル1[[#This Row],[なまえ]]</f>
        <v>|MIDDLE:​ざんしゅ</v>
      </c>
      <c r="X316" s="23" t="str">
        <f>"|MIDDLE:​"&amp;テーブル1[[#This Row],[Name]]</f>
        <v>|MIDDLE:​Zanshu</v>
      </c>
      <c r="Y316" s="23" t="str">
        <f>"|MIDDLE:​&amp;link(配布所はこちら){​"&amp;テーブル1[[#This Row],[リンク]]&amp;"}|"</f>
        <v>|MIDDLE:​&amp;link(配布所はこちら){​https://ahogepucyi.wixsite.com/zannsyuutau}|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17" s="24" t="s">
        <v>1101</v>
      </c>
      <c r="D317" s="23" t="s">
        <v>1102</v>
      </c>
      <c r="E317" s="23" t="s">
        <v>1103</v>
      </c>
      <c r="F317" s="15" t="s">
        <v>1100</v>
      </c>
      <c r="G317" s="23" t="str">
        <f>テーブル1[[#This Row],[名前]]&amp;"(UTAU)"</f>
        <v>三色あやか(UTAU)</v>
      </c>
      <c r="P317" s="24" t="str">
        <f>テーブル1[[#This Row],[リンク]]&amp;テーブル1[[#This Row],[描画状況]]</f>
        <v>https://harujpg.wixsite.com/sanshoku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0.91417665634403722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|&amp;image(sanshoku-ayaka.png,width=100,height=100)</v>
      </c>
      <c r="V317" s="23" t="str">
        <f>"|MIDDLE:​"&amp;テーブル1[[#This Row],[名前]]</f>
        <v>|MIDDLE:​三色あやか</v>
      </c>
      <c r="W317" s="23" t="str">
        <f>"|MIDDLE:​"&amp;テーブル1[[#This Row],[なまえ]]</f>
        <v>|MIDDLE:​さんしょく あやか</v>
      </c>
      <c r="X317" s="23" t="str">
        <f>"|MIDDLE:​"&amp;テーブル1[[#This Row],[Name]]</f>
        <v>|MIDDLE:​Sanshoku Ayaka</v>
      </c>
      <c r="Y317" s="23" t="str">
        <f>"|MIDDLE:​&amp;link(配布所はこちら){​"&amp;テーブル1[[#This Row],[リンク]]&amp;"}|"</f>
        <v>|MIDDLE:​&amp;link(配布所はこちら){​https://harujpg.wixsite.com/sanshoku}|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18" s="24" t="s">
        <v>1104</v>
      </c>
      <c r="D318" s="23" t="s">
        <v>1105</v>
      </c>
      <c r="E318" s="23" t="s">
        <v>1106</v>
      </c>
      <c r="F318" s="15" t="s">
        <v>1100</v>
      </c>
      <c r="G318" s="23" t="str">
        <f>テーブル1[[#This Row],[名前]]&amp;"(UTAU)"</f>
        <v>三色れいか(UTAU)</v>
      </c>
      <c r="P318" s="24" t="str">
        <f>テーブル1[[#This Row],[リンク]]&amp;テーブル1[[#This Row],[描画状況]]</f>
        <v>https://harujpg.wixsite.com/sanshoku</v>
      </c>
      <c r="Q318" s="17">
        <f>1-(COUNTIF(P:P,_xlfn.TEXTJOIN(",",TRUE,テーブル1[[#This Row],[リンク]],テーブル1[[#This Row],[描画状況]]))/COUNTIF(F:F,テーブル1[[#This Row],[リンク]]))</f>
        <v>0</v>
      </c>
      <c r="R318" s="16">
        <f ca="1">IFERROR(IF(テーブル1[[#This Row],[描画状況]]="",RAND()+(テーブル1[[#This Row],[列2]]*100),""),RAND())</f>
        <v>0.80790809751240544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|&amp;image(sanshoku-reika.png,width=100,height=100)</v>
      </c>
      <c r="V318" s="23" t="str">
        <f>"|MIDDLE:​"&amp;テーブル1[[#This Row],[名前]]</f>
        <v>|MIDDLE:​三色れいか</v>
      </c>
      <c r="W318" s="23" t="str">
        <f>"|MIDDLE:​"&amp;テーブル1[[#This Row],[なまえ]]</f>
        <v>|MIDDLE:​さんしょく れいか</v>
      </c>
      <c r="X318" s="23" t="str">
        <f>"|MIDDLE:​"&amp;テーブル1[[#This Row],[Name]]</f>
        <v>|MIDDLE:​Sanshoku Reika</v>
      </c>
      <c r="Y318" s="23" t="str">
        <f>"|MIDDLE:​&amp;link(配布所はこちら){​"&amp;テーブル1[[#This Row],[リンク]]&amp;"}|"</f>
        <v>|MIDDLE:​&amp;link(配布所はこちら){​https://harujpg.wixsite.com/sanshoku}|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19" s="24" t="s">
        <v>1110</v>
      </c>
      <c r="D319" s="23" t="s">
        <v>1111</v>
      </c>
      <c r="E319" s="23" t="s">
        <v>1112</v>
      </c>
      <c r="F319" s="15" t="s">
        <v>1100</v>
      </c>
      <c r="G319" s="23" t="str">
        <f>テーブル1[[#This Row],[名前]]&amp;"(UTAU)"</f>
        <v>三色家のぼうしさん(UTAU)</v>
      </c>
      <c r="P319" s="24" t="str">
        <f>テーブル1[[#This Row],[リンク]]&amp;テーブル1[[#This Row],[描画状況]]</f>
        <v>https://harujpg.wixsite.com/sanshoku</v>
      </c>
      <c r="Q319" s="17">
        <f>1-(COUNTIF(P:P,_xlfn.TEXTJOIN(",",TRUE,テーブル1[[#This Row],[リンク]],テーブル1[[#This Row],[描画状況]]))/COUNTIF(F:F,テーブル1[[#This Row],[リンク]]))</f>
        <v>0</v>
      </c>
      <c r="R319" s="16">
        <f ca="1">IFERROR(IF(テーブル1[[#This Row],[描画状況]]="",RAND()+(テーブル1[[#This Row],[列2]]*100),""),RAND())</f>
        <v>0.2005439882899569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|&amp;image(sanshokukenoboshisan.png,width=100,height=100)</v>
      </c>
      <c r="V319" s="23" t="str">
        <f>"|MIDDLE:​"&amp;テーブル1[[#This Row],[名前]]</f>
        <v>|MIDDLE:​三色家のぼうしさん</v>
      </c>
      <c r="W319" s="23" t="str">
        <f>"|MIDDLE:​"&amp;テーブル1[[#This Row],[なまえ]]</f>
        <v>|MIDDLE:​さんしょくけのぼうしさん</v>
      </c>
      <c r="X319" s="23" t="str">
        <f>"|MIDDLE:​"&amp;テーブル1[[#This Row],[Name]]</f>
        <v>|MIDDLE:​Sanshokukenoboshisan</v>
      </c>
      <c r="Y319" s="23" t="str">
        <f>"|MIDDLE:​&amp;link(配布所はこちら){​"&amp;テーブル1[[#This Row],[リンク]]&amp;"}|"</f>
        <v>|MIDDLE:​&amp;link(配布所はこちら){​https://harujpg.wixsite.com/sanshoku}|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20" s="24" t="s">
        <v>588</v>
      </c>
      <c r="D320" s="23" t="s">
        <v>589</v>
      </c>
      <c r="E320" s="23" t="s">
        <v>590</v>
      </c>
      <c r="F320" s="2" t="s">
        <v>591</v>
      </c>
      <c r="G320" s="23" t="str">
        <f>テーブル1[[#This Row],[名前]]&amp;"(UTAU)"</f>
        <v>残音ンダ(UTAU)</v>
      </c>
      <c r="P320" s="24" t="str">
        <f>テーブル1[[#This Row],[リンク]]&amp;テーブル1[[#This Row],[描画状況]]</f>
        <v>https://tomatoshop.studio.site</v>
      </c>
      <c r="Q320" s="17">
        <f>1-(COUNTIF(P:P,_xlfn.TEXTJOIN(",",TRUE,テーブル1[[#This Row],[リンク]],テーブル1[[#This Row],[描画状況]]))/COUNTIF(F:F,テーブル1[[#This Row],[リンク]]))</f>
        <v>0</v>
      </c>
      <c r="R320" s="16">
        <f ca="1">IFERROR(IF(テーブル1[[#This Row],[描画状況]]="",RAND()+(テーブル1[[#This Row],[列2]]*100),""),RAND())</f>
        <v>0.37598321138777246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|&amp;image(zanne-uda.png,width=100,height=100)</v>
      </c>
      <c r="V320" s="23" t="str">
        <f>"|MIDDLE:​"&amp;テーブル1[[#This Row],[名前]]</f>
        <v>|MIDDLE:​残音ンダ</v>
      </c>
      <c r="W320" s="23" t="str">
        <f>"|MIDDLE:​"&amp;テーブル1[[#This Row],[なまえ]]</f>
        <v>|MIDDLE:​ざんね うだ</v>
      </c>
      <c r="X320" s="23" t="str">
        <f>"|MIDDLE:​"&amp;テーブル1[[#This Row],[Name]]</f>
        <v>|MIDDLE:​Zanne Uda</v>
      </c>
      <c r="Y320" s="23" t="str">
        <f>"|MIDDLE:​&amp;link(配布所はこちら){​"&amp;テーブル1[[#This Row],[リンク]]&amp;"}|"</f>
        <v>|MIDDLE:​&amp;link(配布所はこちら){​https://tomatoshop.studio.site}|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21" s="24" t="s">
        <v>742</v>
      </c>
      <c r="D321" s="23" t="s">
        <v>743</v>
      </c>
      <c r="E321" s="23" t="s">
        <v>744</v>
      </c>
      <c r="F321" s="23" t="s">
        <v>418</v>
      </c>
      <c r="G321" s="23" t="str">
        <f>テーブル1[[#This Row],[名前]]&amp;"(UTAU)"</f>
        <v>シェリーロイド(UTAU)</v>
      </c>
      <c r="P321" s="24" t="str">
        <f>テーブル1[[#This Row],[リンク]]&amp;テーブル1[[#This Row],[描画状況]]</f>
        <v>-</v>
      </c>
      <c r="Q321" s="17">
        <f>1-(COUNTIF(P:P,_xlfn.TEXTJOIN(",",TRUE,テーブル1[[#This Row],[リンク]],テーブル1[[#This Row],[描画状況]]))/COUNTIF(F:F,テーブル1[[#This Row],[リンク]]))</f>
        <v>0.33333333333333337</v>
      </c>
      <c r="R321" s="16">
        <f ca="1">IFERROR(IF(テーブル1[[#This Row],[描画状況]]="",RAND()+(テーブル1[[#This Row],[列2]]*100),""),RAND())</f>
        <v>34.014923571995205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|&amp;image(cherri-loid.png,width=100,height=100)</v>
      </c>
      <c r="V321" s="23" t="str">
        <f>"|MIDDLE:​"&amp;テーブル1[[#This Row],[名前]]</f>
        <v>|MIDDLE:​シェリーロイド</v>
      </c>
      <c r="W321" s="23" t="str">
        <f>"|MIDDLE:​"&amp;テーブル1[[#This Row],[なまえ]]</f>
        <v>|MIDDLE:​しぇりーろいど</v>
      </c>
      <c r="X321" s="23" t="str">
        <f>"|MIDDLE:​"&amp;テーブル1[[#This Row],[Name]]</f>
        <v>|MIDDLE:​CHERRI-LOID</v>
      </c>
      <c r="Y321" s="23" t="str">
        <f>"|MIDDLE:​&amp;link(配布所はこちら){​"&amp;テーブル1[[#This Row],[リンク]]&amp;"}|"</f>
        <v>|MIDDLE:​&amp;link(配布所はこちら){​-}|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22" s="24" t="s">
        <v>1039</v>
      </c>
      <c r="D322" s="23" t="s">
        <v>1040</v>
      </c>
      <c r="E322" s="23" t="s">
        <v>1041</v>
      </c>
      <c r="F322" s="15" t="s">
        <v>668</v>
      </c>
      <c r="G322" s="23" t="s">
        <v>669</v>
      </c>
      <c r="N322" s="1" t="s">
        <v>1507</v>
      </c>
      <c r="P322" s="24" t="str">
        <f>テーブル1[[#This Row],[リンク]]&amp;テーブル1[[#This Row],[描画状況]]</f>
        <v>https://flowerrocklove.wixsite.com/twilight-crisis</v>
      </c>
      <c r="Q322" s="17">
        <f>1-(COUNTIF(P:P,_xlfn.TEXTJOIN(",",TRUE,テーブル1[[#This Row],[リンク]],テーブル1[[#This Row],[描画状況]]))/COUNTIF(F:F,テーブル1[[#This Row],[リンク]]))</f>
        <v>0.22222222222222221</v>
      </c>
      <c r="R322" s="16">
        <f ca="1">IFERROR(IF(テーブル1[[#This Row],[描画状況]]="",RAND()+(テーブル1[[#This Row],[列2]]*100),""),RAND())</f>
        <v>22.245388174831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|&amp;image(jigokudani-kaku.png,width=100,height=100)</v>
      </c>
      <c r="V322" s="23" t="str">
        <f>"|MIDDLE:​"&amp;テーブル1[[#This Row],[名前]]</f>
        <v>|MIDDLE:​地獄谷覚</v>
      </c>
      <c r="W322" s="23" t="str">
        <f>"|MIDDLE:​"&amp;テーブル1[[#This Row],[なまえ]]</f>
        <v>|MIDDLE:​じごくだに かく</v>
      </c>
      <c r="X322" s="23" t="str">
        <f>"|MIDDLE:​"&amp;テーブル1[[#This Row],[Name]]</f>
        <v>|MIDDLE:​Jigokudani Kaku</v>
      </c>
      <c r="Y32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23" s="24" t="s">
        <v>1042</v>
      </c>
      <c r="D323" s="23" t="s">
        <v>1043</v>
      </c>
      <c r="E323" s="23" t="s">
        <v>1044</v>
      </c>
      <c r="F323" s="15" t="s">
        <v>668</v>
      </c>
      <c r="G323" s="23" t="s">
        <v>669</v>
      </c>
      <c r="N323" s="1" t="s">
        <v>1507</v>
      </c>
      <c r="P323" s="24" t="str">
        <f>テーブル1[[#This Row],[リンク]]&amp;テーブル1[[#This Row],[描画状況]]</f>
        <v>https://flowerrocklove.wixsite.com/twilight-crisis</v>
      </c>
      <c r="Q323" s="17">
        <f>1-(COUNTIF(P:P,_xlfn.TEXTJOIN(",",TRUE,テーブル1[[#This Row],[リンク]],テーブル1[[#This Row],[描画状況]]))/COUNTIF(F:F,テーブル1[[#This Row],[リンク]]))</f>
        <v>0.22222222222222221</v>
      </c>
      <c r="R323" s="16">
        <f ca="1">IFERROR(IF(テーブル1[[#This Row],[描画状況]]="",RAND()+(テーブル1[[#This Row],[列2]]*100),""),RAND())</f>
        <v>22.353516731173702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|&amp;image(jigokudani-lin.png,width=100,height=100)</v>
      </c>
      <c r="V323" s="23" t="str">
        <f>"|MIDDLE:​"&amp;テーブル1[[#This Row],[名前]]</f>
        <v>|MIDDLE:​地獄谷燐</v>
      </c>
      <c r="W323" s="23" t="str">
        <f>"|MIDDLE:​"&amp;テーブル1[[#This Row],[なまえ]]</f>
        <v>|MIDDLE:​じごくだに りん</v>
      </c>
      <c r="X323" s="23" t="str">
        <f>"|MIDDLE:​"&amp;テーブル1[[#This Row],[Name]]</f>
        <v>|MIDDLE:​Jigokudani Lin</v>
      </c>
      <c r="Y323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24" s="24" t="s">
        <v>512</v>
      </c>
      <c r="D324" s="23" t="s">
        <v>513</v>
      </c>
      <c r="E324" s="23" t="s">
        <v>514</v>
      </c>
      <c r="F324" s="2" t="s">
        <v>515</v>
      </c>
      <c r="G324" s="23" t="s">
        <v>516</v>
      </c>
      <c r="P324" s="24" t="str">
        <f>テーブル1[[#This Row],[リンク]]&amp;テーブル1[[#This Row],[描画状況]]</f>
        <v>https://bowlroll.net/user/966729</v>
      </c>
      <c r="Q324" s="17">
        <f>1-(COUNTIF(P:P,_xlfn.TEXTJOIN(",",TRUE,テーブル1[[#This Row],[リンク]],テーブル1[[#This Row],[描画状況]]))/COUNTIF(F:F,テーブル1[[#This Row],[リンク]]))</f>
        <v>0</v>
      </c>
      <c r="R324" s="16">
        <f ca="1">IFERROR(IF(テーブル1[[#This Row],[描画状況]]="",RAND()+(テーブル1[[#This Row],[列2]]*100),""),RAND())</f>
        <v>0.97226262663676422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|&amp;image(shijii-kyoka.png,width=100,height=100)</v>
      </c>
      <c r="V324" s="23" t="str">
        <f>"|MIDDLE:​"&amp;テーブル1[[#This Row],[名前]]</f>
        <v>|MIDDLE:​四々井杏花</v>
      </c>
      <c r="W324" s="23" t="str">
        <f>"|MIDDLE:​"&amp;テーブル1[[#This Row],[なまえ]]</f>
        <v>|MIDDLE:​しじい きょうか</v>
      </c>
      <c r="X324" s="23" t="str">
        <f>"|MIDDLE:​"&amp;テーブル1[[#This Row],[Name]]</f>
        <v>|MIDDLE:​Shijii Kyoka</v>
      </c>
      <c r="Y324" s="23" t="str">
        <f>"|MIDDLE:​&amp;link(配布所はこちら){​"&amp;テーブル1[[#This Row],[リンク]]&amp;"}|"</f>
        <v>|MIDDLE:​&amp;link(配布所はこちら){​https://bowlroll.net/user/966729}|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25" s="24" t="s">
        <v>1303</v>
      </c>
      <c r="D325" s="23" t="s">
        <v>1305</v>
      </c>
      <c r="E325" s="23" t="s">
        <v>1306</v>
      </c>
      <c r="F325" s="15" t="s">
        <v>1307</v>
      </c>
      <c r="G325" s="23" t="s">
        <v>1304</v>
      </c>
      <c r="P325" s="24" t="str">
        <f>テーブル1[[#This Row],[リンク]]&amp;テーブル1[[#This Row],[描画状況]]</f>
        <v>https://bowlroll.net/user/896336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0.16811616455877632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|&amp;image(shippo.png,width=100,height=100)</v>
      </c>
      <c r="V325" s="23" t="str">
        <f>"|MIDDLE:​"&amp;テーブル1[[#This Row],[名前]]</f>
        <v>|MIDDLE:​尻尾</v>
      </c>
      <c r="W325" s="23" t="str">
        <f>"|MIDDLE:​"&amp;テーブル1[[#This Row],[なまえ]]</f>
        <v>|MIDDLE:​しっぽ</v>
      </c>
      <c r="X325" s="23" t="str">
        <f>"|MIDDLE:​"&amp;テーブル1[[#This Row],[Name]]</f>
        <v>|MIDDLE:​Shippo</v>
      </c>
      <c r="Y325" s="23" t="str">
        <f>"|MIDDLE:​&amp;link(配布所はこちら){​"&amp;テーブル1[[#This Row],[リンク]]&amp;"}|"</f>
        <v>|MIDDLE:​&amp;link(配布所はこちら){​https://bowlroll.net/user/896336}|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26" s="24" t="s">
        <v>967</v>
      </c>
      <c r="D326" s="23" t="s">
        <v>968</v>
      </c>
      <c r="E326" s="23" t="s">
        <v>969</v>
      </c>
      <c r="F326" s="2" t="s">
        <v>1689</v>
      </c>
      <c r="G326" s="23" t="str">
        <f>テーブル1[[#This Row],[名前]]&amp;"(UTAU)"</f>
        <v>死nu音サン(UTAU)</v>
      </c>
      <c r="H326" s="23" t="s">
        <v>1652</v>
      </c>
      <c r="I326" s="23" t="s">
        <v>1644</v>
      </c>
      <c r="N326" s="1" t="s">
        <v>1508</v>
      </c>
      <c r="P326" s="24" t="str">
        <f>テーブル1[[#This Row],[リンク]]&amp;テーブル1[[#This Row],[描画状況]]</f>
        <v>https://ameutaulii.wixsite.com/telepathycapsule</v>
      </c>
      <c r="Q326" s="17">
        <f>1-(COUNTIF(P:P,_xlfn.TEXTJOIN(",",TRUE,テーブル1[[#This Row],[リンク]],テーブル1[[#This Row],[描画状況]]))/COUNTIF(F:F,テーブル1[[#This Row],[リンク]]))</f>
        <v>0.16666666666666663</v>
      </c>
      <c r="R326" s="16">
        <f ca="1">IFERROR(IF(テーブル1[[#This Row],[描画状況]]="",RAND()+(テーブル1[[#This Row],[列2]]*100),""),RAND())</f>
        <v>17.132008245103364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|&amp;image(shinunesan.png,width=100,height=100)</v>
      </c>
      <c r="V326" s="23" t="str">
        <f>"|MIDDLE:​"&amp;テーブル1[[#This Row],[名前]]</f>
        <v>|MIDDLE:​死nu音サン</v>
      </c>
      <c r="W326" s="23" t="str">
        <f>"|MIDDLE:​"&amp;テーブル1[[#This Row],[なまえ]]</f>
        <v>|MIDDLE:​しぬねさん</v>
      </c>
      <c r="X326" s="23" t="str">
        <f>"|MIDDLE:​"&amp;テーブル1[[#This Row],[Name]]</f>
        <v>|MIDDLE:​Shinunesan</v>
      </c>
      <c r="Y326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27" s="24" t="s">
        <v>973</v>
      </c>
      <c r="D327" s="23" t="s">
        <v>974</v>
      </c>
      <c r="E327" s="23" t="s">
        <v>975</v>
      </c>
      <c r="F327" s="2" t="s">
        <v>50</v>
      </c>
      <c r="G327" s="23" t="str">
        <f>テーブル1[[#This Row],[名前]]&amp;"(UTAU)"</f>
        <v>シャレーナ(UTAU)</v>
      </c>
      <c r="P327" s="24" t="str">
        <f>テーブル1[[#This Row],[リンク]]&amp;テーブル1[[#This Row],[描画状況]]</f>
        <v>https://amiseniamnu.wixsite.com/amisenia</v>
      </c>
      <c r="Q327" s="17">
        <f>1-(COUNTIF(P:P,_xlfn.TEXTJOIN(",",TRUE,テーブル1[[#This Row],[リンク]],テーブル1[[#This Row],[描画状況]]))/COUNTIF(F:F,テーブル1[[#This Row],[リンク]]))</f>
        <v>0.5</v>
      </c>
      <c r="R327" s="16">
        <f ca="1">IFERROR(IF(テーブル1[[#This Row],[描画状況]]="",RAND()+(テーブル1[[#This Row],[列2]]*100),""),RAND())</f>
        <v>50.59354183449863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|&amp;image(sharena.png,width=100,height=100)</v>
      </c>
      <c r="V327" s="23" t="str">
        <f>"|MIDDLE:​"&amp;テーブル1[[#This Row],[名前]]</f>
        <v>|MIDDLE:​シャレーナ</v>
      </c>
      <c r="W327" s="23" t="str">
        <f>"|MIDDLE:​"&amp;テーブル1[[#This Row],[なまえ]]</f>
        <v>|MIDDLE:​しゃれーな</v>
      </c>
      <c r="X327" s="23" t="str">
        <f>"|MIDDLE:​"&amp;テーブル1[[#This Row],[Name]]</f>
        <v>|MIDDLE:​Sharena</v>
      </c>
      <c r="Y327" s="23" t="str">
        <f>"|MIDDLE:​&amp;link(配布所はこちら){​"&amp;テーブル1[[#This Row],[リンク]]&amp;"}|"</f>
        <v>|MIDDLE:​&amp;link(配布所はこちら){​https://amiseniamnu.wixsite.com/amisenia}|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28" s="24" t="s">
        <v>1358</v>
      </c>
      <c r="D328" s="23" t="s">
        <v>1360</v>
      </c>
      <c r="E328" s="23" t="s">
        <v>1359</v>
      </c>
      <c r="F328" s="2" t="s">
        <v>1353</v>
      </c>
      <c r="G328" s="23" t="s">
        <v>1354</v>
      </c>
      <c r="P328" s="24" t="str">
        <f>テーブル1[[#This Row],[リンク]]&amp;テーブル1[[#This Row],[描画状況]]</f>
        <v>https://maybeanglo0mochi.wixsite.com/mochiyanosouko</v>
      </c>
      <c r="Q328" s="17">
        <f>1-(COUNTIF(P:P,_xlfn.TEXTJOIN(",",TRUE,テーブル1[[#This Row],[リンク]],テーブル1[[#This Row],[描画状況]]))/COUNTIF(F:F,テーブル1[[#This Row],[リンク]]))</f>
        <v>0.125</v>
      </c>
      <c r="R328" s="16">
        <f ca="1">IFERROR(IF(テーブル1[[#This Row],[描画状況]]="",RAND()+(テーブル1[[#This Row],[列2]]*100),""),RAND())</f>
        <v>12.889574173268656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|&amp;image(syokuhei-saku.png,width=100,height=100)</v>
      </c>
      <c r="V328" s="23" t="str">
        <f>"|MIDDLE:​"&amp;テーブル1[[#This Row],[名前]]</f>
        <v>|MIDDLE:​食并さく</v>
      </c>
      <c r="W328" s="23" t="str">
        <f>"|MIDDLE:​"&amp;テーブル1[[#This Row],[なまえ]]</f>
        <v>|MIDDLE:​しょくへい さく</v>
      </c>
      <c r="X328" s="23" t="str">
        <f>"|MIDDLE:​"&amp;テーブル1[[#This Row],[Name]]</f>
        <v>|MIDDLE:​Syokuhei Saku</v>
      </c>
      <c r="Y32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29" s="24" t="s">
        <v>1355</v>
      </c>
      <c r="D329" s="23" t="s">
        <v>1357</v>
      </c>
      <c r="E329" s="23" t="s">
        <v>1356</v>
      </c>
      <c r="F329" s="2" t="s">
        <v>1353</v>
      </c>
      <c r="G329" s="23" t="s">
        <v>1354</v>
      </c>
      <c r="P329" s="24" t="str">
        <f>テーブル1[[#This Row],[リンク]]&amp;テーブル1[[#This Row],[描画状況]]</f>
        <v>https://maybeanglo0mochi.wixsite.com/mochiyanosouko</v>
      </c>
      <c r="Q329" s="17">
        <f>1-(COUNTIF(P:P,_xlfn.TEXTJOIN(",",TRUE,テーブル1[[#This Row],[リンク]],テーブル1[[#This Row],[描画状況]]))/COUNTIF(F:F,テーブル1[[#This Row],[リンク]]))</f>
        <v>0.125</v>
      </c>
      <c r="R329" s="16">
        <f ca="1">IFERROR(IF(テーブル1[[#This Row],[描画状況]]="",RAND()+(テーブル1[[#This Row],[列2]]*100),""),RAND())</f>
        <v>12.596137027624776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|&amp;image(syokuhei-fuwa.png,width=100,height=100)</v>
      </c>
      <c r="V329" s="23" t="str">
        <f>"|MIDDLE:​"&amp;テーブル1[[#This Row],[名前]]</f>
        <v>|MIDDLE:​食并ふうわ</v>
      </c>
      <c r="W329" s="23" t="str">
        <f>"|MIDDLE:​"&amp;テーブル1[[#This Row],[なまえ]]</f>
        <v>|MIDDLE:​しょくへい ふうわ</v>
      </c>
      <c r="X329" s="23" t="str">
        <f>"|MIDDLE:​"&amp;テーブル1[[#This Row],[Name]]</f>
        <v>|MIDDLE:​Syokuhei Fuwa</v>
      </c>
      <c r="Y329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30" s="24" t="s">
        <v>613</v>
      </c>
      <c r="D330" s="23" t="s">
        <v>614</v>
      </c>
      <c r="E330" s="23" t="s">
        <v>615</v>
      </c>
      <c r="F330" s="2" t="s">
        <v>212</v>
      </c>
      <c r="G330" s="23" t="s">
        <v>213</v>
      </c>
      <c r="N330" s="1" t="s">
        <v>1507</v>
      </c>
      <c r="P330" s="24" t="str">
        <f>テーブル1[[#This Row],[リンク]]&amp;テーブル1[[#This Row],[描画状況]]</f>
        <v>https://mitoristu.wixsite.com/kousaibako</v>
      </c>
      <c r="Q330" s="17">
        <f>1-(COUNTIF(P:P,_xlfn.TEXTJOIN(",",TRUE,テーブル1[[#This Row],[リンク]],テーブル1[[#This Row],[描画状況]]))/COUNTIF(F:F,テーブル1[[#This Row],[リンク]]))</f>
        <v>0.19999999999999996</v>
      </c>
      <c r="R330" s="16">
        <f ca="1">IFERROR(IF(テーブル1[[#This Row],[描画状況]]="",RAND()+(テーブル1[[#This Row],[列2]]*100),""),RAND())</f>
        <v>20.652226345901418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|&amp;image(shirahari-akane.png,width=100,height=100)</v>
      </c>
      <c r="V330" s="23" t="str">
        <f>"|MIDDLE:​"&amp;テーブル1[[#This Row],[名前]]</f>
        <v>|MIDDLE:​白播茜</v>
      </c>
      <c r="W330" s="23" t="str">
        <f>"|MIDDLE:​"&amp;テーブル1[[#This Row],[なまえ]]</f>
        <v>|MIDDLE:​しらはり あかね</v>
      </c>
      <c r="X330" s="23" t="str">
        <f>"|MIDDLE:​"&amp;テーブル1[[#This Row],[Name]]</f>
        <v>|MIDDLE:​Shirahari Akane</v>
      </c>
      <c r="Y330" s="23" t="str">
        <f>"|MIDDLE:​&amp;link(配布所はこちら){​"&amp;テーブル1[[#This Row],[リンク]]&amp;"}|"</f>
        <v>|MIDDLE:​&amp;link(配布所はこちら){​https://mitoristu.wixsite.com/kousaibako}|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31" s="24" t="s">
        <v>1168</v>
      </c>
      <c r="D331" s="23" t="s">
        <v>1169</v>
      </c>
      <c r="E331" s="23" t="s">
        <v>1170</v>
      </c>
      <c r="F331" s="2" t="s">
        <v>97</v>
      </c>
      <c r="G331" s="23" t="s">
        <v>98</v>
      </c>
      <c r="H331" s="23" t="s">
        <v>1616</v>
      </c>
      <c r="I331" s="23" t="s">
        <v>1851</v>
      </c>
      <c r="M331" s="23" t="s">
        <v>1852</v>
      </c>
      <c r="N331" s="1" t="s">
        <v>1507</v>
      </c>
      <c r="P331" s="24" t="str">
        <f>テーブル1[[#This Row],[リンク]]&amp;テーブル1[[#This Row],[描画状況]]</f>
        <v>https://hinagitsune-utau.wixsite.com/utaukokorone</v>
      </c>
      <c r="Q331" s="17">
        <f>1-(COUNTIF(P:P,_xlfn.TEXTJOIN(",",TRUE,テーブル1[[#This Row],[リンク]],テーブル1[[#This Row],[描画状況]]))/COUNTIF(F:F,テーブル1[[#This Row],[リンク]]))</f>
        <v>0.19999999999999996</v>
      </c>
      <c r="R331" s="16">
        <f ca="1">IFERROR(IF(テーブル1[[#This Row],[描画状況]]="",RAND()+(テーブル1[[#This Row],[列2]]*100),""),RAND())</f>
        <v>20.07405382803066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|&amp;image(shirayuki.png,width=100,height=100)</v>
      </c>
      <c r="V331" s="23" t="str">
        <f>"|MIDDLE:​"&amp;テーブル1[[#This Row],[名前]]</f>
        <v>|MIDDLE:​シラユキ</v>
      </c>
      <c r="W331" s="23" t="str">
        <f>"|MIDDLE:​"&amp;テーブル1[[#This Row],[なまえ]]</f>
        <v>|MIDDLE:​しらゆき</v>
      </c>
      <c r="X331" s="23" t="str">
        <f>"|MIDDLE:​"&amp;テーブル1[[#This Row],[Name]]</f>
        <v>|MIDDLE:​Shirayuki</v>
      </c>
      <c r="Y331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32" s="24" t="s">
        <v>1052</v>
      </c>
      <c r="D332" s="23" t="s">
        <v>1052</v>
      </c>
      <c r="E332" s="23" t="s">
        <v>1053</v>
      </c>
      <c r="F332" s="15" t="s">
        <v>668</v>
      </c>
      <c r="G332" s="23" t="s">
        <v>669</v>
      </c>
      <c r="N332" s="1" t="s">
        <v>1507</v>
      </c>
      <c r="P332" s="24" t="str">
        <f>テーブル1[[#This Row],[リンク]]&amp;テーブル1[[#This Row],[描画状況]]</f>
        <v>https://flowerrocklove.wixsite.com/twilight-crisis</v>
      </c>
      <c r="Q332" s="17">
        <f>1-(COUNTIF(P:P,_xlfn.TEXTJOIN(",",TRUE,テーブル1[[#This Row],[リンク]],テーブル1[[#This Row],[描画状況]]))/COUNTIF(F:F,テーブル1[[#This Row],[リンク]]))</f>
        <v>0.22222222222222221</v>
      </c>
      <c r="R332" s="16">
        <f ca="1">IFERROR(IF(テーブル1[[#This Row],[描画状況]]="",RAND()+(テーブル1[[#This Row],[列2]]*100),""),RAND())</f>
        <v>22.33972548250664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|&amp;image(jinrui.png,width=100,height=100)</v>
      </c>
      <c r="V332" s="23" t="str">
        <f>"|MIDDLE:​"&amp;テーブル1[[#This Row],[名前]]</f>
        <v>|MIDDLE:​じんるい</v>
      </c>
      <c r="W332" s="23" t="str">
        <f>"|MIDDLE:​"&amp;テーブル1[[#This Row],[なまえ]]</f>
        <v>|MIDDLE:​じんるい</v>
      </c>
      <c r="X332" s="23" t="str">
        <f>"|MIDDLE:​"&amp;テーブル1[[#This Row],[Name]]</f>
        <v>|MIDDLE:​Jinrui</v>
      </c>
      <c r="Y33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33" s="24" t="s">
        <v>1027</v>
      </c>
      <c r="D333" s="23" t="s">
        <v>1028</v>
      </c>
      <c r="E333" s="23" t="s">
        <v>1029</v>
      </c>
      <c r="F333" s="27" t="s">
        <v>84</v>
      </c>
      <c r="G333" s="23" t="s">
        <v>85</v>
      </c>
      <c r="H333" s="23" t="s">
        <v>1652</v>
      </c>
      <c r="I333" s="23" t="s">
        <v>1834</v>
      </c>
      <c r="N333" s="1" t="s">
        <v>1508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33.406335744076387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|&amp;image(suimei.png,width=100,height=100)</v>
      </c>
      <c r="V333" s="23" t="str">
        <f>"|MIDDLE:​"&amp;テーブル1[[#This Row],[名前]]</f>
        <v>|MIDDLE:​水明</v>
      </c>
      <c r="W333" s="23" t="str">
        <f>"|MIDDLE:​"&amp;テーブル1[[#This Row],[なまえ]]</f>
        <v>|MIDDLE:​すいめい</v>
      </c>
      <c r="X333" s="23" t="str">
        <f>"|MIDDLE:​"&amp;テーブル1[[#This Row],[Name]]</f>
        <v>|MIDDLE:​Suimei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34" s="24" t="s">
        <v>886</v>
      </c>
      <c r="D334" s="23" t="s">
        <v>887</v>
      </c>
      <c r="E334" s="23" t="s">
        <v>888</v>
      </c>
      <c r="F334" s="15" t="s">
        <v>889</v>
      </c>
      <c r="G334" s="23" t="str">
        <f>テーブル1[[#This Row],[名前]]&amp;"(UTAU)"</f>
        <v>救井イド(UTAU)</v>
      </c>
      <c r="P334" s="24" t="str">
        <f>テーブル1[[#This Row],[リンク]]&amp;テーブル1[[#This Row],[描画状況]]</f>
        <v>https://bowlroll.net/user/999132</v>
      </c>
      <c r="Q334" s="17">
        <f>1-(COUNTIF(P:P,_xlfn.TEXTJOIN(",",TRUE,テーブル1[[#This Row],[リンク]],テーブル1[[#This Row],[描画状況]]))/COUNTIF(F:F,テーブル1[[#This Row],[リンク]]))</f>
        <v>0</v>
      </c>
      <c r="R334" s="16">
        <f ca="1">IFERROR(IF(テーブル1[[#This Row],[描画状況]]="",RAND()+(テーブル1[[#This Row],[列2]]*100),""),RAND())</f>
        <v>0.89602869942267727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|&amp;image(sukii-ido.png,width=100,height=100)</v>
      </c>
      <c r="V334" s="23" t="str">
        <f>"|MIDDLE:​"&amp;テーブル1[[#This Row],[名前]]</f>
        <v>|MIDDLE:​救井イド</v>
      </c>
      <c r="W334" s="23" t="str">
        <f>"|MIDDLE:​"&amp;テーブル1[[#This Row],[なまえ]]</f>
        <v>|MIDDLE:​すくい いど</v>
      </c>
      <c r="X334" s="23" t="str">
        <f>"|MIDDLE:​"&amp;テーブル1[[#This Row],[Name]]</f>
        <v>|MIDDLE:​Sukii Ido</v>
      </c>
      <c r="Y334" s="23" t="str">
        <f>"|MIDDLE:​&amp;link(配布所はこちら){​"&amp;テーブル1[[#This Row],[リンク]]&amp;"}|"</f>
        <v>|MIDDLE:​&amp;link(配布所はこちら){​https://bowlroll.net/user/999132}|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35" s="24" t="s">
        <v>1187</v>
      </c>
      <c r="D335" s="23" t="s">
        <v>1188</v>
      </c>
      <c r="E335" s="23" t="s">
        <v>1189</v>
      </c>
      <c r="F335" s="15" t="s">
        <v>722</v>
      </c>
      <c r="G335" s="23" t="s">
        <v>1190</v>
      </c>
      <c r="N335" s="1" t="s">
        <v>1508</v>
      </c>
      <c r="P335" s="24" t="str">
        <f>テーブル1[[#This Row],[リンク]]&amp;テーブル1[[#This Row],[描画状況]]</f>
        <v>https://grskmot8.wixsite.com/kdarock</v>
      </c>
      <c r="Q335" s="17">
        <f>1-(COUNTIF(P:P,_xlfn.TEXTJOIN(",",TRUE,テーブル1[[#This Row],[リンク]],テーブル1[[#This Row],[描画状況]]))/COUNTIF(F:F,テーブル1[[#This Row],[リンク]]))</f>
        <v>0.33333333333333337</v>
      </c>
      <c r="R335" s="16">
        <f ca="1">IFERROR(IF(テーブル1[[#This Row],[描画状況]]="",RAND()+(テーブル1[[#This Row],[列2]]*100),""),RAND())</f>
        <v>33.868401868098658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|&amp;image(suzukaze-netsuko.png,width=100,height=100)</v>
      </c>
      <c r="V335" s="23" t="str">
        <f>"|MIDDLE:​"&amp;テーブル1[[#This Row],[名前]]</f>
        <v>|MIDDLE:​涼風熱子</v>
      </c>
      <c r="W335" s="23" t="str">
        <f>"|MIDDLE:​"&amp;テーブル1[[#This Row],[なまえ]]</f>
        <v>|MIDDLE:​すずかぜ ねつこ</v>
      </c>
      <c r="X335" s="23" t="str">
        <f>"|MIDDLE:​"&amp;テーブル1[[#This Row],[Name]]</f>
        <v>|MIDDLE:​Suzukaze Netsuko</v>
      </c>
      <c r="Y335" s="23" t="str">
        <f>"|MIDDLE:​&amp;link(配布所はこちら){​"&amp;テーブル1[[#This Row],[リンク]]&amp;"}|"</f>
        <v>|MIDDLE:​&amp;link(配布所はこちら){​https://grskmot8.wixsite.com/kdarock}|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36" s="24" t="s">
        <v>628</v>
      </c>
      <c r="D336" s="23" t="s">
        <v>629</v>
      </c>
      <c r="E336" s="24" t="s">
        <v>628</v>
      </c>
      <c r="F336" s="2" t="s">
        <v>162</v>
      </c>
      <c r="G336" s="23" t="s">
        <v>163</v>
      </c>
      <c r="H336" s="23" t="s">
        <v>1616</v>
      </c>
      <c r="I336" s="23" t="s">
        <v>1626</v>
      </c>
      <c r="P336" s="24" t="str">
        <f>テーブル1[[#This Row],[リンク]]&amp;テーブル1[[#This Row],[描画状況]]</f>
        <v>https://kuroi9603.wixsite.com/delu-lab-south</v>
      </c>
      <c r="Q336" s="17">
        <f>1-(COUNTIF(P:P,_xlfn.TEXTJOIN(",",TRUE,テーブル1[[#This Row],[リンク]],テーブル1[[#This Row],[描画状況]]))/COUNTIF(F:F,テーブル1[[#This Row],[リンク]]))</f>
        <v>0.66666666666666674</v>
      </c>
      <c r="R336" s="16">
        <f ca="1">IFERROR(IF(テーブル1[[#This Row],[描画状況]]="",RAND()+(テーブル1[[#This Row],[列2]]*100),""),RAND())</f>
        <v>66.696828484577125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|&amp;image(stella.png,width=100,height=100)</v>
      </c>
      <c r="V336" s="23" t="str">
        <f>"|MIDDLE:​"&amp;テーブル1[[#This Row],[名前]]</f>
        <v>|MIDDLE:​Stella</v>
      </c>
      <c r="W336" s="23" t="str">
        <f>"|MIDDLE:​"&amp;テーブル1[[#This Row],[なまえ]]</f>
        <v>|MIDDLE:​すてら</v>
      </c>
      <c r="X336" s="23" t="str">
        <f>"|MIDDLE:​"&amp;テーブル1[[#This Row],[Name]]</f>
        <v>|MIDDLE:​Stella</v>
      </c>
      <c r="Y336" s="23" t="str">
        <f>"|MIDDLE:​&amp;link(配布所はこちら){​"&amp;テーブル1[[#This Row],[リンク]]&amp;"}|"</f>
        <v>|MIDDLE:​&amp;link(配布所はこちら){​https://kuroi9603.wixsite.com/delu-lab-south}|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37" s="24" t="s">
        <v>898</v>
      </c>
      <c r="D337" s="23" t="s">
        <v>900</v>
      </c>
      <c r="E337" s="23" t="s">
        <v>899</v>
      </c>
      <c r="F337" s="15" t="s">
        <v>901</v>
      </c>
      <c r="G337" s="23" t="s">
        <v>914</v>
      </c>
      <c r="P337" s="24" t="str">
        <f>テーブル1[[#This Row],[リンク]]&amp;テーブル1[[#This Row],[描画状況]]</f>
        <v>https://suukedayo.wixsite.com/shiawasefairu</v>
      </c>
      <c r="Q337" s="17">
        <f>1-(COUNTIF(P:P,_xlfn.TEXTJOIN(",",TRUE,テーブル1[[#This Row],[リンク]],テーブル1[[#This Row],[描画状況]]))/COUNTIF(F:F,テーブル1[[#This Row],[リンク]]))</f>
        <v>0</v>
      </c>
      <c r="R337" s="16">
        <f ca="1">IFERROR(IF(テーブル1[[#This Row],[描画状況]]="",RAND()+(テーブル1[[#This Row],[列2]]*100),""),RAND())</f>
        <v>0.40518237938867618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|&amp;image(sumomone-fueru.png,width=100,height=100)</v>
      </c>
      <c r="V337" s="23" t="str">
        <f>"|MIDDLE:​"&amp;テーブル1[[#This Row],[名前]]</f>
        <v>|MIDDLE:​李音フヱル</v>
      </c>
      <c r="W337" s="23" t="str">
        <f>"|MIDDLE:​"&amp;テーブル1[[#This Row],[なまえ]]</f>
        <v>|MIDDLE:​すももね ふえる</v>
      </c>
      <c r="X337" s="23" t="str">
        <f>"|MIDDLE:​"&amp;テーブル1[[#This Row],[Name]]</f>
        <v>|MIDDLE:​Sumomone Fueru</v>
      </c>
      <c r="Y337" s="23" t="str">
        <f>"|MIDDLE:​&amp;link(配布所はこちら){​"&amp;テーブル1[[#This Row],[リンク]]&amp;"}|"</f>
        <v>|MIDDLE:​&amp;link(配布所はこちら){​https://suukedayo.wixsite.com/shiawasefairu}|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38" s="24" t="s">
        <v>1085</v>
      </c>
      <c r="D338" s="23" t="s">
        <v>1086</v>
      </c>
      <c r="E338" s="23" t="s">
        <v>1087</v>
      </c>
      <c r="F338" s="15" t="s">
        <v>1062</v>
      </c>
      <c r="G338" s="23" t="s">
        <v>1063</v>
      </c>
      <c r="P338" s="24" t="str">
        <f>テーブル1[[#This Row],[リンク]]&amp;テーブル1[[#This Row],[描画状況]]</f>
        <v>https://yukimiyashimusho.jimdofree.com</v>
      </c>
      <c r="Q338" s="17">
        <f>1-(COUNTIF(P:P,_xlfn.TEXTJOIN(",",TRUE,テーブル1[[#This Row],[リンク]],テーブル1[[#This Row],[描画状況]]))/COUNTIF(F:F,テーブル1[[#This Row],[リンク]]))</f>
        <v>7.1428571428571397E-2</v>
      </c>
      <c r="R338" s="16">
        <f ca="1">IFERROR(IF(テーブル1[[#This Row],[描画状況]]="",RAND()+(テーブル1[[#This Row],[列2]]*100),""),RAND())</f>
        <v>8.0538431312333163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|&amp;image(sekise-lunami.png,width=100,height=100)</v>
      </c>
      <c r="V338" s="23" t="str">
        <f>"|MIDDLE:​"&amp;テーブル1[[#This Row],[名前]]</f>
        <v>|MIDDLE:​汐声月海</v>
      </c>
      <c r="W338" s="23" t="str">
        <f>"|MIDDLE:​"&amp;テーブル1[[#This Row],[なまえ]]</f>
        <v>|MIDDLE:​せきせ るなみ</v>
      </c>
      <c r="X338" s="23" t="str">
        <f>"|MIDDLE:​"&amp;テーブル1[[#This Row],[Name]]</f>
        <v>|MIDDLE:​Sekise Lunami</v>
      </c>
      <c r="Y338" s="23" t="str">
        <f>"|MIDDLE:​&amp;link(配布所はこちら){​"&amp;テーブル1[[#This Row],[リンク]]&amp;"}|"</f>
        <v>|MIDDLE:​&amp;link(配布所はこちら){​https://yukimiyashimusho.jimdofree.com}|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39" s="24" t="s">
        <v>835</v>
      </c>
      <c r="D339" s="23" t="s">
        <v>836</v>
      </c>
      <c r="E339" s="23" t="s">
        <v>837</v>
      </c>
      <c r="F339" s="2" t="s">
        <v>830</v>
      </c>
      <c r="G339" s="23" t="s">
        <v>831</v>
      </c>
      <c r="P339" s="24" t="str">
        <f>テーブル1[[#This Row],[リンク]]&amp;テーブル1[[#This Row],[描画状況]]</f>
        <v>https://kaedekatusaki.wixsite.com/yanagiroutyou</v>
      </c>
      <c r="Q339" s="17">
        <f>1-(COUNTIF(P:P,_xlfn.TEXTJOIN(",",TRUE,テーブル1[[#This Row],[リンク]],テーブル1[[#This Row],[描画状況]]))/COUNTIF(F:F,テーブル1[[#This Row],[リンク]]))</f>
        <v>0.125</v>
      </c>
      <c r="R339" s="16">
        <f ca="1">IFERROR(IF(テーブル1[[#This Row],[描画状況]]="",RAND()+(テーブル1[[#This Row],[列2]]*100),""),RAND())</f>
        <v>13.24078931465449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|&amp;image(setsuka-toku.png,width=100,height=100)</v>
      </c>
      <c r="V339" s="23" t="str">
        <f>"|MIDDLE:​"&amp;テーブル1[[#This Row],[名前]]</f>
        <v>|MIDDLE:​折歌トク</v>
      </c>
      <c r="W339" s="23" t="str">
        <f>"|MIDDLE:​"&amp;テーブル1[[#This Row],[なまえ]]</f>
        <v>|MIDDLE:​せつか とく</v>
      </c>
      <c r="X339" s="23" t="str">
        <f>"|MIDDLE:​"&amp;テーブル1[[#This Row],[Name]]</f>
        <v>|MIDDLE:​Setsuka Toku</v>
      </c>
      <c r="Y33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40" s="24" t="s">
        <v>793</v>
      </c>
      <c r="D340" s="23" t="s">
        <v>794</v>
      </c>
      <c r="E340" s="23" t="s">
        <v>798</v>
      </c>
      <c r="F340" s="15" t="s">
        <v>775</v>
      </c>
      <c r="G340" s="23" t="str">
        <f>テーブル1[[#This Row],[名前]]&amp;"(UTAU)"</f>
        <v>セレスタイト(UTAU)</v>
      </c>
      <c r="N340" s="1" t="s">
        <v>1507</v>
      </c>
      <c r="P340" s="24" t="str">
        <f>テーブル1[[#This Row],[リンク]]&amp;テーブル1[[#This Row],[描画状況]]</f>
        <v>https://cmamizki.wixsite.com/edelstein</v>
      </c>
      <c r="Q340" s="17">
        <f>1-(COUNTIF(P:P,_xlfn.TEXTJOIN(",",TRUE,テーブル1[[#This Row],[リンク]],テーブル1[[#This Row],[描画状況]]))/COUNTIF(F:F,テーブル1[[#This Row],[リンク]]))</f>
        <v>9.0909090909090939E-2</v>
      </c>
      <c r="R340" s="16">
        <f ca="1">IFERROR(IF(テーブル1[[#This Row],[描画状況]]="",RAND()+(テーブル1[[#This Row],[列2]]*100),""),RAND())</f>
        <v>9.5417160469538409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|&amp;image(celestite.png,width=100,height=100)</v>
      </c>
      <c r="V340" s="23" t="str">
        <f>"|MIDDLE:​"&amp;テーブル1[[#This Row],[名前]]</f>
        <v>|MIDDLE:​セレスタイト</v>
      </c>
      <c r="W340" s="23" t="str">
        <f>"|MIDDLE:​"&amp;テーブル1[[#This Row],[なまえ]]</f>
        <v>|MIDDLE:​せれすたいと</v>
      </c>
      <c r="X340" s="23" t="str">
        <f>"|MIDDLE:​"&amp;テーブル1[[#This Row],[Name]]</f>
        <v>|MIDDLE:​Celestite</v>
      </c>
      <c r="Y340" s="23" t="str">
        <f>"|MIDDLE:​&amp;link(配布所はこちら){​"&amp;テーブル1[[#This Row],[リンク]]&amp;"}|"</f>
        <v>|MIDDLE:​&amp;link(配布所はこちら){​https://cmamizki.wixsite.com/edelstein}|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41" s="24" t="s">
        <v>719</v>
      </c>
      <c r="D341" s="23" t="s">
        <v>720</v>
      </c>
      <c r="E341" s="23" t="s">
        <v>721</v>
      </c>
      <c r="F341" s="15" t="s">
        <v>722</v>
      </c>
      <c r="G341" s="23" t="s">
        <v>1190</v>
      </c>
      <c r="N341" s="1" t="s">
        <v>1508</v>
      </c>
      <c r="P341" s="24" t="str">
        <f>テーブル1[[#This Row],[リンク]]&amp;テーブル1[[#This Row],[描画状況]]</f>
        <v>https://grskmot8.wixsite.com/kdarock</v>
      </c>
      <c r="Q341" s="17">
        <f>1-(COUNTIF(P:P,_xlfn.TEXTJOIN(",",TRUE,テーブル1[[#This Row],[リンク]],テーブル1[[#This Row],[描画状況]]))/COUNTIF(F:F,テーブル1[[#This Row],[リンク]]))</f>
        <v>0.33333333333333337</v>
      </c>
      <c r="R341" s="16">
        <f ca="1">IFERROR(IF(テーブル1[[#This Row],[描画状況]]="",RAND()+(テーブル1[[#This Row],[列2]]*100),""),RAND())</f>
        <v>34.322788386258217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|&amp;image(senjo-tsurugi.png,width=100,height=100)</v>
      </c>
      <c r="V341" s="23" t="str">
        <f>"|MIDDLE:​"&amp;テーブル1[[#This Row],[名前]]</f>
        <v>|MIDDLE:​剪除鶴偽</v>
      </c>
      <c r="W341" s="23" t="str">
        <f>"|MIDDLE:​"&amp;テーブル1[[#This Row],[なまえ]]</f>
        <v>|MIDDLE:​せんじょ つるぎ</v>
      </c>
      <c r="X341" s="23" t="str">
        <f>"|MIDDLE:​"&amp;テーブル1[[#This Row],[Name]]</f>
        <v>|MIDDLE:​Senjo Tsurugi</v>
      </c>
      <c r="Y341" s="23" t="str">
        <f>"|MIDDLE:​&amp;link(配布所はこちら){​"&amp;テーブル1[[#This Row],[リンク]]&amp;"}|"</f>
        <v>|MIDDLE:​&amp;link(配布所はこちら){​https://grskmot8.wixsite.com/kdarock}|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42" s="24" t="s">
        <v>730</v>
      </c>
      <c r="D342" s="23" t="s">
        <v>731</v>
      </c>
      <c r="E342" s="23" t="s">
        <v>732</v>
      </c>
      <c r="F342" s="15" t="s">
        <v>733</v>
      </c>
      <c r="G342" s="23" t="s">
        <v>734</v>
      </c>
      <c r="P342" s="24" t="str">
        <f>テーブル1[[#This Row],[リンク]]&amp;テーブル1[[#This Row],[描画状況]]</f>
        <v>https://t7ttttttt.wixsite.com/t7-re</v>
      </c>
      <c r="Q342" s="17">
        <f>1-(COUNTIF(P:P,_xlfn.TEXTJOIN(",",TRUE,テーブル1[[#This Row],[リンク]],テーブル1[[#This Row],[描画状況]]))/COUNTIF(F:F,テーブル1[[#This Row],[リンク]]))</f>
        <v>0</v>
      </c>
      <c r="R342" s="16">
        <f ca="1">IFERROR(IF(テーブル1[[#This Row],[描画状況]]="",RAND()+(テーブル1[[#This Row],[列2]]*100),""),RAND())</f>
        <v>0.84564004806439252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|&amp;image(senden-raika.png,width=100,height=100)</v>
      </c>
      <c r="V342" s="23" t="str">
        <f>"|MIDDLE:​"&amp;テーブル1[[#This Row],[名前]]</f>
        <v>|MIDDLE:​閃電ライカ</v>
      </c>
      <c r="W342" s="23" t="str">
        <f>"|MIDDLE:​"&amp;テーブル1[[#This Row],[なまえ]]</f>
        <v>|MIDDLE:​せんでん らいか</v>
      </c>
      <c r="X342" s="23" t="str">
        <f>"|MIDDLE:​"&amp;テーブル1[[#This Row],[Name]]</f>
        <v>|MIDDLE:​Senden Raika</v>
      </c>
      <c r="Y342" s="23" t="str">
        <f>"|MIDDLE:​&amp;link(配布所はこちら){​"&amp;テーブル1[[#This Row],[リンク]]&amp;"}|"</f>
        <v>|MIDDLE:​&amp;link(配布所はこちら){​https://t7ttttttt.wixsite.com/t7-re}|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43" s="24" t="s">
        <v>1211</v>
      </c>
      <c r="D343" s="23" t="s">
        <v>1234</v>
      </c>
      <c r="E343" s="23" t="s">
        <v>1233</v>
      </c>
      <c r="F343" s="15" t="s">
        <v>336</v>
      </c>
      <c r="G343" s="23" t="s">
        <v>337</v>
      </c>
      <c r="P343" s="24" t="str">
        <f>テーブル1[[#This Row],[リンク]]&amp;テーブル1[[#This Row],[描画状況]]</f>
        <v>https://torinosu-hikikomori.jimdofree.com</v>
      </c>
      <c r="Q343" s="17">
        <f>1-(COUNTIF(P:P,_xlfn.TEXTJOIN(",",TRUE,テーブル1[[#This Row],[リンク]],テーブル1[[#This Row],[描画状況]]))/COUNTIF(F:F,テーブル1[[#This Row],[リンク]]))</f>
        <v>0.125</v>
      </c>
      <c r="R343" s="16">
        <f ca="1">IFERROR(IF(テーブル1[[#This Row],[描画状況]]="",RAND()+(テーブル1[[#This Row],[列2]]*100),""),RAND())</f>
        <v>13.08122123966743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|&amp;image(soboroppoino.png,width=100,height=100)</v>
      </c>
      <c r="V343" s="23" t="str">
        <f>"|MIDDLE:​"&amp;テーブル1[[#This Row],[名前]]</f>
        <v>|MIDDLE:​ソボロっぽいの</v>
      </c>
      <c r="W343" s="23" t="str">
        <f>"|MIDDLE:​"&amp;テーブル1[[#This Row],[なまえ]]</f>
        <v>|MIDDLE:​そぼろっぽいの</v>
      </c>
      <c r="X343" s="23" t="str">
        <f>"|MIDDLE:​"&amp;テーブル1[[#This Row],[Name]]</f>
        <v>|MIDDLE:​Soboroppoino</v>
      </c>
      <c r="Y343" s="23" t="str">
        <f>"|MIDDLE:​&amp;link(配布所はこちら){​"&amp;テーブル1[[#This Row],[リンク]]&amp;"}|"</f>
        <v>|MIDDLE:​&amp;link(配布所はこちら){​https://torinosu-hikikomori.jimdofree.com}|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44" s="24" t="s">
        <v>955</v>
      </c>
      <c r="D344" s="23" t="s">
        <v>956</v>
      </c>
      <c r="E344" s="23" t="s">
        <v>957</v>
      </c>
      <c r="F344" s="2" t="s">
        <v>673</v>
      </c>
      <c r="G344" s="23" t="s">
        <v>674</v>
      </c>
      <c r="N344" s="1" t="s">
        <v>1507</v>
      </c>
      <c r="P344" s="24" t="str">
        <f>テーブル1[[#This Row],[リンク]]&amp;テーブル1[[#This Row],[描画状況]]</f>
        <v>https://ametro.jimdofree.com</v>
      </c>
      <c r="Q344" s="17">
        <f>1-(COUNTIF(P:P,_xlfn.TEXTJOIN(",",TRUE,テーブル1[[#This Row],[リンク]],テーブル1[[#This Row],[描画状況]]))/COUNTIF(F:F,テーブル1[[#This Row],[リンク]]))</f>
        <v>0.19999999999999996</v>
      </c>
      <c r="R344" s="16">
        <f ca="1">IFERROR(IF(テーブル1[[#This Row],[描画状況]]="",RAND()+(テーブル1[[#This Row],[列2]]*100),""),RAND())</f>
        <v>20.898030413019733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|&amp;image(zonbisen.png,width=100,height=100)</v>
      </c>
      <c r="V344" s="23" t="str">
        <f>"|MIDDLE:​"&amp;テーブル1[[#This Row],[名前]]</f>
        <v>|MIDDLE:​ぞんび線</v>
      </c>
      <c r="W344" s="23" t="str">
        <f>"|MIDDLE:​"&amp;テーブル1[[#This Row],[なまえ]]</f>
        <v>|MIDDLE:​ぞんびせん</v>
      </c>
      <c r="X344" s="23" t="str">
        <f>"|MIDDLE:​"&amp;テーブル1[[#This Row],[Name]]</f>
        <v>|MIDDLE:​Zonbisen</v>
      </c>
      <c r="Y344" s="23" t="str">
        <f>"|MIDDLE:​&amp;link(配布所はこちら){​"&amp;テーブル1[[#This Row],[リンク]]&amp;"}|"</f>
        <v>|MIDDLE:​&amp;link(配布所はこちら){​https://ametro.jimdofree.com}|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45" s="24" t="s">
        <v>1212</v>
      </c>
      <c r="D345" s="23" t="s">
        <v>1236</v>
      </c>
      <c r="E345" s="23" t="s">
        <v>1235</v>
      </c>
      <c r="F345" s="15" t="s">
        <v>336</v>
      </c>
      <c r="G345" s="23" t="s">
        <v>337</v>
      </c>
      <c r="P345" s="24" t="str">
        <f>テーブル1[[#This Row],[リンク]]&amp;テーブル1[[#This Row],[描画状況]]</f>
        <v>https://torinosu-hikikomori.jimdofree.com</v>
      </c>
      <c r="Q345" s="17">
        <f>1-(COUNTIF(P:P,_xlfn.TEXTJOIN(",",TRUE,テーブル1[[#This Row],[リンク]],テーブル1[[#This Row],[描画状況]]))/COUNTIF(F:F,テーブル1[[#This Row],[リンク]]))</f>
        <v>0.125</v>
      </c>
      <c r="R345" s="16">
        <f ca="1">IFERROR(IF(テーブル1[[#This Row],[描画状況]]="",RAND()+(テーブル1[[#This Row],[列2]]*100),""),RAND())</f>
        <v>13.153016831476764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|&amp;image(tamabami-zakuro.png,width=100,height=100)</v>
      </c>
      <c r="V345" s="23" t="str">
        <f>"|MIDDLE:​"&amp;テーブル1[[#This Row],[名前]]</f>
        <v>|MIDDLE:​霊喰ざくろ</v>
      </c>
      <c r="W345" s="23" t="str">
        <f>"|MIDDLE:​"&amp;テーブル1[[#This Row],[なまえ]]</f>
        <v>|MIDDLE:​たまばみ ざくろ</v>
      </c>
      <c r="X345" s="23" t="str">
        <f>"|MIDDLE:​"&amp;テーブル1[[#This Row],[Name]]</f>
        <v>|MIDDLE:​Tamabami Zakuro</v>
      </c>
      <c r="Y345" s="23" t="str">
        <f>"|MIDDLE:​&amp;link(配布所はこちら){​"&amp;テーブル1[[#This Row],[リンク]]&amp;"}|"</f>
        <v>|MIDDLE:​&amp;link(配布所はこちら){​https://torinosu-hikikomori.jimdofree.com}|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46" s="24" t="s">
        <v>1313</v>
      </c>
      <c r="D346" s="23" t="s">
        <v>1315</v>
      </c>
      <c r="E346" s="23" t="s">
        <v>1314</v>
      </c>
      <c r="F346" s="15" t="s">
        <v>1311</v>
      </c>
      <c r="G346" s="23" t="s">
        <v>1316</v>
      </c>
      <c r="P346" s="24" t="str">
        <f>テーブル1[[#This Row],[リンク]]&amp;テーブル1[[#This Row],[描画状況]]</f>
        <v>https://jiwajiwakirinn.wixsite.com/sakurada</v>
      </c>
      <c r="Q346" s="17">
        <f>1-(COUNTIF(P:P,_xlfn.TEXTJOIN(",",TRUE,テーブル1[[#This Row],[リンク]],テーブル1[[#This Row],[描画状況]]))/COUNTIF(F:F,テーブル1[[#This Row],[リンク]]))</f>
        <v>0.19999999999999996</v>
      </c>
      <c r="R346" s="16">
        <f ca="1">IFERROR(IF(テーブル1[[#This Row],[描画状況]]="",RAND()+(テーブル1[[#This Row],[列2]]*100),""),RAND())</f>
        <v>20.574304564955884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|&amp;image(dante.png,width=100,height=100)</v>
      </c>
      <c r="V346" s="23" t="str">
        <f>"|MIDDLE:​"&amp;テーブル1[[#This Row],[名前]]</f>
        <v>|MIDDLE:​ダンテ</v>
      </c>
      <c r="W346" s="23" t="str">
        <f>"|MIDDLE:​"&amp;テーブル1[[#This Row],[なまえ]]</f>
        <v>|MIDDLE:​だんて</v>
      </c>
      <c r="X346" s="23" t="str">
        <f>"|MIDDLE:​"&amp;テーブル1[[#This Row],[Name]]</f>
        <v>|MIDDLE:​Dante</v>
      </c>
      <c r="Y346" s="23" t="str">
        <f>"|MIDDLE:​&amp;link(配布所はこちら){​"&amp;テーブル1[[#This Row],[リンク]]&amp;"}|"</f>
        <v>|MIDDLE:​&amp;link(配布所はこちら){​https://jiwajiwakirinn.wixsite.com/sakurada}|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47" s="24" t="s">
        <v>1021</v>
      </c>
      <c r="D347" s="23" t="s">
        <v>1022</v>
      </c>
      <c r="E347" s="23" t="s">
        <v>1023</v>
      </c>
      <c r="F347" s="27" t="s">
        <v>84</v>
      </c>
      <c r="G347" s="23" t="s">
        <v>85</v>
      </c>
      <c r="H347" s="23" t="s">
        <v>1617</v>
      </c>
      <c r="I347" s="23" t="s">
        <v>1841</v>
      </c>
      <c r="J347" s="23" t="s">
        <v>1835</v>
      </c>
      <c r="L347" s="23" t="s">
        <v>1837</v>
      </c>
      <c r="M347" s="23" t="s">
        <v>1838</v>
      </c>
      <c r="N347" s="1" t="s">
        <v>1508</v>
      </c>
      <c r="P347" s="24" t="str">
        <f>テーブル1[[#This Row],[リンク]]&amp;テーブル1[[#This Row],[描画状況]]</f>
        <v>https://chunyinhui021.wixsite.com/mutyuusaisei</v>
      </c>
      <c r="Q347" s="17">
        <f>1-(COUNTIF(P:P,_xlfn.TEXTJOIN(",",TRUE,テーブル1[[#This Row],[リンク]],テーブル1[[#This Row],[描画状況]]))/COUNTIF(F:F,テーブル1[[#This Row],[リンク]]))</f>
        <v>0.33333333333333337</v>
      </c>
      <c r="R347" s="16">
        <f ca="1">IFERROR(IF(テーブル1[[#This Row],[描画状況]]="",RAND()+(テーブル1[[#This Row],[列2]]*100),""),RAND())</f>
        <v>34.267224195313645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|&amp;image(chunne-shiroku.png,width=100,height=100)</v>
      </c>
      <c r="V347" s="23" t="str">
        <f>"|MIDDLE:​"&amp;テーブル1[[#This Row],[名前]]</f>
        <v>|MIDDLE:​椿音屍緑</v>
      </c>
      <c r="W347" s="23" t="str">
        <f>"|MIDDLE:​"&amp;テーブル1[[#This Row],[なまえ]]</f>
        <v>|MIDDLE:​ちゅんね しろく</v>
      </c>
      <c r="X347" s="23" t="str">
        <f>"|MIDDLE:​"&amp;テーブル1[[#This Row],[Name]]</f>
        <v>|MIDDLE:​Chunne Shiroku</v>
      </c>
      <c r="Y347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48" s="24" t="s">
        <v>1050</v>
      </c>
      <c r="D348" s="23" t="s">
        <v>1050</v>
      </c>
      <c r="E348" s="23" t="s">
        <v>1051</v>
      </c>
      <c r="F348" s="15" t="s">
        <v>668</v>
      </c>
      <c r="G348" s="23" t="s">
        <v>669</v>
      </c>
      <c r="N348" s="1" t="s">
        <v>1507</v>
      </c>
      <c r="P348" s="24" t="str">
        <f>テーブル1[[#This Row],[リンク]]&amp;テーブル1[[#This Row],[描画状況]]</f>
        <v>https://flowerrocklove.wixsite.com/twilight-crisis</v>
      </c>
      <c r="Q348" s="17">
        <f>1-(COUNTIF(P:P,_xlfn.TEXTJOIN(",",TRUE,テーブル1[[#This Row],[リンク]],テーブル1[[#This Row],[描画状況]]))/COUNTIF(F:F,テーブル1[[#This Row],[リンク]]))</f>
        <v>0.22222222222222221</v>
      </c>
      <c r="R348" s="16">
        <f ca="1">IFERROR(IF(テーブル1[[#This Row],[描画状況]]="",RAND()+(テーブル1[[#This Row],[列2]]*100),""),RAND())</f>
        <v>22.835623811732212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|&amp;image(chorui.png,width=100,height=100)</v>
      </c>
      <c r="V348" s="23" t="str">
        <f>"|MIDDLE:​"&amp;テーブル1[[#This Row],[名前]]</f>
        <v>|MIDDLE:​ちょうるい</v>
      </c>
      <c r="W348" s="23" t="str">
        <f>"|MIDDLE:​"&amp;テーブル1[[#This Row],[なまえ]]</f>
        <v>|MIDDLE:​ちょうるい</v>
      </c>
      <c r="X348" s="23" t="str">
        <f>"|MIDDLE:​"&amp;テーブル1[[#This Row],[Name]]</f>
        <v>|MIDDLE:​Chorui</v>
      </c>
      <c r="Y348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49" s="24" t="s">
        <v>902</v>
      </c>
      <c r="D349" s="23" t="s">
        <v>904</v>
      </c>
      <c r="E349" s="23" t="s">
        <v>903</v>
      </c>
      <c r="F349" s="15" t="s">
        <v>901</v>
      </c>
      <c r="G349" s="23" t="s">
        <v>914</v>
      </c>
      <c r="P349" s="24" t="str">
        <f>テーブル1[[#This Row],[リンク]]&amp;テーブル1[[#This Row],[描画状況]]</f>
        <v>https://suukedayo.wixsite.com/shiawasefairu</v>
      </c>
      <c r="Q349" s="17">
        <f>1-(COUNTIF(P:P,_xlfn.TEXTJOIN(",",TRUE,テーブル1[[#This Row],[リンク]],テーブル1[[#This Row],[描画状況]]))/COUNTIF(F:F,テーブル1[[#This Row],[リンク]]))</f>
        <v>0</v>
      </c>
      <c r="R349" s="16">
        <f ca="1">IFERROR(IF(テーブル1[[#This Row],[描画状況]]="",RAND()+(テーブル1[[#This Row],[列2]]*100),""),RAND())</f>
        <v>0.91392265229698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|&amp;image(tsugunane-rui.png,width=100,height=100)</v>
      </c>
      <c r="V349" s="23" t="str">
        <f>"|MIDDLE:​"&amp;テーブル1[[#This Row],[名前]]</f>
        <v>|MIDDLE:​亞永音ルヰ</v>
      </c>
      <c r="W349" s="23" t="str">
        <f>"|MIDDLE:​"&amp;テーブル1[[#This Row],[なまえ]]</f>
        <v>|MIDDLE:​つぐなね るい</v>
      </c>
      <c r="X349" s="23" t="str">
        <f>"|MIDDLE:​"&amp;テーブル1[[#This Row],[Name]]</f>
        <v>|MIDDLE:​Tsugunane Rui</v>
      </c>
      <c r="Y349" s="23" t="str">
        <f>"|MIDDLE:​&amp;link(配布所はこちら){​"&amp;テーブル1[[#This Row],[リンク]]&amp;"}|"</f>
        <v>|MIDDLE:​&amp;link(配布所はこちら){​https://suukedayo.wixsite.com/shiawasefairu}|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50" s="24" t="s">
        <v>860</v>
      </c>
      <c r="D350" s="23" t="s">
        <v>862</v>
      </c>
      <c r="E350" s="23" t="s">
        <v>863</v>
      </c>
      <c r="F350" s="15" t="s">
        <v>861</v>
      </c>
      <c r="G350" s="23" t="s">
        <v>864</v>
      </c>
      <c r="P350" s="24" t="str">
        <f>テーブル1[[#This Row],[リンク]]&amp;テーブル1[[#This Row],[描画状況]]</f>
        <v>https://bowlroll.net/user/374679</v>
      </c>
      <c r="Q350" s="17">
        <f>1-(COUNTIF(P:P,_xlfn.TEXTJOIN(",",TRUE,テーブル1[[#This Row],[リンク]],テーブル1[[#This Row],[描画状況]]))/COUNTIF(F:F,テーブル1[[#This Row],[リンク]]))</f>
        <v>0</v>
      </c>
      <c r="R350" s="16">
        <f ca="1">IFERROR(IF(テーブル1[[#This Row],[描画状況]]="",RAND()+(テーブル1[[#This Row],[列2]]*100),""),RAND())</f>
        <v>0.26028481275352122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|&amp;image(tsumugine-yato.png,width=100,height=100)</v>
      </c>
      <c r="V350" s="23" t="str">
        <f>"|MIDDLE:​"&amp;テーブル1[[#This Row],[名前]]</f>
        <v>|MIDDLE:​紡音ヤト</v>
      </c>
      <c r="W350" s="23" t="str">
        <f>"|MIDDLE:​"&amp;テーブル1[[#This Row],[なまえ]]</f>
        <v>|MIDDLE:​つむぎね やと</v>
      </c>
      <c r="X350" s="23" t="str">
        <f>"|MIDDLE:​"&amp;テーブル1[[#This Row],[Name]]</f>
        <v>|MIDDLE:​Tsumugine Yato</v>
      </c>
      <c r="Y350" s="23" t="str">
        <f>"|MIDDLE:​&amp;link(配布所はこちら){​"&amp;テーブル1[[#This Row],[リンク]]&amp;"}|"</f>
        <v>|MIDDLE:​&amp;link(配布所はこちら){​https://bowlroll.net/user/374679}|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51" s="24" t="s">
        <v>1130</v>
      </c>
      <c r="D351" s="23" t="s">
        <v>1132</v>
      </c>
      <c r="E351" s="23" t="s">
        <v>1131</v>
      </c>
      <c r="F351" s="15" t="s">
        <v>1139</v>
      </c>
      <c r="G351" s="23" t="str">
        <f>テーブル1[[#This Row],[名前]]&amp;"(UTAU)"</f>
        <v>弦弓ゲン(UTAU)</v>
      </c>
      <c r="P351" s="24" t="str">
        <f>テーブル1[[#This Row],[リンク]]&amp;テーブル1[[#This Row],[描画状況]]</f>
        <v>https://yautau.wixsite.com/0909</v>
      </c>
      <c r="Q351" s="17">
        <f>1-(COUNTIF(P:P,_xlfn.TEXTJOIN(",",TRUE,テーブル1[[#This Row],[リンク]],テーブル1[[#This Row],[描画状況]]))/COUNTIF(F:F,テーブル1[[#This Row],[リンク]]))</f>
        <v>0.125</v>
      </c>
      <c r="R351" s="16">
        <f ca="1">IFERROR(IF(テーブル1[[#This Row],[描画状況]]="",RAND()+(テーブル1[[#This Row],[列2]]*100),""),RAND())</f>
        <v>12.947207376853163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|&amp;image(tsuruyumi-gen.png,width=100,height=100)</v>
      </c>
      <c r="V351" s="23" t="str">
        <f>"|MIDDLE:​"&amp;テーブル1[[#This Row],[名前]]</f>
        <v>|MIDDLE:​弦弓ゲン</v>
      </c>
      <c r="W351" s="23" t="str">
        <f>"|MIDDLE:​"&amp;テーブル1[[#This Row],[なまえ]]</f>
        <v>|MIDDLE:​つるゆみ げん</v>
      </c>
      <c r="X351" s="23" t="str">
        <f>"|MIDDLE:​"&amp;テーブル1[[#This Row],[Name]]</f>
        <v>|MIDDLE:​Tsuruyumi Gen</v>
      </c>
      <c r="Y351" s="23" t="str">
        <f>"|MIDDLE:​&amp;link(配布所はこちら){​"&amp;テーブル1[[#This Row],[リンク]]&amp;"}|"</f>
        <v>|MIDDLE:​&amp;link(配布所はこちら){​https://yautau.wixsite.com/0909}|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52" s="24" t="s">
        <v>1047</v>
      </c>
      <c r="D352" s="23" t="s">
        <v>1048</v>
      </c>
      <c r="E352" s="23" t="s">
        <v>1049</v>
      </c>
      <c r="F352" s="15" t="s">
        <v>668</v>
      </c>
      <c r="G352" s="23" t="s">
        <v>669</v>
      </c>
      <c r="N352" s="1" t="s">
        <v>1507</v>
      </c>
      <c r="P352" s="24" t="str">
        <f>テーブル1[[#This Row],[リンク]]&amp;テーブル1[[#This Row],[描画状況]]</f>
        <v>https://flowerrocklove.wixsite.com/twilight-crisis</v>
      </c>
      <c r="Q352" s="17">
        <f>1-(COUNTIF(P:P,_xlfn.TEXTJOIN(",",TRUE,テーブル1[[#This Row],[リンク]],テーブル1[[#This Row],[描画状況]]))/COUNTIF(F:F,テーブル1[[#This Row],[リンク]]))</f>
        <v>0.22222222222222221</v>
      </c>
      <c r="R352" s="16">
        <f ca="1">IFERROR(IF(テーブル1[[#This Row],[描画状況]]="",RAND()+(テーブル1[[#This Row],[列2]]*100),""),RAND())</f>
        <v>22.797627068127181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|&amp;image(toyteki-kazuichi.png,width=100,height=100)</v>
      </c>
      <c r="V352" s="23" t="str">
        <f>"|MIDDLE:​"&amp;テーブル1[[#This Row],[名前]]</f>
        <v>|MIDDLE:​問笛数一</v>
      </c>
      <c r="W352" s="23" t="str">
        <f>"|MIDDLE:​"&amp;テーブル1[[#This Row],[なまえ]]</f>
        <v>|MIDDLE:​といてき かずいち</v>
      </c>
      <c r="X352" s="23" t="str">
        <f>"|MIDDLE:​"&amp;テーブル1[[#This Row],[Name]]</f>
        <v>|MIDDLE:​Toyteki Kazuichi</v>
      </c>
      <c r="Y352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53" s="24" t="s">
        <v>894</v>
      </c>
      <c r="D353" s="23" t="s">
        <v>896</v>
      </c>
      <c r="E353" s="23" t="s">
        <v>895</v>
      </c>
      <c r="F353" s="23" t="s">
        <v>418</v>
      </c>
      <c r="G353" s="23" t="s">
        <v>897</v>
      </c>
      <c r="P353" s="24" t="str">
        <f>テーブル1[[#This Row],[リンク]]&amp;テーブル1[[#This Row],[描画状況]]</f>
        <v>-</v>
      </c>
      <c r="Q353" s="17">
        <f>1-(COUNTIF(P:P,_xlfn.TEXTJOIN(",",TRUE,テーブル1[[#This Row],[リンク]],テーブル1[[#This Row],[描画状況]]))/COUNTIF(F:F,テーブル1[[#This Row],[リンク]]))</f>
        <v>0.33333333333333337</v>
      </c>
      <c r="R353" s="16">
        <f ca="1">IFERROR(IF(テーブル1[[#This Row],[描画状況]]="",RAND()+(テーブル1[[#This Row],[列2]]*100),""),RAND())</f>
        <v>33.514829311283215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|&amp;image(togano-kozue.png,width=100,height=100)</v>
      </c>
      <c r="V353" s="23" t="str">
        <f>"|MIDDLE:​"&amp;テーブル1[[#This Row],[名前]]</f>
        <v>|MIDDLE:​戸叶こずえ</v>
      </c>
      <c r="W353" s="23" t="str">
        <f>"|MIDDLE:​"&amp;テーブル1[[#This Row],[なまえ]]</f>
        <v>|MIDDLE:​とがの こずえ</v>
      </c>
      <c r="X353" s="23" t="str">
        <f>"|MIDDLE:​"&amp;テーブル1[[#This Row],[Name]]</f>
        <v>|MIDDLE:​Togano Kozue</v>
      </c>
      <c r="Y353" s="23" t="str">
        <f>"|MIDDLE:​&amp;link(配布所はこちら){​"&amp;テーブル1[[#This Row],[リンク]]&amp;"}|"</f>
        <v>|MIDDLE:​&amp;link(配布所はこちら){​-}|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54" s="24" t="s">
        <v>857</v>
      </c>
      <c r="D354" s="23" t="s">
        <v>858</v>
      </c>
      <c r="E354" s="23" t="s">
        <v>859</v>
      </c>
      <c r="F354" s="15" t="s">
        <v>856</v>
      </c>
      <c r="G354" s="23" t="s">
        <v>864</v>
      </c>
      <c r="P354" s="24" t="str">
        <f>テーブル1[[#This Row],[リンク]]&amp;テーブル1[[#This Row],[描画状況]]</f>
        <v>https://bindumechan.wixsite.com/shigure222</v>
      </c>
      <c r="Q354" s="17">
        <f>1-(COUNTIF(P:P,_xlfn.TEXTJOIN(",",TRUE,テーブル1[[#This Row],[リンク]],テーブル1[[#This Row],[描画状況]]))/COUNTIF(F:F,テーブル1[[#This Row],[リンク]]))</f>
        <v>0</v>
      </c>
      <c r="R354" s="16">
        <f ca="1">IFERROR(IF(テーブル1[[#This Row],[描画状況]]="",RAND()+(テーブル1[[#This Row],[列2]]*100),""),RAND())</f>
        <v>0.96025109267335906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|&amp;image(tokina-shigure.png,width=100,height=100)</v>
      </c>
      <c r="V354" s="23" t="str">
        <f>"|MIDDLE:​"&amp;テーブル1[[#This Row],[名前]]</f>
        <v>|MIDDLE:​刻鳴時雨</v>
      </c>
      <c r="W354" s="23" t="str">
        <f>"|MIDDLE:​"&amp;テーブル1[[#This Row],[なまえ]]</f>
        <v>|MIDDLE:​ときな しぐれ</v>
      </c>
      <c r="X354" s="23" t="str">
        <f>"|MIDDLE:​"&amp;テーブル1[[#This Row],[Name]]</f>
        <v>|MIDDLE:​Tokina Shigure</v>
      </c>
      <c r="Y354" s="23" t="str">
        <f>"|MIDDLE:​&amp;link(配布所はこちら){​"&amp;テーブル1[[#This Row],[リンク]]&amp;"}|"</f>
        <v>|MIDDLE:​&amp;link(配布所はこちら){​https://bindumechan.wixsite.com/shigure222}|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55" s="24" t="s">
        <v>1002</v>
      </c>
      <c r="D355" s="23" t="s">
        <v>1006</v>
      </c>
      <c r="E355" s="23" t="s">
        <v>1007</v>
      </c>
      <c r="F355" s="2" t="s">
        <v>1783</v>
      </c>
      <c r="G355" s="23" t="s">
        <v>63</v>
      </c>
      <c r="H355" s="23" t="s">
        <v>1617</v>
      </c>
      <c r="I355" s="23" t="s">
        <v>1795</v>
      </c>
      <c r="L355" s="23" t="s">
        <v>1796</v>
      </c>
      <c r="N355" s="1" t="s">
        <v>1507</v>
      </c>
      <c r="P355" s="24" t="str">
        <f>テーブル1[[#This Row],[リンク]]&amp;テーブル1[[#This Row],[描画状況]]</f>
        <v>https://kinomihautaimas.wixsite.com/dongurihiroba</v>
      </c>
      <c r="Q355" s="17">
        <f>1-(COUNTIF(P:P,_xlfn.TEXTJOIN(",",TRUE,テーブル1[[#This Row],[リンク]],テーブル1[[#This Row],[描画状況]]))/COUNTIF(F:F,テーブル1[[#This Row],[リンク]]))</f>
        <v>0.6</v>
      </c>
      <c r="R355" s="16">
        <f ca="1">IFERROR(IF(テーブル1[[#This Row],[描画状況]]="",RAND()+(テーブル1[[#This Row],[列2]]*100),""),RAND())</f>
        <v>60.825838026114383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|&amp;image(tokima-souna.png,width=100,height=100)</v>
      </c>
      <c r="V355" s="23" t="str">
        <f>"|MIDDLE:​"&amp;テーブル1[[#This Row],[名前]]</f>
        <v>|MIDDLE:​時間そうな</v>
      </c>
      <c r="W355" s="23" t="str">
        <f>"|MIDDLE:​"&amp;テーブル1[[#This Row],[なまえ]]</f>
        <v>|MIDDLE:​ときま そうな</v>
      </c>
      <c r="X355" s="23" t="str">
        <f>"|MIDDLE:​"&amp;テーブル1[[#This Row],[Name]]</f>
        <v>|MIDDLE:​Tokima Souna</v>
      </c>
      <c r="Y355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56" s="24" t="s">
        <v>795</v>
      </c>
      <c r="D356" s="23" t="s">
        <v>796</v>
      </c>
      <c r="E356" s="23" t="s">
        <v>797</v>
      </c>
      <c r="F356" s="15" t="s">
        <v>775</v>
      </c>
      <c r="G356" s="23" t="str">
        <f>テーブル1[[#This Row],[名前]]&amp;"(UTAU)"</f>
        <v>ドルシェ(UTAU)</v>
      </c>
      <c r="N356" s="1" t="s">
        <v>1507</v>
      </c>
      <c r="P356" s="24" t="str">
        <f>テーブル1[[#This Row],[リンク]]&amp;テーブル1[[#This Row],[描画状況]]</f>
        <v>https://cmamizki.wixsite.com/edelstein</v>
      </c>
      <c r="Q356" s="17">
        <f>1-(COUNTIF(P:P,_xlfn.TEXTJOIN(",",TRUE,テーブル1[[#This Row],[リンク]],テーブル1[[#This Row],[描画状況]]))/COUNTIF(F:F,テーブル1[[#This Row],[リンク]]))</f>
        <v>9.0909090909090939E-2</v>
      </c>
      <c r="R356" s="16">
        <f ca="1">IFERROR(IF(テーブル1[[#This Row],[描画状況]]="",RAND()+(テーブル1[[#This Row],[列2]]*100),""),RAND())</f>
        <v>9.717454274855525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|&amp;image(dollce.png,width=100,height=100)</v>
      </c>
      <c r="V356" s="23" t="str">
        <f>"|MIDDLE:​"&amp;テーブル1[[#This Row],[名前]]</f>
        <v>|MIDDLE:​ドルシェ</v>
      </c>
      <c r="W356" s="23" t="str">
        <f>"|MIDDLE:​"&amp;テーブル1[[#This Row],[なまえ]]</f>
        <v>|MIDDLE:​どるしぇ</v>
      </c>
      <c r="X356" s="23" t="str">
        <f>"|MIDDLE:​"&amp;テーブル1[[#This Row],[Name]]</f>
        <v>|MIDDLE:​Dollce</v>
      </c>
      <c r="Y356" s="23" t="str">
        <f>"|MIDDLE:​&amp;link(配布所はこちら){​"&amp;テーブル1[[#This Row],[リンク]]&amp;"}|"</f>
        <v>|MIDDLE:​&amp;link(配布所はこちら){​https://cmamizki.wixsite.com/edelstein}|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57" s="24" t="s">
        <v>1191</v>
      </c>
      <c r="D357" s="23" t="s">
        <v>1192</v>
      </c>
      <c r="E357" s="23" t="s">
        <v>1193</v>
      </c>
      <c r="F357" s="15" t="s">
        <v>681</v>
      </c>
      <c r="G357" s="23" t="str">
        <f>テーブル1[[#This Row],[名前]]&amp;"(UTAU)"</f>
        <v>トロネ(UTAU)</v>
      </c>
      <c r="P357" s="24" t="str">
        <f>テーブル1[[#This Row],[リンク]]&amp;テーブル1[[#This Row],[描画状況]]</f>
        <v>https://okome32500.wixsite.com/onekomochi</v>
      </c>
      <c r="Q357" s="17">
        <f>1-(COUNTIF(P:P,_xlfn.TEXTJOIN(",",TRUE,テーブル1[[#This Row],[リンク]],テーブル1[[#This Row],[描画状況]]))/COUNTIF(F:F,テーブル1[[#This Row],[リンク]]))</f>
        <v>0.33333333333333337</v>
      </c>
      <c r="R357" s="16">
        <f ca="1">IFERROR(IF(テーブル1[[#This Row],[描画状況]]="",RAND()+(テーブル1[[#This Row],[列2]]*100),""),RAND())</f>
        <v>33.879397940241262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|&amp;image(torone.png,width=100,height=100)</v>
      </c>
      <c r="V357" s="23" t="str">
        <f>"|MIDDLE:​"&amp;テーブル1[[#This Row],[名前]]</f>
        <v>|MIDDLE:​トロネ</v>
      </c>
      <c r="W357" s="23" t="str">
        <f>"|MIDDLE:​"&amp;テーブル1[[#This Row],[なまえ]]</f>
        <v>|MIDDLE:​とろね</v>
      </c>
      <c r="X357" s="23" t="str">
        <f>"|MIDDLE:​"&amp;テーブル1[[#This Row],[Name]]</f>
        <v>|MIDDLE:​Torone</v>
      </c>
      <c r="Y357" s="23" t="str">
        <f>"|MIDDLE:​&amp;link(配布所はこちら){​"&amp;テーブル1[[#This Row],[リンク]]&amp;"}|"</f>
        <v>|MIDDLE:​&amp;link(配布所はこちら){​https://okome32500.wixsite.com/onekomochi}|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58" s="24" t="s">
        <v>1207</v>
      </c>
      <c r="D358" s="23" t="s">
        <v>1226</v>
      </c>
      <c r="E358" s="23" t="s">
        <v>1225</v>
      </c>
      <c r="F358" s="15" t="s">
        <v>336</v>
      </c>
      <c r="G358" s="23" t="s">
        <v>337</v>
      </c>
      <c r="P358" s="24" t="str">
        <f>テーブル1[[#This Row],[リンク]]&amp;テーブル1[[#This Row],[描画状況]]</f>
        <v>https://torinosu-hikikomori.jimdofree.com</v>
      </c>
      <c r="Q358" s="17">
        <f>1-(COUNTIF(P:P,_xlfn.TEXTJOIN(",",TRUE,テーブル1[[#This Row],[リンク]],テーブル1[[#This Row],[描画状況]]))/COUNTIF(F:F,テーブル1[[#This Row],[リンク]]))</f>
        <v>0.125</v>
      </c>
      <c r="R358" s="16">
        <f ca="1">IFERROR(IF(テーブル1[[#This Row],[描画状況]]="",RAND()+(テーブル1[[#This Row],[列2]]*100),""),RAND())</f>
        <v>12.904007678994907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|&amp;image(nasora-angle.png,width=100,height=100)</v>
      </c>
      <c r="V358" s="23" t="str">
        <f>"|MIDDLE:​"&amp;テーブル1[[#This Row],[名前]]</f>
        <v>|MIDDLE:​ナソラ・アングル</v>
      </c>
      <c r="W358" s="23" t="str">
        <f>"|MIDDLE:​"&amp;テーブル1[[#This Row],[なまえ]]</f>
        <v>|MIDDLE:​なそら あんぐる</v>
      </c>
      <c r="X358" s="23" t="str">
        <f>"|MIDDLE:​"&amp;テーブル1[[#This Row],[Name]]</f>
        <v>|MIDDLE:​Nasora Angle</v>
      </c>
      <c r="Y358" s="23" t="str">
        <f>"|MIDDLE:​&amp;link(配布所はこちら){​"&amp;テーブル1[[#This Row],[リンク]]&amp;"}|"</f>
        <v>|MIDDLE:​&amp;link(配布所はこちら){​https://torinosu-hikikomori.jimdofree.com}|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59" s="24" t="s">
        <v>816</v>
      </c>
      <c r="D359" s="23" t="s">
        <v>818</v>
      </c>
      <c r="E359" s="23" t="s">
        <v>817</v>
      </c>
      <c r="F359" s="2" t="s">
        <v>811</v>
      </c>
      <c r="G359" s="23" t="s">
        <v>812</v>
      </c>
      <c r="P359" s="24" t="str">
        <f>テーブル1[[#This Row],[リンク]]&amp;テーブル1[[#This Row],[描画状況]]</f>
        <v>https://makurakue.wixsite.com/kemononokemono</v>
      </c>
      <c r="Q359" s="17">
        <f>1-(COUNTIF(P:P,_xlfn.TEXTJOIN(",",TRUE,テーブル1[[#This Row],[リンク]],テーブル1[[#This Row],[描画状況]]))/COUNTIF(F:F,テーブル1[[#This Row],[リンク]]))</f>
        <v>0.4</v>
      </c>
      <c r="R359" s="16">
        <f ca="1">IFERROR(IF(テーブル1[[#This Row],[描画状況]]="",RAND()+(テーブル1[[#This Row],[列2]]*100),""),RAND())</f>
        <v>40.900626537803063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|&amp;image(natsuki-ama.png,width=100,height=100)</v>
      </c>
      <c r="V359" s="23" t="str">
        <f>"|MIDDLE:​"&amp;テーブル1[[#This Row],[名前]]</f>
        <v>|MIDDLE:​鳴月アマ</v>
      </c>
      <c r="W359" s="23" t="str">
        <f>"|MIDDLE:​"&amp;テーブル1[[#This Row],[なまえ]]</f>
        <v>|MIDDLE:​なつき あま</v>
      </c>
      <c r="X359" s="23" t="str">
        <f>"|MIDDLE:​"&amp;テーブル1[[#This Row],[Name]]</f>
        <v>|MIDDLE:​Natsuki Ama</v>
      </c>
      <c r="Y359" s="23" t="str">
        <f>"|MIDDLE:​&amp;link(配布所はこちら){​"&amp;テーブル1[[#This Row],[リンク]]&amp;"}|"</f>
        <v>|MIDDLE:​&amp;link(配布所はこちら){​https://makurakue.wixsite.com/kemononokemono}|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60" s="24" t="s">
        <v>1107</v>
      </c>
      <c r="D360" s="23" t="s">
        <v>1108</v>
      </c>
      <c r="E360" s="23" t="s">
        <v>1109</v>
      </c>
      <c r="F360" s="15" t="s">
        <v>1100</v>
      </c>
      <c r="G360" s="23" t="str">
        <f>テーブル1[[#This Row],[名前]]&amp;"(UTAU)"</f>
        <v>夏霜(UTAU)</v>
      </c>
      <c r="P360" s="24" t="str">
        <f>テーブル1[[#This Row],[リンク]]&amp;テーブル1[[#This Row],[描画状況]]</f>
        <v>https://harujpg.wixsite.com/sanshoku</v>
      </c>
      <c r="Q360" s="17">
        <f>1-(COUNTIF(P:P,_xlfn.TEXTJOIN(",",TRUE,テーブル1[[#This Row],[リンク]],テーブル1[[#This Row],[描画状況]]))/COUNTIF(F:F,テーブル1[[#This Row],[リンク]]))</f>
        <v>0</v>
      </c>
      <c r="R360" s="16">
        <f ca="1">IFERROR(IF(テーブル1[[#This Row],[描画状況]]="",RAND()+(テーブル1[[#This Row],[列2]]*100),""),RAND())</f>
        <v>0.7277089830836172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|&amp;image(natsushimo.png,width=100,height=100)</v>
      </c>
      <c r="V360" s="23" t="str">
        <f>"|MIDDLE:​"&amp;テーブル1[[#This Row],[名前]]</f>
        <v>|MIDDLE:​夏霜</v>
      </c>
      <c r="W360" s="23" t="str">
        <f>"|MIDDLE:​"&amp;テーブル1[[#This Row],[なまえ]]</f>
        <v>|MIDDLE:​なつしも</v>
      </c>
      <c r="X360" s="23" t="str">
        <f>"|MIDDLE:​"&amp;テーブル1[[#This Row],[Name]]</f>
        <v>|MIDDLE:​Natsushimo</v>
      </c>
      <c r="Y360" s="23" t="str">
        <f>"|MIDDLE:​&amp;link(配布所はこちら){​"&amp;テーブル1[[#This Row],[リンク]]&amp;"}|"</f>
        <v>|MIDDLE:​&amp;link(配布所はこちら){​https://harujpg.wixsite.com/sanshoku}|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61" s="24" t="s">
        <v>1444</v>
      </c>
      <c r="D361" s="23" t="s">
        <v>1444</v>
      </c>
      <c r="E361" s="23" t="s">
        <v>1445</v>
      </c>
      <c r="F361" s="15" t="s">
        <v>1437</v>
      </c>
      <c r="G361" s="23" t="s">
        <v>1438</v>
      </c>
      <c r="P361" s="24" t="str">
        <f>テーブル1[[#This Row],[リンク]]&amp;テーブル1[[#This Row],[描画状況]]</f>
        <v>https://bowlroll.net/user/992955</v>
      </c>
      <c r="Q361" s="17">
        <f>1-(COUNTIF(P:P,_xlfn.TEXTJOIN(",",TRUE,テーブル1[[#This Row],[リンク]],テーブル1[[#This Row],[描画状況]]))/COUNTIF(F:F,テーブル1[[#This Row],[リンク]]))</f>
        <v>0</v>
      </c>
      <c r="R361" s="16">
        <f ca="1">IFERROR(IF(テーブル1[[#This Row],[描画状況]]="",RAND()+(テーブル1[[#This Row],[列2]]*100),""),RAND())</f>
        <v>0.25179257057287419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|&amp;image(natsudoke.png,width=100,height=100)</v>
      </c>
      <c r="V361" s="23" t="str">
        <f>"|MIDDLE:​"&amp;テーブル1[[#This Row],[名前]]</f>
        <v>|MIDDLE:​なつどけ</v>
      </c>
      <c r="W361" s="23" t="str">
        <f>"|MIDDLE:​"&amp;テーブル1[[#This Row],[なまえ]]</f>
        <v>|MIDDLE:​なつどけ</v>
      </c>
      <c r="X361" s="23" t="str">
        <f>"|MIDDLE:​"&amp;テーブル1[[#This Row],[Name]]</f>
        <v>|MIDDLE:​Natsudoke</v>
      </c>
      <c r="Y361" s="23" t="str">
        <f>"|MIDDLE:​&amp;link(配布所はこちら){​"&amp;テーブル1[[#This Row],[リンク]]&amp;"}|"</f>
        <v>|MIDDLE:​&amp;link(配布所はこちら){​https://bowlroll.net/user/992955}|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62" s="24" t="s">
        <v>1373</v>
      </c>
      <c r="D362" s="23" t="s">
        <v>1375</v>
      </c>
      <c r="E362" s="23" t="s">
        <v>1374</v>
      </c>
      <c r="F362" s="2" t="s">
        <v>1353</v>
      </c>
      <c r="G362" s="23" t="s">
        <v>1354</v>
      </c>
      <c r="P362" s="24" t="str">
        <f>テーブル1[[#This Row],[リンク]]&amp;テーブル1[[#This Row],[描画状況]]</f>
        <v>https://maybeanglo0mochi.wixsite.com/mochiyanosouko</v>
      </c>
      <c r="Q362" s="17">
        <f>1-(COUNTIF(P:P,_xlfn.TEXTJOIN(",",TRUE,テーブル1[[#This Row],[リンク]],テーブル1[[#This Row],[描画状況]]))/COUNTIF(F:F,テーブル1[[#This Row],[リンク]]))</f>
        <v>0.125</v>
      </c>
      <c r="R362" s="16">
        <f ca="1">IFERROR(IF(テーブル1[[#This Row],[描画状況]]="",RAND()+(テーブル1[[#This Row],[列2]]*100),""),RAND())</f>
        <v>12.672665638834061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|&amp;image(nanakiri-louis.png,width=100,height=100)</v>
      </c>
      <c r="V362" s="23" t="str">
        <f>"|MIDDLE:​"&amp;テーブル1[[#This Row],[名前]]</f>
        <v>|MIDDLE:​七霧ルイ</v>
      </c>
      <c r="W362" s="23" t="str">
        <f>"|MIDDLE:​"&amp;テーブル1[[#This Row],[なまえ]]</f>
        <v>|MIDDLE:​ななきり るい</v>
      </c>
      <c r="X362" s="23" t="str">
        <f>"|MIDDLE:​"&amp;テーブル1[[#This Row],[Name]]</f>
        <v>|MIDDLE:​Nanakiri Louis</v>
      </c>
      <c r="Y36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63" s="24" t="s">
        <v>994</v>
      </c>
      <c r="D363" s="23" t="s">
        <v>995</v>
      </c>
      <c r="E363" s="23" t="s">
        <v>996</v>
      </c>
      <c r="F363" s="2" t="s">
        <v>569</v>
      </c>
      <c r="G363" s="23" t="s">
        <v>570</v>
      </c>
      <c r="N363" s="1" t="s">
        <v>1507</v>
      </c>
      <c r="P363" s="24" t="str">
        <f>テーブル1[[#This Row],[リンク]]&amp;テーブル1[[#This Row],[描画状況]]</f>
        <v>https://askdance.wixsite.com/monitor-room/monitor-room</v>
      </c>
      <c r="Q363" s="17">
        <f>1-(COUNTIF(P:P,_xlfn.TEXTJOIN(",",TRUE,テーブル1[[#This Row],[リンク]],テーブル1[[#This Row],[描画状況]]))/COUNTIF(F:F,テーブル1[[#This Row],[リンク]]))</f>
        <v>9.9999999999999978E-2</v>
      </c>
      <c r="R363" s="16">
        <f ca="1">IFERROR(IF(テーブル1[[#This Row],[描画状況]]="",RAND()+(テーブル1[[#This Row],[列2]]*100),""),RAND())</f>
        <v>10.609756041034746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|&amp;image(namitsu-baku.png,width=100,height=100)</v>
      </c>
      <c r="V363" s="23" t="str">
        <f>"|MIDDLE:​"&amp;テーブル1[[#This Row],[名前]]</f>
        <v>|MIDDLE:​波津獏</v>
      </c>
      <c r="W363" s="23" t="str">
        <f>"|MIDDLE:​"&amp;テーブル1[[#This Row],[なまえ]]</f>
        <v>|MIDDLE:​なみつ ばく</v>
      </c>
      <c r="X363" s="23" t="str">
        <f>"|MIDDLE:​"&amp;テーブル1[[#This Row],[Name]]</f>
        <v>|MIDDLE:​Namitsu Baku</v>
      </c>
      <c r="Y363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64" s="24" t="s">
        <v>1286</v>
      </c>
      <c r="D364" s="23" t="s">
        <v>1287</v>
      </c>
      <c r="E364" s="23" t="s">
        <v>1288</v>
      </c>
      <c r="F364" s="15" t="s">
        <v>1289</v>
      </c>
      <c r="G364" s="23" t="s">
        <v>1290</v>
      </c>
      <c r="P364" s="24" t="str">
        <f>テーブル1[[#This Row],[リンク]]&amp;テーブル1[[#This Row],[描画状況]]</f>
        <v>https://gardanana.neocities.org</v>
      </c>
      <c r="Q364" s="17">
        <f>1-(COUNTIF(P:P,_xlfn.TEXTJOIN(",",TRUE,テーブル1[[#This Row],[リンク]],テーブル1[[#This Row],[描画状況]]))/COUNTIF(F:F,テーブル1[[#This Row],[リンク]]))</f>
        <v>0</v>
      </c>
      <c r="R364" s="16">
        <f ca="1">IFERROR(IF(テーブル1[[#This Row],[描画状況]]="",RAND()+(テーブル1[[#This Row],[列2]]*100),""),RAND())</f>
        <v>5.1567261757817118E-2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|&amp;image(nishiren-gard.png,width=100,height=100)</v>
      </c>
      <c r="V364" s="23" t="str">
        <f>"|MIDDLE:​"&amp;テーブル1[[#This Row],[名前]]</f>
        <v>|MIDDLE:​西蓮ガルド</v>
      </c>
      <c r="W364" s="23" t="str">
        <f>"|MIDDLE:​"&amp;テーブル1[[#This Row],[なまえ]]</f>
        <v>|MIDDLE:​にしれん がるど</v>
      </c>
      <c r="X364" s="23" t="str">
        <f>"|MIDDLE:​"&amp;テーブル1[[#This Row],[Name]]</f>
        <v>|MIDDLE:​Nishiren Gard</v>
      </c>
      <c r="Y364" s="23" t="str">
        <f>"|MIDDLE:​&amp;link(配布所はこちら){​"&amp;テーブル1[[#This Row],[リンク]]&amp;"}|"</f>
        <v>|MIDDLE:​&amp;link(配布所はこちら){​https://gardanana.neocities.org}|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65" s="24" t="s">
        <v>1361</v>
      </c>
      <c r="D365" s="23" t="s">
        <v>1363</v>
      </c>
      <c r="E365" s="23" t="s">
        <v>1362</v>
      </c>
      <c r="F365" s="2" t="s">
        <v>1353</v>
      </c>
      <c r="G365" s="23" t="s">
        <v>1354</v>
      </c>
      <c r="P365" s="24" t="str">
        <f>テーブル1[[#This Row],[リンク]]&amp;テーブル1[[#This Row],[描画状況]]</f>
        <v>https://maybeanglo0mochi.wixsite.com/mochiyanosouko</v>
      </c>
      <c r="Q365" s="17">
        <f>1-(COUNTIF(P:P,_xlfn.TEXTJOIN(",",TRUE,テーブル1[[#This Row],[リンク]],テーブル1[[#This Row],[描画状況]]))/COUNTIF(F:F,テーブル1[[#This Row],[リンク]]))</f>
        <v>0.125</v>
      </c>
      <c r="R365" s="16">
        <f ca="1">IFERROR(IF(テーブル1[[#This Row],[描画状況]]="",RAND()+(テーブル1[[#This Row],[列2]]*100),""),RAND())</f>
        <v>13.334906181859433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|&amp;image(ninomae-madoka.png,width=100,height=100)</v>
      </c>
      <c r="V365" s="23" t="str">
        <f>"|MIDDLE:​"&amp;テーブル1[[#This Row],[名前]]</f>
        <v>|MIDDLE:​一円</v>
      </c>
      <c r="W365" s="23" t="str">
        <f>"|MIDDLE:​"&amp;テーブル1[[#This Row],[なまえ]]</f>
        <v>|MIDDLE:​にのまえ まどか</v>
      </c>
      <c r="X365" s="23" t="str">
        <f>"|MIDDLE:​"&amp;テーブル1[[#This Row],[Name]]</f>
        <v>|MIDDLE:​Ninomae Madoka</v>
      </c>
      <c r="Y36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66" s="24" t="s">
        <v>619</v>
      </c>
      <c r="D366" s="23" t="s">
        <v>620</v>
      </c>
      <c r="E366" s="23" t="s">
        <v>621</v>
      </c>
      <c r="F366" s="2" t="s">
        <v>107</v>
      </c>
      <c r="G366" s="23" t="s">
        <v>622</v>
      </c>
      <c r="H366" s="23" t="s">
        <v>1616</v>
      </c>
      <c r="I366" s="23" t="s">
        <v>1626</v>
      </c>
      <c r="K366" s="23" t="s">
        <v>1778</v>
      </c>
      <c r="M366" s="23" t="s">
        <v>1813</v>
      </c>
      <c r="N366" s="1" t="s">
        <v>1507</v>
      </c>
      <c r="P366" s="24" t="str">
        <f>テーブル1[[#This Row],[リンク]]&amp;テーブル1[[#This Row],[描画状況]]</f>
        <v>https://hznonoka.wixsite.com/utau</v>
      </c>
      <c r="Q366" s="17">
        <f>1-(COUNTIF(P:P,_xlfn.TEXTJOIN(",",TRUE,テーブル1[[#This Row],[リンク]],テーブル1[[#This Row],[描画状況]]))/COUNTIF(F:F,テーブル1[[#This Row],[リンク]]))</f>
        <v>0.33333333333333337</v>
      </c>
      <c r="R366" s="16">
        <f ca="1">IFERROR(IF(テーブル1[[#This Row],[描画状況]]="",RAND()+(テーブル1[[#This Row],[列2]]*100),""),RAND())</f>
        <v>34.167314818079802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|&amp;image(nono-nonon.png,width=100,height=100)</v>
      </c>
      <c r="V366" s="23" t="str">
        <f>"|MIDDLE:​"&amp;テーブル1[[#This Row],[名前]]</f>
        <v>|MIDDLE:​音暖ののん</v>
      </c>
      <c r="W366" s="23" t="str">
        <f>"|MIDDLE:​"&amp;テーブル1[[#This Row],[なまえ]]</f>
        <v>|MIDDLE:​のの ののん</v>
      </c>
      <c r="X366" s="23" t="str">
        <f>"|MIDDLE:​"&amp;テーブル1[[#This Row],[Name]]</f>
        <v>|MIDDLE:​Nono Nonon</v>
      </c>
      <c r="Y366" s="23" t="str">
        <f>"|MIDDLE:​&amp;link(配布所はこちら){​"&amp;テーブル1[[#This Row],[リンク]]&amp;"}|"</f>
        <v>|MIDDLE:​&amp;link(配布所はこちら){​https://hznonoka.wixsite.com/utau}|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367" s="24" t="s">
        <v>1264</v>
      </c>
      <c r="D367" s="23" t="s">
        <v>1266</v>
      </c>
      <c r="E367" s="23" t="s">
        <v>1265</v>
      </c>
      <c r="F367" s="15" t="s">
        <v>174</v>
      </c>
      <c r="G367" s="24" t="s">
        <v>1281</v>
      </c>
      <c r="H367" s="24"/>
      <c r="I367" s="24"/>
      <c r="J367" s="24"/>
      <c r="K367" s="24"/>
      <c r="L367" s="24"/>
      <c r="M367" s="24"/>
      <c r="P367" s="24" t="str">
        <f>テーブル1[[#This Row],[リンク]]&amp;テーブル1[[#This Row],[描画状況]]</f>
        <v>https://lenskkpb.wixsite.com/len-sakaki-official</v>
      </c>
      <c r="Q367" s="17">
        <f>1-(COUNTIF(P:P,_xlfn.TEXTJOIN(",",TRUE,テーブル1[[#This Row],[リンク]],テーブル1[[#This Row],[描画状況]]))/COUNTIF(F:F,テーブル1[[#This Row],[リンク]]))</f>
        <v>0.125</v>
      </c>
      <c r="R367" s="16">
        <f ca="1">IFERROR(IF(テーブル1[[#This Row],[描画状況]]="",RAND()+(テーブル1[[#This Row],[列2]]*100),""),RAND())</f>
        <v>13.021808260242242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|&amp;image(haizaki-sho.png,width=100,height=100)</v>
      </c>
      <c r="V367" s="23" t="str">
        <f>"|MIDDLE:​"&amp;テーブル1[[#This Row],[名前]]</f>
        <v>|MIDDLE:​灰崎囁</v>
      </c>
      <c r="W367" s="23" t="str">
        <f>"|MIDDLE:​"&amp;テーブル1[[#This Row],[なまえ]]</f>
        <v>|MIDDLE:​はいざき しょう</v>
      </c>
      <c r="X367" s="23" t="str">
        <f>"|MIDDLE:​"&amp;テーブル1[[#This Row],[Name]]</f>
        <v>|MIDDLE:​Haizaki Sho</v>
      </c>
      <c r="Y36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368" s="24" t="s">
        <v>1270</v>
      </c>
      <c r="D368" s="23" t="s">
        <v>1272</v>
      </c>
      <c r="E368" s="23" t="s">
        <v>1271</v>
      </c>
      <c r="F368" s="15" t="s">
        <v>174</v>
      </c>
      <c r="G368" s="24" t="s">
        <v>1283</v>
      </c>
      <c r="H368" s="24"/>
      <c r="I368" s="24"/>
      <c r="J368" s="24"/>
      <c r="K368" s="24"/>
      <c r="L368" s="24"/>
      <c r="M368" s="24"/>
      <c r="P368" s="24" t="str">
        <f>テーブル1[[#This Row],[リンク]]&amp;テーブル1[[#This Row],[描画状況]]</f>
        <v>https://lenskkpb.wixsite.com/len-sakaki-official</v>
      </c>
      <c r="Q368" s="17">
        <f>1-(COUNTIF(P:P,_xlfn.TEXTJOIN(",",TRUE,テーブル1[[#This Row],[リンク]],テーブル1[[#This Row],[描画状況]]))/COUNTIF(F:F,テーブル1[[#This Row],[リンク]]))</f>
        <v>0.125</v>
      </c>
      <c r="R368" s="16">
        <f ca="1">IFERROR(IF(テーブル1[[#This Row],[描画状況]]="",RAND()+(テーブル1[[#This Row],[列2]]*100),""),RAND())</f>
        <v>13.046159637013428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|&amp;image(hakuchumu.png,width=100,height=100)</v>
      </c>
      <c r="V368" s="23" t="str">
        <f>"|MIDDLE:​"&amp;テーブル1[[#This Row],[名前]]</f>
        <v>|MIDDLE:​白躊夢</v>
      </c>
      <c r="W368" s="23" t="str">
        <f>"|MIDDLE:​"&amp;テーブル1[[#This Row],[なまえ]]</f>
        <v>|MIDDLE:​はくちゅうむ</v>
      </c>
      <c r="X368" s="23" t="str">
        <f>"|MIDDLE:​"&amp;テーブル1[[#This Row],[Name]]</f>
        <v>|MIDDLE:​Hakuchumu</v>
      </c>
      <c r="Y36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69" s="24" t="s">
        <v>1018</v>
      </c>
      <c r="D369" s="23" t="s">
        <v>1019</v>
      </c>
      <c r="E369" s="23" t="s">
        <v>1020</v>
      </c>
      <c r="F369" s="27" t="s">
        <v>84</v>
      </c>
      <c r="G369" s="23" t="s">
        <v>85</v>
      </c>
      <c r="H369" s="23" t="s">
        <v>1616</v>
      </c>
      <c r="I369" s="23" t="s">
        <v>1829</v>
      </c>
      <c r="J369" s="23" t="s">
        <v>1839</v>
      </c>
      <c r="K369" s="23" t="s">
        <v>1840</v>
      </c>
      <c r="L369" s="23" t="s">
        <v>1627</v>
      </c>
      <c r="N369" s="1" t="s">
        <v>1508</v>
      </c>
      <c r="P369" s="24" t="str">
        <f>テーブル1[[#This Row],[リンク]]&amp;テーブル1[[#This Row],[描画状況]]</f>
        <v>https://chunyinhui021.wixsite.com/mutyuusaisei</v>
      </c>
      <c r="Q369" s="17">
        <f>1-(COUNTIF(P:P,_xlfn.TEXTJOIN(",",TRUE,テーブル1[[#This Row],[リンク]],テーブル1[[#This Row],[描画状況]]))/COUNTIF(F:F,テーブル1[[#This Row],[リンク]]))</f>
        <v>0.33333333333333337</v>
      </c>
      <c r="R369" s="16">
        <f ca="1">IFERROR(IF(テーブル1[[#This Row],[描画状況]]="",RAND()+(テーブル1[[#This Row],[列2]]*100),""),RAND())</f>
        <v>33.558478967092213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|&amp;image(hakuma.png,width=100,height=100)</v>
      </c>
      <c r="V369" s="23" t="str">
        <f>"|MIDDLE:​"&amp;テーブル1[[#This Row],[名前]]</f>
        <v>|MIDDLE:​白魔</v>
      </c>
      <c r="W369" s="23" t="str">
        <f>"|MIDDLE:​"&amp;テーブル1[[#This Row],[なまえ]]</f>
        <v>|MIDDLE:​はくま</v>
      </c>
      <c r="X369" s="23" t="str">
        <f>"|MIDDLE:​"&amp;テーブル1[[#This Row],[Name]]</f>
        <v>|MIDDLE:​Hakuma</v>
      </c>
      <c r="Y369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70" s="24" t="s">
        <v>1054</v>
      </c>
      <c r="D370" s="23" t="s">
        <v>1054</v>
      </c>
      <c r="E370" s="23" t="s">
        <v>1055</v>
      </c>
      <c r="F370" s="15" t="s">
        <v>668</v>
      </c>
      <c r="G370" s="23" t="s">
        <v>669</v>
      </c>
      <c r="N370" s="1" t="s">
        <v>1507</v>
      </c>
      <c r="P370" s="24" t="str">
        <f>テーブル1[[#This Row],[リンク]]&amp;テーブル1[[#This Row],[描画状況]]</f>
        <v>https://flowerrocklove.wixsite.com/twilight-crisis</v>
      </c>
      <c r="Q370" s="17">
        <f>1-(COUNTIF(P:P,_xlfn.TEXTJOIN(",",TRUE,テーブル1[[#This Row],[リンク]],テーブル1[[#This Row],[描画状況]]))/COUNTIF(F:F,テーブル1[[#This Row],[リンク]]))</f>
        <v>0.22222222222222221</v>
      </c>
      <c r="R370" s="16">
        <f ca="1">IFERROR(IF(テーブル1[[#This Row],[描画状況]]="",RAND()+(テーブル1[[#This Row],[列2]]*100),""),RAND())</f>
        <v>22.274958445279886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|&amp;image(hachurui.png,width=100,height=100)</v>
      </c>
      <c r="V370" s="23" t="str">
        <f>"|MIDDLE:​"&amp;テーブル1[[#This Row],[名前]]</f>
        <v>|MIDDLE:​はちゅうるい</v>
      </c>
      <c r="W370" s="23" t="str">
        <f>"|MIDDLE:​"&amp;テーブル1[[#This Row],[なまえ]]</f>
        <v>|MIDDLE:​はちゅうるい</v>
      </c>
      <c r="X370" s="23" t="str">
        <f>"|MIDDLE:​"&amp;テーブル1[[#This Row],[Name]]</f>
        <v>|MIDDLE:​Hachurui</v>
      </c>
      <c r="Y37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71" s="24" t="s">
        <v>1364</v>
      </c>
      <c r="D371" s="23" t="s">
        <v>1366</v>
      </c>
      <c r="E371" s="23" t="s">
        <v>1365</v>
      </c>
      <c r="F371" s="2" t="s">
        <v>1353</v>
      </c>
      <c r="G371" s="23" t="s">
        <v>1354</v>
      </c>
      <c r="P371" s="24" t="str">
        <f>テーブル1[[#This Row],[リンク]]&amp;テーブル1[[#This Row],[描画状況]]</f>
        <v>https://maybeanglo0mochi.wixsite.com/mochiyanosouko</v>
      </c>
      <c r="Q371" s="17">
        <f>1-(COUNTIF(P:P,_xlfn.TEXTJOIN(",",TRUE,テーブル1[[#This Row],[リンク]],テーブル1[[#This Row],[描画状況]]))/COUNTIF(F:F,テーブル1[[#This Row],[リンク]]))</f>
        <v>0.125</v>
      </c>
      <c r="R371" s="16">
        <f ca="1">IFERROR(IF(テーブル1[[#This Row],[描画状況]]="",RAND()+(テーブル1[[#This Row],[列2]]*100),""),RAND())</f>
        <v>12.98136739302918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|&amp;image(hazuki-iori.png,width=100,height=100)</v>
      </c>
      <c r="V371" s="23" t="str">
        <f>"|MIDDLE:​"&amp;テーブル1[[#This Row],[名前]]</f>
        <v>|MIDDLE:​綺月イオリ</v>
      </c>
      <c r="W371" s="23" t="str">
        <f>"|MIDDLE:​"&amp;テーブル1[[#This Row],[なまえ]]</f>
        <v>|MIDDLE:​はづき いおり</v>
      </c>
      <c r="X371" s="23" t="str">
        <f>"|MIDDLE:​"&amp;テーブル1[[#This Row],[Name]]</f>
        <v>|MIDDLE:​Hazuki Iori</v>
      </c>
      <c r="Y37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72" s="24" t="s">
        <v>1216</v>
      </c>
      <c r="D372" s="23" t="s">
        <v>1240</v>
      </c>
      <c r="E372" s="23" t="s">
        <v>1239</v>
      </c>
      <c r="F372" s="15" t="s">
        <v>336</v>
      </c>
      <c r="G372" s="23" t="s">
        <v>337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12.801659588057763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|&amp;image(battu-roland.png,width=100,height=100)</v>
      </c>
      <c r="V372" s="23" t="str">
        <f>"|MIDDLE:​"&amp;テーブル1[[#This Row],[名前]]</f>
        <v>|MIDDLE:​バッツ・ローランド</v>
      </c>
      <c r="W372" s="23" t="str">
        <f>"|MIDDLE:​"&amp;テーブル1[[#This Row],[なまえ]]</f>
        <v>|MIDDLE:​ばっつ ろーらんど</v>
      </c>
      <c r="X372" s="23" t="str">
        <f>"|MIDDLE:​"&amp;テーブル1[[#This Row],[Name]]</f>
        <v>|MIDDLE:​Battu Roland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373" s="24" t="s">
        <v>865</v>
      </c>
      <c r="D373" s="23" t="s">
        <v>866</v>
      </c>
      <c r="E373" s="23" t="s">
        <v>867</v>
      </c>
      <c r="F373" s="15" t="s">
        <v>861</v>
      </c>
      <c r="G373" s="23" t="s">
        <v>864</v>
      </c>
      <c r="P373" s="24" t="str">
        <f>テーブル1[[#This Row],[リンク]]&amp;テーブル1[[#This Row],[描画状況]]</f>
        <v>https://bowlroll.net/user/374679</v>
      </c>
      <c r="Q373" s="17">
        <f>1-(COUNTIF(P:P,_xlfn.TEXTJOIN(",",TRUE,テーブル1[[#This Row],[リンク]],テーブル1[[#This Row],[描画状況]]))/COUNTIF(F:F,テーブル1[[#This Row],[リンク]]))</f>
        <v>0</v>
      </c>
      <c r="R373" s="16">
        <f ca="1">IFERROR(IF(テーブル1[[#This Row],[描画状況]]="",RAND()+(テーブル1[[#This Row],[列2]]*100),""),RAND())</f>
        <v>0.46520303574498523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|&amp;image(hatene-noa.png,width=100,height=100)</v>
      </c>
      <c r="V373" s="23" t="str">
        <f>"|MIDDLE:​"&amp;テーブル1[[#This Row],[名前]]</f>
        <v>|MIDDLE:​果音ノア</v>
      </c>
      <c r="W373" s="23" t="str">
        <f>"|MIDDLE:​"&amp;テーブル1[[#This Row],[なまえ]]</f>
        <v>|MIDDLE:​はてね のあ</v>
      </c>
      <c r="X373" s="23" t="str">
        <f>"|MIDDLE:​"&amp;テーブル1[[#This Row],[Name]]</f>
        <v>|MIDDLE:​Hatene Noa</v>
      </c>
      <c r="Y373" s="23" t="str">
        <f>"|MIDDLE:​&amp;link(配布所はこちら){​"&amp;テーブル1[[#This Row],[リンク]]&amp;"}|"</f>
        <v>|MIDDLE:​&amp;link(配布所はこちら){​https://bowlroll.net/user/374679}|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374" s="24" t="s">
        <v>692</v>
      </c>
      <c r="D374" s="23" t="s">
        <v>694</v>
      </c>
      <c r="E374" s="23" t="s">
        <v>693</v>
      </c>
      <c r="F374" s="2" t="s">
        <v>695</v>
      </c>
      <c r="G374" s="23" t="s">
        <v>696</v>
      </c>
      <c r="P374" s="24" t="str">
        <f>テーブル1[[#This Row],[リンク]]&amp;テーブル1[[#This Row],[描画状況]]</f>
        <v>https://jnsea010.wixsite.com/kkamchoutau</v>
      </c>
      <c r="Q374" s="17">
        <f>1-(COUNTIF(P:P,_xlfn.TEXTJOIN(",",TRUE,テーブル1[[#This Row],[リンク]],テーブル1[[#This Row],[描画状況]]))/COUNTIF(F:F,テーブル1[[#This Row],[リンク]]))</f>
        <v>0</v>
      </c>
      <c r="R374" s="16">
        <f ca="1">IFERROR(IF(テーブル1[[#This Row],[描画状況]]="",RAND()+(テーブル1[[#This Row],[列2]]*100),""),RAND())</f>
        <v>0.18221006706771758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|&amp;image(hanabata-haru.png,width=100,height=100)</v>
      </c>
      <c r="V374" s="23" t="str">
        <f>"|MIDDLE:​"&amp;テーブル1[[#This Row],[名前]]</f>
        <v>|MIDDLE:​花畑ハル</v>
      </c>
      <c r="W374" s="23" t="str">
        <f>"|MIDDLE:​"&amp;テーブル1[[#This Row],[なまえ]]</f>
        <v>|MIDDLE:​はなばた はる</v>
      </c>
      <c r="X374" s="23" t="str">
        <f>"|MIDDLE:​"&amp;テーブル1[[#This Row],[Name]]</f>
        <v>|MIDDLE:​Hanabata Haru</v>
      </c>
      <c r="Y374" s="23" t="str">
        <f>"|MIDDLE:​&amp;link(配布所はこちら){​"&amp;テーブル1[[#This Row],[リンク]]&amp;"}|"</f>
        <v>|MIDDLE:​&amp;link(配布所はこちら){​https://jnsea010.wixsite.com/kkamchoutau}|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375" s="24" t="s">
        <v>1073</v>
      </c>
      <c r="D375" s="23" t="s">
        <v>1074</v>
      </c>
      <c r="E375" s="23" t="s">
        <v>1075</v>
      </c>
      <c r="F375" s="15" t="s">
        <v>1062</v>
      </c>
      <c r="G375" s="23" t="s">
        <v>1063</v>
      </c>
      <c r="P375" s="24" t="str">
        <f>テーブル1[[#This Row],[リンク]]&amp;テーブル1[[#This Row],[描画状況]]</f>
        <v>https://yukimiyashimusho.jimdofree.com</v>
      </c>
      <c r="Q375" s="17">
        <f>1-(COUNTIF(P:P,_xlfn.TEXTJOIN(",",TRUE,テーブル1[[#This Row],[リンク]],テーブル1[[#This Row],[描画状況]]))/COUNTIF(F:F,テーブル1[[#This Row],[リンク]]))</f>
        <v>7.1428571428571397E-2</v>
      </c>
      <c r="R375" s="16">
        <f ca="1">IFERROR(IF(テーブル1[[#This Row],[描画状況]]="",RAND()+(テーブル1[[#This Row],[列2]]*100),""),RAND())</f>
        <v>7.5193206543864264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|&amp;image(hanne-taka.png,width=100,height=100)</v>
      </c>
      <c r="V375" s="23" t="str">
        <f>"|MIDDLE:​"&amp;テーブル1[[#This Row],[名前]]</f>
        <v>|MIDDLE:​半音タカ</v>
      </c>
      <c r="W375" s="23" t="str">
        <f>"|MIDDLE:​"&amp;テーブル1[[#This Row],[なまえ]]</f>
        <v>|MIDDLE:​はんね たか</v>
      </c>
      <c r="X375" s="23" t="str">
        <f>"|MIDDLE:​"&amp;テーブル1[[#This Row],[Name]]</f>
        <v>|MIDDLE:​Hanne Taka</v>
      </c>
      <c r="Y375" s="23" t="str">
        <f>"|MIDDLE:​&amp;link(配布所はこちら){​"&amp;テーブル1[[#This Row],[リンク]]&amp;"}|"</f>
        <v>|MIDDLE:​&amp;link(配布所はこちら){​https://yukimiyashimusho.jimdofree.com}|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376" s="24" t="s">
        <v>1090</v>
      </c>
      <c r="D376" s="23" t="s">
        <v>1091</v>
      </c>
      <c r="E376" s="23" t="s">
        <v>1090</v>
      </c>
      <c r="F376" s="15" t="s">
        <v>1062</v>
      </c>
      <c r="G376" s="23" t="s">
        <v>1063</v>
      </c>
      <c r="P376" s="24" t="str">
        <f>テーブル1[[#This Row],[リンク]]&amp;テーブル1[[#This Row],[描画状況]]</f>
        <v>https://yukimiyashimusho.jimdofree.com</v>
      </c>
      <c r="Q376" s="17">
        <f>1-(COUNTIF(P:P,_xlfn.TEXTJOIN(",",TRUE,テーブル1[[#This Row],[リンク]],テーブル1[[#This Row],[描画状況]]))/COUNTIF(F:F,テーブル1[[#This Row],[リンク]]))</f>
        <v>7.1428571428571397E-2</v>
      </c>
      <c r="R376" s="16">
        <f ca="1">IFERROR(IF(テーブル1[[#This Row],[描画状況]]="",RAND()+(テーブル1[[#This Row],[列2]]*100),""),RAND())</f>
        <v>7.9684014090152635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|&amp;image(hye.png,width=100,height=100)</v>
      </c>
      <c r="V376" s="23" t="str">
        <f>"|MIDDLE:​"&amp;テーブル1[[#This Row],[名前]]</f>
        <v>|MIDDLE:​Hye</v>
      </c>
      <c r="W376" s="23" t="str">
        <f>"|MIDDLE:​"&amp;テーブル1[[#This Row],[なまえ]]</f>
        <v>|MIDDLE:​ひえ</v>
      </c>
      <c r="X376" s="23" t="str">
        <f>"|MIDDLE:​"&amp;テーブル1[[#This Row],[Name]]</f>
        <v>|MIDDLE:​Hye</v>
      </c>
      <c r="Y376" s="23" t="str">
        <f>"|MIDDLE:​&amp;link(配布所はこちら){​"&amp;テーブル1[[#This Row],[リンク]]&amp;"}|"</f>
        <v>|MIDDLE:​&amp;link(配布所はこちら){​https://yukimiyashimusho.jimdofree.com}|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377" s="24" t="s">
        <v>566</v>
      </c>
      <c r="D377" s="23" t="s">
        <v>567</v>
      </c>
      <c r="E377" s="23" t="s">
        <v>568</v>
      </c>
      <c r="F377" s="2" t="s">
        <v>569</v>
      </c>
      <c r="G377" s="23" t="s">
        <v>570</v>
      </c>
      <c r="N377" s="1" t="s">
        <v>1507</v>
      </c>
      <c r="P377" s="24" t="str">
        <f>テーブル1[[#This Row],[リンク]]&amp;テーブル1[[#This Row],[描画状況]]</f>
        <v>https://askdance.wixsite.com/monitor-room/monitor-room</v>
      </c>
      <c r="Q377" s="17">
        <f>1-(COUNTIF(P:P,_xlfn.TEXTJOIN(",",TRUE,テーブル1[[#This Row],[リンク]],テーブル1[[#This Row],[描画状況]]))/COUNTIF(F:F,テーブル1[[#This Row],[リンク]]))</f>
        <v>9.9999999999999978E-2</v>
      </c>
      <c r="R377" s="16">
        <f ca="1">IFERROR(IF(テーブル1[[#This Row],[描画状況]]="",RAND()+(テーブル1[[#This Row],[列2]]*100),""),RAND())</f>
        <v>10.649513187836112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|&amp;image(higagoto-toi.png,width=100,height=100)</v>
      </c>
      <c r="V377" s="23" t="str">
        <f>"|MIDDLE:​"&amp;テーブル1[[#This Row],[名前]]</f>
        <v>|MIDDLE:​僻事問</v>
      </c>
      <c r="W377" s="23" t="str">
        <f>"|MIDDLE:​"&amp;テーブル1[[#This Row],[なまえ]]</f>
        <v>|MIDDLE:​ひがごと とい</v>
      </c>
      <c r="X377" s="23" t="str">
        <f>"|MIDDLE:​"&amp;テーブル1[[#This Row],[Name]]</f>
        <v>|MIDDLE:​Higagoto Toi</v>
      </c>
      <c r="Y377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378" s="24" t="s">
        <v>1853</v>
      </c>
      <c r="D378" s="23" t="s">
        <v>1855</v>
      </c>
      <c r="E378" s="23" t="s">
        <v>1854</v>
      </c>
      <c r="F378" s="2" t="s">
        <v>97</v>
      </c>
      <c r="G378" s="23" t="s">
        <v>98</v>
      </c>
      <c r="H378" s="23" t="s">
        <v>1617</v>
      </c>
      <c r="I378" s="23" t="s">
        <v>1626</v>
      </c>
      <c r="N378" s="1" t="s">
        <v>1507</v>
      </c>
      <c r="P378" s="24" t="str">
        <f>テーブル1[[#This Row],[リンク]]&amp;テーブル1[[#This Row],[描画状況]]</f>
        <v>https://hinagitsune-utau.wixsite.com/utaukokorone</v>
      </c>
      <c r="Q378" s="17">
        <f>1-(COUNTIF(P:P,_xlfn.TEXTJOIN(",",TRUE,テーブル1[[#This Row],[リンク]],テーブル1[[#This Row],[描画状況]]))/COUNTIF(F:F,テーブル1[[#This Row],[リンク]]))</f>
        <v>0.19999999999999996</v>
      </c>
      <c r="R378" s="16">
        <f ca="1">IFERROR(IF(テーブル1[[#This Row],[描画状況]]="",RAND()+(テーブル1[[#This Row],[列2]]*100),""),RAND())</f>
        <v>20.360662166875876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|&amp;image(hinaki-v-draginie.png,width=100,height=100)</v>
      </c>
      <c r="V378" s="23" t="str">
        <f>"|MIDDLE:​"&amp;テーブル1[[#This Row],[名前]]</f>
        <v>|MIDDLE:​ヒナキ・Ｖ・ドラギニエ</v>
      </c>
      <c r="W378" s="23" t="str">
        <f>"|MIDDLE:​"&amp;テーブル1[[#This Row],[なまえ]]</f>
        <v>|MIDDLE:​ひなき ぶい どらぎにえ</v>
      </c>
      <c r="X378" s="23" t="str">
        <f>"|MIDDLE:​"&amp;テーブル1[[#This Row],[Name]]</f>
        <v>|MIDDLE:​Hinaki V Draginie</v>
      </c>
      <c r="Y378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379" s="24" t="s">
        <v>623</v>
      </c>
      <c r="D379" s="23" t="s">
        <v>624</v>
      </c>
      <c r="E379" s="23" t="s">
        <v>625</v>
      </c>
      <c r="F379" s="2" t="s">
        <v>107</v>
      </c>
      <c r="G379" s="23" t="s">
        <v>622</v>
      </c>
      <c r="H379" s="23" t="s">
        <v>1617</v>
      </c>
      <c r="I379" s="23" t="s">
        <v>1626</v>
      </c>
      <c r="K379" s="23" t="s">
        <v>1778</v>
      </c>
      <c r="L379" s="23" t="s">
        <v>1627</v>
      </c>
      <c r="M379" s="23" t="s">
        <v>1813</v>
      </c>
      <c r="N379" s="1" t="s">
        <v>1507</v>
      </c>
      <c r="P379" s="24" t="str">
        <f>テーブル1[[#This Row],[リンク]]&amp;テーブル1[[#This Row],[描画状況]]</f>
        <v>https://hznonoka.wixsite.com/utau</v>
      </c>
      <c r="Q379" s="17">
        <f>1-(COUNTIF(P:P,_xlfn.TEXTJOIN(",",TRUE,テーブル1[[#This Row],[リンク]],テーブル1[[#This Row],[描画状況]]))/COUNTIF(F:F,テーブル1[[#This Row],[リンク]]))</f>
        <v>0.33333333333333337</v>
      </c>
      <c r="R379" s="16">
        <f ca="1">IFERROR(IF(テーブル1[[#This Row],[描画状況]]="",RAND()+(テーブル1[[#This Row],[列2]]*100),""),RAND())</f>
        <v>34.129156566699123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|&amp;image(hibiki-hiruya.png,width=100,height=100)</v>
      </c>
      <c r="V379" s="23" t="str">
        <f>"|MIDDLE:​"&amp;テーブル1[[#This Row],[名前]]</f>
        <v>|MIDDLE:​響姫ひるや</v>
      </c>
      <c r="W379" s="23" t="str">
        <f>"|MIDDLE:​"&amp;テーブル1[[#This Row],[なまえ]]</f>
        <v>|MIDDLE:​ひびき ひるや</v>
      </c>
      <c r="X379" s="23" t="str">
        <f>"|MIDDLE:​"&amp;テーブル1[[#This Row],[Name]]</f>
        <v>|MIDDLE:​Hibiki Hiruya</v>
      </c>
      <c r="Y379" s="23" t="str">
        <f>"|MIDDLE:​&amp;link(配布所はこちら){​"&amp;テーブル1[[#This Row],[リンク]]&amp;"}|"</f>
        <v>|MIDDLE:​&amp;link(配布所はこちら){​https://hznonoka.wixsite.com/utau}|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380" s="24" t="s">
        <v>1133</v>
      </c>
      <c r="D380" s="23" t="s">
        <v>1136</v>
      </c>
      <c r="E380" s="23" t="s">
        <v>1134</v>
      </c>
      <c r="F380" s="15" t="s">
        <v>1139</v>
      </c>
      <c r="G380" s="23" t="str">
        <f>テーブル1[[#This Row],[名前]]&amp;"(UTAU)"</f>
        <v>ピピ音ピオ(UTAU)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13.007271868880865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|&amp;image(pipine-pio.png,width=100,height=100)</v>
      </c>
      <c r="V380" s="23" t="str">
        <f>"|MIDDLE:​"&amp;テーブル1[[#This Row],[名前]]</f>
        <v>|MIDDLE:​ピピ音ピオ</v>
      </c>
      <c r="W380" s="23" t="str">
        <f>"|MIDDLE:​"&amp;テーブル1[[#This Row],[なまえ]]</f>
        <v>|MIDDLE:​ぴぴね ぴお</v>
      </c>
      <c r="X380" s="23" t="str">
        <f>"|MIDDLE:​"&amp;テーブル1[[#This Row],[Name]]</f>
        <v>|MIDDLE:​Pipine Pio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381" s="24" t="s">
        <v>1213</v>
      </c>
      <c r="D381" s="23" t="s">
        <v>1242</v>
      </c>
      <c r="E381" s="23" t="s">
        <v>1241</v>
      </c>
      <c r="F381" s="15" t="s">
        <v>336</v>
      </c>
      <c r="G381" s="23" t="s">
        <v>337</v>
      </c>
      <c r="P381" s="24" t="str">
        <f>テーブル1[[#This Row],[リンク]]&amp;テーブル1[[#This Row],[描画状況]]</f>
        <v>https://torinosu-hikikomori.jimdofree.com</v>
      </c>
      <c r="Q381" s="17">
        <f>1-(COUNTIF(P:P,_xlfn.TEXTJOIN(",",TRUE,テーブル1[[#This Row],[リンク]],テーブル1[[#This Row],[描画状況]]))/COUNTIF(F:F,テーブル1[[#This Row],[リンク]]))</f>
        <v>0.125</v>
      </c>
      <c r="R381" s="16">
        <f ca="1">IFERROR(IF(テーブル1[[#This Row],[描画状況]]="",RAND()+(テーブル1[[#This Row],[列2]]*100),""),RAND())</f>
        <v>13.320450089508999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|&amp;image(finalkamenppoino.png,width=100,height=100)</v>
      </c>
      <c r="V381" s="23" t="str">
        <f>"|MIDDLE:​"&amp;テーブル1[[#This Row],[名前]]</f>
        <v>|MIDDLE:​ファイナル仮面っぽいの</v>
      </c>
      <c r="W381" s="23" t="str">
        <f>"|MIDDLE:​"&amp;テーブル1[[#This Row],[なまえ]]</f>
        <v>|MIDDLE:​ふぁいなるかめんっぽいの</v>
      </c>
      <c r="X381" s="23" t="str">
        <f>"|MIDDLE:​"&amp;テーブル1[[#This Row],[Name]]</f>
        <v>|MIDDLE:​Finalkamenppoino</v>
      </c>
      <c r="Y381" s="23" t="str">
        <f>"|MIDDLE:​&amp;link(配布所はこちら){​"&amp;テーブル1[[#This Row],[リンク]]&amp;"}|"</f>
        <v>|MIDDLE:​&amp;link(配布所はこちら){​https://torinosu-hikikomori.jimdofree.com}|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382" s="24" t="s">
        <v>1273</v>
      </c>
      <c r="D382" s="23" t="s">
        <v>1275</v>
      </c>
      <c r="E382" s="23" t="s">
        <v>1274</v>
      </c>
      <c r="F382" s="15" t="s">
        <v>174</v>
      </c>
      <c r="G382" s="24" t="s">
        <v>1284</v>
      </c>
      <c r="H382" s="24"/>
      <c r="I382" s="24"/>
      <c r="J382" s="24"/>
      <c r="K382" s="24"/>
      <c r="L382" s="24"/>
      <c r="M382" s="24"/>
      <c r="P382" s="24" t="str">
        <f>テーブル1[[#This Row],[リンク]]&amp;テーブル1[[#This Row],[描画状況]]</f>
        <v>https://lenskkpb.wixsite.com/len-sakaki-official</v>
      </c>
      <c r="Q382" s="17">
        <f>1-(COUNTIF(P:P,_xlfn.TEXTJOIN(",",TRUE,テーブル1[[#This Row],[リンク]],テーブル1[[#This Row],[描画状況]]))/COUNTIF(F:F,テーブル1[[#This Row],[リンク]]))</f>
        <v>0.125</v>
      </c>
      <c r="R382" s="16">
        <f ca="1">IFERROR(IF(テーブル1[[#This Row],[描画状況]]="",RAND()+(テーブル1[[#This Row],[列2]]*100),""),RAND())</f>
        <v>12.929948839171004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|&amp;image(hukagyaku.png,width=100,height=100)</v>
      </c>
      <c r="V382" s="23" t="str">
        <f>"|MIDDLE:​"&amp;テーブル1[[#This Row],[名前]]</f>
        <v>|MIDDLE:​不彁逆</v>
      </c>
      <c r="W382" s="23" t="str">
        <f>"|MIDDLE:​"&amp;テーブル1[[#This Row],[なまえ]]</f>
        <v>|MIDDLE:​ふかぎゃく</v>
      </c>
      <c r="X382" s="23" t="str">
        <f>"|MIDDLE:​"&amp;テーブル1[[#This Row],[Name]]</f>
        <v>|MIDDLE:​Hukagyaku</v>
      </c>
      <c r="Y38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383" s="24" t="s">
        <v>1317</v>
      </c>
      <c r="D383" s="23" t="s">
        <v>1319</v>
      </c>
      <c r="E383" s="23" t="s">
        <v>1318</v>
      </c>
      <c r="F383" s="15" t="s">
        <v>1311</v>
      </c>
      <c r="G383" s="23" t="str">
        <f>テーブル1[[#This Row],[名前]]&amp;"(UTAU)"</f>
        <v>藤ヶ崎華凜(UTAU)</v>
      </c>
      <c r="P383" s="24" t="str">
        <f>テーブル1[[#This Row],[リンク]]&amp;テーブル1[[#This Row],[描画状況]]</f>
        <v>https://jiwajiwakirinn.wixsite.com/sakurada</v>
      </c>
      <c r="Q383" s="17">
        <f>1-(COUNTIF(P:P,_xlfn.TEXTJOIN(",",TRUE,テーブル1[[#This Row],[リンク]],テーブル1[[#This Row],[描画状況]]))/COUNTIF(F:F,テーブル1[[#This Row],[リンク]]))</f>
        <v>0.19999999999999996</v>
      </c>
      <c r="R383" s="16">
        <f ca="1">IFERROR(IF(テーブル1[[#This Row],[描画状況]]="",RAND()+(テーブル1[[#This Row],[列2]]*100),""),RAND())</f>
        <v>20.023487068081376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|&amp;image(fujigasaki-karin.png,width=100,height=100)</v>
      </c>
      <c r="V383" s="23" t="str">
        <f>"|MIDDLE:​"&amp;テーブル1[[#This Row],[名前]]</f>
        <v>|MIDDLE:​藤ヶ崎華凜</v>
      </c>
      <c r="W383" s="23" t="str">
        <f>"|MIDDLE:​"&amp;テーブル1[[#This Row],[なまえ]]</f>
        <v>|MIDDLE:​ふじがさき かりん</v>
      </c>
      <c r="X383" s="23" t="str">
        <f>"|MIDDLE:​"&amp;テーブル1[[#This Row],[Name]]</f>
        <v>|MIDDLE:​Fujigasaki Karin</v>
      </c>
      <c r="Y383" s="23" t="str">
        <f>"|MIDDLE:​&amp;link(配布所はこちら){​"&amp;テーブル1[[#This Row],[リンク]]&amp;"}|"</f>
        <v>|MIDDLE:​&amp;link(配布所はこちら){​https://jiwajiwakirinn.wixsite.com/sakurada}|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384" s="24" t="s">
        <v>574</v>
      </c>
      <c r="D384" s="23" t="s">
        <v>575</v>
      </c>
      <c r="E384" s="23" t="s">
        <v>576</v>
      </c>
      <c r="F384" s="2" t="s">
        <v>577</v>
      </c>
      <c r="G384" s="23" t="s">
        <v>578</v>
      </c>
      <c r="P384" s="24" t="str">
        <f>テーブル1[[#This Row],[リンク]]&amp;テーブル1[[#This Row],[描画状況]]</f>
        <v>https://lit.link/lilyHaruzion</v>
      </c>
      <c r="Q384" s="17">
        <f>1-(COUNTIF(P:P,_xlfn.TEXTJOIN(",",TRUE,テーブル1[[#This Row],[リンク]],テーブル1[[#This Row],[描画状況]]))/COUNTIF(F:F,テーブル1[[#This Row],[リンク]]))</f>
        <v>0</v>
      </c>
      <c r="R384" s="16">
        <f ca="1">IFERROR(IF(テーブル1[[#This Row],[描画状況]]="",RAND()+(テーブル1[[#This Row],[列2]]*100),""),RAND())</f>
        <v>0.71848524063755947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|&amp;image(flowery.png,width=100,height=100)</v>
      </c>
      <c r="V384" s="23" t="str">
        <f>"|MIDDLE:​"&amp;テーブル1[[#This Row],[名前]]</f>
        <v>|MIDDLE:​フローリィ</v>
      </c>
      <c r="W384" s="23" t="str">
        <f>"|MIDDLE:​"&amp;テーブル1[[#This Row],[なまえ]]</f>
        <v>|MIDDLE:​ふろーりぃ</v>
      </c>
      <c r="X384" s="23" t="str">
        <f>"|MIDDLE:​"&amp;テーブル1[[#This Row],[Name]]</f>
        <v>|MIDDLE:​Flowery</v>
      </c>
      <c r="Y384" s="23" t="str">
        <f>"|MIDDLE:​&amp;link(配布所はこちら){​"&amp;テーブル1[[#This Row],[リンク]]&amp;"}|"</f>
        <v>|MIDDLE:​&amp;link(配布所はこちら){​https://lit.link/lilyHaruzion}|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385" s="24" t="s">
        <v>1194</v>
      </c>
      <c r="D385" s="23" t="s">
        <v>1195</v>
      </c>
      <c r="E385" s="23" t="s">
        <v>1196</v>
      </c>
      <c r="F385" s="15" t="s">
        <v>681</v>
      </c>
      <c r="G385" s="23" t="s">
        <v>1197</v>
      </c>
      <c r="P385" s="24" t="str">
        <f>テーブル1[[#This Row],[リンク]]&amp;テーブル1[[#This Row],[描画状況]]</f>
        <v>https://okome32500.wixsite.com/onekomochi</v>
      </c>
      <c r="Q385" s="17">
        <f>1-(COUNTIF(P:P,_xlfn.TEXTJOIN(",",TRUE,テーブル1[[#This Row],[リンク]],テーブル1[[#This Row],[描画状況]]))/COUNTIF(F:F,テーブル1[[#This Row],[リンク]]))</f>
        <v>0.33333333333333337</v>
      </c>
      <c r="R385" s="16">
        <f ca="1">IFERROR(IF(テーブル1[[#This Row],[描画状況]]="",RAND()+(テーブル1[[#This Row],[列2]]*100),""),RAND())</f>
        <v>33.831606813299082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|&amp;image(fuwane-fasora.png,width=100,height=100)</v>
      </c>
      <c r="V385" s="23" t="str">
        <f>"|MIDDLE:​"&amp;テーブル1[[#This Row],[名前]]</f>
        <v>|MIDDLE:​不和音ファソラ</v>
      </c>
      <c r="W385" s="23" t="str">
        <f>"|MIDDLE:​"&amp;テーブル1[[#This Row],[なまえ]]</f>
        <v>|MIDDLE:​ふわね ふぁそら</v>
      </c>
      <c r="X385" s="23" t="str">
        <f>"|MIDDLE:​"&amp;テーブル1[[#This Row],[Name]]</f>
        <v>|MIDDLE:​Fuwane Fasora</v>
      </c>
      <c r="Y385" s="23" t="str">
        <f>"|MIDDLE:​&amp;link(配布所はこちら){​"&amp;テーブル1[[#This Row],[リンク]]&amp;"}|"</f>
        <v>|MIDDLE:​&amp;link(配布所はこちら){​https://okome32500.wixsite.com/onekomochi}|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386" s="24" t="s">
        <v>984</v>
      </c>
      <c r="D386" s="23" t="s">
        <v>986</v>
      </c>
      <c r="E386" s="23" t="s">
        <v>985</v>
      </c>
      <c r="F386" s="2" t="s">
        <v>569</v>
      </c>
      <c r="G386" s="23" t="s">
        <v>570</v>
      </c>
      <c r="N386" s="1" t="s">
        <v>1507</v>
      </c>
      <c r="P386" s="24" t="str">
        <f>テーブル1[[#This Row],[リンク]]&amp;テーブル1[[#This Row],[描画状況]]</f>
        <v>https://askdance.wixsite.com/monitor-room/monitor-room</v>
      </c>
      <c r="Q386" s="17">
        <f>1-(COUNTIF(P:P,_xlfn.TEXTJOIN(",",TRUE,テーブル1[[#This Row],[リンク]],テーブル1[[#This Row],[描画状況]]))/COUNTIF(F:F,テーブル1[[#This Row],[リンク]]))</f>
        <v>9.9999999999999978E-2</v>
      </c>
      <c r="R386" s="16">
        <f ca="1">IFERROR(IF(テーブル1[[#This Row],[描画状況]]="",RAND()+(テーブル1[[#This Row],[列2]]*100),""),RAND())</f>
        <v>10.722319985901175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|&amp;image(hoeura-mou.png,width=100,height=100)</v>
      </c>
      <c r="V386" s="23" t="str">
        <f>"|MIDDLE:​"&amp;テーブル1[[#This Row],[名前]]</f>
        <v>|MIDDLE:​​吠浦モウ</v>
      </c>
      <c r="W386" s="23" t="str">
        <f>"|MIDDLE:​"&amp;テーブル1[[#This Row],[なまえ]]</f>
        <v>|MIDDLE:​ほえうら もう</v>
      </c>
      <c r="X386" s="23" t="str">
        <f>"|MIDDLE:​"&amp;テーブル1[[#This Row],[Name]]</f>
        <v>|MIDDLE:​Hoeura Mou</v>
      </c>
      <c r="Y386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387" s="24" t="s">
        <v>1238</v>
      </c>
      <c r="D387" s="23" t="s">
        <v>1238</v>
      </c>
      <c r="E387" s="23" t="s">
        <v>1237</v>
      </c>
      <c r="F387" s="15" t="s">
        <v>336</v>
      </c>
      <c r="G387" s="23" t="s">
        <v>337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12.84339484646982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|&amp;image(houloid.png,width=100,height=100)</v>
      </c>
      <c r="V387" s="23" t="str">
        <f>"|MIDDLE:​"&amp;テーブル1[[#This Row],[名前]]</f>
        <v>|MIDDLE:​ほーろいど</v>
      </c>
      <c r="W387" s="23" t="str">
        <f>"|MIDDLE:​"&amp;テーブル1[[#This Row],[なまえ]]</f>
        <v>|MIDDLE:​ほーろいど</v>
      </c>
      <c r="X387" s="23" t="str">
        <f>"|MIDDLE:​"&amp;テーブル1[[#This Row],[Name]]</f>
        <v>|MIDDLE:​Houloid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388" s="24" t="s">
        <v>1320</v>
      </c>
      <c r="D388" s="23" t="s">
        <v>1322</v>
      </c>
      <c r="E388" s="23" t="s">
        <v>1321</v>
      </c>
      <c r="F388" s="15" t="s">
        <v>1311</v>
      </c>
      <c r="G388" s="23" t="str">
        <f>テーブル1[[#This Row],[名前]]&amp;"(UTAU)"</f>
        <v>火ノ叢杏実(UTAU)</v>
      </c>
      <c r="P388" s="24" t="str">
        <f>テーブル1[[#This Row],[リンク]]&amp;テーブル1[[#This Row],[描画状況]]</f>
        <v>https://jiwajiwakirinn.wixsite.com/sakurada</v>
      </c>
      <c r="Q388" s="17">
        <f>1-(COUNTIF(P:P,_xlfn.TEXTJOIN(",",TRUE,テーブル1[[#This Row],[リンク]],テーブル1[[#This Row],[描画状況]]))/COUNTIF(F:F,テーブル1[[#This Row],[リンク]]))</f>
        <v>0.19999999999999996</v>
      </c>
      <c r="R388" s="16">
        <f ca="1">IFERROR(IF(テーブル1[[#This Row],[描画状況]]="",RAND()+(テーブル1[[#This Row],[列2]]*100),""),RAND())</f>
        <v>20.539166099073352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|&amp;image(honomura-azumi.png,width=100,height=100)</v>
      </c>
      <c r="V388" s="23" t="str">
        <f>"|MIDDLE:​"&amp;テーブル1[[#This Row],[名前]]</f>
        <v>|MIDDLE:​火ノ叢杏実</v>
      </c>
      <c r="W388" s="23" t="str">
        <f>"|MIDDLE:​"&amp;テーブル1[[#This Row],[なまえ]]</f>
        <v>|MIDDLE:​ほのむら あずみ</v>
      </c>
      <c r="X388" s="23" t="str">
        <f>"|MIDDLE:​"&amp;テーブル1[[#This Row],[Name]]</f>
        <v>|MIDDLE:​Honomura Azumi</v>
      </c>
      <c r="Y388" s="23" t="str">
        <f>"|MIDDLE:​&amp;link(配布所はこちら){​"&amp;テーブル1[[#This Row],[リンク]]&amp;"}|"</f>
        <v>|MIDDLE:​&amp;link(配布所はこちら){​https://jiwajiwakirinn.wixsite.com/sakurada}|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389" s="24" t="s">
        <v>697</v>
      </c>
      <c r="D389" s="23" t="s">
        <v>699</v>
      </c>
      <c r="E389" s="23" t="s">
        <v>698</v>
      </c>
      <c r="F389" s="2" t="s">
        <v>695</v>
      </c>
      <c r="G389" s="23" t="s">
        <v>696</v>
      </c>
      <c r="P389" s="24" t="str">
        <f>テーブル1[[#This Row],[リンク]]&amp;テーブル1[[#This Row],[描画状況]]</f>
        <v>https://jnsea010.wixsite.com/kkamchoutau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0.22203807551331911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|&amp;image(maetsuki-kumo.png,width=100,height=100)</v>
      </c>
      <c r="V389" s="23" t="str">
        <f>"|MIDDLE:​"&amp;テーブル1[[#This Row],[名前]]</f>
        <v>|MIDDLE:​前月クモ</v>
      </c>
      <c r="W389" s="23" t="str">
        <f>"|MIDDLE:​"&amp;テーブル1[[#This Row],[なまえ]]</f>
        <v>|MIDDLE:​まえつき くも</v>
      </c>
      <c r="X389" s="23" t="str">
        <f>"|MIDDLE:​"&amp;テーブル1[[#This Row],[Name]]</f>
        <v>|MIDDLE:​Maetsuki Kumo</v>
      </c>
      <c r="Y389" s="23" t="str">
        <f>"|MIDDLE:​&amp;link(配布所はこちら){​"&amp;テーブル1[[#This Row],[リンク]]&amp;"}|"</f>
        <v>|MIDDLE:​&amp;link(配布所はこちら){​https://jnsea010.wixsite.com/kkamchoutau}|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390" s="24" t="s">
        <v>1067</v>
      </c>
      <c r="D390" s="23" t="s">
        <v>1068</v>
      </c>
      <c r="E390" s="23" t="s">
        <v>1069</v>
      </c>
      <c r="F390" s="15" t="s">
        <v>1062</v>
      </c>
      <c r="G390" s="23" t="s">
        <v>1063</v>
      </c>
      <c r="P390" s="24" t="str">
        <f>テーブル1[[#This Row],[リンク]]&amp;テーブル1[[#This Row],[描画状況]]</f>
        <v>https://yukimiyashimusho.jimdofree.com</v>
      </c>
      <c r="Q390" s="17">
        <f>1-(COUNTIF(P:P,_xlfn.TEXTJOIN(",",TRUE,テーブル1[[#This Row],[リンク]],テーブル1[[#This Row],[描画状況]]))/COUNTIF(F:F,テーブル1[[#This Row],[リンク]]))</f>
        <v>7.1428571428571397E-2</v>
      </c>
      <c r="R390" s="16">
        <f ca="1">IFERROR(IF(テーブル1[[#This Row],[描画状況]]="",RAND()+(テーブル1[[#This Row],[列2]]*100),""),RAND())</f>
        <v>7.8967782057372231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|&amp;image(mazane-nono.png,width=100,height=100)</v>
      </c>
      <c r="V390" s="23" t="str">
        <f>"|MIDDLE:​"&amp;テーブル1[[#This Row],[名前]]</f>
        <v>|MIDDLE:​混音ノノ</v>
      </c>
      <c r="W390" s="23" t="str">
        <f>"|MIDDLE:​"&amp;テーブル1[[#This Row],[なまえ]]</f>
        <v>|MIDDLE:​まざね のの</v>
      </c>
      <c r="X390" s="23" t="str">
        <f>"|MIDDLE:​"&amp;テーブル1[[#This Row],[Name]]</f>
        <v>|MIDDLE:​Mazane Nono</v>
      </c>
      <c r="Y390" s="23" t="str">
        <f>"|MIDDLE:​&amp;link(配布所はこちら){​"&amp;テーブル1[[#This Row],[リンク]]&amp;"}|"</f>
        <v>|MIDDLE:​&amp;link(配布所はこちら){​https://yukimiyashimusho.jimdofree.com}|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391" s="24" t="s">
        <v>1439</v>
      </c>
      <c r="D391" s="23" t="s">
        <v>1440</v>
      </c>
      <c r="E391" s="23" t="s">
        <v>1441</v>
      </c>
      <c r="F391" s="15" t="s">
        <v>1437</v>
      </c>
      <c r="G391" s="23" t="s">
        <v>1438</v>
      </c>
      <c r="P391" s="24" t="str">
        <f>テーブル1[[#This Row],[リンク]]&amp;テーブル1[[#This Row],[描画状況]]</f>
        <v>https://bowlroll.net/user/992955</v>
      </c>
      <c r="Q391" s="17">
        <f>1-(COUNTIF(P:P,_xlfn.TEXTJOIN(",",TRUE,テーブル1[[#This Row],[リンク]],テーブル1[[#This Row],[描画状況]]))/COUNTIF(F:F,テーブル1[[#This Row],[リンク]]))</f>
        <v>0</v>
      </c>
      <c r="R391" s="16">
        <f ca="1">IFERROR(IF(テーブル1[[#This Row],[描画状況]]="",RAND()+(テーブル1[[#This Row],[列2]]*100),""),RAND())</f>
        <v>0.48193635058891948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|&amp;image(madowaku.png,width=100,height=100)</v>
      </c>
      <c r="V391" s="23" t="str">
        <f>"|MIDDLE:​"&amp;テーブル1[[#This Row],[名前]]</f>
        <v>|MIDDLE:​窓惑</v>
      </c>
      <c r="W391" s="23" t="str">
        <f>"|MIDDLE:​"&amp;テーブル1[[#This Row],[なまえ]]</f>
        <v>|MIDDLE:​まどわく</v>
      </c>
      <c r="X391" s="23" t="str">
        <f>"|MIDDLE:​"&amp;テーブル1[[#This Row],[Name]]</f>
        <v>|MIDDLE:​Madowaku</v>
      </c>
      <c r="Y391" s="23" t="str">
        <f>"|MIDDLE:​&amp;link(配布所はこちら){​"&amp;テーブル1[[#This Row],[リンク]]&amp;"}|"</f>
        <v>|MIDDLE:​&amp;link(配布所はこちら){​https://bowlroll.net/user/992955}|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392" s="24" t="s">
        <v>1135</v>
      </c>
      <c r="D392" s="23" t="s">
        <v>1137</v>
      </c>
      <c r="E392" s="23" t="s">
        <v>1138</v>
      </c>
      <c r="F392" s="15" t="s">
        <v>1139</v>
      </c>
      <c r="G392" s="23" t="str">
        <f>テーブル1[[#This Row],[名前]]&amp;"(UTAU)"</f>
        <v>マネナリ(UTAU)</v>
      </c>
      <c r="P392" s="24" t="str">
        <f>テーブル1[[#This Row],[リンク]]&amp;テーブル1[[#This Row],[描画状況]]</f>
        <v>https://yautau.wixsite.com/0909</v>
      </c>
      <c r="Q392" s="17">
        <f>1-(COUNTIF(P:P,_xlfn.TEXTJOIN(",",TRUE,テーブル1[[#This Row],[リンク]],テーブル1[[#This Row],[描画状況]]))/COUNTIF(F:F,テーブル1[[#This Row],[リンク]]))</f>
        <v>0.125</v>
      </c>
      <c r="R392" s="16">
        <f ca="1">IFERROR(IF(テーブル1[[#This Row],[描画状況]]="",RAND()+(テーブル1[[#This Row],[列2]]*100),""),RAND())</f>
        <v>13.293656339723217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|&amp;image(manenari.png,width=100,height=100)</v>
      </c>
      <c r="V392" s="23" t="str">
        <f>"|MIDDLE:​"&amp;テーブル1[[#This Row],[名前]]</f>
        <v>|MIDDLE:​マネナリ</v>
      </c>
      <c r="W392" s="23" t="str">
        <f>"|MIDDLE:​"&amp;テーブル1[[#This Row],[なまえ]]</f>
        <v>|MIDDLE:​まねなり</v>
      </c>
      <c r="X392" s="23" t="str">
        <f>"|MIDDLE:​"&amp;テーブル1[[#This Row],[Name]]</f>
        <v>|MIDDLE:​Manenari</v>
      </c>
      <c r="Y392" s="23" t="str">
        <f>"|MIDDLE:​&amp;link(配布所はこちら){​"&amp;テーブル1[[#This Row],[リンク]]&amp;"}|"</f>
        <v>|MIDDLE:​&amp;link(配布所はこちら){​https://yautau.wixsite.com/0909}|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393" s="24" t="s">
        <v>1064</v>
      </c>
      <c r="D393" s="23" t="s">
        <v>1065</v>
      </c>
      <c r="E393" s="23" t="s">
        <v>1066</v>
      </c>
      <c r="F393" s="15" t="s">
        <v>1062</v>
      </c>
      <c r="G393" s="23" t="s">
        <v>1063</v>
      </c>
      <c r="P393" s="24" t="str">
        <f>テーブル1[[#This Row],[リンク]]&amp;テーブル1[[#This Row],[描画状況]]</f>
        <v>https://yukimiyashimusho.jimdofree.com</v>
      </c>
      <c r="Q393" s="17">
        <f>1-(COUNTIF(P:P,_xlfn.TEXTJOIN(",",TRUE,テーブル1[[#This Row],[リンク]],テーブル1[[#This Row],[描画状況]]))/COUNTIF(F:F,テーブル1[[#This Row],[リンク]]))</f>
        <v>7.1428571428571397E-2</v>
      </c>
      <c r="R393" s="16">
        <f ca="1">IFERROR(IF(テーブル1[[#This Row],[描画状況]]="",RAND()+(テーブル1[[#This Row],[列2]]*100),""),RAND())</f>
        <v>7.940663894680732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|&amp;image(mamine-fair.png,width=100,height=100)</v>
      </c>
      <c r="V393" s="23" t="str">
        <f>"|MIDDLE:​"&amp;テーブル1[[#This Row],[名前]]</f>
        <v>|MIDDLE:​真実音フェイア</v>
      </c>
      <c r="W393" s="23" t="str">
        <f>"|MIDDLE:​"&amp;テーブル1[[#This Row],[なまえ]]</f>
        <v>|MIDDLE:​まみね ふぇいあ</v>
      </c>
      <c r="X393" s="23" t="str">
        <f>"|MIDDLE:​"&amp;テーブル1[[#This Row],[Name]]</f>
        <v>|MIDDLE:​Mamine Fair</v>
      </c>
      <c r="Y393" s="23" t="str">
        <f>"|MIDDLE:​&amp;link(配布所はこちら){​"&amp;テーブル1[[#This Row],[リンク]]&amp;"}|"</f>
        <v>|MIDDLE:​&amp;link(配布所はこちら){​https://yukimiyashimusho.jimdofree.com}|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394" s="24" t="s">
        <v>1092</v>
      </c>
      <c r="D394" s="23" t="s">
        <v>1093</v>
      </c>
      <c r="E394" s="23" t="s">
        <v>1092</v>
      </c>
      <c r="F394" s="15" t="s">
        <v>1062</v>
      </c>
      <c r="G394" s="23" t="s">
        <v>1063</v>
      </c>
      <c r="P394" s="24" t="str">
        <f>テーブル1[[#This Row],[リンク]]&amp;テーブル1[[#This Row],[描画状況]]</f>
        <v>https://yukimiyashimusho.jimdofree.com</v>
      </c>
      <c r="Q394" s="17">
        <f>1-(COUNTIF(P:P,_xlfn.TEXTJOIN(",",TRUE,テーブル1[[#This Row],[リンク]],テーブル1[[#This Row],[描画状況]]))/COUNTIF(F:F,テーブル1[[#This Row],[リンク]]))</f>
        <v>7.1428571428571397E-2</v>
      </c>
      <c r="R394" s="16">
        <f ca="1">IFERROR(IF(テーブル1[[#This Row],[描画状況]]="",RAND()+(テーブル1[[#This Row],[列2]]*100),""),RAND())</f>
        <v>7.8837554797856857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|&amp;image(myo.png,width=100,height=100)</v>
      </c>
      <c r="V394" s="23" t="str">
        <f>"|MIDDLE:​"&amp;テーブル1[[#This Row],[名前]]</f>
        <v>|MIDDLE:​Myo</v>
      </c>
      <c r="W394" s="23" t="str">
        <f>"|MIDDLE:​"&amp;テーブル1[[#This Row],[なまえ]]</f>
        <v>|MIDDLE:​みお</v>
      </c>
      <c r="X394" s="23" t="str">
        <f>"|MIDDLE:​"&amp;テーブル1[[#This Row],[Name]]</f>
        <v>|MIDDLE:​Myo</v>
      </c>
      <c r="Y394" s="23" t="str">
        <f>"|MIDDLE:​&amp;link(配布所はこちら){​"&amp;テーブル1[[#This Row],[リンク]]&amp;"}|"</f>
        <v>|MIDDLE:​&amp;link(配布所はこちら){​https://yukimiyashimusho.jimdofree.com}|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395" s="24" t="s">
        <v>1276</v>
      </c>
      <c r="D395" s="23" t="s">
        <v>1278</v>
      </c>
      <c r="E395" s="23" t="s">
        <v>1277</v>
      </c>
      <c r="F395" s="15" t="s">
        <v>174</v>
      </c>
      <c r="G395" s="24" t="s">
        <v>1285</v>
      </c>
      <c r="H395" s="24"/>
      <c r="I395" s="24"/>
      <c r="J395" s="24"/>
      <c r="K395" s="24"/>
      <c r="L395" s="24"/>
      <c r="M395" s="24"/>
      <c r="P395" s="24" t="str">
        <f>テーブル1[[#This Row],[リンク]]&amp;テーブル1[[#This Row],[描画状況]]</f>
        <v>https://lenskkpb.wixsite.com/len-sakaki-official</v>
      </c>
      <c r="Q395" s="17">
        <f>1-(COUNTIF(P:P,_xlfn.TEXTJOIN(",",TRUE,テーブル1[[#This Row],[リンク]],テーブル1[[#This Row],[描画状況]]))/COUNTIF(F:F,テーブル1[[#This Row],[リンク]]))</f>
        <v>0.125</v>
      </c>
      <c r="R395" s="16">
        <f ca="1">IFERROR(IF(テーブル1[[#This Row],[描画状況]]="",RAND()+(テーブル1[[#This Row],[列2]]*100),""),RAND())</f>
        <v>12.687241881684439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|&amp;image(mizou.png,width=100,height=100)</v>
      </c>
      <c r="V395" s="23" t="str">
        <f>"|MIDDLE:​"&amp;テーブル1[[#This Row],[名前]]</f>
        <v>|MIDDLE:​未曾鬱</v>
      </c>
      <c r="W395" s="23" t="str">
        <f>"|MIDDLE:​"&amp;テーブル1[[#This Row],[なまえ]]</f>
        <v>|MIDDLE:​みぞう</v>
      </c>
      <c r="X395" s="23" t="str">
        <f>"|MIDDLE:​"&amp;テーブル1[[#This Row],[Name]]</f>
        <v>|MIDDLE:​Mizou</v>
      </c>
      <c r="Y39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396" s="24" t="s">
        <v>1446</v>
      </c>
      <c r="D396" s="23" t="s">
        <v>1447</v>
      </c>
      <c r="E396" s="23" t="s">
        <v>1448</v>
      </c>
      <c r="F396" s="15" t="s">
        <v>1437</v>
      </c>
      <c r="G396" s="23" t="s">
        <v>1438</v>
      </c>
      <c r="P396" s="24" t="str">
        <f>テーブル1[[#This Row],[リンク]]&amp;テーブル1[[#This Row],[描画状況]]</f>
        <v>https://bowlroll.net/user/992955</v>
      </c>
      <c r="Q396" s="17">
        <f>1-(COUNTIF(P:P,_xlfn.TEXTJOIN(",",TRUE,テーブル1[[#This Row],[リンク]],テーブル1[[#This Row],[描画状況]]))/COUNTIF(F:F,テーブル1[[#This Row],[リンク]]))</f>
        <v>0</v>
      </c>
      <c r="R396" s="16">
        <f ca="1">IFERROR(IF(テーブル1[[#This Row],[描画状況]]="",RAND()+(テーブル1[[#This Row],[列2]]*100),""),RAND())</f>
        <v>0.97990346321524768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|&amp;image(mima.png,width=100,height=100)</v>
      </c>
      <c r="V396" s="23" t="str">
        <f>"|MIDDLE:​"&amp;テーブル1[[#This Row],[名前]]</f>
        <v>|MIDDLE:​深真</v>
      </c>
      <c r="W396" s="23" t="str">
        <f>"|MIDDLE:​"&amp;テーブル1[[#This Row],[なまえ]]</f>
        <v>|MIDDLE:​みま</v>
      </c>
      <c r="X396" s="23" t="str">
        <f>"|MIDDLE:​"&amp;テーブル1[[#This Row],[Name]]</f>
        <v>|MIDDLE:​Mima</v>
      </c>
      <c r="Y396" s="23" t="str">
        <f>"|MIDDLE:​&amp;link(配布所はこちら){​"&amp;テーブル1[[#This Row],[リンク]]&amp;"}|"</f>
        <v>|MIDDLE:​&amp;link(配布所はこちら){​https://bowlroll.net/user/992955}|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397" s="24" t="s">
        <v>1267</v>
      </c>
      <c r="D397" s="23" t="s">
        <v>1269</v>
      </c>
      <c r="E397" s="23" t="s">
        <v>1268</v>
      </c>
      <c r="F397" s="15" t="s">
        <v>174</v>
      </c>
      <c r="G397" s="24" t="s">
        <v>1282</v>
      </c>
      <c r="H397" s="24"/>
      <c r="I397" s="24"/>
      <c r="J397" s="24"/>
      <c r="K397" s="24"/>
      <c r="L397" s="24"/>
      <c r="M397" s="24"/>
      <c r="P397" s="24" t="str">
        <f>テーブル1[[#This Row],[リンク]]&amp;テーブル1[[#This Row],[描画状況]]</f>
        <v>https://lenskkpb.wixsite.com/len-sakaki-official</v>
      </c>
      <c r="Q397" s="17">
        <f>1-(COUNTIF(P:P,_xlfn.TEXTJOIN(",",TRUE,テーブル1[[#This Row],[リンク]],テーブル1[[#This Row],[描画状況]]))/COUNTIF(F:F,テーブル1[[#This Row],[リンク]]))</f>
        <v>0.125</v>
      </c>
      <c r="R397" s="16">
        <f ca="1">IFERROR(IF(テーブル1[[#This Row],[描画状況]]="",RAND()+(テーブル1[[#This Row],[列2]]*100),""),RAND())</f>
        <v>12.567750101349747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|&amp;image(mugen-elec.png,width=100,height=100)</v>
      </c>
      <c r="V397" s="23" t="str">
        <f>"|MIDDLE:​"&amp;テーブル1[[#This Row],[名前]]</f>
        <v>|MIDDLE:​六弦エレキ</v>
      </c>
      <c r="W397" s="23" t="str">
        <f>"|MIDDLE:​"&amp;テーブル1[[#This Row],[なまえ]]</f>
        <v>|MIDDLE:​むげん えれき</v>
      </c>
      <c r="X397" s="23" t="str">
        <f>"|MIDDLE:​"&amp;テーブル1[[#This Row],[Name]]</f>
        <v>|MIDDLE:​Mugen Elec</v>
      </c>
      <c r="Y39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398" s="24" t="s">
        <v>1367</v>
      </c>
      <c r="D398" s="23" t="s">
        <v>1369</v>
      </c>
      <c r="E398" s="23" t="s">
        <v>1368</v>
      </c>
      <c r="F398" s="2" t="s">
        <v>1353</v>
      </c>
      <c r="G398" s="23" t="s">
        <v>1354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12.641016602817345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|&amp;image(mushiki-sai.png,width=100,height=100)</v>
      </c>
      <c r="V398" s="23" t="str">
        <f>"|MIDDLE:​"&amp;テーブル1[[#This Row],[名前]]</f>
        <v>|MIDDLE:​夢識塞</v>
      </c>
      <c r="W398" s="23" t="str">
        <f>"|MIDDLE:​"&amp;テーブル1[[#This Row],[なまえ]]</f>
        <v>|MIDDLE:​むしき さい</v>
      </c>
      <c r="X398" s="23" t="str">
        <f>"|MIDDLE:​"&amp;テーブル1[[#This Row],[Name]]</f>
        <v>|MIDDLE:​Mushiki Sai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399" s="24" t="s">
        <v>958</v>
      </c>
      <c r="D399" s="23" t="s">
        <v>959</v>
      </c>
      <c r="E399" s="23" t="s">
        <v>960</v>
      </c>
      <c r="F399" s="2" t="s">
        <v>1689</v>
      </c>
      <c r="G399" s="23" t="str">
        <f>テーブル1[[#This Row],[名前]]&amp;"(UTAU)"</f>
        <v>メジロ・メイホァ(UTAU)</v>
      </c>
      <c r="H399" s="23" t="s">
        <v>1617</v>
      </c>
      <c r="L399" s="23" t="s">
        <v>1627</v>
      </c>
      <c r="N399" s="1" t="s">
        <v>1508</v>
      </c>
      <c r="P399" s="24" t="str">
        <f>テーブル1[[#This Row],[リンク]]&amp;テーブル1[[#This Row],[描画状況]]</f>
        <v>https://ameutaulii.wixsite.com/telepathycapsule</v>
      </c>
      <c r="Q399" s="17">
        <f>1-(COUNTIF(P:P,_xlfn.TEXTJOIN(",",TRUE,テーブル1[[#This Row],[リンク]],テーブル1[[#This Row],[描画状況]]))/COUNTIF(F:F,テーブル1[[#This Row],[リンク]]))</f>
        <v>0.16666666666666663</v>
      </c>
      <c r="R399" s="16">
        <f ca="1">IFERROR(IF(テーブル1[[#This Row],[描画状況]]="",RAND()+(テーブル1[[#This Row],[列2]]*100),""),RAND())</f>
        <v>17.382591251098642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|&amp;image(mejiro-meihua.png,width=100,height=100)</v>
      </c>
      <c r="V399" s="23" t="str">
        <f>"|MIDDLE:​"&amp;テーブル1[[#This Row],[名前]]</f>
        <v>|MIDDLE:​メジロ・メイホァ</v>
      </c>
      <c r="W399" s="23" t="str">
        <f>"|MIDDLE:​"&amp;テーブル1[[#This Row],[なまえ]]</f>
        <v>|MIDDLE:​めじろ めいほぁ</v>
      </c>
      <c r="X399" s="23" t="str">
        <f>"|MIDDLE:​"&amp;テーブル1[[#This Row],[Name]]</f>
        <v>|MIDDLE:​Mejiro Meihua</v>
      </c>
      <c r="Y39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00" s="24" t="s">
        <v>592</v>
      </c>
      <c r="D400" s="23" t="s">
        <v>593</v>
      </c>
      <c r="E400" s="23" t="s">
        <v>594</v>
      </c>
      <c r="F400" s="2" t="s">
        <v>591</v>
      </c>
      <c r="G400" s="23" t="str">
        <f>テーブル1[[#This Row],[名前]]&amp;"(UTAU)"</f>
        <v>雌奏マガ(UTAU)</v>
      </c>
      <c r="P400" s="24" t="str">
        <f>テーブル1[[#This Row],[リンク]]&amp;テーブル1[[#This Row],[描画状況]]</f>
        <v>https://tomatoshop.studio.site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0.48422193699535687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|&amp;image(meso-maga.png,width=100,height=100)</v>
      </c>
      <c r="V400" s="23" t="str">
        <f>"|MIDDLE:​"&amp;テーブル1[[#This Row],[名前]]</f>
        <v>|MIDDLE:​雌奏マガ</v>
      </c>
      <c r="W400" s="23" t="str">
        <f>"|MIDDLE:​"&amp;テーブル1[[#This Row],[なまえ]]</f>
        <v>|MIDDLE:​めそう まが</v>
      </c>
      <c r="X400" s="23" t="str">
        <f>"|MIDDLE:​"&amp;テーブル1[[#This Row],[Name]]</f>
        <v>|MIDDLE:​Meso Maga</v>
      </c>
      <c r="Y400" s="23" t="str">
        <f>"|MIDDLE:​&amp;link(配布所はこちら){​"&amp;テーブル1[[#This Row],[リンク]]&amp;"}|"</f>
        <v>|MIDDLE:​&amp;link(配布所はこちら){​https://tomatoshop.studio.site}|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01" s="24" t="s">
        <v>963</v>
      </c>
      <c r="D401" s="23" t="s">
        <v>964</v>
      </c>
      <c r="E401" s="23" t="s">
        <v>965</v>
      </c>
      <c r="F401" s="2" t="s">
        <v>1689</v>
      </c>
      <c r="G401" s="23" t="str">
        <f>テーブル1[[#This Row],[名前]]&amp;"(UTAU)"</f>
        <v>メタ・クアドラ(UTAU)</v>
      </c>
      <c r="H401" s="23" t="s">
        <v>1616</v>
      </c>
      <c r="I401" s="23" t="s">
        <v>1691</v>
      </c>
      <c r="M401" s="23" t="s">
        <v>1662</v>
      </c>
      <c r="N401" s="1" t="s">
        <v>1508</v>
      </c>
      <c r="P401" s="24" t="str">
        <f>テーブル1[[#This Row],[リンク]]&amp;テーブル1[[#This Row],[描画状況]]</f>
        <v>https://ameutaulii.wixsite.com/telepathycapsule</v>
      </c>
      <c r="Q401" s="17">
        <f>1-(COUNTIF(P:P,_xlfn.TEXTJOIN(",",TRUE,テーブル1[[#This Row],[リンク]],テーブル1[[#This Row],[描画状況]]))/COUNTIF(F:F,テーブル1[[#This Row],[リンク]]))</f>
        <v>0.16666666666666663</v>
      </c>
      <c r="R401" s="16">
        <f ca="1">IFERROR(IF(テーブル1[[#This Row],[描画状況]]="",RAND()+(テーブル1[[#This Row],[列2]]*100),""),RAND())</f>
        <v>16.790413078703722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|&amp;image(meta-kuadora.png,width=100,height=100)</v>
      </c>
      <c r="V401" s="23" t="str">
        <f>"|MIDDLE:​"&amp;テーブル1[[#This Row],[名前]]</f>
        <v>|MIDDLE:​メタ・クアドラ</v>
      </c>
      <c r="W401" s="23" t="str">
        <f>"|MIDDLE:​"&amp;テーブル1[[#This Row],[なまえ]]</f>
        <v>|MIDDLE:​めた くあどら</v>
      </c>
      <c r="X401" s="23" t="str">
        <f>"|MIDDLE:​"&amp;テーブル1[[#This Row],[Name]]</f>
        <v>|MIDDLE:​Meta Kuadora</v>
      </c>
      <c r="Y401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02" s="24" t="s">
        <v>1206</v>
      </c>
      <c r="D402" s="23" t="s">
        <v>1224</v>
      </c>
      <c r="E402" s="23" t="s">
        <v>1223</v>
      </c>
      <c r="F402" s="15" t="s">
        <v>336</v>
      </c>
      <c r="G402" s="23" t="s">
        <v>337</v>
      </c>
      <c r="P402" s="24" t="str">
        <f>テーブル1[[#This Row],[リンク]]&amp;テーブル1[[#This Row],[描画状況]]</f>
        <v>https://torinosu-hikikomori.jimdofree.com</v>
      </c>
      <c r="Q402" s="17">
        <f>1-(COUNTIF(P:P,_xlfn.TEXTJOIN(",",TRUE,テーブル1[[#This Row],[リンク]],テーブル1[[#This Row],[描画状況]]))/COUNTIF(F:F,テーブル1[[#This Row],[リンク]]))</f>
        <v>0.125</v>
      </c>
      <c r="R402" s="16">
        <f ca="1">IFERROR(IF(テーブル1[[#This Row],[描画状況]]="",RAND()+(テーブル1[[#This Row],[列2]]*100),""),RAND())</f>
        <v>13.006319827479661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|&amp;image(memeta-asei.png,width=100,height=100)</v>
      </c>
      <c r="V402" s="23" t="str">
        <f>"|MIDDLE:​"&amp;テーブル1[[#This Row],[名前]]</f>
        <v>|MIDDLE:​芽々田蛙声</v>
      </c>
      <c r="W402" s="23" t="str">
        <f>"|MIDDLE:​"&amp;テーブル1[[#This Row],[なまえ]]</f>
        <v>|MIDDLE:​めめた あせい</v>
      </c>
      <c r="X402" s="23" t="str">
        <f>"|MIDDLE:​"&amp;テーブル1[[#This Row],[Name]]</f>
        <v>|MIDDLE:​Memeta Asei</v>
      </c>
      <c r="Y402" s="23" t="str">
        <f>"|MIDDLE:​&amp;link(配布所はこちら){​"&amp;テーブル1[[#This Row],[リンク]]&amp;"}|"</f>
        <v>|MIDDLE:​&amp;link(配布所はこちら){​https://torinosu-hikikomori.jimdofree.com}|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03" s="24" t="s">
        <v>970</v>
      </c>
      <c r="D403" s="23" t="s">
        <v>971</v>
      </c>
      <c r="E403" s="23" t="s">
        <v>972</v>
      </c>
      <c r="F403" s="2" t="s">
        <v>1689</v>
      </c>
      <c r="G403" s="23" t="str">
        <f>テーブル1[[#This Row],[名前]]&amp;"(UTAU)"</f>
        <v>メルジ・ハクア(UTAU)</v>
      </c>
      <c r="H403" s="23" t="s">
        <v>1617</v>
      </c>
      <c r="N403" s="1" t="s">
        <v>1508</v>
      </c>
      <c r="P403" s="24" t="str">
        <f>テーブル1[[#This Row],[リンク]]&amp;テーブル1[[#This Row],[描画状況]]</f>
        <v>https://ameutaulii.wixsite.com/telepathycapsule</v>
      </c>
      <c r="Q403" s="17">
        <f>1-(COUNTIF(P:P,_xlfn.TEXTJOIN(",",TRUE,テーブル1[[#This Row],[リンク]],テーブル1[[#This Row],[描画状況]]))/COUNTIF(F:F,テーブル1[[#This Row],[リンク]]))</f>
        <v>0.16666666666666663</v>
      </c>
      <c r="R403" s="16">
        <f ca="1">IFERROR(IF(テーブル1[[#This Row],[描画状況]]="",RAND()+(テーブル1[[#This Row],[列2]]*100),""),RAND())</f>
        <v>16.692438280889043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|&amp;image(meruji-hakua.png,width=100,height=100)</v>
      </c>
      <c r="V403" s="23" t="str">
        <f>"|MIDDLE:​"&amp;テーブル1[[#This Row],[名前]]</f>
        <v>|MIDDLE:​メルジ・ハクア</v>
      </c>
      <c r="W403" s="23" t="str">
        <f>"|MIDDLE:​"&amp;テーブル1[[#This Row],[なまえ]]</f>
        <v>|MIDDLE:​めるじ はくあ</v>
      </c>
      <c r="X403" s="23" t="str">
        <f>"|MIDDLE:​"&amp;テーブル1[[#This Row],[Name]]</f>
        <v>|MIDDLE:​Meruji Hakua</v>
      </c>
      <c r="Y40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04" s="24" t="s">
        <v>1150</v>
      </c>
      <c r="D404" s="23" t="s">
        <v>1151</v>
      </c>
      <c r="E404" s="23" t="s">
        <v>1152</v>
      </c>
      <c r="F404" s="15" t="s">
        <v>1140</v>
      </c>
      <c r="G404" s="23" t="s">
        <v>1153</v>
      </c>
      <c r="P404" s="24" t="str">
        <f>テーブル1[[#This Row],[リンク]]&amp;テーブル1[[#This Row],[描画状況]]</f>
        <v>https://sites.google.com/view/report1023</v>
      </c>
      <c r="Q404" s="17">
        <f>1-(COUNTIF(P:P,_xlfn.TEXTJOIN(",",TRUE,テーブル1[[#This Row],[リンク]],テーブル1[[#This Row],[描画状況]]))/COUNTIF(F:F,テーブル1[[#This Row],[リンク]]))</f>
        <v>0</v>
      </c>
      <c r="R404" s="16">
        <f ca="1">IFERROR(IF(テーブル1[[#This Row],[描画状況]]="",RAND()+(テーブル1[[#This Row],[列2]]*100),""),RAND())</f>
        <v>8.6042328722149675E-2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|&amp;image(morino-urusu.png,width=100,height=100)</v>
      </c>
      <c r="V404" s="23" t="str">
        <f>"|MIDDLE:​"&amp;テーブル1[[#This Row],[名前]]</f>
        <v>|MIDDLE:​森埜ウルス</v>
      </c>
      <c r="W404" s="23" t="str">
        <f>"|MIDDLE:​"&amp;テーブル1[[#This Row],[なまえ]]</f>
        <v>|MIDDLE:​もりの うるす</v>
      </c>
      <c r="X404" s="23" t="str">
        <f>"|MIDDLE:​"&amp;テーブル1[[#This Row],[Name]]</f>
        <v>|MIDDLE:​Morino Urusu</v>
      </c>
      <c r="Y404" s="23" t="str">
        <f>"|MIDDLE:​&amp;link(配布所はこちら){​"&amp;テーブル1[[#This Row],[リンク]]&amp;"}|"</f>
        <v>|MIDDLE:​&amp;link(配布所はこちら){​https://sites.google.com/view/report1023}|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05" s="24" t="s">
        <v>1144</v>
      </c>
      <c r="D405" s="23" t="s">
        <v>1145</v>
      </c>
      <c r="E405" s="23" t="s">
        <v>1146</v>
      </c>
      <c r="F405" s="15" t="s">
        <v>1140</v>
      </c>
      <c r="G405" s="23" t="s">
        <v>1153</v>
      </c>
      <c r="P405" s="24" t="str">
        <f>テーブル1[[#This Row],[リンク]]&amp;テーブル1[[#This Row],[描画状況]]</f>
        <v>https://sites.google.com/view/report1023</v>
      </c>
      <c r="Q405" s="17">
        <f>1-(COUNTIF(P:P,_xlfn.TEXTJOIN(",",TRUE,テーブル1[[#This Row],[リンク]],テーブル1[[#This Row],[描画状況]]))/COUNTIF(F:F,テーブル1[[#This Row],[リンク]]))</f>
        <v>0</v>
      </c>
      <c r="R405" s="16">
        <f ca="1">IFERROR(IF(テーブル1[[#This Row],[描画状況]]="",RAND()+(テーブル1[[#This Row],[列2]]*100),""),RAND())</f>
        <v>0.60603753964549611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|&amp;image(yasane-mofu.png,width=100,height=100)</v>
      </c>
      <c r="V405" s="23" t="str">
        <f>"|MIDDLE:​"&amp;テーブル1[[#This Row],[名前]]</f>
        <v>|MIDDLE:​優音モフ</v>
      </c>
      <c r="W405" s="23" t="str">
        <f>"|MIDDLE:​"&amp;テーブル1[[#This Row],[なまえ]]</f>
        <v>|MIDDLE:​やさね もふ</v>
      </c>
      <c r="X405" s="23" t="str">
        <f>"|MIDDLE:​"&amp;テーブル1[[#This Row],[Name]]</f>
        <v>|MIDDLE:​Yasane Mofu</v>
      </c>
      <c r="Y405" s="23" t="str">
        <f>"|MIDDLE:​&amp;link(配布所はこちら){​"&amp;テーブル1[[#This Row],[リンク]]&amp;"}|"</f>
        <v>|MIDDLE:​&amp;link(配布所はこちら){​https://sites.google.com/view/report1023}|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06" s="24" t="s">
        <v>1341</v>
      </c>
      <c r="D406" s="23" t="s">
        <v>1343</v>
      </c>
      <c r="E406" s="23" t="s">
        <v>1344</v>
      </c>
      <c r="F406" s="15" t="s">
        <v>1342</v>
      </c>
      <c r="G406" s="23" t="s">
        <v>1345</v>
      </c>
      <c r="P406" s="24" t="str">
        <f>テーブル1[[#This Row],[リンク]]&amp;テーブル1[[#This Row],[描画状況]]</f>
        <v>https://renrivoice.wixsite.com/renri-voice</v>
      </c>
      <c r="Q406" s="17">
        <f>1-(COUNTIF(P:P,_xlfn.TEXTJOIN(",",TRUE,テーブル1[[#This Row],[リンク]],テーブル1[[#This Row],[描画状況]]))/COUNTIF(F:F,テーブル1[[#This Row],[リンク]]))</f>
        <v>0</v>
      </c>
      <c r="R406" s="16">
        <f ca="1">IFERROR(IF(テーブル1[[#This Row],[描画状況]]="",RAND()+(テーブル1[[#This Row],[列2]]*100),""),RAND())</f>
        <v>0.9410527325411473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|&amp;image(yamine-rennri.png,width=100,height=100)</v>
      </c>
      <c r="V406" s="23" t="str">
        <f>"|MIDDLE:​"&amp;テーブル1[[#This Row],[名前]]</f>
        <v>|MIDDLE:​闇音レンリ</v>
      </c>
      <c r="W406" s="23" t="str">
        <f>"|MIDDLE:​"&amp;テーブル1[[#This Row],[なまえ]]</f>
        <v>|MIDDLE:​やみね れんり</v>
      </c>
      <c r="X406" s="23" t="str">
        <f>"|MIDDLE:​"&amp;テーブル1[[#This Row],[Name]]</f>
        <v>|MIDDLE:​Yamine Rennri</v>
      </c>
      <c r="Y406" s="23" t="str">
        <f>"|MIDDLE:​&amp;link(配布所はこちら){​"&amp;テーブル1[[#This Row],[リンク]]&amp;"}|"</f>
        <v>|MIDDLE:​&amp;link(配布所はこちら){​https://renrivoice.wixsite.com/renri-voice}|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07" s="24" t="s">
        <v>911</v>
      </c>
      <c r="D407" s="23" t="s">
        <v>913</v>
      </c>
      <c r="E407" s="23" t="s">
        <v>912</v>
      </c>
      <c r="F407" s="15" t="s">
        <v>901</v>
      </c>
      <c r="G407" s="23" t="s">
        <v>914</v>
      </c>
      <c r="P407" s="24" t="str">
        <f>テーブル1[[#This Row],[リンク]]&amp;テーブル1[[#This Row],[描画状況]]</f>
        <v>https://suukedayo.wixsite.com/shiawasefairu</v>
      </c>
      <c r="Q407" s="17">
        <f>1-(COUNTIF(P:P,_xlfn.TEXTJOIN(",",TRUE,テーブル1[[#This Row],[リンク]],テーブル1[[#This Row],[描画状況]]))/COUNTIF(F:F,テーブル1[[#This Row],[リンク]]))</f>
        <v>0</v>
      </c>
      <c r="R407" s="16">
        <f ca="1">IFERROR(IF(テーブル1[[#This Row],[描画状況]]="",RAND()+(テーブル1[[#This Row],[列2]]*100),""),RAND())</f>
        <v>0.99051240588486744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|&amp;image(you-me.png,width=100,height=100)</v>
      </c>
      <c r="V407" s="23" t="str">
        <f>"|MIDDLE:​"&amp;テーブル1[[#This Row],[名前]]</f>
        <v>|MIDDLE:​ユウミィ</v>
      </c>
      <c r="W407" s="23" t="str">
        <f>"|MIDDLE:​"&amp;テーブル1[[#This Row],[なまえ]]</f>
        <v>|MIDDLE:​ゆう みい</v>
      </c>
      <c r="X407" s="23" t="str">
        <f>"|MIDDLE:​"&amp;テーブル1[[#This Row],[Name]]</f>
        <v>|MIDDLE:​You Me</v>
      </c>
      <c r="Y407" s="23" t="str">
        <f>"|MIDDLE:​&amp;link(配布所はこちら){​"&amp;テーブル1[[#This Row],[リンク]]&amp;"}|"</f>
        <v>|MIDDLE:​&amp;link(配布所はこちら){​https://suukedayo.wixsite.com/shiawasefairu}|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08" s="24" t="s">
        <v>905</v>
      </c>
      <c r="D408" s="23" t="s">
        <v>907</v>
      </c>
      <c r="E408" s="23" t="s">
        <v>906</v>
      </c>
      <c r="F408" s="15" t="s">
        <v>901</v>
      </c>
      <c r="G408" s="23" t="s">
        <v>914</v>
      </c>
      <c r="P408" s="24" t="str">
        <f>テーブル1[[#This Row],[リンク]]&amp;テーブル1[[#This Row],[描画状況]]</f>
        <v>https://suukedayo.wixsite.com/shiawasefairu</v>
      </c>
      <c r="Q408" s="17">
        <f>1-(COUNTIF(P:P,_xlfn.TEXTJOIN(",",TRUE,テーブル1[[#This Row],[リンク]],テーブル1[[#This Row],[描画状況]]))/COUNTIF(F:F,テーブル1[[#This Row],[リンク]]))</f>
        <v>0</v>
      </c>
      <c r="R408" s="16">
        <f ca="1">IFERROR(IF(テーブル1[[#This Row],[描画状況]]="",RAND()+(テーブル1[[#This Row],[列2]]*100),""),RAND())</f>
        <v>0.41906235875663556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|&amp;image(yuune-suzu.png,width=100,height=100)</v>
      </c>
      <c r="V408" s="23" t="str">
        <f>"|MIDDLE:​"&amp;テーブル1[[#This Row],[名前]]</f>
        <v>|MIDDLE:​融音スゞ</v>
      </c>
      <c r="W408" s="23" t="str">
        <f>"|MIDDLE:​"&amp;テーブル1[[#This Row],[なまえ]]</f>
        <v>|MIDDLE:​ゆうね すず</v>
      </c>
      <c r="X408" s="23" t="str">
        <f>"|MIDDLE:​"&amp;テーブル1[[#This Row],[Name]]</f>
        <v>|MIDDLE:​Yuune Suzu</v>
      </c>
      <c r="Y408" s="23" t="str">
        <f>"|MIDDLE:​&amp;link(配布所はこちら){​"&amp;テーブル1[[#This Row],[リンク]]&amp;"}|"</f>
        <v>|MIDDLE:​&amp;link(配布所はこちら){​https://suukedayo.wixsite.com/shiawasefairu}|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09" s="24" t="s">
        <v>1127</v>
      </c>
      <c r="D409" s="23" t="s">
        <v>1129</v>
      </c>
      <c r="E409" s="23" t="s">
        <v>1128</v>
      </c>
      <c r="F409" s="15" t="s">
        <v>1139</v>
      </c>
      <c r="G409" s="23" t="str">
        <f>テーブル1[[#This Row],[名前]]&amp;"(UTAU)"</f>
        <v>雪鳴こん(UTAU)</v>
      </c>
      <c r="P409" s="24" t="str">
        <f>テーブル1[[#This Row],[リンク]]&amp;テーブル1[[#This Row],[描画状況]]</f>
        <v>https://yautau.wixsite.com/0909</v>
      </c>
      <c r="Q409" s="17">
        <f>1-(COUNTIF(P:P,_xlfn.TEXTJOIN(",",TRUE,テーブル1[[#This Row],[リンク]],テーブル1[[#This Row],[描画状況]]))/COUNTIF(F:F,テーブル1[[#This Row],[リンク]]))</f>
        <v>0.125</v>
      </c>
      <c r="R409" s="16">
        <f ca="1">IFERROR(IF(テーブル1[[#This Row],[描画状況]]="",RAND()+(テーブル1[[#This Row],[列2]]*100),""),RAND())</f>
        <v>13.321215577058748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|&amp;image(yukina-kon.png,width=100,height=100)</v>
      </c>
      <c r="V409" s="23" t="str">
        <f>"|MIDDLE:​"&amp;テーブル1[[#This Row],[名前]]</f>
        <v>|MIDDLE:​雪鳴こん</v>
      </c>
      <c r="W409" s="23" t="str">
        <f>"|MIDDLE:​"&amp;テーブル1[[#This Row],[なまえ]]</f>
        <v>|MIDDLE:​ゆきな こん</v>
      </c>
      <c r="X409" s="23" t="str">
        <f>"|MIDDLE:​"&amp;テーブル1[[#This Row],[Name]]</f>
        <v>|MIDDLE:​Yukina Kon</v>
      </c>
      <c r="Y409" s="23" t="str">
        <f>"|MIDDLE:​&amp;link(配布所はこちら){​"&amp;テーブル1[[#This Row],[リンク]]&amp;"}|"</f>
        <v>|MIDDLE:​&amp;link(配布所はこちら){​https://yautau.wixsite.com/0909}|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10" s="24" t="s">
        <v>1033</v>
      </c>
      <c r="D410" s="23" t="s">
        <v>1034</v>
      </c>
      <c r="E410" s="23" t="s">
        <v>1035</v>
      </c>
      <c r="F410" s="2" t="s">
        <v>517</v>
      </c>
      <c r="G410" s="23" t="s">
        <v>518</v>
      </c>
      <c r="N410" s="1" t="s">
        <v>1507</v>
      </c>
      <c r="P410" s="24" t="str">
        <f>テーブル1[[#This Row],[リンク]]&amp;テーブル1[[#This Row],[描画状況]]</f>
        <v>https://coyukimachi.wixsite.com/my-site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0.59983054783317225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|&amp;image(yukinoshita-suikazura.png,width=100,height=100)</v>
      </c>
      <c r="V410" s="23" t="str">
        <f>"|MIDDLE:​"&amp;テーブル1[[#This Row],[名前]]</f>
        <v>|MIDDLE:​​雪ノ下忍冬</v>
      </c>
      <c r="W410" s="23" t="str">
        <f>"|MIDDLE:​"&amp;テーブル1[[#This Row],[なまえ]]</f>
        <v>|MIDDLE:​ゆきのした すいかずら</v>
      </c>
      <c r="X410" s="23" t="str">
        <f>"|MIDDLE:​"&amp;テーブル1[[#This Row],[Name]]</f>
        <v>|MIDDLE:​Yukinoshita Suikazura</v>
      </c>
      <c r="Y410" s="23" t="str">
        <f>"|MIDDLE:​&amp;link(配布所はこちら){​"&amp;テーブル1[[#This Row],[リンク]]&amp;"}|"</f>
        <v>|MIDDLE:​&amp;link(配布所はこちら){​https://coyukimachi.wixsite.com/my-site}|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11" s="24" t="s">
        <v>745</v>
      </c>
      <c r="D411" s="23" t="s">
        <v>747</v>
      </c>
      <c r="E411" s="23" t="s">
        <v>748</v>
      </c>
      <c r="F411" s="15" t="s">
        <v>749</v>
      </c>
      <c r="G411" s="23" t="s">
        <v>746</v>
      </c>
      <c r="P411" s="24" t="str">
        <f>テーブル1[[#This Row],[リンク]]&amp;テーブル1[[#This Row],[描画状況]]</f>
        <v>https://bowlroll.net/user/964602</v>
      </c>
      <c r="Q411" s="17">
        <f>1-(COUNTIF(P:P,_xlfn.TEXTJOIN(",",TRUE,テーブル1[[#This Row],[リンク]],テーブル1[[#This Row],[描画状況]]))/COUNTIF(F:F,テーブル1[[#This Row],[リンク]]))</f>
        <v>0</v>
      </c>
      <c r="R411" s="16">
        <f ca="1">IFERROR(IF(テーブル1[[#This Row],[描画状況]]="",RAND()+(テーブル1[[#This Row],[列2]]*100),""),RAND())</f>
        <v>0.32854058352294746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|&amp;image(yukiyama-miruka.png,width=100,height=100)</v>
      </c>
      <c r="V411" s="23" t="str">
        <f>"|MIDDLE:​"&amp;テーブル1[[#This Row],[名前]]</f>
        <v>|MIDDLE:​雪山ミルカ</v>
      </c>
      <c r="W411" s="23" t="str">
        <f>"|MIDDLE:​"&amp;テーブル1[[#This Row],[なまえ]]</f>
        <v>|MIDDLE:​ゆきやま みるか</v>
      </c>
      <c r="X411" s="23" t="str">
        <f>"|MIDDLE:​"&amp;テーブル1[[#This Row],[Name]]</f>
        <v>|MIDDLE:​Yukiyama Miruka</v>
      </c>
      <c r="Y411" s="23" t="str">
        <f>"|MIDDLE:​&amp;link(配布所はこちら){​"&amp;テーブル1[[#This Row],[リンク]]&amp;"}|"</f>
        <v>|MIDDLE:​&amp;link(配布所はこちら){​https://bowlroll.net/user/964602}|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12" s="24" t="s">
        <v>813</v>
      </c>
      <c r="D412" s="23" t="s">
        <v>815</v>
      </c>
      <c r="E412" s="23" t="s">
        <v>814</v>
      </c>
      <c r="F412" s="2" t="s">
        <v>811</v>
      </c>
      <c r="G412" s="23" t="s">
        <v>812</v>
      </c>
      <c r="P412" s="24" t="str">
        <f>テーブル1[[#This Row],[リンク]]&amp;テーブル1[[#This Row],[描画状況]]</f>
        <v>https://makurakue.wixsite.com/kemononokemono</v>
      </c>
      <c r="Q412" s="17">
        <f>1-(COUNTIF(P:P,_xlfn.TEXTJOIN(",",TRUE,テーブル1[[#This Row],[リンク]],テーブル1[[#This Row],[描画状況]]))/COUNTIF(F:F,テーブル1[[#This Row],[リンク]]))</f>
        <v>0.4</v>
      </c>
      <c r="R412" s="16">
        <f ca="1">IFERROR(IF(テーブル1[[#This Row],[描画状況]]="",RAND()+(テーブル1[[#This Row],[列2]]*100),""),RAND())</f>
        <v>40.354371641622002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|&amp;image(yumezumi.png,width=100,height=100)</v>
      </c>
      <c r="V412" s="23" t="str">
        <f>"|MIDDLE:​"&amp;テーブル1[[#This Row],[名前]]</f>
        <v>|MIDDLE:​​夢住</v>
      </c>
      <c r="W412" s="23" t="str">
        <f>"|MIDDLE:​"&amp;テーブル1[[#This Row],[なまえ]]</f>
        <v>|MIDDLE:​ゆめずみ</v>
      </c>
      <c r="X412" s="23" t="str">
        <f>"|MIDDLE:​"&amp;テーブル1[[#This Row],[Name]]</f>
        <v>|MIDDLE:​Yumezumi</v>
      </c>
      <c r="Y412" s="23" t="str">
        <f>"|MIDDLE:​&amp;link(配布所はこちら){​"&amp;テーブル1[[#This Row],[リンク]]&amp;"}|"</f>
        <v>|MIDDLE:​&amp;link(配布所はこちら){​https://makurakue.wixsite.com/kemononokemono}|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13" s="24" t="s">
        <v>1094</v>
      </c>
      <c r="D413" s="23" t="s">
        <v>1095</v>
      </c>
      <c r="E413" s="23" t="s">
        <v>1096</v>
      </c>
      <c r="F413" s="15" t="s">
        <v>1062</v>
      </c>
      <c r="G413" s="23" t="s">
        <v>1063</v>
      </c>
      <c r="P413" s="24" t="str">
        <f>テーブル1[[#This Row],[リンク]]&amp;テーブル1[[#This Row],[描画状況]]</f>
        <v>https://yukimiyashimusho.jimdofree.com</v>
      </c>
      <c r="Q413" s="17">
        <f>1-(COUNTIF(P:P,_xlfn.TEXTJOIN(",",TRUE,テーブル1[[#This Row],[リンク]],テーブル1[[#This Row],[描画状況]]))/COUNTIF(F:F,テーブル1[[#This Row],[リンク]]))</f>
        <v>7.1428571428571397E-2</v>
      </c>
      <c r="R413" s="16">
        <f ca="1">IFERROR(IF(テーブル1[[#This Row],[描画状況]]="",RAND()+(テーブル1[[#This Row],[列2]]*100),""),RAND())</f>
        <v>7.8807072516560028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|&amp;image(yoakene-yori.png,width=100,height=100)</v>
      </c>
      <c r="V413" s="23" t="str">
        <f>"|MIDDLE:​"&amp;テーブル1[[#This Row],[名前]]</f>
        <v>|MIDDLE:​夜明音ヨリ</v>
      </c>
      <c r="W413" s="23" t="str">
        <f>"|MIDDLE:​"&amp;テーブル1[[#This Row],[なまえ]]</f>
        <v>|MIDDLE:​よあけね より</v>
      </c>
      <c r="X413" s="23" t="str">
        <f>"|MIDDLE:​"&amp;テーブル1[[#This Row],[Name]]</f>
        <v>|MIDDLE:​Yoakene Yori</v>
      </c>
      <c r="Y413" s="23" t="str">
        <f>"|MIDDLE:​&amp;link(配布所はこちら){​"&amp;テーブル1[[#This Row],[リンク]]&amp;"}|"</f>
        <v>|MIDDLE:​&amp;link(配布所はこちら){​https://yukimiyashimusho.jimdofree.com}|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14" s="24" t="s">
        <v>976</v>
      </c>
      <c r="D414" s="23" t="s">
        <v>977</v>
      </c>
      <c r="E414" s="23" t="s">
        <v>989</v>
      </c>
      <c r="F414" s="2" t="s">
        <v>569</v>
      </c>
      <c r="G414" s="23" t="s">
        <v>570</v>
      </c>
      <c r="N414" s="1" t="s">
        <v>1507</v>
      </c>
      <c r="P414" s="24" t="str">
        <f>テーブル1[[#This Row],[リンク]]&amp;テーブル1[[#This Row],[描画状況]]</f>
        <v>https://askdance.wixsite.com/monitor-room/monitor-room</v>
      </c>
      <c r="Q414" s="17">
        <f>1-(COUNTIF(P:P,_xlfn.TEXTJOIN(",",TRUE,テーブル1[[#This Row],[リンク]],テーブル1[[#This Row],[描画状況]]))/COUNTIF(F:F,テーブル1[[#This Row],[リンク]]))</f>
        <v>9.9999999999999978E-2</v>
      </c>
      <c r="R414" s="16">
        <f ca="1">IFERROR(IF(テーブル1[[#This Row],[描画状況]]="",RAND()+(テーブル1[[#This Row],[列2]]*100),""),RAND())</f>
        <v>10.325201271024786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|&amp;image(yoyaku-asuku.png,width=100,height=100)</v>
      </c>
      <c r="V414" s="23" t="str">
        <f>"|MIDDLE:​"&amp;テーブル1[[#This Row],[名前]]</f>
        <v>|MIDDLE:​踊躍あすく</v>
      </c>
      <c r="W414" s="23" t="str">
        <f>"|MIDDLE:​"&amp;テーブル1[[#This Row],[なまえ]]</f>
        <v>|MIDDLE:​ようやく あすく</v>
      </c>
      <c r="X414" s="23" t="str">
        <f>"|MIDDLE:​"&amp;テーブル1[[#This Row],[Name]]</f>
        <v>|MIDDLE:​Yoyaku Asuku</v>
      </c>
      <c r="Y41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15" s="24" t="s">
        <v>630</v>
      </c>
      <c r="D415" s="23" t="s">
        <v>631</v>
      </c>
      <c r="E415" s="23" t="s">
        <v>632</v>
      </c>
      <c r="F415" s="2" t="s">
        <v>633</v>
      </c>
      <c r="G415" s="23" t="s">
        <v>634</v>
      </c>
      <c r="P415" s="24" t="str">
        <f>テーブル1[[#This Row],[リンク]]&amp;テーブル1[[#This Row],[描画状況]]</f>
        <v>https://alceaakaza.wixsite.com/artkashic-uni-verse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1.4460289770275692E-2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|&amp;image(yoruda-kibo.png,width=100,height=100)</v>
      </c>
      <c r="V415" s="23" t="str">
        <f>"|MIDDLE:​"&amp;テーブル1[[#This Row],[名前]]</f>
        <v>|MIDDLE:​夜打キーボ</v>
      </c>
      <c r="W415" s="23" t="str">
        <f>"|MIDDLE:​"&amp;テーブル1[[#This Row],[なまえ]]</f>
        <v>|MIDDLE:​よるだ きーぼ</v>
      </c>
      <c r="X415" s="23" t="str">
        <f>"|MIDDLE:​"&amp;テーブル1[[#This Row],[Name]]</f>
        <v>|MIDDLE:​Yoruda Kibo</v>
      </c>
      <c r="Y415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16" s="24" t="s">
        <v>776</v>
      </c>
      <c r="D416" s="23" t="s">
        <v>777</v>
      </c>
      <c r="E416" s="23" t="s">
        <v>778</v>
      </c>
      <c r="F416" s="15" t="s">
        <v>775</v>
      </c>
      <c r="G416" s="23" t="str">
        <f>テーブル1[[#This Row],[名前]]&amp;"(UTAU)"</f>
        <v>螺婆(UTAU)</v>
      </c>
      <c r="N416" s="1" t="s">
        <v>1507</v>
      </c>
      <c r="P416" s="24" t="str">
        <f>テーブル1[[#This Row],[リンク]]&amp;テーブル1[[#This Row],[描画状況]]</f>
        <v>https://cmamizki.wixsite.com/edelstein</v>
      </c>
      <c r="Q416" s="17">
        <f>1-(COUNTIF(P:P,_xlfn.TEXTJOIN(",",TRUE,テーブル1[[#This Row],[リンク]],テーブル1[[#This Row],[描画状況]]))/COUNTIF(F:F,テーブル1[[#This Row],[リンク]]))</f>
        <v>9.0909090909090939E-2</v>
      </c>
      <c r="R416" s="16">
        <f ca="1">IFERROR(IF(テーブル1[[#This Row],[描画状況]]="",RAND()+(テーブル1[[#This Row],[列2]]*100),""),RAND())</f>
        <v>9.2860800638619683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|&amp;image(lava.png,width=100,height=100)</v>
      </c>
      <c r="V416" s="23" t="str">
        <f>"|MIDDLE:​"&amp;テーブル1[[#This Row],[名前]]</f>
        <v>|MIDDLE:​螺婆</v>
      </c>
      <c r="W416" s="23" t="str">
        <f>"|MIDDLE:​"&amp;テーブル1[[#This Row],[なまえ]]</f>
        <v>|MIDDLE:​らーば</v>
      </c>
      <c r="X416" s="23" t="str">
        <f>"|MIDDLE:​"&amp;テーブル1[[#This Row],[Name]]</f>
        <v>|MIDDLE:​Lava</v>
      </c>
      <c r="Y416" s="23" t="str">
        <f>"|MIDDLE:​&amp;link(配布所はこちら){​"&amp;テーブル1[[#This Row],[リンク]]&amp;"}|"</f>
        <v>|MIDDLE:​&amp;link(配布所はこちら){​https://cmamizki.wixsite.com/edelstein}|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17" s="24" t="s">
        <v>788</v>
      </c>
      <c r="D417" s="23" t="s">
        <v>789</v>
      </c>
      <c r="E417" s="23" t="s">
        <v>790</v>
      </c>
      <c r="F417" s="15" t="s">
        <v>775</v>
      </c>
      <c r="G417" s="23" t="str">
        <f>テーブル1[[#This Row],[名前]]&amp;"(UTAU)"</f>
        <v>ラリマー(UTAU)</v>
      </c>
      <c r="N417" s="1" t="s">
        <v>1507</v>
      </c>
      <c r="P417" s="24" t="str">
        <f>テーブル1[[#This Row],[リンク]]&amp;テーブル1[[#This Row],[描画状況]]</f>
        <v>https://cmamizki.wixsite.com/edelstein</v>
      </c>
      <c r="Q417" s="17">
        <f>1-(COUNTIF(P:P,_xlfn.TEXTJOIN(",",TRUE,テーブル1[[#This Row],[リンク]],テーブル1[[#This Row],[描画状況]]))/COUNTIF(F:F,テーブル1[[#This Row],[リンク]]))</f>
        <v>9.0909090909090939E-2</v>
      </c>
      <c r="R417" s="16">
        <f ca="1">IFERROR(IF(テーブル1[[#This Row],[描画状況]]="",RAND()+(テーブル1[[#This Row],[列2]]*100),""),RAND())</f>
        <v>10.027974931023019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|&amp;image(larimar.png,width=100,height=100)</v>
      </c>
      <c r="V417" s="23" t="str">
        <f>"|MIDDLE:​"&amp;テーブル1[[#This Row],[名前]]</f>
        <v>|MIDDLE:​ラリマー</v>
      </c>
      <c r="W417" s="23" t="str">
        <f>"|MIDDLE:​"&amp;テーブル1[[#This Row],[なまえ]]</f>
        <v>|MIDDLE:​らりまー</v>
      </c>
      <c r="X417" s="23" t="str">
        <f>"|MIDDLE:​"&amp;テーブル1[[#This Row],[Name]]</f>
        <v>|MIDDLE:​Larimar</v>
      </c>
      <c r="Y417" s="23" t="str">
        <f>"|MIDDLE:​&amp;link(配布所はこちら){​"&amp;テーブル1[[#This Row],[リンク]]&amp;"}|"</f>
        <v>|MIDDLE:​&amp;link(配布所はこちら){​https://cmamizki.wixsite.com/edelstein}|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18" s="24" t="s">
        <v>1088</v>
      </c>
      <c r="D418" s="23" t="s">
        <v>1089</v>
      </c>
      <c r="E418" s="23" t="s">
        <v>1088</v>
      </c>
      <c r="F418" s="15" t="s">
        <v>1062</v>
      </c>
      <c r="G418" s="23" t="s">
        <v>1063</v>
      </c>
      <c r="P418" s="24" t="str">
        <f>テーブル1[[#This Row],[リンク]]&amp;テーブル1[[#This Row],[描画状況]]</f>
        <v>https://yukimiyashimusho.jimdofree.com</v>
      </c>
      <c r="Q418" s="17">
        <f>1-(COUNTIF(P:P,_xlfn.TEXTJOIN(",",TRUE,テーブル1[[#This Row],[リンク]],テーブル1[[#This Row],[描画状況]]))/COUNTIF(F:F,テーブル1[[#This Row],[リンク]]))</f>
        <v>7.1428571428571397E-2</v>
      </c>
      <c r="R418" s="16">
        <f ca="1">IFERROR(IF(テーブル1[[#This Row],[描画状況]]="",RAND()+(テーブル1[[#This Row],[列2]]*100),""),RAND())</f>
        <v>7.8348385970419177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|&amp;image(rya.png,width=100,height=100)</v>
      </c>
      <c r="V418" s="23" t="str">
        <f>"|MIDDLE:​"&amp;テーブル1[[#This Row],[名前]]</f>
        <v>|MIDDLE:​Rya</v>
      </c>
      <c r="W418" s="23" t="str">
        <f>"|MIDDLE:​"&amp;テーブル1[[#This Row],[なまえ]]</f>
        <v>|MIDDLE:​りあ</v>
      </c>
      <c r="X418" s="23" t="str">
        <f>"|MIDDLE:​"&amp;テーブル1[[#This Row],[Name]]</f>
        <v>|MIDDLE:​Rya</v>
      </c>
      <c r="Y418" s="23" t="str">
        <f>"|MIDDLE:​&amp;link(配布所はこちら){​"&amp;テーブル1[[#This Row],[リンク]]&amp;"}|"</f>
        <v>|MIDDLE:​&amp;link(配布所はこちら){​https://yukimiyashimusho.jimdofree.com}|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19" s="24" t="s">
        <v>1079</v>
      </c>
      <c r="D419" s="23" t="s">
        <v>1080</v>
      </c>
      <c r="E419" s="23" t="s">
        <v>1081</v>
      </c>
      <c r="F419" s="15" t="s">
        <v>1062</v>
      </c>
      <c r="G419" s="23" t="s">
        <v>1063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7.9929900903917765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|&amp;image(riei-haiko.png,width=100,height=100)</v>
      </c>
      <c r="V419" s="23" t="str">
        <f>"|MIDDLE:​"&amp;テーブル1[[#This Row],[名前]]</f>
        <v>|MIDDLE:​理詠灰子</v>
      </c>
      <c r="W419" s="23" t="str">
        <f>"|MIDDLE:​"&amp;テーブル1[[#This Row],[なまえ]]</f>
        <v>|MIDDLE:​りえい はいこ</v>
      </c>
      <c r="X419" s="23" t="str">
        <f>"|MIDDLE:​"&amp;テーブル1[[#This Row],[Name]]</f>
        <v>|MIDDLE:​Riei Haiko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20" s="24" t="s">
        <v>838</v>
      </c>
      <c r="D420" s="23" t="s">
        <v>839</v>
      </c>
      <c r="E420" s="23" t="s">
        <v>840</v>
      </c>
      <c r="F420" s="2" t="s">
        <v>830</v>
      </c>
      <c r="G420" s="23" t="s">
        <v>831</v>
      </c>
      <c r="P420" s="24" t="str">
        <f>テーブル1[[#This Row],[リンク]]&amp;テーブル1[[#This Row],[描画状況]]</f>
        <v>https://kaedekatusaki.wixsite.com/yanagiroutyou</v>
      </c>
      <c r="Q420" s="17">
        <f>1-(COUNTIF(P:P,_xlfn.TEXTJOIN(",",TRUE,テーブル1[[#This Row],[リンク]],テーブル1[[#This Row],[描画状況]]))/COUNTIF(F:F,テーブル1[[#This Row],[リンク]]))</f>
        <v>0.125</v>
      </c>
      <c r="R420" s="16">
        <f ca="1">IFERROR(IF(テーブル1[[#This Row],[描画状況]]="",RAND()+(テーブル1[[#This Row],[列2]]*100),""),RAND())</f>
        <v>13.254940700969229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|&amp;image(rion-nyui.png,width=100,height=100)</v>
      </c>
      <c r="V420" s="23" t="str">
        <f>"|MIDDLE:​"&amp;テーブル1[[#This Row],[名前]]</f>
        <v>|MIDDLE:​理音ニュイ</v>
      </c>
      <c r="W420" s="23" t="str">
        <f>"|MIDDLE:​"&amp;テーブル1[[#This Row],[なまえ]]</f>
        <v>|MIDDLE:​りおん にゅい</v>
      </c>
      <c r="X420" s="23" t="str">
        <f>"|MIDDLE:​"&amp;テーブル1[[#This Row],[Name]]</f>
        <v>|MIDDLE:​Rion Nyui</v>
      </c>
      <c r="Y42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21" s="24" t="s">
        <v>607</v>
      </c>
      <c r="D421" s="23" t="s">
        <v>608</v>
      </c>
      <c r="E421" s="23" t="s">
        <v>609</v>
      </c>
      <c r="F421" s="2" t="s">
        <v>199</v>
      </c>
      <c r="G421" s="23" t="s">
        <v>200</v>
      </c>
      <c r="P421" s="24" t="str">
        <f>テーブル1[[#This Row],[リンク]]&amp;テーブル1[[#This Row],[描画状況]]</f>
        <v>https://mareffys.wixsite.com/lalo</v>
      </c>
      <c r="Q421" s="17">
        <f>1-(COUNTIF(P:P,_xlfn.TEXTJOIN(",",TRUE,テーブル1[[#This Row],[リンク]],テーブル1[[#This Row],[描画状況]]))/COUNTIF(F:F,テーブル1[[#This Row],[リンク]]))</f>
        <v>0.66666666666666674</v>
      </c>
      <c r="R421" s="16">
        <f ca="1">IFERROR(IF(テーブル1[[#This Row],[描画状況]]="",RAND()+(テーブル1[[#This Row],[列2]]*100),""),RAND())</f>
        <v>67.117624262807965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|&amp;image(rizuka.png,width=100,height=100)</v>
      </c>
      <c r="V421" s="23" t="str">
        <f>"|MIDDLE:​"&amp;テーブル1[[#This Row],[名前]]</f>
        <v>|MIDDLE:​リズカ</v>
      </c>
      <c r="W421" s="23" t="str">
        <f>"|MIDDLE:​"&amp;テーブル1[[#This Row],[なまえ]]</f>
        <v>|MIDDLE:​りずか</v>
      </c>
      <c r="X421" s="23" t="str">
        <f>"|MIDDLE:​"&amp;テーブル1[[#This Row],[Name]]</f>
        <v>|MIDDLE:​Rizuka</v>
      </c>
      <c r="Y421" s="23" t="str">
        <f>"|MIDDLE:​&amp;link(配布所はこちら){​"&amp;テーブル1[[#This Row],[リンク]]&amp;"}|"</f>
        <v>|MIDDLE:​&amp;link(配布所はこちら){​https://mareffys.wixsite.com/lalo}|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22" s="24" t="s">
        <v>783</v>
      </c>
      <c r="D422" s="24" t="s">
        <v>783</v>
      </c>
      <c r="E422" s="23" t="s">
        <v>784</v>
      </c>
      <c r="F422" s="15" t="s">
        <v>775</v>
      </c>
      <c r="G422" s="23" t="str">
        <f>テーブル1[[#This Row],[名前]]&amp;"(UTAU)"</f>
        <v>りせとたん(UTAU)</v>
      </c>
      <c r="N422" s="1" t="s">
        <v>1507</v>
      </c>
      <c r="P422" s="24" t="str">
        <f>テーブル1[[#This Row],[リンク]]&amp;テーブル1[[#This Row],[描画状況]]</f>
        <v>https://cmamizki.wixsite.com/edelstein</v>
      </c>
      <c r="Q422" s="17">
        <f>1-(COUNTIF(P:P,_xlfn.TEXTJOIN(",",TRUE,テーブル1[[#This Row],[リンク]],テーブル1[[#This Row],[描画状況]]))/COUNTIF(F:F,テーブル1[[#This Row],[リンク]]))</f>
        <v>9.0909090909090939E-2</v>
      </c>
      <c r="R422" s="16">
        <f ca="1">IFERROR(IF(テーブル1[[#This Row],[描画状況]]="",RAND()+(テーブル1[[#This Row],[列2]]*100),""),RAND())</f>
        <v>9.9587929801546888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|&amp;image(risetotan.png,width=100,height=100)</v>
      </c>
      <c r="V422" s="23" t="str">
        <f>"|MIDDLE:​"&amp;テーブル1[[#This Row],[名前]]</f>
        <v>|MIDDLE:​りせとたん</v>
      </c>
      <c r="W422" s="23" t="str">
        <f>"|MIDDLE:​"&amp;テーブル1[[#This Row],[なまえ]]</f>
        <v>|MIDDLE:​りせとたん</v>
      </c>
      <c r="X422" s="23" t="str">
        <f>"|MIDDLE:​"&amp;テーブル1[[#This Row],[Name]]</f>
        <v>|MIDDLE:​Risetotan</v>
      </c>
      <c r="Y422" s="23" t="str">
        <f>"|MIDDLE:​&amp;link(配布所はこちら){​"&amp;テーブル1[[#This Row],[リンク]]&amp;"}|"</f>
        <v>|MIDDLE:​&amp;link(配布所はこちら){​https://cmamizki.wixsite.com/edelstein}|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23" s="24" t="s">
        <v>1119</v>
      </c>
      <c r="D423" s="24" t="s">
        <v>1119</v>
      </c>
      <c r="E423" s="23" t="s">
        <v>1120</v>
      </c>
      <c r="F423" s="15" t="s">
        <v>1139</v>
      </c>
      <c r="G423" s="23" t="str">
        <f>テーブル1[[#This Row],[名前]]&amp;"(UTAU)"</f>
        <v>りるっぽいど(UTAU)</v>
      </c>
      <c r="P423" s="24" t="str">
        <f>テーブル1[[#This Row],[リンク]]&amp;テーブル1[[#This Row],[描画状況]]</f>
        <v>https://yautau.wixsite.com/0909</v>
      </c>
      <c r="Q423" s="17">
        <f>1-(COUNTIF(P:P,_xlfn.TEXTJOIN(",",TRUE,テーブル1[[#This Row],[リンク]],テーブル1[[#This Row],[描画状況]]))/COUNTIF(F:F,テーブル1[[#This Row],[リンク]]))</f>
        <v>0.125</v>
      </c>
      <c r="R423" s="16">
        <f ca="1">IFERROR(IF(テーブル1[[#This Row],[描画状況]]="",RAND()+(テーブル1[[#This Row],[列2]]*100),""),RAND())</f>
        <v>12.981481862555263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|&amp;image(liluppoid.png,width=100,height=100)</v>
      </c>
      <c r="V423" s="23" t="str">
        <f>"|MIDDLE:​"&amp;テーブル1[[#This Row],[名前]]</f>
        <v>|MIDDLE:​りるっぽいど</v>
      </c>
      <c r="W423" s="23" t="str">
        <f>"|MIDDLE:​"&amp;テーブル1[[#This Row],[なまえ]]</f>
        <v>|MIDDLE:​りるっぽいど</v>
      </c>
      <c r="X423" s="23" t="str">
        <f>"|MIDDLE:​"&amp;テーブル1[[#This Row],[Name]]</f>
        <v>|MIDDLE:​Liluppoid</v>
      </c>
      <c r="Y423" s="23" t="str">
        <f>"|MIDDLE:​&amp;link(配布所はこちら){​"&amp;テーブル1[[#This Row],[リンク]]&amp;"}|"</f>
        <v>|MIDDLE:​&amp;link(配布所はこちら){​https://yautau.wixsite.com/0909}|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24" s="24" t="s">
        <v>1328</v>
      </c>
      <c r="D424" s="23" t="s">
        <v>1331</v>
      </c>
      <c r="E424" s="23" t="s">
        <v>1330</v>
      </c>
      <c r="F424" s="15" t="s">
        <v>1329</v>
      </c>
      <c r="G424" s="23" t="str">
        <f>テーブル1[[#This Row],[名前]]&amp;"(UTAU)"</f>
        <v>ルーク(UTAU)</v>
      </c>
      <c r="P424" s="24" t="str">
        <f>テーブル1[[#This Row],[リンク]]&amp;テーブル1[[#This Row],[描画状況]]</f>
        <v>https://rook-utau.jimdosite.com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0.91564026841235835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|&amp;image(rook.png,width=100,height=100)</v>
      </c>
      <c r="V424" s="23" t="str">
        <f>"|MIDDLE:​"&amp;テーブル1[[#This Row],[名前]]</f>
        <v>|MIDDLE:​ルーク</v>
      </c>
      <c r="W424" s="23" t="str">
        <f>"|MIDDLE:​"&amp;テーブル1[[#This Row],[なまえ]]</f>
        <v>|MIDDLE:​るーく</v>
      </c>
      <c r="X424" s="23" t="str">
        <f>"|MIDDLE:​"&amp;テーブル1[[#This Row],[Name]]</f>
        <v>|MIDDLE:​Rook</v>
      </c>
      <c r="Y424" s="23" t="str">
        <f>"|MIDDLE:​&amp;link(配布所はこちら){​"&amp;テーブル1[[#This Row],[リンク]]&amp;"}|"</f>
        <v>|MIDDLE:​&amp;link(配布所はこちら){​https://rook-utau.jimdosite.com}|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25" s="24" t="s">
        <v>785</v>
      </c>
      <c r="D425" s="23" t="s">
        <v>786</v>
      </c>
      <c r="E425" s="23" t="s">
        <v>787</v>
      </c>
      <c r="F425" s="15" t="s">
        <v>775</v>
      </c>
      <c r="G425" s="23" t="str">
        <f>テーブル1[[#This Row],[名前]]&amp;"(UTAU)"</f>
        <v>ルート(UTAU)</v>
      </c>
      <c r="N425" s="1" t="s">
        <v>1507</v>
      </c>
      <c r="P425" s="24" t="str">
        <f>テーブル1[[#This Row],[リンク]]&amp;テーブル1[[#This Row],[描画状況]]</f>
        <v>https://cmamizki.wixsite.com/edelstein</v>
      </c>
      <c r="Q425" s="17">
        <f>1-(COUNTIF(P:P,_xlfn.TEXTJOIN(",",TRUE,テーブル1[[#This Row],[リンク]],テーブル1[[#This Row],[描画状況]]))/COUNTIF(F:F,テーブル1[[#This Row],[リンク]]))</f>
        <v>9.0909090909090939E-2</v>
      </c>
      <c r="R425" s="16">
        <f ca="1">IFERROR(IF(テーブル1[[#This Row],[描画状況]]="",RAND()+(テーブル1[[#This Row],[列2]]*100),""),RAND())</f>
        <v>10.010314076179201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|&amp;image(root.png,width=100,height=100)</v>
      </c>
      <c r="V425" s="23" t="str">
        <f>"|MIDDLE:​"&amp;テーブル1[[#This Row],[名前]]</f>
        <v>|MIDDLE:​ルート</v>
      </c>
      <c r="W425" s="23" t="str">
        <f>"|MIDDLE:​"&amp;テーブル1[[#This Row],[なまえ]]</f>
        <v>|MIDDLE:​るーと</v>
      </c>
      <c r="X425" s="23" t="str">
        <f>"|MIDDLE:​"&amp;テーブル1[[#This Row],[Name]]</f>
        <v>|MIDDLE:​Root</v>
      </c>
      <c r="Y425" s="23" t="str">
        <f>"|MIDDLE:​&amp;link(配布所はこちら){​"&amp;テーブル1[[#This Row],[リンク]]&amp;"}|"</f>
        <v>|MIDDLE:​&amp;link(配布所はこちら){​https://cmamizki.wixsite.com/edelstein}|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26" s="24" t="s">
        <v>800</v>
      </c>
      <c r="D426" s="23" t="s">
        <v>801</v>
      </c>
      <c r="E426" s="23" t="s">
        <v>800</v>
      </c>
      <c r="F426" s="15" t="s">
        <v>775</v>
      </c>
      <c r="G426" s="23" t="str">
        <f>テーブル1[[#This Row],[名前]]&amp;"(UTAU)"</f>
        <v>Wraith(UTAU)</v>
      </c>
      <c r="N426" s="1" t="s">
        <v>1507</v>
      </c>
      <c r="P426" s="24" t="str">
        <f>テーブル1[[#This Row],[リンク]]&amp;テーブル1[[#This Row],[描画状況]]</f>
        <v>https://cmamizki.wixsite.com/edelstein</v>
      </c>
      <c r="Q426" s="17">
        <f>1-(COUNTIF(P:P,_xlfn.TEXTJOIN(",",TRUE,テーブル1[[#This Row],[リンク]],テーブル1[[#This Row],[描画状況]]))/COUNTIF(F:F,テーブル1[[#This Row],[リンク]]))</f>
        <v>9.0909090909090939E-2</v>
      </c>
      <c r="R426" s="16">
        <f ca="1">IFERROR(IF(テーブル1[[#This Row],[描画状況]]="",RAND()+(テーブル1[[#This Row],[列2]]*100),""),RAND())</f>
        <v>9.5859379070242241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|&amp;image(wraith.png,width=100,height=100)</v>
      </c>
      <c r="V426" s="23" t="str">
        <f>"|MIDDLE:​"&amp;テーブル1[[#This Row],[名前]]</f>
        <v>|MIDDLE:​Wraith</v>
      </c>
      <c r="W426" s="23" t="str">
        <f>"|MIDDLE:​"&amp;テーブル1[[#This Row],[なまえ]]</f>
        <v>|MIDDLE:​れいす</v>
      </c>
      <c r="X426" s="23" t="str">
        <f>"|MIDDLE:​"&amp;テーブル1[[#This Row],[Name]]</f>
        <v>|MIDDLE:​Wraith</v>
      </c>
      <c r="Y426" s="23" t="str">
        <f>"|MIDDLE:​&amp;link(配布所はこちら){​"&amp;テーブル1[[#This Row],[リンク]]&amp;"}|"</f>
        <v>|MIDDLE:​&amp;link(配布所はこちら){​https://cmamizki.wixsite.com/edelstein}|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27" s="24" t="s">
        <v>1116</v>
      </c>
      <c r="D427" s="23" t="s">
        <v>1117</v>
      </c>
      <c r="E427" s="23" t="s">
        <v>1118</v>
      </c>
      <c r="F427" s="15" t="s">
        <v>1139</v>
      </c>
      <c r="G427" s="23" t="str">
        <f>テーブル1[[#This Row],[名前]]&amp;"(UTAU)"</f>
        <v>RECU(UTAU)</v>
      </c>
      <c r="P427" s="24" t="str">
        <f>テーブル1[[#This Row],[リンク]]&amp;テーブル1[[#This Row],[描画状況]]</f>
        <v>https://yautau.wixsite.com/0909</v>
      </c>
      <c r="Q427" s="17">
        <f>1-(COUNTIF(P:P,_xlfn.TEXTJOIN(",",TRUE,テーブル1[[#This Row],[リンク]],テーブル1[[#This Row],[描画状況]]))/COUNTIF(F:F,テーブル1[[#This Row],[リンク]]))</f>
        <v>0.125</v>
      </c>
      <c r="R427" s="16">
        <f ca="1">IFERROR(IF(テーブル1[[#This Row],[描画状況]]="",RAND()+(テーブル1[[#This Row],[列2]]*100),""),RAND())</f>
        <v>12.805564723149899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|&amp;image(recu.png,width=100,height=100)</v>
      </c>
      <c r="V427" s="23" t="str">
        <f>"|MIDDLE:​"&amp;テーブル1[[#This Row],[名前]]</f>
        <v>|MIDDLE:​RECU</v>
      </c>
      <c r="W427" s="23" t="str">
        <f>"|MIDDLE:​"&amp;テーブル1[[#This Row],[なまえ]]</f>
        <v>|MIDDLE:​れく</v>
      </c>
      <c r="X427" s="23" t="str">
        <f>"|MIDDLE:​"&amp;テーブル1[[#This Row],[Name]]</f>
        <v>|MIDDLE:​Recu</v>
      </c>
      <c r="Y427" s="23" t="str">
        <f>"|MIDDLE:​&amp;link(配布所はこちら){​"&amp;テーブル1[[#This Row],[リンク]]&amp;"}|"</f>
        <v>|MIDDLE:​&amp;link(配布所はこちら){​https://yautau.wixsite.com/0909}|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28" s="24" t="s">
        <v>961</v>
      </c>
      <c r="D428" s="23" t="s">
        <v>962</v>
      </c>
      <c r="E428" s="23" t="s">
        <v>966</v>
      </c>
      <c r="F428" s="2" t="s">
        <v>1689</v>
      </c>
      <c r="G428" s="23" t="str">
        <f>テーブル1[[#This Row],[名前]]&amp;"(UTAU)"</f>
        <v>レフア・アパパネ(UTAU)</v>
      </c>
      <c r="H428" s="23" t="s">
        <v>1616</v>
      </c>
      <c r="I428" s="23" t="s">
        <v>1692</v>
      </c>
      <c r="M428" s="23" t="s">
        <v>1693</v>
      </c>
      <c r="N428" s="1" t="s">
        <v>1508</v>
      </c>
      <c r="P428" s="24" t="str">
        <f>テーブル1[[#This Row],[リンク]]&amp;テーブル1[[#This Row],[描画状況]]</f>
        <v>https://ameutaulii.wixsite.com/telepathycapsule</v>
      </c>
      <c r="Q428" s="17">
        <f>1-(COUNTIF(P:P,_xlfn.TEXTJOIN(",",TRUE,テーブル1[[#This Row],[リンク]],テーブル1[[#This Row],[描画状況]]))/COUNTIF(F:F,テーブル1[[#This Row],[リンク]]))</f>
        <v>0.16666666666666663</v>
      </c>
      <c r="R428" s="16">
        <f ca="1">IFERROR(IF(テーブル1[[#This Row],[描画状況]]="",RAND()+(テーブル1[[#This Row],[列2]]*100),""),RAND())</f>
        <v>16.951082278464305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|&amp;image(refua-apapane.png,width=100,height=100)</v>
      </c>
      <c r="V428" s="23" t="str">
        <f>"|MIDDLE:​"&amp;テーブル1[[#This Row],[名前]]</f>
        <v>|MIDDLE:​レフア・アパパネ</v>
      </c>
      <c r="W428" s="23" t="str">
        <f>"|MIDDLE:​"&amp;テーブル1[[#This Row],[なまえ]]</f>
        <v>|MIDDLE:​れふあ あぱぱね</v>
      </c>
      <c r="X428" s="23" t="str">
        <f>"|MIDDLE:​"&amp;テーブル1[[#This Row],[Name]]</f>
        <v>|MIDDLE:​Refua Apapane</v>
      </c>
      <c r="Y428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29" s="24" t="s">
        <v>997</v>
      </c>
      <c r="D429" s="23" t="s">
        <v>999</v>
      </c>
      <c r="E429" s="23" t="s">
        <v>998</v>
      </c>
      <c r="F429" s="2" t="s">
        <v>569</v>
      </c>
      <c r="G429" s="23" t="s">
        <v>570</v>
      </c>
      <c r="N429" s="1" t="s">
        <v>1507</v>
      </c>
      <c r="P429" s="24" t="str">
        <f>テーブル1[[#This Row],[リンク]]&amp;テーブル1[[#This Row],[描画状況]]</f>
        <v>https://askdance.wixsite.com/monitor-room/monitor-room</v>
      </c>
      <c r="Q429" s="17">
        <f>1-(COUNTIF(P:P,_xlfn.TEXTJOIN(",",TRUE,テーブル1[[#This Row],[リンク]],テーブル1[[#This Row],[描画状況]]))/COUNTIF(F:F,テーブル1[[#This Row],[リンク]]))</f>
        <v>9.9999999999999978E-2</v>
      </c>
      <c r="R429" s="16">
        <f ca="1">IFERROR(IF(テーブル1[[#This Row],[描画状況]]="",RAND()+(テーブル1[[#This Row],[列2]]*100),""),RAND())</f>
        <v>10.97674513637573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|&amp;image(rokushichi-juzou.png,width=100,height=100)</v>
      </c>
      <c r="V429" s="23" t="str">
        <f>"|MIDDLE:​"&amp;テーブル1[[#This Row],[名前]]</f>
        <v>|MIDDLE:​六七十三</v>
      </c>
      <c r="W429" s="23" t="str">
        <f>"|MIDDLE:​"&amp;テーブル1[[#This Row],[なまえ]]</f>
        <v>|MIDDLE:​ろくしち じゅうぞう</v>
      </c>
      <c r="X429" s="23" t="str">
        <f>"|MIDDLE:​"&amp;テーブル1[[#This Row],[Name]]</f>
        <v>|MIDDLE:​Rokushichi Juzou</v>
      </c>
      <c r="Y42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30" s="24" t="s">
        <v>881</v>
      </c>
      <c r="D430" s="23" t="s">
        <v>882</v>
      </c>
      <c r="E430" s="23" t="s">
        <v>883</v>
      </c>
      <c r="F430" s="2" t="s">
        <v>884</v>
      </c>
      <c r="G430" s="23" t="s">
        <v>885</v>
      </c>
      <c r="P430" s="24" t="str">
        <f>テーブル1[[#This Row],[リンク]]&amp;テーブル1[[#This Row],[描画状況]]</f>
        <v>https://rokune.blogspot.com/2012/07/blog-post.html</v>
      </c>
      <c r="Q430" s="17">
        <f>1-(COUNTIF(P:P,_xlfn.TEXTJOIN(",",TRUE,テーブル1[[#This Row],[リンク]],テーブル1[[#This Row],[描画状況]]))/COUNTIF(F:F,テーブル1[[#This Row],[リンク]]))</f>
        <v>0</v>
      </c>
      <c r="R430" s="16">
        <f ca="1">IFERROR(IF(テーブル1[[#This Row],[描画状況]]="",RAND()+(テーブル1[[#This Row],[列2]]*100),""),RAND())</f>
        <v>0.36620016555853097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|&amp;image(rokune-zon.png,width=100,height=100)</v>
      </c>
      <c r="V430" s="23" t="str">
        <f>"|MIDDLE:​"&amp;テーブル1[[#This Row],[名前]]</f>
        <v>|MIDDLE:​鹿音ゾン</v>
      </c>
      <c r="W430" s="23" t="str">
        <f>"|MIDDLE:​"&amp;テーブル1[[#This Row],[なまえ]]</f>
        <v>|MIDDLE:​ろくね ぞん</v>
      </c>
      <c r="X430" s="23" t="str">
        <f>"|MIDDLE:​"&amp;テーブル1[[#This Row],[Name]]</f>
        <v>|MIDDLE:​Rokune Zon</v>
      </c>
      <c r="Y430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31" s="24" t="s">
        <v>1210</v>
      </c>
      <c r="D431" s="23" t="s">
        <v>1232</v>
      </c>
      <c r="E431" s="23" t="s">
        <v>1231</v>
      </c>
      <c r="F431" s="15" t="s">
        <v>336</v>
      </c>
      <c r="G431" s="23" t="s">
        <v>337</v>
      </c>
      <c r="P431" s="24" t="str">
        <f>テーブル1[[#This Row],[リンク]]&amp;テーブル1[[#This Row],[描画状況]]</f>
        <v>https://torinosu-hikikomori.jimdofree.com</v>
      </c>
      <c r="Q431" s="17">
        <f>1-(COUNTIF(P:P,_xlfn.TEXTJOIN(",",TRUE,テーブル1[[#This Row],[リンク]],テーブル1[[#This Row],[描画状況]]))/COUNTIF(F:F,テーブル1[[#This Row],[リンク]]))</f>
        <v>0.125</v>
      </c>
      <c r="R431" s="16">
        <f ca="1">IFERROR(IF(テーブル1[[#This Row],[描画状況]]="",RAND()+(テーブル1[[#This Row],[列2]]*100),""),RAND())</f>
        <v>12.825739518638885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|&amp;image(rote-dokuho.png,width=100,height=100)</v>
      </c>
      <c r="V431" s="23" t="str">
        <f>"|MIDDLE:​"&amp;テーブル1[[#This Row],[名前]]</f>
        <v>|MIDDLE:​炉手独歩</v>
      </c>
      <c r="W431" s="23" t="str">
        <f>"|MIDDLE:​"&amp;テーブル1[[#This Row],[なまえ]]</f>
        <v>|MIDDLE:​ろて どくほ</v>
      </c>
      <c r="X431" s="23" t="str">
        <f>"|MIDDLE:​"&amp;テーブル1[[#This Row],[Name]]</f>
        <v>|MIDDLE:​Rote dokuho</v>
      </c>
      <c r="Y431" s="23" t="str">
        <f>"|MIDDLE:​&amp;link(配布所はこちら){​"&amp;テーブル1[[#This Row],[リンク]]&amp;"}|"</f>
        <v>|MIDDLE:​&amp;link(配布所はこちら){​https://torinosu-hikikomori.jimdofree.com}|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32" s="24" t="s">
        <v>873</v>
      </c>
      <c r="D432" s="23" t="s">
        <v>874</v>
      </c>
      <c r="E432" s="23" t="s">
        <v>873</v>
      </c>
      <c r="F432" s="2" t="s">
        <v>875</v>
      </c>
      <c r="G432" s="23" t="s">
        <v>876</v>
      </c>
      <c r="P432" s="24" t="str">
        <f>テーブル1[[#This Row],[リンク]]&amp;テーブル1[[#This Row],[描画状況]]</f>
        <v>https://1996waishatu1002.wixsite.com/y-to-r-to-w-to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0.41442417875203297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|&amp;image(y-r.png,width=100,height=100)</v>
      </c>
      <c r="V432" s="23" t="str">
        <f>"|MIDDLE:​"&amp;テーブル1[[#This Row],[名前]]</f>
        <v>|MIDDLE:​Y-R</v>
      </c>
      <c r="W432" s="23" t="str">
        <f>"|MIDDLE:​"&amp;テーブル1[[#This Row],[なまえ]]</f>
        <v>|MIDDLE:​わいあーる</v>
      </c>
      <c r="X432" s="23" t="str">
        <f>"|MIDDLE:​"&amp;テーブル1[[#This Row],[Name]]</f>
        <v>|MIDDLE:​Y-R</v>
      </c>
      <c r="Y432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33" s="24" t="s">
        <v>878</v>
      </c>
      <c r="D433" s="23" t="s">
        <v>879</v>
      </c>
      <c r="E433" s="23" t="s">
        <v>880</v>
      </c>
      <c r="F433" s="2" t="s">
        <v>877</v>
      </c>
      <c r="G433" s="23" t="str">
        <f>テーブル1[[#This Row],[名前]]&amp;"(UTAU)"</f>
        <v>惑星(UTAU)</v>
      </c>
      <c r="P433" s="24" t="str">
        <f>テーブル1[[#This Row],[リンク]]&amp;テーブル1[[#This Row],[描画状況]]</f>
        <v>https://mouzhize.wixsite.com/utauwakusei?lang=ja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0.79355560740344444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|&amp;image(wakusei.png,width=100,height=100)</v>
      </c>
      <c r="V433" s="23" t="str">
        <f>"|MIDDLE:​"&amp;テーブル1[[#This Row],[名前]]</f>
        <v>|MIDDLE:​惑星</v>
      </c>
      <c r="W433" s="23" t="str">
        <f>"|MIDDLE:​"&amp;テーブル1[[#This Row],[なまえ]]</f>
        <v>|MIDDLE:​わくせい</v>
      </c>
      <c r="X433" s="23" t="str">
        <f>"|MIDDLE:​"&amp;テーブル1[[#This Row],[Name]]</f>
        <v>|MIDDLE:​Wakusei</v>
      </c>
      <c r="Y433" s="23" t="str">
        <f>"|MIDDLE:​&amp;link(配布所はこちら){​"&amp;テーブル1[[#This Row],[リンク]]&amp;"}|"</f>
        <v>|MIDDLE:​&amp;link(配布所はこちら){​https://mouzhize.wixsite.com/utauwakusei?lang=ja}|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434" s="24" t="s">
        <v>1545</v>
      </c>
      <c r="D434" s="23" t="s">
        <v>1546</v>
      </c>
      <c r="E434" s="23" t="s">
        <v>1547</v>
      </c>
      <c r="F434" s="2" t="s">
        <v>212</v>
      </c>
      <c r="G434" s="23" t="s">
        <v>213</v>
      </c>
      <c r="N434" s="1" t="s">
        <v>1507</v>
      </c>
      <c r="P434" s="24" t="str">
        <f>テーブル1[[#This Row],[リンク]]&amp;テーブル1[[#This Row],[描画状況]]</f>
        <v>https://mitoristu.wixsite.com/kousaibako</v>
      </c>
      <c r="Q434" s="17">
        <f>1-(COUNTIF(P:P,_xlfn.TEXTJOIN(",",TRUE,テーブル1[[#This Row],[リンク]],テーブル1[[#This Row],[描画状況]]))/COUNTIF(F:F,テーブル1[[#This Row],[リンク]]))</f>
        <v>0.19999999999999996</v>
      </c>
      <c r="R434" s="16">
        <f ca="1">IFERROR(IF(テーブル1[[#This Row],[描画状況]]="",RAND()+(テーブル1[[#This Row],[列2]]*100),""),RAND())</f>
        <v>20.799968054228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|&amp;image(seido-ao.png,width=100,height=100)</v>
      </c>
      <c r="V434" s="23" t="str">
        <f>"|MIDDLE:​"&amp;テーブル1[[#This Row],[名前]]</f>
        <v>|MIDDLE:​青銅蒼</v>
      </c>
      <c r="W434" s="23" t="str">
        <f>"|MIDDLE:​"&amp;テーブル1[[#This Row],[なまえ]]</f>
        <v>|MIDDLE:​せいどう あお</v>
      </c>
      <c r="X434" s="23" t="str">
        <f>"|MIDDLE:​"&amp;テーブル1[[#This Row],[Name]]</f>
        <v>|MIDDLE:​Seido Ao</v>
      </c>
      <c r="Y434" s="23" t="str">
        <f>"|MIDDLE:​&amp;link(配布所はこちら){​"&amp;テーブル1[[#This Row],[リンク]]&amp;"}|"</f>
        <v>|MIDDLE:​&amp;link(配布所はこちら){​https://mitoristu.wixsite.com/kousaibako}|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435" s="24" t="s">
        <v>1548</v>
      </c>
      <c r="D435" s="23" t="s">
        <v>1549</v>
      </c>
      <c r="E435" s="23" t="s">
        <v>1550</v>
      </c>
      <c r="F435" s="2" t="s">
        <v>212</v>
      </c>
      <c r="G435" s="23" t="s">
        <v>213</v>
      </c>
      <c r="N435" s="1" t="s">
        <v>1507</v>
      </c>
      <c r="P435" s="24" t="str">
        <f>テーブル1[[#This Row],[リンク]]&amp;テーブル1[[#This Row],[描画状況]]</f>
        <v>https://mitoristu.wixsite.com/kousaibako</v>
      </c>
      <c r="Q435" s="17">
        <f>1-(COUNTIF(P:P,_xlfn.TEXTJOIN(",",TRUE,テーブル1[[#This Row],[リンク]],テーブル1[[#This Row],[描画状況]]))/COUNTIF(F:F,テーブル1[[#This Row],[リンク]]))</f>
        <v>0.19999999999999996</v>
      </c>
      <c r="R435" s="16">
        <f ca="1">IFERROR(IF(テーブル1[[#This Row],[描画状況]]="",RAND()+(テーブル1[[#This Row],[列2]]*100),""),RAND())</f>
        <v>20.096639940986261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|&amp;image(uraha.png,width=100,height=100)</v>
      </c>
      <c r="V435" s="23" t="str">
        <f>"|MIDDLE:​"&amp;テーブル1[[#This Row],[名前]]</f>
        <v>|MIDDLE:​裏葉</v>
      </c>
      <c r="W435" s="23" t="str">
        <f>"|MIDDLE:​"&amp;テーブル1[[#This Row],[なまえ]]</f>
        <v>|MIDDLE:​うらは</v>
      </c>
      <c r="X435" s="23" t="str">
        <f>"|MIDDLE:​"&amp;テーブル1[[#This Row],[Name]]</f>
        <v>|MIDDLE:​Uraha</v>
      </c>
      <c r="Y435" s="23" t="str">
        <f>"|MIDDLE:​&amp;link(配布所はこちら){​"&amp;テーブル1[[#This Row],[リンク]]&amp;"}|"</f>
        <v>|MIDDLE:​&amp;link(配布所はこちら){​https://mitoristu.wixsite.com/kousaibako}|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436" s="24" t="s">
        <v>1551</v>
      </c>
      <c r="D436" s="23" t="s">
        <v>1552</v>
      </c>
      <c r="E436" s="23" t="s">
        <v>1553</v>
      </c>
      <c r="F436" s="2" t="s">
        <v>212</v>
      </c>
      <c r="G436" s="23" t="s">
        <v>213</v>
      </c>
      <c r="N436" s="1" t="s">
        <v>1507</v>
      </c>
      <c r="P436" s="24" t="str">
        <f>テーブル1[[#This Row],[リンク]]&amp;テーブル1[[#This Row],[描画状況]]</f>
        <v>https://mitoristu.wixsite.com/kousaibako</v>
      </c>
      <c r="Q436" s="17">
        <f>1-(COUNTIF(P:P,_xlfn.TEXTJOIN(",",TRUE,テーブル1[[#This Row],[リンク]],テーブル1[[#This Row],[描画状況]]))/COUNTIF(F:F,テーブル1[[#This Row],[リンク]]))</f>
        <v>0.19999999999999996</v>
      </c>
      <c r="R436" s="16">
        <f ca="1">IFERROR(IF(テーブル1[[#This Row],[描画状況]]="",RAND()+(テーブル1[[#This Row],[列2]]*100),""),RAND())</f>
        <v>20.461555145025876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|&amp;image(koga-hizuki.png,width=100,height=100)</v>
      </c>
      <c r="V436" s="23" t="str">
        <f>"|MIDDLE:​"&amp;テーブル1[[#This Row],[名前]]</f>
        <v>|MIDDLE:​紅牙緋月</v>
      </c>
      <c r="W436" s="23" t="str">
        <f>"|MIDDLE:​"&amp;テーブル1[[#This Row],[なまえ]]</f>
        <v>|MIDDLE:​こうが ひづき</v>
      </c>
      <c r="X436" s="23" t="str">
        <f>"|MIDDLE:​"&amp;テーブル1[[#This Row],[Name]]</f>
        <v>|MIDDLE:​Koga Hizuki</v>
      </c>
      <c r="Y436" s="23" t="str">
        <f>"|MIDDLE:​&amp;link(配布所はこちら){​"&amp;テーブル1[[#This Row],[リンク]]&amp;"}|"</f>
        <v>|MIDDLE:​&amp;link(配布所はこちら){​https://mitoristu.wixsite.com/kousaibako}|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437" s="24" t="s">
        <v>1557</v>
      </c>
      <c r="D437" s="23" t="s">
        <v>1559</v>
      </c>
      <c r="E437" s="23" t="s">
        <v>1558</v>
      </c>
      <c r="F437" s="2" t="s">
        <v>212</v>
      </c>
      <c r="G437" s="23" t="s">
        <v>213</v>
      </c>
      <c r="N437" s="1" t="s">
        <v>1507</v>
      </c>
      <c r="P437" s="24" t="str">
        <f>テーブル1[[#This Row],[リンク]]&amp;テーブル1[[#This Row],[描画状況]]</f>
        <v>https://mitoristu.wixsite.com/kousaibako</v>
      </c>
      <c r="Q437" s="17">
        <f>1-(COUNTIF(P:P,_xlfn.TEXTJOIN(",",TRUE,テーブル1[[#This Row],[リンク]],テーブル1[[#This Row],[描画状況]]))/COUNTIF(F:F,テーブル1[[#This Row],[リンク]]))</f>
        <v>0.19999999999999996</v>
      </c>
      <c r="R437" s="16">
        <f ca="1">IFERROR(IF(テーブル1[[#This Row],[描画状況]]="",RAND()+(テーブル1[[#This Row],[列2]]*100),""),RAND())</f>
        <v>20.834710862546256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|&amp;image(anima.png,width=100,height=100)</v>
      </c>
      <c r="V437" s="23" t="str">
        <f>"|MIDDLE:​"&amp;テーブル1[[#This Row],[名前]]</f>
        <v>|MIDDLE:​アニマ</v>
      </c>
      <c r="W437" s="23" t="str">
        <f>"|MIDDLE:​"&amp;テーブル1[[#This Row],[なまえ]]</f>
        <v>|MIDDLE:​あにま</v>
      </c>
      <c r="X437" s="23" t="str">
        <f>"|MIDDLE:​"&amp;テーブル1[[#This Row],[Name]]</f>
        <v>|MIDDLE:​Anima</v>
      </c>
      <c r="Y437" s="23" t="str">
        <f>"|MIDDLE:​&amp;link(配布所はこちら){​"&amp;テーブル1[[#This Row],[リンク]]&amp;"}|"</f>
        <v>|MIDDLE:​&amp;link(配布所はこちら){​https://mitoristu.wixsite.com/kousaibako}|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38" s="24" t="s">
        <v>1560</v>
      </c>
      <c r="D438" s="23" t="s">
        <v>1560</v>
      </c>
      <c r="E438" s="23" t="s">
        <v>1561</v>
      </c>
      <c r="F438" s="2" t="s">
        <v>212</v>
      </c>
      <c r="G438" s="23" t="s">
        <v>213</v>
      </c>
      <c r="N438" s="1" t="s">
        <v>1507</v>
      </c>
      <c r="P438" s="24" t="str">
        <f>テーブル1[[#This Row],[リンク]]&amp;テーブル1[[#This Row],[描画状況]]</f>
        <v>https://mitoristu.wixsite.com/kousaibako</v>
      </c>
      <c r="Q438" s="17">
        <f>1-(COUNTIF(P:P,_xlfn.TEXTJOIN(",",TRUE,テーブル1[[#This Row],[リンク]],テーブル1[[#This Row],[描画状況]]))/COUNTIF(F:F,テーブル1[[#This Row],[リンク]]))</f>
        <v>0.19999999999999996</v>
      </c>
      <c r="R438" s="16">
        <f ca="1">IFERROR(IF(テーブル1[[#This Row],[描画状況]]="",RAND()+(テーブル1[[#This Row],[列2]]*100),""),RAND())</f>
        <v>20.813164877932881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|&amp;image(riimao.png,width=100,height=100)</v>
      </c>
      <c r="V438" s="23" t="str">
        <f>"|MIDDLE:​"&amp;テーブル1[[#This Row],[名前]]</f>
        <v>|MIDDLE:​りぃまお</v>
      </c>
      <c r="W438" s="23" t="str">
        <f>"|MIDDLE:​"&amp;テーブル1[[#This Row],[なまえ]]</f>
        <v>|MIDDLE:​りぃまお</v>
      </c>
      <c r="X438" s="23" t="str">
        <f>"|MIDDLE:​"&amp;テーブル1[[#This Row],[Name]]</f>
        <v>|MIDDLE:​Riimao</v>
      </c>
      <c r="Y438" s="23" t="str">
        <f>"|MIDDLE:​&amp;link(配布所はこちら){​"&amp;テーブル1[[#This Row],[リンク]]&amp;"}|"</f>
        <v>|MIDDLE:​&amp;link(配布所はこちら){​https://mitoristu.wixsite.com/kousaibako}|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439" s="24" t="s">
        <v>1562</v>
      </c>
      <c r="D439" s="23" t="s">
        <v>1563</v>
      </c>
      <c r="E439" s="23" t="s">
        <v>1564</v>
      </c>
      <c r="F439" s="2" t="s">
        <v>212</v>
      </c>
      <c r="G439" s="23" t="s">
        <v>213</v>
      </c>
      <c r="N439" s="1" t="s">
        <v>1507</v>
      </c>
      <c r="P439" s="24" t="str">
        <f>テーブル1[[#This Row],[リンク]]&amp;テーブル1[[#This Row],[描画状況]]</f>
        <v>https://mitoristu.wixsite.com/kousaibako</v>
      </c>
      <c r="Q439" s="17">
        <f>1-(COUNTIF(P:P,_xlfn.TEXTJOIN(",",TRUE,テーブル1[[#This Row],[リンク]],テーブル1[[#This Row],[描画状況]]))/COUNTIF(F:F,テーブル1[[#This Row],[リンク]]))</f>
        <v>0.19999999999999996</v>
      </c>
      <c r="R439" s="16">
        <f ca="1">IFERROR(IF(テーブル1[[#This Row],[描画状況]]="",RAND()+(テーブル1[[#This Row],[列2]]*100),""),RAND())</f>
        <v>20.414082692085724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|&amp;image(shirane-aoi.png,width=100,height=100)</v>
      </c>
      <c r="V439" s="23" t="str">
        <f>"|MIDDLE:​"&amp;テーブル1[[#This Row],[名前]]</f>
        <v>|MIDDLE:​白音アオイ</v>
      </c>
      <c r="W439" s="23" t="str">
        <f>"|MIDDLE:​"&amp;テーブル1[[#This Row],[なまえ]]</f>
        <v>|MIDDLE:​しらね あおい</v>
      </c>
      <c r="X439" s="23" t="str">
        <f>"|MIDDLE:​"&amp;テーブル1[[#This Row],[Name]]</f>
        <v>|MIDDLE:​Shirane Aoi</v>
      </c>
      <c r="Y439" s="23" t="str">
        <f>"|MIDDLE:​&amp;link(配布所はこちら){​"&amp;テーブル1[[#This Row],[リンク]]&amp;"}|"</f>
        <v>|MIDDLE:​&amp;link(配布所はこちら){​https://mitoristu.wixsite.com/kousaibako}|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40" s="24" t="s">
        <v>1718</v>
      </c>
      <c r="D440" s="23" t="s">
        <v>1719</v>
      </c>
      <c r="E440" s="23" t="s">
        <v>1717</v>
      </c>
      <c r="F440" s="29" t="s">
        <v>1705</v>
      </c>
      <c r="G440" s="23" t="s">
        <v>1706</v>
      </c>
      <c r="H440" s="23" t="s">
        <v>1616</v>
      </c>
      <c r="I440" s="23" t="s">
        <v>1639</v>
      </c>
      <c r="K440" s="23" t="s">
        <v>1723</v>
      </c>
      <c r="L440" s="23" t="s">
        <v>1720</v>
      </c>
      <c r="M440" s="23" t="s">
        <v>1721</v>
      </c>
      <c r="N440" s="1" t="s">
        <v>1579</v>
      </c>
      <c r="P440" s="24" t="str">
        <f>テーブル1[[#This Row],[リンク]]&amp;テーブル1[[#This Row],[描画状況]]</f>
        <v>https://lclcofficial6565.wixsite.com/lclc</v>
      </c>
      <c r="Q440" s="17">
        <f>1-(COUNTIF(P:P,_xlfn.TEXTJOIN(",",TRUE,テーブル1[[#This Row],[リンク]],テーブル1[[#This Row],[描画状況]]))/COUNTIF(F:F,テーブル1[[#This Row],[リンク]]))</f>
        <v>0.33333333333333337</v>
      </c>
      <c r="R440" s="16">
        <f ca="1">IFERROR(IF(テーブル1[[#This Row],[描画状況]]="",RAND()+(テーブル1[[#This Row],[列2]]*100),""),RAND())</f>
        <v>33.64386208428062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|&amp;image(yashiro-shiya.png,width=100,height=100)</v>
      </c>
      <c r="V440" s="23" t="str">
        <f>"|MIDDLE:​"&amp;テーブル1[[#This Row],[名前]]</f>
        <v>|MIDDLE:​やしろしや</v>
      </c>
      <c r="W440" s="23" t="str">
        <f>"|MIDDLE:​"&amp;テーブル1[[#This Row],[なまえ]]</f>
        <v>|MIDDLE:​やしろ しや</v>
      </c>
      <c r="X440" s="23" t="str">
        <f>"|MIDDLE:​"&amp;テーブル1[[#This Row],[Name]]</f>
        <v>|MIDDLE:​Yashiro Shiya</v>
      </c>
      <c r="Y440" s="23" t="str">
        <f>"|MIDDLE:​&amp;link(配布所はこちら){​"&amp;テーブル1[[#This Row],[リンク]]&amp;"}|"</f>
        <v>|MIDDLE:​&amp;link(配布所はこちら){​https://lclcofficial6565.wixsite.com/lclc}|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441" s="24" t="s">
        <v>1724</v>
      </c>
      <c r="D441" s="23" t="s">
        <v>1725</v>
      </c>
      <c r="E441" s="23" t="s">
        <v>1726</v>
      </c>
      <c r="F441" s="29" t="s">
        <v>1705</v>
      </c>
      <c r="G441" s="23" t="s">
        <v>1706</v>
      </c>
      <c r="H441" s="23" t="s">
        <v>1617</v>
      </c>
      <c r="I441" s="23" t="s">
        <v>1639</v>
      </c>
      <c r="M441" s="23" t="s">
        <v>1721</v>
      </c>
      <c r="N441" s="1" t="s">
        <v>1579</v>
      </c>
      <c r="P441" s="24" t="str">
        <f>テーブル1[[#This Row],[リンク]]&amp;テーブル1[[#This Row],[描画状況]]</f>
        <v>https://lclcofficial6565.wixsite.com/lclc</v>
      </c>
      <c r="Q441" s="17">
        <f>1-(COUNTIF(P:P,_xlfn.TEXTJOIN(",",TRUE,テーブル1[[#This Row],[リンク]],テーブル1[[#This Row],[描画状況]]))/COUNTIF(F:F,テーブル1[[#This Row],[リンク]]))</f>
        <v>0.33333333333333337</v>
      </c>
      <c r="R441" s="16">
        <f ca="1">IFERROR(IF(テーブル1[[#This Row],[描画状況]]="",RAND()+(テーブル1[[#This Row],[列2]]*100),""),RAND())</f>
        <v>33.885305419949233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|&amp;image(katazu-taka.png,width=100,height=100)</v>
      </c>
      <c r="V441" s="23" t="str">
        <f>"|MIDDLE:​"&amp;テーブル1[[#This Row],[名前]]</f>
        <v>|MIDDLE:​かたづたか</v>
      </c>
      <c r="W441" s="23" t="str">
        <f>"|MIDDLE:​"&amp;テーブル1[[#This Row],[なまえ]]</f>
        <v>|MIDDLE:​かたづ たか</v>
      </c>
      <c r="X441" s="23" t="str">
        <f>"|MIDDLE:​"&amp;テーブル1[[#This Row],[Name]]</f>
        <v>|MIDDLE:​Katazu Taka</v>
      </c>
      <c r="Y441" s="23" t="str">
        <f>"|MIDDLE:​&amp;link(配布所はこちら){​"&amp;テーブル1[[#This Row],[リンク]]&amp;"}|"</f>
        <v>|MIDDLE:​&amp;link(配布所はこちら){​https://lclcofficial6565.wixsite.com/lclc}|</v>
      </c>
    </row>
  </sheetData>
  <phoneticPr fontId="1"/>
  <conditionalFormatting sqref="A1:A1048576">
    <cfRule type="duplicateValues" dxfId="3" priority="2"/>
  </conditionalFormatting>
  <conditionalFormatting sqref="B1 B3:B1048576">
    <cfRule type="duplicateValues" dxfId="2" priority="3"/>
  </conditionalFormatting>
  <conditionalFormatting sqref="C1:C1048576">
    <cfRule type="duplicateValues" dxfId="1" priority="1"/>
  </conditionalFormatting>
  <conditionalFormatting sqref="O1:T1048576">
    <cfRule type="cellIs" dxfId="0" priority="10" operator="equal">
      <formula>"済"</formula>
    </cfRule>
  </conditionalFormatting>
  <dataValidations count="9">
    <dataValidation type="list" allowBlank="1" showInputMessage="1" sqref="K290 K281 I2:I441" xr:uid="{C65A1E30-8F1A-43F7-95C8-9A27EB918408}">
      <formula1>種族タグ</formula1>
    </dataValidation>
    <dataValidation type="list" allowBlank="1" showInputMessage="1" sqref="K291:K438 K282:K289 K2:K280" xr:uid="{F4C1FC31-8189-42FE-9CDF-1184FF0909B9}">
      <formula1>職業タグ</formula1>
    </dataValidation>
    <dataValidation type="list" allowBlank="1" showInputMessage="1" showErrorMessage="1" sqref="S2:S441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41" xr:uid="{92493CA5-E237-4453-B08F-89E5ABEEA9EA}">
      <formula1>"〇 / 必要,〇 / 不要,×"</formula1>
    </dataValidation>
    <dataValidation type="list" allowBlank="1" showInputMessage="1" showErrorMessage="1" sqref="H2:H441" xr:uid="{35C507EC-8DB1-4F3E-8DD4-3BFDA6513A59}">
      <formula1>"女性,男性,両性,キメラ,無性別,不明"</formula1>
    </dataValidation>
    <dataValidation type="list" allowBlank="1" showInputMessage="1" sqref="L2:L441" xr:uid="{6CD751E0-96FF-4645-8251-894B2CC5C15F}">
      <formula1>小物タグ</formula1>
    </dataValidation>
    <dataValidation type="list" allowBlank="1" showInputMessage="1" sqref="K144 J145:J441 J2:J143" xr:uid="{71D1DCE5-85B0-4960-9B38-ABC74300BCF2}">
      <formula1>モチーフタグ</formula1>
    </dataValidation>
    <dataValidation type="list" allowBlank="1" showInputMessage="1" sqref="M2:M36 L46 M38:M45 M47:M441" xr:uid="{1578619E-9A71-4986-9378-87AD2388468F}">
      <formula1>ワンポイントタグ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24" r:id="rId101" xr:uid="{C3D3CF9F-E4CC-411E-8E0D-50F5DC71D508}"/>
    <hyperlink ref="F194" r:id="rId102" xr:uid="{4ACC6E24-8E89-42B4-A2EA-E0269CD0E7C9}"/>
    <hyperlink ref="F271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65" r:id="rId110" xr:uid="{116CD3FB-9C92-4A1C-BB03-E4CAEA103C0D}"/>
    <hyperlink ref="F143" r:id="rId111" xr:uid="{1196818E-3BE0-43E2-8A04-FF0579441629}"/>
    <hyperlink ref="F384" r:id="rId112" xr:uid="{58B6A580-0338-48F0-86CD-607FDFF434A0}"/>
    <hyperlink ref="F148" r:id="rId113" xr:uid="{502D1FC9-3462-4765-9E5E-E7C3C3459F33}"/>
    <hyperlink ref="F138" r:id="rId114" xr:uid="{F9367E16-C882-47BD-BA28-B6D498EBBBDF}"/>
    <hyperlink ref="F320" r:id="rId115" display="https://tomatoshop.studio.site/" xr:uid="{F1379AF2-D6D2-4C4B-AD80-E409661B1C84}"/>
    <hyperlink ref="F400" r:id="rId116" display="https://tomatoshop.studio.site/" xr:uid="{EB1ACAC4-6B55-CE4E-845F-8F63227026F4}"/>
    <hyperlink ref="F280" r:id="rId117" xr:uid="{5082E534-D3FB-4DD6-9E0B-D6202BB3C49E}"/>
    <hyperlink ref="F153" r:id="rId118" xr:uid="{5827E670-CC22-4A19-80E9-0FAD13040207}"/>
    <hyperlink ref="F330" r:id="rId119" xr:uid="{C833F371-D2A9-46F5-BC52-0475DEE4D054}"/>
    <hyperlink ref="F242" r:id="rId120" xr:uid="{39F0C1C6-4251-47C8-A393-C731597D169A}"/>
    <hyperlink ref="F366" r:id="rId121" xr:uid="{91788672-1154-4E84-8074-7613BF830DB9}"/>
    <hyperlink ref="F131" r:id="rId122" xr:uid="{7324D0C3-0788-4576-AD24-8BECB1C99D92}"/>
    <hyperlink ref="F336" r:id="rId123" xr:uid="{B02A0CD2-62A8-42D6-93B3-71D15580CD81}"/>
    <hyperlink ref="F415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61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374" r:id="rId136" xr:uid="{EB75AD4B-8DFC-46FB-97EB-7B2637DE1D0C}"/>
    <hyperlink ref="F389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296" r:id="rId142" xr:uid="{84499711-CC79-43ED-B718-6C6BE45F3FC0}"/>
    <hyperlink ref="F342" r:id="rId143" xr:uid="{61000D28-7493-42E5-BC77-02DE0D21747A}"/>
    <hyperlink ref="F301" r:id="rId144" xr:uid="{90C519A3-88D8-43B9-81FE-7E0755AAF9B7}"/>
    <hyperlink ref="F115" r:id="rId145" xr:uid="{8633D6DB-267F-4B4F-887C-C6C81786673C}"/>
    <hyperlink ref="F411" r:id="rId146" xr:uid="{EF1579F4-9AA2-46A4-9424-C770389CCE04}"/>
    <hyperlink ref="F199" r:id="rId147" xr:uid="{5F804CD1-4685-4DB6-A8B3-16A4B23D4A0E}"/>
    <hyperlink ref="F279" r:id="rId148" xr:uid="{DE5C4406-EEF1-4B50-881F-7A6158CB1B64}"/>
    <hyperlink ref="F181" r:id="rId149" xr:uid="{135CCDDC-FF90-4368-A48D-53FD458AB884}"/>
    <hyperlink ref="F354" r:id="rId150" xr:uid="{1F52AE30-FEB0-4221-954C-C1133AEA1B7F}"/>
    <hyperlink ref="F350" r:id="rId151" xr:uid="{108FCB77-E416-4909-8A95-B10BAADC9FAE}"/>
    <hyperlink ref="F373" r:id="rId152" xr:uid="{DDF6827E-91F8-47E9-9842-8EA7B80BB8A0}"/>
    <hyperlink ref="F304" r:id="rId153" xr:uid="{BA2700D5-4798-4DC1-8C92-3D71DE36B975}"/>
    <hyperlink ref="F432" r:id="rId154" xr:uid="{DA1B4E02-B955-4E2C-A2B9-E05192170A1E}"/>
    <hyperlink ref="F433" r:id="rId155" xr:uid="{F11AF343-9AA6-4422-A3CD-A25E752BC15C}"/>
    <hyperlink ref="F430" r:id="rId156" xr:uid="{E5CC6557-91A1-4DD4-B0BF-77F58F409148}"/>
    <hyperlink ref="F334" r:id="rId157" xr:uid="{33F982BE-0C4C-400D-BC24-2656F5276987}"/>
    <hyperlink ref="F337" r:id="rId158" xr:uid="{CC7521BB-686A-4DEA-B0DC-B3F4D780F85B}"/>
    <hyperlink ref="F314:F317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15:F318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67" r:id="rId164" xr:uid="{99E57A08-6A5C-4D9F-9191-0039542D3206}"/>
    <hyperlink ref="F393" r:id="rId165" xr:uid="{E1CEA228-8C77-486A-B910-AEFCBD795530}"/>
    <hyperlink ref="F390" r:id="rId166" xr:uid="{88ED7A05-7F75-42BC-9149-69776D433A22}"/>
    <hyperlink ref="F287" r:id="rId167" xr:uid="{F557F50A-3623-410E-AA97-12031958EF4D}"/>
    <hyperlink ref="F375" r:id="rId168" xr:uid="{2F3C3A3A-8412-4739-8A39-2CFE67FB49D2}"/>
    <hyperlink ref="F260" r:id="rId169" xr:uid="{59B88970-3D81-4B8A-8D3A-F2FB4A2B17B6}"/>
    <hyperlink ref="F419" r:id="rId170" xr:uid="{C32DD582-9190-4FA2-9F64-74F89D888D62}"/>
    <hyperlink ref="F200" r:id="rId171" xr:uid="{BF5E860E-C594-4BB0-8BF4-0E67EAE670CD}"/>
    <hyperlink ref="F338" r:id="rId172" xr:uid="{EDC56426-2ACA-4319-8408-00A066EB817D}"/>
    <hyperlink ref="F418" r:id="rId173" xr:uid="{8F435601-5AB1-4ADA-90AA-512792B42251}"/>
    <hyperlink ref="F376" r:id="rId174" xr:uid="{8517E623-20BA-4069-AD3A-84013BBBBAD1}"/>
    <hyperlink ref="F394" r:id="rId175" xr:uid="{38311A5D-2B7F-4FD7-922C-A7FD8669B754}"/>
    <hyperlink ref="F413" r:id="rId176" xr:uid="{07B25198-3B29-49D1-9427-E2AAB904B699}"/>
    <hyperlink ref="F264" r:id="rId177" xr:uid="{FACF30D1-8C5E-4592-AC56-BFE9A442CEDA}"/>
    <hyperlink ref="F311" r:id="rId178" xr:uid="{588BB4ED-975C-42FE-B3DD-0706E484E363}"/>
    <hyperlink ref="F427" r:id="rId179" xr:uid="{A224B14E-4E21-40D9-A9B2-44FAE06CED83}"/>
    <hyperlink ref="F423" r:id="rId180" xr:uid="{4BD38BD0-8329-429C-99FC-F268CFED277B}"/>
    <hyperlink ref="F258" r:id="rId181" xr:uid="{EF57E4E8-543C-48C8-AB9E-3C233C9BAB54}"/>
    <hyperlink ref="F166" r:id="rId182" xr:uid="{5084134B-5F22-463F-A65C-BF93696D01E8}"/>
    <hyperlink ref="F409" r:id="rId183" xr:uid="{EB9DE3C8-97D0-4690-9E66-01224578F796}"/>
    <hyperlink ref="F351" r:id="rId184" xr:uid="{C03CF168-3C12-4677-8D7D-D59C01692FEF}"/>
    <hyperlink ref="F380" r:id="rId185" xr:uid="{7A00AA44-57D4-410C-84F7-1385CDDA71DE}"/>
    <hyperlink ref="F392" r:id="rId186" xr:uid="{8DEE7DC5-9DB1-49C8-84FF-8A51F9DF7C3A}"/>
    <hyperlink ref="F263" r:id="rId187" xr:uid="{CE4B5F9C-D4D2-4B30-9416-9974FFDEE0C6}"/>
    <hyperlink ref="F405" r:id="rId188" xr:uid="{158728FC-10D8-4A2D-B157-C40940B593D5}"/>
    <hyperlink ref="F262" r:id="rId189" xr:uid="{713B80A6-6830-4723-86EB-485F0B14F3BE}"/>
    <hyperlink ref="F404" r:id="rId190" xr:uid="{E9FADB5C-F3CC-4A44-8E62-432C3765C720}"/>
    <hyperlink ref="F308" r:id="rId191" xr:uid="{B0E1FB6A-6A48-4A0C-A5C1-58282A83CCE5}"/>
    <hyperlink ref="F309" r:id="rId192" xr:uid="{08A2C2CD-A2B4-4404-9054-9C64105E1DF7}"/>
    <hyperlink ref="F135" r:id="rId193" xr:uid="{4E21A862-7310-4927-A746-53535E255C32}"/>
    <hyperlink ref="F246" r:id="rId194" xr:uid="{3FEE91EB-76C5-4DD7-88A7-D57FE2F9F4A1}"/>
    <hyperlink ref="F290" r:id="rId195" xr:uid="{4C693679-C540-48A7-88F4-0E6736D68F2C}"/>
    <hyperlink ref="F307" r:id="rId196" xr:uid="{54E1A8BB-5776-44B6-B3CA-D8EF1A8F2020}"/>
    <hyperlink ref="F316" r:id="rId197" xr:uid="{1B1314E4-1274-4A5E-9BE2-DB7789797D9C}"/>
    <hyperlink ref="F357" r:id="rId198" xr:uid="{2DAA7CE0-E4BA-4F19-887B-26C8B1316046}"/>
    <hyperlink ref="F385" r:id="rId199" xr:uid="{69AC5F84-890C-4FC1-870F-17CB8F3B6C2E}"/>
    <hyperlink ref="F190" r:id="rId200" xr:uid="{6289F76C-A975-44BE-A9EB-AD05A06F4776}"/>
    <hyperlink ref="F270" r:id="rId201" xr:uid="{858EA392-9022-4160-AE1B-7C9A7235CF14}"/>
    <hyperlink ref="F365:F377" r:id="rId202" display="https://torinosu-hikikomori.jimdofree.com" xr:uid="{EA72453A-7C3F-498F-A120-3DE74486B8A6}"/>
    <hyperlink ref="F314" r:id="rId203" xr:uid="{2A905E16-7603-4181-9A8A-FD5324BD1A7F}"/>
    <hyperlink ref="F313" r:id="rId204" xr:uid="{F9B728A5-15CD-4AE9-9498-C0D347404918}"/>
    <hyperlink ref="F298" r:id="rId205" xr:uid="{3AA028FB-D0FD-40D9-BC8E-D27ABCDB92DE}"/>
    <hyperlink ref="F383:F388" r:id="rId206" display="https://lenskkpb.wixsite.com/len-sakaki-official" xr:uid="{41C75B9A-AFDD-477A-8469-442C83BF1C20}"/>
    <hyperlink ref="F364" r:id="rId207" xr:uid="{E9347EA9-21EB-42D4-987F-5D163371BCA6}"/>
    <hyperlink ref="F164" r:id="rId208" xr:uid="{6709143C-EC1C-4E22-8A6B-914136721DDA}"/>
    <hyperlink ref="F302" r:id="rId209" xr:uid="{5617C910-A310-4A17-8AA4-316F310847BF}"/>
    <hyperlink ref="F303" r:id="rId210" xr:uid="{2589C453-99E6-4E36-AED1-DD20CA59EAAD}"/>
    <hyperlink ref="F325" r:id="rId211" xr:uid="{E966FEFA-2086-4F71-A220-A242A6E77068}"/>
    <hyperlink ref="F346" r:id="rId212" xr:uid="{5147A47E-1C69-42B0-90BD-F7778A03B8D8}"/>
    <hyperlink ref="F424" r:id="rId213" xr:uid="{33591C89-D3E3-461A-91DF-B0E23E49244B}"/>
    <hyperlink ref="F182" r:id="rId214" xr:uid="{A3591E43-7C22-4FD1-924E-15894D717A6F}"/>
    <hyperlink ref="F406" r:id="rId215" xr:uid="{05FF1A37-523B-44F8-BC6B-2FE3B42C6FB0}"/>
    <hyperlink ref="F174" r:id="rId216" xr:uid="{771B46BB-CD8D-4DC4-AD1A-01F2CC50F599}"/>
    <hyperlink ref="F188" r:id="rId217" xr:uid="{DA94E514-95ED-48D5-8917-4CEB2D10AC09}"/>
    <hyperlink ref="F278" r:id="rId218" xr:uid="{AAACC18E-768A-40FC-9A76-393385BDE8AA}"/>
    <hyperlink ref="F43:F47" r:id="rId219" display="https://ameutaulii.wixsite.com/telepathycapsule" xr:uid="{9D76E74C-8DF7-4F45-8589-E0807CE20677}"/>
    <hyperlink ref="F327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53:F254" r:id="rId229" display="https://mareffys.wixsite.com/lalo" xr:uid="{8C282279-8B31-4071-A77D-D009CFC236C3}"/>
    <hyperlink ref="F258:F264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16:F417" r:id="rId236" display="https://todosho1192.wixsite.com/my-site-3" xr:uid="{F27D3A18-A7BA-4398-AABF-E9567CD42E02}"/>
    <hyperlink ref="F295" r:id="rId237" xr:uid="{BFCF7012-69F3-45C3-AFE9-F0277A62BBD8}"/>
    <hyperlink ref="F391" r:id="rId238" xr:uid="{BE1C263B-30C3-4388-A077-E2B849D62EEC}"/>
    <hyperlink ref="F274" r:id="rId239" xr:uid="{448506F7-A154-4559-9940-71967815FB44}"/>
    <hyperlink ref="F361" r:id="rId240" xr:uid="{9618126B-6DF1-426D-B0BA-26AFDCA9177D}"/>
    <hyperlink ref="F396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5" r:id="rId246" xr:uid="{15F81934-A4C1-419F-8701-F3FB27235074}"/>
    <hyperlink ref="F202" r:id="rId247" xr:uid="{5099072F-AB96-4254-A9FD-54871C4A74A2}"/>
    <hyperlink ref="F155" r:id="rId248" xr:uid="{CA7CC9AE-7315-42BE-937F-A3819BB9EBE0}"/>
    <hyperlink ref="F64" r:id="rId249" xr:uid="{418C9B4B-CFA8-4994-A14D-BC445F33856C}"/>
    <hyperlink ref="F119:F123" r:id="rId250" display="https://chunyinhui021.wixsite.com/mutyuusaisei" xr:uid="{FABDAE2C-7F63-441F-84B2-028938338884}"/>
    <hyperlink ref="F149" r:id="rId251" xr:uid="{C6473DEC-BF73-419B-AA56-146489756280}"/>
    <hyperlink ref="F119" r:id="rId252" xr:uid="{28C97FB3-933D-45FF-9628-75334EC574F4}"/>
    <hyperlink ref="F145:F152" r:id="rId253" display="https://flowerrocklove.wixsite.com/twilight-crisis" xr:uid="{FDAA4323-4883-4BB6-9181-C86DC3ADB7F0}"/>
    <hyperlink ref="F37" r:id="rId254" xr:uid="{AD3B11AA-D587-4DF1-8BC5-E508A5AD4F14}"/>
    <hyperlink ref="F212" r:id="rId255" xr:uid="{0E759D8E-9DE5-44ED-A2BE-A99A9E2627DB}"/>
    <hyperlink ref="F213" r:id="rId256" xr:uid="{406FC7AC-2166-4FD4-99F2-4BB095DB43CC}"/>
    <hyperlink ref="F211" r:id="rId257" xr:uid="{F9779F13-F0A4-4D78-98A1-1A2293AAA7FD}"/>
    <hyperlink ref="F214" r:id="rId258" xr:uid="{6CC49D90-7570-4B72-88D0-94D3708E5825}"/>
    <hyperlink ref="F17" r:id="rId259" xr:uid="{53566C5F-FB16-421E-81DF-F6230E99E473}"/>
    <hyperlink ref="F18" r:id="rId260" xr:uid="{72C86F07-C5A0-4A7B-9EE3-83CBC908E342}"/>
    <hyperlink ref="F215" r:id="rId261" xr:uid="{1B923E2D-7B61-46E7-9CD1-4FFE9FF203C6}"/>
    <hyperlink ref="F217" r:id="rId262" xr:uid="{ACD6D043-DC6C-4915-B869-0962630001EE}"/>
    <hyperlink ref="F218" r:id="rId263" xr:uid="{1BB09921-A1B5-4E8A-AF07-B858C21DFBCC}"/>
    <hyperlink ref="F434" r:id="rId264" xr:uid="{61646544-B7F6-41E1-8AAA-1060414B887B}"/>
    <hyperlink ref="F435" r:id="rId265" xr:uid="{93E61A86-7C41-43F4-88FF-AD6D298AC41C}"/>
    <hyperlink ref="F436" r:id="rId266" xr:uid="{51F09A09-DFFB-4E04-8966-9EFE30193397}"/>
    <hyperlink ref="F219" r:id="rId267" xr:uid="{47501218-C0AE-448A-80CE-563AF7997BE9}"/>
    <hyperlink ref="F437" r:id="rId268" xr:uid="{3A2805FB-E662-434D-ABC5-5A3F16A81CE1}"/>
    <hyperlink ref="F438" r:id="rId269" xr:uid="{AE74323E-19A6-4A93-833E-30A12C9BAA71}"/>
    <hyperlink ref="F439" r:id="rId270" xr:uid="{44B46EA8-E8E3-49FF-97F9-7F6E461DEA48}"/>
    <hyperlink ref="F220" r:id="rId271" xr:uid="{3D463FD1-CA5E-441E-866F-5DDAABBEEC52}"/>
    <hyperlink ref="F234:F235" r:id="rId272" display="https://vividseekers.utau.sorairomarch.com" xr:uid="{77AABF20-E38A-4E5E-9256-98D67B3EFAD5}"/>
    <hyperlink ref="F221" r:id="rId273" xr:uid="{56FB0977-3126-4BA1-999A-6CCD84394835}"/>
    <hyperlink ref="F222" r:id="rId274" xr:uid="{034A46DA-F5A4-44C6-9E6C-646402456BD6}"/>
    <hyperlink ref="F223" r:id="rId275" xr:uid="{2A4F1930-4F68-493D-ABC5-F7A025BBE45F}"/>
    <hyperlink ref="F224" r:id="rId276" xr:uid="{BCE8DD4E-A8D7-4383-B8EB-68099CA41E17}"/>
    <hyperlink ref="F225" r:id="rId277" xr:uid="{0FC88DEF-F889-4B6B-8CCB-F686BBAEB5A1}"/>
    <hyperlink ref="F226" r:id="rId278" xr:uid="{39EF5822-BBE0-4D3D-A5F3-58E8CAA40F99}"/>
    <hyperlink ref="F227" r:id="rId279" xr:uid="{9AAFB909-13C3-424B-AFA4-345246155E51}"/>
    <hyperlink ref="F103" r:id="rId280" xr:uid="{3FE6181D-9E89-466D-A7CE-1D0B0A3A3BEA}"/>
    <hyperlink ref="F54" r:id="rId281" xr:uid="{56EDA6B7-5404-4B84-8803-D3F8DF00406E}"/>
    <hyperlink ref="F19" r:id="rId282" xr:uid="{29E00CE5-F341-424F-B6FD-353D0A58F088}"/>
    <hyperlink ref="F326" r:id="rId283" xr:uid="{72F870BB-FF55-4D54-954C-E4885C32EBAD}"/>
    <hyperlink ref="F399" r:id="rId284" xr:uid="{D3C51E23-C92D-412B-9151-3A83EB71B0BD}"/>
    <hyperlink ref="F401" r:id="rId285" xr:uid="{F8892412-E2EF-4F22-978E-4CB152463A0C}"/>
    <hyperlink ref="F403" r:id="rId286" xr:uid="{09278526-39B2-47EF-9BEB-568CC2249A84}"/>
    <hyperlink ref="F428" r:id="rId287" xr:uid="{6237008D-1032-4541-87B3-EAE62A28C5C4}"/>
    <hyperlink ref="F22" r:id="rId288" xr:uid="{C2676C57-00EE-443E-AF00-E0791C6E740E}"/>
    <hyperlink ref="F112" r:id="rId289" xr:uid="{2D89B21B-0461-4B5E-882D-8497ABF2C187}"/>
    <hyperlink ref="F185" r:id="rId290" xr:uid="{99C721D3-51F8-4C8D-9B5E-758137429D70}"/>
    <hyperlink ref="F282" r:id="rId291" xr:uid="{1A5935A5-F197-4EB4-98D4-7456DD9263CB}"/>
    <hyperlink ref="F291" r:id="rId292" xr:uid="{1FDC25C5-4137-4D42-AD91-0378F9F9E3CB}"/>
    <hyperlink ref="F300" r:id="rId293" xr:uid="{B233B4B6-C275-4E49-9F97-339731422609}"/>
    <hyperlink ref="F228" r:id="rId294" xr:uid="{0D9566A2-B460-4D31-B72E-DEB0F19225F4}"/>
    <hyperlink ref="F229" r:id="rId295" display="https://kagerou009.hatenablog.com/" xr:uid="{3F9ACAE0-AC00-4378-9823-58DCEE87392D}"/>
    <hyperlink ref="F440" r:id="rId296" xr:uid="{B7F3530A-8B4D-4B5D-9E19-FCF2687BF8EE}"/>
    <hyperlink ref="F441" r:id="rId297" xr:uid="{54DC5442-05FB-4F08-A9DD-A1EC3BC106F5}"/>
    <hyperlink ref="F230" r:id="rId298" xr:uid="{A565DDFB-D389-4E52-B7CB-2398C4F3C765}"/>
    <hyperlink ref="F234" r:id="rId299" xr:uid="{9FEB38EA-9D2C-43BE-ABC7-34C83A8CD983}"/>
    <hyperlink ref="F231" r:id="rId300" xr:uid="{41A10682-311A-4BA7-AE6F-603DD0D67F66}"/>
    <hyperlink ref="F232" r:id="rId301" xr:uid="{05BD7CD2-B093-43EE-8DC5-4C12CAED47A2}"/>
    <hyperlink ref="F233" r:id="rId302" xr:uid="{B570437B-1A43-46E5-A410-00F3E1539A09}"/>
    <hyperlink ref="F28" r:id="rId303" xr:uid="{63C1D56C-B991-45F8-94EC-E35369DC603E}"/>
    <hyperlink ref="F34" r:id="rId304" xr:uid="{A67D21AA-F815-41E4-BFD9-6807006DDE4E}"/>
    <hyperlink ref="F144" r:id="rId305" xr:uid="{4CBC728E-5763-42D6-A346-C8E3B0B203A9}"/>
    <hyperlink ref="F294" r:id="rId306" xr:uid="{DC16D278-CEBD-45DF-8AE7-ACAF6E2B9F6F}"/>
    <hyperlink ref="F355" r:id="rId307" xr:uid="{E2059378-248E-4D4D-8C4A-71BE23469792}"/>
    <hyperlink ref="F33" r:id="rId308" xr:uid="{D7D153FA-F757-4FE6-8E3E-ABC7E2EA0867}"/>
    <hyperlink ref="F36" r:id="rId309" xr:uid="{F2DC715E-9B0D-4BAA-8664-8E54D0C7F9E1}"/>
    <hyperlink ref="F82" r:id="rId310" xr:uid="{A55531EC-FC14-40F4-BEBC-99E58E049C85}"/>
    <hyperlink ref="F91" r:id="rId311" xr:uid="{A8BDD7AF-52A6-464A-988A-C1913D72E2C8}"/>
    <hyperlink ref="F92" r:id="rId312" xr:uid="{DE30E5AF-17EB-4450-BD2E-595A72C7204C}"/>
    <hyperlink ref="F158" r:id="rId313" xr:uid="{820134B8-ED42-4B4C-A25A-8338EF6EEEB0}"/>
    <hyperlink ref="F55" r:id="rId314" xr:uid="{CA4A437D-844A-4B30-BA65-9BDA11F750D9}"/>
    <hyperlink ref="F110" r:id="rId315" xr:uid="{6199CBBA-251A-4B48-8FCD-16DAC0BDCA3D}"/>
  </hyperlinks>
  <pageMargins left="0.7" right="0.7" top="0.75" bottom="0.75" header="0.3" footer="0.3"/>
  <tableParts count="1">
    <tablePart r:id="rId3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73046875" defaultRowHeight="30" customHeight="1" x14ac:dyDescent="0.35"/>
  <cols>
    <col min="1" max="2" width="8.73046875" style="5"/>
    <col min="3" max="3" width="60.46484375" style="5" customWidth="1"/>
    <col min="4" max="16384" width="8.73046875" style="5"/>
  </cols>
  <sheetData>
    <row r="2" spans="2:3" ht="30" customHeight="1" x14ac:dyDescent="0.35">
      <c r="B2" s="31" t="s">
        <v>711</v>
      </c>
      <c r="C2" s="31"/>
    </row>
    <row r="4" spans="2:3" ht="30" customHeight="1" x14ac:dyDescent="0.35">
      <c r="B4" s="4" t="s">
        <v>715</v>
      </c>
      <c r="C4" s="7">
        <f ca="1">MATCH(C5,キャラ情報!C:C,0)</f>
        <v>415</v>
      </c>
    </row>
    <row r="5" spans="2:3" ht="30" customHeight="1" x14ac:dyDescent="0.35">
      <c r="B5" s="4" t="s">
        <v>712</v>
      </c>
      <c r="C5" s="6" t="str">
        <f ca="1">INDEX(キャラ情報!C:R,MATCH(MIN(キャラ情報!R:R),キャラ情報!R:R,0),1)</f>
        <v>夜打キーボ</v>
      </c>
    </row>
    <row r="6" spans="2:3" ht="30" customHeight="1" x14ac:dyDescent="0.35">
      <c r="B6" s="4" t="s">
        <v>713</v>
      </c>
      <c r="C6" s="6" t="str">
        <f ca="1">INDEX(キャラ情報!C:R,MATCH(MIN(キャラ情報!R:R),キャラ情報!R:R,0),4)</f>
        <v>https://alceaakaza.wixsite.com/artkashic-uni-verse</v>
      </c>
    </row>
    <row r="9" spans="2:3" ht="30" customHeight="1" x14ac:dyDescent="0.35">
      <c r="B9" s="31" t="s">
        <v>769</v>
      </c>
      <c r="C9" s="31"/>
    </row>
    <row r="11" spans="2:3" ht="30" customHeight="1" x14ac:dyDescent="0.35">
      <c r="B11" s="4" t="s">
        <v>715</v>
      </c>
      <c r="C11" s="7" t="e">
        <f ca="1">MATCH(C12,キャラ情報!C:C,0)</f>
        <v>#N/A</v>
      </c>
    </row>
    <row r="12" spans="2:3" ht="30" customHeight="1" x14ac:dyDescent="0.35">
      <c r="B12" s="4" t="s">
        <v>712</v>
      </c>
      <c r="C12" s="6" t="e">
        <f ca="1">INDEX(キャラ情報!C:T,MATCH(MIN(キャラ情報!T:T),キャラ情報!T:T,0),1)</f>
        <v>#N/A</v>
      </c>
    </row>
    <row r="14" spans="2:3" ht="30" customHeight="1" thickBot="1" x14ac:dyDescent="0.4">
      <c r="B14" s="8" t="s">
        <v>772</v>
      </c>
    </row>
    <row r="15" spans="2:3" ht="30" customHeight="1" thickTop="1" x14ac:dyDescent="0.35">
      <c r="B15" s="9" t="s">
        <v>1514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No.233｜</v>
      </c>
      <c r="C17" s="12" t="e">
        <f ca="1">C12</f>
        <v>#N/A</v>
      </c>
    </row>
    <row r="18" spans="2:3" ht="30" customHeight="1" x14ac:dyDescent="0.35">
      <c r="B18" s="11" t="e">
        <f ca="1">INDEX(キャラ情報!C:G,MATCH(C12,キャラ情報!C:C,0),5)</f>
        <v>#N/A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773</v>
      </c>
      <c r="C20" s="12"/>
    </row>
    <row r="21" spans="2:3" ht="30" customHeight="1" thickBot="1" x14ac:dyDescent="0.4">
      <c r="B21" s="13" t="s">
        <v>1716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33"/>
  <sheetViews>
    <sheetView topLeftCell="B1" workbookViewId="0">
      <selection activeCell="G2" sqref="G2"/>
    </sheetView>
  </sheetViews>
  <sheetFormatPr defaultColWidth="9.06640625" defaultRowHeight="20.149999999999999" customHeight="1" x14ac:dyDescent="0.35"/>
  <cols>
    <col min="1" max="1" width="5.9296875" style="19" bestFit="1" customWidth="1"/>
    <col min="2" max="2" width="19.06640625" style="19" bestFit="1" customWidth="1"/>
    <col min="3" max="3" width="19" style="19" bestFit="1" customWidth="1"/>
    <col min="4" max="4" width="20.73046875" style="19" bestFit="1" customWidth="1"/>
    <col min="5" max="5" width="30.19921875" style="19" bestFit="1" customWidth="1"/>
    <col min="6" max="6" width="54.53125" style="19" bestFit="1" customWidth="1"/>
    <col min="7" max="7" width="20.9296875" style="19" bestFit="1" customWidth="1"/>
    <col min="8" max="8" width="10.33203125" style="19" bestFit="1" customWidth="1"/>
    <col min="9" max="9" width="12.265625" style="19" bestFit="1" customWidth="1"/>
    <col min="10" max="10" width="12.265625" style="19" customWidth="1"/>
    <col min="11" max="11" width="11.59765625" style="19" bestFit="1" customWidth="1"/>
    <col min="12" max="12" width="20.1328125" style="19" bestFit="1" customWidth="1"/>
    <col min="13" max="13" width="16.9296875" style="19" bestFit="1" customWidth="1"/>
    <col min="14" max="16384" width="9.06640625" style="19"/>
  </cols>
  <sheetData>
    <row r="1" spans="1:13" s="18" customFormat="1" ht="20.149999999999999" customHeight="1" x14ac:dyDescent="0.35">
      <c r="A1" s="18" t="s">
        <v>1610</v>
      </c>
      <c r="B1" s="18" t="s">
        <v>1606</v>
      </c>
      <c r="C1" s="18" t="s">
        <v>1607</v>
      </c>
      <c r="D1" s="18" t="s">
        <v>1608</v>
      </c>
      <c r="E1" s="18" t="s">
        <v>1609</v>
      </c>
      <c r="F1" s="18" t="s">
        <v>1611</v>
      </c>
      <c r="G1" s="18" t="s">
        <v>1612</v>
      </c>
      <c r="H1" s="18" t="s">
        <v>1613</v>
      </c>
      <c r="I1" s="1" t="s">
        <v>1619</v>
      </c>
      <c r="J1" s="1" t="s">
        <v>1760</v>
      </c>
      <c r="K1" s="1" t="s">
        <v>1620</v>
      </c>
      <c r="L1" s="1" t="s">
        <v>1621</v>
      </c>
      <c r="M1" s="1" t="s">
        <v>1622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 ","|")</f>
        <v>#虹彩箱</v>
      </c>
      <c r="H2" s="19" t="str">
        <f>テーブル1[[#This Row],[性別]]&amp;""</f>
        <v>女性</v>
      </c>
      <c r="I2" s="19" t="str">
        <f>テーブル1[[#This Row],[種族タグ]]&amp;""</f>
        <v>鬼</v>
      </c>
      <c r="J2" s="19" t="str">
        <f>テーブル1[[#This Row],[モチーフタグ]]&amp;""</f>
        <v/>
      </c>
      <c r="K2" s="19" t="str">
        <f>テーブル1[[#This Row],[職業タグ]]&amp;""</f>
        <v/>
      </c>
      <c r="L2" s="19" t="str">
        <f>テーブル1[[#This Row],[小物タグ]]&amp;""</f>
        <v/>
      </c>
      <c r="M2" s="19" t="str">
        <f>テーブル1[[#This Row],[ワンポイントタグ]]&amp;""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 ","|")</f>
        <v>#東屋でお茶でも</v>
      </c>
      <c r="H3" s="19" t="str">
        <f>テーブル1[[#This Row],[性別]]&amp;""</f>
        <v>男性</v>
      </c>
      <c r="I3" s="19" t="str">
        <f>テーブル1[[#This Row],[種族タグ]]&amp;""</f>
        <v>人間</v>
      </c>
      <c r="J3" s="19" t="str">
        <f>テーブル1[[#This Row],[モチーフタグ]]&amp;""</f>
        <v/>
      </c>
      <c r="K3" s="19" t="str">
        <f>テーブル1[[#This Row],[職業タグ]]&amp;""</f>
        <v>学者</v>
      </c>
      <c r="L3" s="19" t="str">
        <f>テーブル1[[#This Row],[小物タグ]]&amp;""</f>
        <v>眼鏡</v>
      </c>
      <c r="M3" s="19" t="str">
        <f>テーブル1[[#This Row],[ワンポイントタグ]]&amp;""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 ","|")</f>
        <v>#神様の足元</v>
      </c>
      <c r="H4" s="19" t="str">
        <f>テーブル1[[#This Row],[性別]]&amp;""</f>
        <v>男性</v>
      </c>
      <c r="I4" s="19" t="str">
        <f>テーブル1[[#This Row],[種族タグ]]&amp;""</f>
        <v>人間|機械</v>
      </c>
      <c r="J4" s="19" t="str">
        <f>テーブル1[[#This Row],[モチーフタグ]]&amp;""</f>
        <v>ドラゴン</v>
      </c>
      <c r="K4" s="19" t="str">
        <f>テーブル1[[#This Row],[職業タグ]]&amp;""</f>
        <v>機械整備士</v>
      </c>
      <c r="L4" s="19" t="str">
        <f>テーブル1[[#This Row],[小物タグ]]&amp;""</f>
        <v/>
      </c>
      <c r="M4" s="19" t="str">
        <f>テーブル1[[#This Row],[ワンポイントタグ]]&amp;""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 ","|")</f>
        <v>#足立レイ</v>
      </c>
      <c r="H5" s="19" t="str">
        <f>テーブル1[[#This Row],[性別]]&amp;""</f>
        <v>女性</v>
      </c>
      <c r="I5" s="19" t="str">
        <f>テーブル1[[#This Row],[種族タグ]]&amp;""</f>
        <v>機械</v>
      </c>
      <c r="J5" s="19" t="str">
        <f>テーブル1[[#This Row],[モチーフタグ]]&amp;""</f>
        <v/>
      </c>
      <c r="K5" s="19" t="str">
        <f>テーブル1[[#This Row],[職業タグ]]&amp;""</f>
        <v/>
      </c>
      <c r="L5" s="19" t="str">
        <f>テーブル1[[#This Row],[小物タグ]]&amp;""</f>
        <v>イヤーユニット</v>
      </c>
      <c r="M5" s="19" t="str">
        <f>テーブル1[[#This Row],[ワンポイントタグ]]&amp;""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 ","|")</f>
        <v>#ひわわーアラート</v>
      </c>
      <c r="H6" s="19" t="str">
        <f>テーブル1[[#This Row],[性別]]&amp;""</f>
        <v>女性</v>
      </c>
      <c r="I6" s="19" t="str">
        <f>テーブル1[[#This Row],[種族タグ]]&amp;""</f>
        <v>鳥</v>
      </c>
      <c r="J6" s="19" t="str">
        <f>テーブル1[[#This Row],[モチーフタグ]]&amp;""</f>
        <v>雀</v>
      </c>
      <c r="K6" s="19" t="str">
        <f>テーブル1[[#This Row],[職業タグ]]&amp;""</f>
        <v/>
      </c>
      <c r="L6" s="19" t="str">
        <f>テーブル1[[#This Row],[小物タグ]]&amp;""</f>
        <v>仮面</v>
      </c>
      <c r="M6" s="19" t="str">
        <f>テーブル1[[#This Row],[ワンポイントタグ]]&amp;""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 ","|")</f>
        <v>#でるらぼ</v>
      </c>
      <c r="H7" s="19" t="str">
        <f>テーブル1[[#This Row],[性別]]&amp;""</f>
        <v>女性</v>
      </c>
      <c r="I7" s="19" t="str">
        <f>テーブル1[[#This Row],[種族タグ]]&amp;""</f>
        <v>人間</v>
      </c>
      <c r="J7" s="19" t="str">
        <f>テーブル1[[#This Row],[モチーフタグ]]&amp;""</f>
        <v/>
      </c>
      <c r="K7" s="19" t="str">
        <f>テーブル1[[#This Row],[職業タグ]]&amp;""</f>
        <v/>
      </c>
      <c r="L7" s="19" t="str">
        <f>テーブル1[[#This Row],[小物タグ]]&amp;""</f>
        <v/>
      </c>
      <c r="M7" s="19" t="str">
        <f>テーブル1[[#This Row],[ワンポイントタグ]]&amp;""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 ","|")</f>
        <v>#セレソー作</v>
      </c>
      <c r="H8" s="19" t="str">
        <f>テーブル1[[#This Row],[性別]]&amp;""</f>
        <v>無性別</v>
      </c>
      <c r="I8" s="19" t="str">
        <f>テーブル1[[#This Row],[種族タグ]]&amp;""</f>
        <v>バーチャル</v>
      </c>
      <c r="J8" s="19" t="str">
        <f>テーブル1[[#This Row],[モチーフタグ]]&amp;""</f>
        <v/>
      </c>
      <c r="K8" s="19" t="str">
        <f>テーブル1[[#This Row],[職業タグ]]&amp;""</f>
        <v/>
      </c>
      <c r="L8" s="19" t="str">
        <f>テーブル1[[#This Row],[小物タグ]]&amp;""</f>
        <v>眼鏡</v>
      </c>
      <c r="M8" s="19" t="str">
        <f>テーブル1[[#This Row],[ワンポイントタグ]]&amp;""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 ","|")</f>
        <v>#ふあわあーと</v>
      </c>
      <c r="H9" s="19" t="str">
        <f>テーブル1[[#This Row],[性別]]&amp;""</f>
        <v>女性</v>
      </c>
      <c r="I9" s="19" t="str">
        <f>テーブル1[[#This Row],[種族タグ]]&amp;""</f>
        <v>人間|天使</v>
      </c>
      <c r="J9" s="19" t="str">
        <f>テーブル1[[#This Row],[モチーフタグ]]&amp;""</f>
        <v/>
      </c>
      <c r="K9" s="19" t="str">
        <f>テーブル1[[#This Row],[職業タグ]]&amp;""</f>
        <v/>
      </c>
      <c r="L9" s="19" t="str">
        <f>テーブル1[[#This Row],[小物タグ]]&amp;""</f>
        <v/>
      </c>
      <c r="M9" s="19" t="str">
        <f>テーブル1[[#This Row],[ワンポイントタグ]]&amp;""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 ","|")</f>
        <v>#雨音うさぎ</v>
      </c>
      <c r="H10" s="19" t="str">
        <f>テーブル1[[#This Row],[性別]]&amp;""</f>
        <v>女性</v>
      </c>
      <c r="I10" s="19" t="str">
        <f>テーブル1[[#This Row],[種族タグ]]&amp;""</f>
        <v>人間</v>
      </c>
      <c r="J10" s="19" t="str">
        <f>テーブル1[[#This Row],[モチーフタグ]]&amp;""</f>
        <v>兎</v>
      </c>
      <c r="K10" s="19" t="str">
        <f>テーブル1[[#This Row],[職業タグ]]&amp;""</f>
        <v/>
      </c>
      <c r="L10" s="19" t="str">
        <f>テーブル1[[#This Row],[小物タグ]]&amp;""</f>
        <v>ヘアピン</v>
      </c>
      <c r="M10" s="19" t="str">
        <f>テーブル1[[#This Row],[ワンポイントタグ]]&amp;""</f>
        <v>渦巻き目、アホ毛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 ","|")</f>
        <v>#煮バコ</v>
      </c>
      <c r="H11" s="19" t="str">
        <f>テーブル1[[#This Row],[性別]]&amp;""</f>
        <v>男性</v>
      </c>
      <c r="I11" s="19" t="str">
        <f>テーブル1[[#This Row],[種族タグ]]&amp;""</f>
        <v>故人|幽霊</v>
      </c>
      <c r="J11" s="19" t="str">
        <f>テーブル1[[#This Row],[モチーフタグ]]&amp;""</f>
        <v/>
      </c>
      <c r="K11" s="19" t="str">
        <f>テーブル1[[#This Row],[職業タグ]]&amp;""</f>
        <v/>
      </c>
      <c r="L11" s="19" t="str">
        <f>テーブル1[[#This Row],[小物タグ]]&amp;""</f>
        <v/>
      </c>
      <c r="M11" s="19" t="str">
        <f>テーブル1[[#This Row],[ワンポイントタグ]]&amp;""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 ","|")</f>
        <v>#泡沫古書店</v>
      </c>
      <c r="H12" s="19" t="str">
        <f>テーブル1[[#This Row],[性別]]&amp;""</f>
        <v>女性</v>
      </c>
      <c r="I12" s="19" t="str">
        <f>テーブル1[[#This Row],[種族タグ]]&amp;""</f>
        <v>人間</v>
      </c>
      <c r="J12" s="19" t="str">
        <f>テーブル1[[#This Row],[モチーフタグ]]&amp;""</f>
        <v/>
      </c>
      <c r="K12" s="19" t="str">
        <f>テーブル1[[#This Row],[職業タグ]]&amp;""</f>
        <v>書店員</v>
      </c>
      <c r="L12" s="19" t="str">
        <f>テーブル1[[#This Row],[小物タグ]]&amp;""</f>
        <v>眼鏡</v>
      </c>
      <c r="M12" s="19" t="str">
        <f>テーブル1[[#This Row],[ワンポイントタグ]]&amp;""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 ","|")</f>
        <v>#デフォ子</v>
      </c>
      <c r="H13" s="19" t="str">
        <f>テーブル1[[#This Row],[性別]]&amp;""</f>
        <v>女性</v>
      </c>
      <c r="I13" s="19" t="str">
        <f>テーブル1[[#This Row],[種族タグ]]&amp;""</f>
        <v/>
      </c>
      <c r="J13" s="19" t="str">
        <f>テーブル1[[#This Row],[モチーフタグ]]&amp;""</f>
        <v/>
      </c>
      <c r="K13" s="19" t="str">
        <f>テーブル1[[#This Row],[職業タグ]]&amp;""</f>
        <v/>
      </c>
      <c r="L13" s="19" t="str">
        <f>テーブル1[[#This Row],[小物タグ]]&amp;""</f>
        <v>ヘッドセット</v>
      </c>
      <c r="M13" s="19" t="str">
        <f>テーブル1[[#This Row],[ワンポイントタグ]]&amp;""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 ","|")</f>
        <v>#透歌工房</v>
      </c>
      <c r="H14" s="19" t="str">
        <f>テーブル1[[#This Row],[性別]]&amp;""</f>
        <v>女性</v>
      </c>
      <c r="I14" s="19" t="str">
        <f>テーブル1[[#This Row],[種族タグ]]&amp;""</f>
        <v>フィギュア</v>
      </c>
      <c r="J14" s="19" t="str">
        <f>テーブル1[[#This Row],[モチーフタグ]]&amp;""</f>
        <v>兎</v>
      </c>
      <c r="K14" s="19" t="str">
        <f>テーブル1[[#This Row],[職業タグ]]&amp;""</f>
        <v/>
      </c>
      <c r="L14" s="19" t="str">
        <f>テーブル1[[#This Row],[小物タグ]]&amp;""</f>
        <v/>
      </c>
      <c r="M14" s="19" t="str">
        <f>テーブル1[[#This Row],[ワンポイントタグ]]&amp;""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 ","|")</f>
        <v>#ひわわーアラート</v>
      </c>
      <c r="H15" s="19" t="str">
        <f>テーブル1[[#This Row],[性別]]&amp;""</f>
        <v>男性</v>
      </c>
      <c r="I15" s="19" t="str">
        <f>テーブル1[[#This Row],[種族タグ]]&amp;""</f>
        <v>人間|人形</v>
      </c>
      <c r="J15" s="19" t="str">
        <f>テーブル1[[#This Row],[モチーフタグ]]&amp;""</f>
        <v/>
      </c>
      <c r="K15" s="19" t="str">
        <f>テーブル1[[#This Row],[職業タグ]]&amp;""</f>
        <v>腹話術師</v>
      </c>
      <c r="L15" s="19" t="str">
        <f>テーブル1[[#This Row],[小物タグ]]&amp;""</f>
        <v/>
      </c>
      <c r="M15" s="19" t="str">
        <f>テーブル1[[#This Row],[ワンポイントタグ]]&amp;""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 ","|")</f>
        <v>#ichistar</v>
      </c>
      <c r="H16" s="19" t="str">
        <f>テーブル1[[#This Row],[性別]]&amp;""</f>
        <v>女性</v>
      </c>
      <c r="I16" s="19" t="str">
        <f>テーブル1[[#This Row],[種族タグ]]&amp;""</f>
        <v>天使</v>
      </c>
      <c r="J16" s="19" t="str">
        <f>テーブル1[[#This Row],[モチーフタグ]]&amp;""</f>
        <v/>
      </c>
      <c r="K16" s="19" t="str">
        <f>テーブル1[[#This Row],[職業タグ]]&amp;""</f>
        <v>クリエイター</v>
      </c>
      <c r="L16" s="19" t="str">
        <f>テーブル1[[#This Row],[小物タグ]]&amp;""</f>
        <v/>
      </c>
      <c r="M16" s="19" t="str">
        <f>テーブル1[[#This Row],[ワンポイントタグ]]&amp;""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 ","|")</f>
        <v>#そらいろマーチ</v>
      </c>
      <c r="H17" s="19" t="str">
        <f>テーブル1[[#This Row],[性別]]&amp;""</f>
        <v>無性別</v>
      </c>
      <c r="I17" s="19" t="str">
        <f>テーブル1[[#This Row],[種族タグ]]&amp;""</f>
        <v>バーチャル</v>
      </c>
      <c r="J17" s="19" t="str">
        <f>テーブル1[[#This Row],[モチーフタグ]]&amp;""</f>
        <v/>
      </c>
      <c r="K17" s="19" t="str">
        <f>テーブル1[[#This Row],[職業タグ]]&amp;""</f>
        <v/>
      </c>
      <c r="L17" s="19" t="str">
        <f>テーブル1[[#This Row],[小物タグ]]&amp;""</f>
        <v/>
      </c>
      <c r="M17" s="19" t="str">
        <f>テーブル1[[#This Row],[ワンポイントタグ]]&amp;""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 ","|")</f>
        <v>#そらいろマーチ</v>
      </c>
      <c r="H18" s="19" t="str">
        <f>テーブル1[[#This Row],[性別]]&amp;""</f>
        <v>無性別</v>
      </c>
      <c r="I18" s="19" t="str">
        <f>テーブル1[[#This Row],[種族タグ]]&amp;""</f>
        <v>バーチャル</v>
      </c>
      <c r="J18" s="19" t="str">
        <f>テーブル1[[#This Row],[モチーフタグ]]&amp;""</f>
        <v/>
      </c>
      <c r="K18" s="19" t="str">
        <f>テーブル1[[#This Row],[職業タグ]]&amp;""</f>
        <v>ヤンキー</v>
      </c>
      <c r="L18" s="19" t="str">
        <f>テーブル1[[#This Row],[小物タグ]]&amp;""</f>
        <v/>
      </c>
      <c r="M18" s="19" t="str">
        <f>テーブル1[[#This Row],[ワンポイントタグ]]&amp;""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 ","|")</f>
        <v>#拡音シャノン</v>
      </c>
      <c r="H19" s="19" t="str">
        <f>テーブル1[[#This Row],[性別]]&amp;""</f>
        <v>女性</v>
      </c>
      <c r="I19" s="19" t="str">
        <f>テーブル1[[#This Row],[種族タグ]]&amp;""</f>
        <v/>
      </c>
      <c r="J19" s="19" t="str">
        <f>テーブル1[[#This Row],[モチーフタグ]]&amp;""</f>
        <v/>
      </c>
      <c r="K19" s="19" t="str">
        <f>テーブル1[[#This Row],[職業タグ]]&amp;""</f>
        <v/>
      </c>
      <c r="L19" s="19" t="str">
        <f>テーブル1[[#This Row],[小物タグ]]&amp;""</f>
        <v>ヘアピン|拡声器</v>
      </c>
      <c r="M19" s="19" t="str">
        <f>テーブル1[[#This Row],[ワンポイントタグ]]&amp;""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 ","|")</f>
        <v>#重音テッド</v>
      </c>
      <c r="H20" s="19" t="str">
        <f>テーブル1[[#This Row],[性別]]&amp;""</f>
        <v>キメラ</v>
      </c>
      <c r="I20" s="19" t="str">
        <f>テーブル1[[#This Row],[種族タグ]]&amp;""</f>
        <v>バーチャル</v>
      </c>
      <c r="J20" s="19" t="str">
        <f>テーブル1[[#This Row],[モチーフタグ]]&amp;""</f>
        <v/>
      </c>
      <c r="K20" s="19" t="str">
        <f>テーブル1[[#This Row],[職業タグ]]&amp;""</f>
        <v/>
      </c>
      <c r="L20" s="19" t="str">
        <f>テーブル1[[#This Row],[小物タグ]]&amp;""</f>
        <v>イヤーユニット</v>
      </c>
      <c r="M20" s="19" t="str">
        <f>テーブル1[[#This Row],[ワンポイントタグ]]&amp;""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 ","|")</f>
        <v>#重音テト</v>
      </c>
      <c r="H21" s="19" t="str">
        <f>テーブル1[[#This Row],[性別]]&amp;""</f>
        <v>キメラ</v>
      </c>
      <c r="I21" s="19" t="str">
        <f>テーブル1[[#This Row],[種族タグ]]&amp;""</f>
        <v>バーチャル</v>
      </c>
      <c r="J21" s="19" t="str">
        <f>テーブル1[[#This Row],[モチーフタグ]]&amp;""</f>
        <v/>
      </c>
      <c r="K21" s="19" t="str">
        <f>テーブル1[[#This Row],[職業タグ]]&amp;""</f>
        <v/>
      </c>
      <c r="L21" s="19" t="str">
        <f>テーブル1[[#This Row],[小物タグ]]&amp;""</f>
        <v/>
      </c>
      <c r="M21" s="19" t="str">
        <f>テーブル1[[#This Row],[ワンポイントタグ]]&amp;""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 ","|")</f>
        <v>#歌う雨やどり</v>
      </c>
      <c r="H22" s="19" t="str">
        <f>テーブル1[[#This Row],[性別]]&amp;""</f>
        <v>女性</v>
      </c>
      <c r="I22" s="19" t="str">
        <f>テーブル1[[#This Row],[種族タグ]]&amp;""</f>
        <v>堕天使</v>
      </c>
      <c r="J22" s="19" t="str">
        <f>テーブル1[[#This Row],[モチーフタグ]]&amp;""</f>
        <v/>
      </c>
      <c r="K22" s="19" t="str">
        <f>テーブル1[[#This Row],[職業タグ]]&amp;""</f>
        <v/>
      </c>
      <c r="L22" s="19" t="str">
        <f>テーブル1[[#This Row],[小物タグ]]&amp;""</f>
        <v/>
      </c>
      <c r="M22" s="19" t="str">
        <f>テーブル1[[#This Row],[ワンポイントタグ]]&amp;""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 ","|")</f>
        <v>#くずかぜ</v>
      </c>
      <c r="H23" s="19" t="str">
        <f>テーブル1[[#This Row],[性別]]&amp;""</f>
        <v>男性</v>
      </c>
      <c r="I23" s="19" t="str">
        <f>テーブル1[[#This Row],[種族タグ]]&amp;""</f>
        <v>人間</v>
      </c>
      <c r="J23" s="19" t="str">
        <f>テーブル1[[#This Row],[モチーフタグ]]&amp;""</f>
        <v/>
      </c>
      <c r="K23" s="19" t="str">
        <f>テーブル1[[#This Row],[職業タグ]]&amp;""</f>
        <v>司祭</v>
      </c>
      <c r="L23" s="19" t="str">
        <f>テーブル1[[#This Row],[小物タグ]]&amp;""</f>
        <v>エンジェルヘイロゥ|十字架</v>
      </c>
      <c r="M23" s="19" t="str">
        <f>テーブル1[[#This Row],[ワンポイントタグ]]&amp;""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 ","|")</f>
        <v>#セレソー作</v>
      </c>
      <c r="H24" s="19" t="str">
        <f>テーブル1[[#This Row],[性別]]&amp;""</f>
        <v>不明</v>
      </c>
      <c r="I24" s="19" t="str">
        <f>テーブル1[[#This Row],[種族タグ]]&amp;""</f>
        <v>人間|双子</v>
      </c>
      <c r="J24" s="19" t="str">
        <f>テーブル1[[#This Row],[モチーフタグ]]&amp;""</f>
        <v/>
      </c>
      <c r="K24" s="19" t="str">
        <f>テーブル1[[#This Row],[職業タグ]]&amp;""</f>
        <v/>
      </c>
      <c r="L24" s="19" t="str">
        <f>テーブル1[[#This Row],[小物タグ]]&amp;""</f>
        <v>眼鏡</v>
      </c>
      <c r="M24" s="19" t="str">
        <f>テーブル1[[#This Row],[ワンポイントタグ]]&amp;""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 ","|")</f>
        <v>#MQAW</v>
      </c>
      <c r="H25" s="19" t="str">
        <f>テーブル1[[#This Row],[性別]]&amp;""</f>
        <v>男性</v>
      </c>
      <c r="I25" s="19" t="str">
        <f>テーブル1[[#This Row],[種族タグ]]&amp;""</f>
        <v>機械</v>
      </c>
      <c r="J25" s="19" t="str">
        <f>テーブル1[[#This Row],[モチーフタグ]]&amp;""</f>
        <v/>
      </c>
      <c r="K25" s="19" t="str">
        <f>テーブル1[[#This Row],[職業タグ]]&amp;""</f>
        <v/>
      </c>
      <c r="L25" s="19" t="str">
        <f>テーブル1[[#This Row],[小物タグ]]&amp;""</f>
        <v>ヘアピン|眼鏡</v>
      </c>
      <c r="M25" s="19" t="str">
        <f>テーブル1[[#This Row],[ワンポイントタグ]]&amp;""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 ","|")</f>
        <v>#花撫シア</v>
      </c>
      <c r="H26" s="19" t="str">
        <f>テーブル1[[#This Row],[性別]]&amp;""</f>
        <v>女性</v>
      </c>
      <c r="I26" s="19" t="str">
        <f>テーブル1[[#This Row],[種族タグ]]&amp;""</f>
        <v>人間</v>
      </c>
      <c r="J26" s="19" t="str">
        <f>テーブル1[[#This Row],[モチーフタグ]]&amp;""</f>
        <v/>
      </c>
      <c r="K26" s="19" t="str">
        <f>テーブル1[[#This Row],[職業タグ]]&amp;""</f>
        <v>アイドル</v>
      </c>
      <c r="L26" s="19" t="str">
        <f>テーブル1[[#This Row],[小物タグ]]&amp;""</f>
        <v/>
      </c>
      <c r="M26" s="19" t="str">
        <f>テーブル1[[#This Row],[ワンポイントタグ]]&amp;""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 ","|")</f>
        <v>#花撫シオン</v>
      </c>
      <c r="H27" s="19" t="str">
        <f>テーブル1[[#This Row],[性別]]&amp;""</f>
        <v>男性</v>
      </c>
      <c r="I27" s="19" t="str">
        <f>テーブル1[[#This Row],[種族タグ]]&amp;""</f>
        <v>人間</v>
      </c>
      <c r="J27" s="19" t="str">
        <f>テーブル1[[#This Row],[モチーフタグ]]&amp;""</f>
        <v/>
      </c>
      <c r="K27" s="19" t="str">
        <f>テーブル1[[#This Row],[職業タグ]]&amp;""</f>
        <v>アイドル</v>
      </c>
      <c r="L27" s="19" t="str">
        <f>テーブル1[[#This Row],[小物タグ]]&amp;""</f>
        <v/>
      </c>
      <c r="M27" s="19" t="str">
        <f>テーブル1[[#This Row],[ワンポイントタグ]]&amp;""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 ","|")</f>
        <v>#きのみあーと</v>
      </c>
      <c r="H28" s="19" t="str">
        <f>テーブル1[[#This Row],[性別]]&amp;""</f>
        <v>不明</v>
      </c>
      <c r="I28" s="19" t="str">
        <f>テーブル1[[#This Row],[種族タグ]]&amp;""</f>
        <v>人間</v>
      </c>
      <c r="J28" s="19" t="str">
        <f>テーブル1[[#This Row],[モチーフタグ]]&amp;""</f>
        <v>星</v>
      </c>
      <c r="K28" s="19" t="str">
        <f>テーブル1[[#This Row],[職業タグ]]&amp;""</f>
        <v>ニート</v>
      </c>
      <c r="L28" s="19" t="str">
        <f>テーブル1[[#This Row],[小物タグ]]&amp;""</f>
        <v/>
      </c>
      <c r="M28" s="19" t="str">
        <f>テーブル1[[#This Row],[ワンポイントタグ]]&amp;""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 ","|")</f>
        <v>#空音絵巻</v>
      </c>
      <c r="H29" s="19" t="str">
        <f>テーブル1[[#This Row],[性別]]&amp;""</f>
        <v>女性</v>
      </c>
      <c r="I29" s="19" t="str">
        <f>テーブル1[[#This Row],[種族タグ]]&amp;""</f>
        <v>人間</v>
      </c>
      <c r="J29" s="19" t="str">
        <f>テーブル1[[#This Row],[モチーフタグ]]&amp;""</f>
        <v/>
      </c>
      <c r="K29" s="19" t="str">
        <f>テーブル1[[#This Row],[職業タグ]]&amp;""</f>
        <v/>
      </c>
      <c r="L29" s="19" t="str">
        <f>テーブル1[[#This Row],[小物タグ]]&amp;""</f>
        <v/>
      </c>
      <c r="M29" s="19" t="str">
        <f>テーブル1[[#This Row],[ワンポイントタグ]]&amp;""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 ","|")</f>
        <v>#空音絵巻</v>
      </c>
      <c r="H30" s="19" t="str">
        <f>テーブル1[[#This Row],[性別]]&amp;""</f>
        <v>無性別</v>
      </c>
      <c r="I30" s="19" t="str">
        <f>テーブル1[[#This Row],[種族タグ]]&amp;""</f>
        <v>人間</v>
      </c>
      <c r="J30" s="19" t="str">
        <f>テーブル1[[#This Row],[モチーフタグ]]&amp;""</f>
        <v/>
      </c>
      <c r="K30" s="19" t="str">
        <f>テーブル1[[#This Row],[職業タグ]]&amp;""</f>
        <v/>
      </c>
      <c r="L30" s="19" t="str">
        <f>テーブル1[[#This Row],[小物タグ]]&amp;""</f>
        <v>銃</v>
      </c>
      <c r="M30" s="19" t="str">
        <f>テーブル1[[#This Row],[ワンポイントタグ]]&amp;""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 ","|")</f>
        <v>#TNPGateway</v>
      </c>
      <c r="H31" s="19" t="str">
        <f>テーブル1[[#This Row],[性別]]&amp;""</f>
        <v>女性</v>
      </c>
      <c r="I31" s="19" t="str">
        <f>テーブル1[[#This Row],[種族タグ]]&amp;""</f>
        <v>人魚</v>
      </c>
      <c r="J31" s="19" t="str">
        <f>テーブル1[[#This Row],[モチーフタグ]]&amp;""</f>
        <v/>
      </c>
      <c r="K31" s="19" t="str">
        <f>テーブル1[[#This Row],[職業タグ]]&amp;""</f>
        <v/>
      </c>
      <c r="L31" s="19" t="str">
        <f>テーブル1[[#This Row],[小物タグ]]&amp;""</f>
        <v/>
      </c>
      <c r="M31" s="19" t="str">
        <f>テーブル1[[#This Row],[ワンポイントタグ]]&amp;""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 ","|")</f>
        <v>#セレソー作</v>
      </c>
      <c r="H32" s="19" t="str">
        <f>テーブル1[[#This Row],[性別]]&amp;""</f>
        <v>女性</v>
      </c>
      <c r="I32" s="19" t="str">
        <f>テーブル1[[#This Row],[種族タグ]]&amp;""</f>
        <v>妖精|双子</v>
      </c>
      <c r="J32" s="19" t="str">
        <f>テーブル1[[#This Row],[モチーフタグ]]&amp;""</f>
        <v/>
      </c>
      <c r="K32" s="19" t="str">
        <f>テーブル1[[#This Row],[職業タグ]]&amp;""</f>
        <v>サーカス団員</v>
      </c>
      <c r="L32" s="19" t="str">
        <f>テーブル1[[#This Row],[小物タグ]]&amp;""</f>
        <v>リボン</v>
      </c>
      <c r="M32" s="19" t="str">
        <f>テーブル1[[#This Row],[ワンポイントタグ]]&amp;""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 ","|")</f>
        <v>#創星宙</v>
      </c>
      <c r="H33" s="19" t="str">
        <f>テーブル1[[#This Row],[性別]]&amp;""</f>
        <v>男性</v>
      </c>
      <c r="I33" s="19" t="str">
        <f>テーブル1[[#This Row],[種族タグ]]&amp;""</f>
        <v>神|不老|不死</v>
      </c>
      <c r="J33" s="19" t="str">
        <f>テーブル1[[#This Row],[モチーフタグ]]&amp;""</f>
        <v/>
      </c>
      <c r="K33" s="19" t="str">
        <f>テーブル1[[#This Row],[職業タグ]]&amp;""</f>
        <v>犯罪者</v>
      </c>
      <c r="L33" s="19" t="str">
        <f>テーブル1[[#This Row],[小物タグ]]&amp;""</f>
        <v>ナイフ</v>
      </c>
      <c r="M33" s="19" t="str">
        <f>テーブル1[[#This Row],[ワンポイントタグ]]&amp;""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 ","|")</f>
        <v>#きのみあーと</v>
      </c>
      <c r="H34" s="19" t="str">
        <f>テーブル1[[#This Row],[性別]]&amp;""</f>
        <v>女性</v>
      </c>
      <c r="I34" s="19" t="str">
        <f>テーブル1[[#This Row],[種族タグ]]&amp;""</f>
        <v>人間</v>
      </c>
      <c r="J34" s="19" t="str">
        <f>テーブル1[[#This Row],[モチーフタグ]]&amp;""</f>
        <v/>
      </c>
      <c r="K34" s="19" t="str">
        <f>テーブル1[[#This Row],[職業タグ]]&amp;""</f>
        <v/>
      </c>
      <c r="L34" s="19" t="str">
        <f>テーブル1[[#This Row],[小物タグ]]&amp;""</f>
        <v>ピアス|首輪|指輪</v>
      </c>
      <c r="M34" s="19" t="str">
        <f>テーブル1[[#This Row],[ワンポイントタグ]]&amp;""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 ","|")</f>
        <v>#TNPGateway</v>
      </c>
      <c r="H35" s="19" t="str">
        <f>テーブル1[[#This Row],[性別]]&amp;""</f>
        <v>男性</v>
      </c>
      <c r="I35" s="19" t="str">
        <f>テーブル1[[#This Row],[種族タグ]]&amp;""</f>
        <v>故人|幽霊</v>
      </c>
      <c r="J35" s="19" t="str">
        <f>テーブル1[[#This Row],[モチーフタグ]]&amp;""</f>
        <v/>
      </c>
      <c r="K35" s="19" t="str">
        <f>テーブル1[[#This Row],[職業タグ]]&amp;""</f>
        <v>人喰い</v>
      </c>
      <c r="L35" s="19" t="str">
        <f>テーブル1[[#This Row],[小物タグ]]&amp;""</f>
        <v>骨</v>
      </c>
      <c r="M35" s="19" t="str">
        <f>テーブル1[[#This Row],[ワンポイントタグ]]&amp;""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 ","|")</f>
        <v>#輝星惑</v>
      </c>
      <c r="H36" s="19" t="str">
        <f>テーブル1[[#This Row],[性別]]&amp;""</f>
        <v>男性</v>
      </c>
      <c r="I36" s="19" t="str">
        <f>テーブル1[[#This Row],[種族タグ]]&amp;""</f>
        <v>宇宙人</v>
      </c>
      <c r="J36" s="19" t="str">
        <f>テーブル1[[#This Row],[モチーフタグ]]&amp;""</f>
        <v/>
      </c>
      <c r="K36" s="19" t="str">
        <f>テーブル1[[#This Row],[職業タグ]]&amp;""</f>
        <v>警察官</v>
      </c>
      <c r="L36" s="19" t="str">
        <f>テーブル1[[#This Row],[小物タグ]]&amp;""</f>
        <v>ヘアピン|眼鏡</v>
      </c>
      <c r="M36" s="19" t="str">
        <f>テーブル1[[#This Row],[ワンポイントタグ]]&amp;""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 ","|")</f>
        <v>#あひのん|#玖婥えれん</v>
      </c>
      <c r="H37" s="19" t="str">
        <f>テーブル1[[#This Row],[性別]]&amp;""</f>
        <v>男性</v>
      </c>
      <c r="I37" s="19" t="str">
        <f>テーブル1[[#This Row],[種族タグ]]&amp;""</f>
        <v>人間</v>
      </c>
      <c r="J37" s="19" t="str">
        <f>テーブル1[[#This Row],[モチーフタグ]]&amp;""</f>
        <v/>
      </c>
      <c r="K37" s="19" t="str">
        <f>テーブル1[[#This Row],[職業タグ]]&amp;""</f>
        <v>アイドル</v>
      </c>
      <c r="L37" s="19" t="str">
        <f>テーブル1[[#This Row],[小物タグ]]&amp;""</f>
        <v>ヘアピン</v>
      </c>
      <c r="M37" s="19" t="str">
        <f>テーブル1[[#This Row],[ワンポイントタグ]]&amp;""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 ","|")</f>
        <v>#Pietà_</v>
      </c>
      <c r="H38" s="19" t="str">
        <f>テーブル1[[#This Row],[性別]]&amp;""</f>
        <v>女性</v>
      </c>
      <c r="I38" s="19" t="str">
        <f>テーブル1[[#This Row],[種族タグ]]&amp;""</f>
        <v>機械</v>
      </c>
      <c r="J38" s="19" t="str">
        <f>テーブル1[[#This Row],[モチーフタグ]]&amp;""</f>
        <v/>
      </c>
      <c r="K38" s="19" t="str">
        <f>テーブル1[[#This Row],[職業タグ]]&amp;""</f>
        <v>サポーター|カウンセラー</v>
      </c>
      <c r="L38" s="19" t="str">
        <f>テーブル1[[#This Row],[小物タグ]]&amp;""</f>
        <v/>
      </c>
      <c r="M38" s="19" t="str">
        <f>テーブル1[[#This Row],[ワンポイントタグ]]&amp;""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 ","|")</f>
        <v>#赤黒快日</v>
      </c>
      <c r="H39" s="19" t="str">
        <f>テーブル1[[#This Row],[性別]]&amp;""</f>
        <v>男性</v>
      </c>
      <c r="I39" s="19" t="str">
        <f>テーブル1[[#This Row],[種族タグ]]&amp;""</f>
        <v>人間</v>
      </c>
      <c r="J39" s="19" t="str">
        <f>テーブル1[[#This Row],[モチーフタグ]]&amp;""</f>
        <v/>
      </c>
      <c r="K39" s="19" t="str">
        <f>テーブル1[[#This Row],[職業タグ]]&amp;""</f>
        <v/>
      </c>
      <c r="L39" s="19" t="str">
        <f>テーブル1[[#This Row],[小物タグ]]&amp;""</f>
        <v/>
      </c>
      <c r="M39" s="19" t="str">
        <f>テーブル1[[#This Row],[ワンポイントタグ]]&amp;""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 ","|")</f>
        <v>#蛍_UTAU</v>
      </c>
      <c r="H40" s="19" t="str">
        <f>テーブル1[[#This Row],[性別]]&amp;""</f>
        <v>男性</v>
      </c>
      <c r="I40" s="19" t="str">
        <f>テーブル1[[#This Row],[種族タグ]]&amp;""</f>
        <v>人間</v>
      </c>
      <c r="J40" s="19" t="str">
        <f>テーブル1[[#This Row],[モチーフタグ]]&amp;""</f>
        <v/>
      </c>
      <c r="K40" s="19" t="str">
        <f>テーブル1[[#This Row],[職業タグ]]&amp;""</f>
        <v>学生</v>
      </c>
      <c r="L40" s="19" t="str">
        <f>テーブル1[[#This Row],[小物タグ]]&amp;""</f>
        <v/>
      </c>
      <c r="M40" s="19" t="str">
        <f>テーブル1[[#This Row],[ワンポイントタグ]]&amp;""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 ","|")</f>
        <v>#京音ロン</v>
      </c>
      <c r="H41" s="19" t="str">
        <f>テーブル1[[#This Row],[性別]]&amp;""</f>
        <v>男性</v>
      </c>
      <c r="I41" s="19" t="str">
        <f>テーブル1[[#This Row],[種族タグ]]&amp;""</f>
        <v>人間</v>
      </c>
      <c r="J41" s="19" t="str">
        <f>テーブル1[[#This Row],[モチーフタグ]]&amp;""</f>
        <v/>
      </c>
      <c r="K41" s="19" t="str">
        <f>テーブル1[[#This Row],[職業タグ]]&amp;""</f>
        <v/>
      </c>
      <c r="L41" s="19" t="str">
        <f>テーブル1[[#This Row],[小物タグ]]&amp;""</f>
        <v/>
      </c>
      <c r="M41" s="19" t="str">
        <f>テーブル1[[#This Row],[ワンポイントタグ]]&amp;""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 ","|")</f>
        <v>#くずかぜ</v>
      </c>
      <c r="H42" s="19" t="str">
        <f>テーブル1[[#This Row],[性別]]&amp;""</f>
        <v>女性</v>
      </c>
      <c r="I42" s="19" t="str">
        <f>テーブル1[[#This Row],[種族タグ]]&amp;""</f>
        <v>人間</v>
      </c>
      <c r="J42" s="19" t="str">
        <f>テーブル1[[#This Row],[モチーフタグ]]&amp;""</f>
        <v/>
      </c>
      <c r="K42" s="19" t="str">
        <f>テーブル1[[#This Row],[職業タグ]]&amp;""</f>
        <v/>
      </c>
      <c r="L42" s="19" t="str">
        <f>テーブル1[[#This Row],[小物タグ]]&amp;""</f>
        <v>エンジェルヘイロゥ|包帯</v>
      </c>
      <c r="M42" s="19" t="str">
        <f>テーブル1[[#This Row],[ワンポイントタグ]]&amp;""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 ","|")</f>
        <v>#グリーンミルキー</v>
      </c>
      <c r="H43" s="19" t="str">
        <f>テーブル1[[#This Row],[性別]]&amp;""</f>
        <v>男性</v>
      </c>
      <c r="I43" s="19" t="str">
        <f>テーブル1[[#This Row],[種族タグ]]&amp;""</f>
        <v>人間</v>
      </c>
      <c r="J43" s="19" t="str">
        <f>テーブル1[[#This Row],[モチーフタグ]]&amp;""</f>
        <v/>
      </c>
      <c r="K43" s="19" t="str">
        <f>テーブル1[[#This Row],[職業タグ]]&amp;""</f>
        <v/>
      </c>
      <c r="L43" s="19" t="str">
        <f>テーブル1[[#This Row],[小物タグ]]&amp;""</f>
        <v/>
      </c>
      <c r="M43" s="19" t="str">
        <f>テーブル1[[#This Row],[ワンポイントタグ]]&amp;""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 ","|")</f>
        <v>#無中彩声</v>
      </c>
      <c r="H44" s="19" t="str">
        <f>テーブル1[[#This Row],[性別]]&amp;""</f>
        <v>男性</v>
      </c>
      <c r="I44" s="19" t="str">
        <f>テーブル1[[#This Row],[種族タグ]]&amp;""</f>
        <v>妖怪|長寿</v>
      </c>
      <c r="J44" s="19" t="str">
        <f>テーブル1[[#This Row],[モチーフタグ]]&amp;""</f>
        <v>狐</v>
      </c>
      <c r="K44" s="19" t="str">
        <f>テーブル1[[#This Row],[職業タグ]]&amp;""</f>
        <v/>
      </c>
      <c r="L44" s="19" t="str">
        <f>テーブル1[[#This Row],[小物タグ]]&amp;""</f>
        <v/>
      </c>
      <c r="M44" s="19" t="str">
        <f>テーブル1[[#This Row],[ワンポイントタグ]]&amp;""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 ","|")</f>
        <v>#折紙食堂</v>
      </c>
      <c r="H45" s="19" t="str">
        <f>テーブル1[[#This Row],[性別]]&amp;""</f>
        <v>女性</v>
      </c>
      <c r="I45" s="19" t="str">
        <f>テーブル1[[#This Row],[種族タグ]]&amp;""</f>
        <v>人間</v>
      </c>
      <c r="J45" s="19" t="str">
        <f>テーブル1[[#This Row],[モチーフタグ]]&amp;""</f>
        <v/>
      </c>
      <c r="K45" s="19" t="str">
        <f>テーブル1[[#This Row],[職業タグ]]&amp;""</f>
        <v>学生</v>
      </c>
      <c r="L45" s="19" t="str">
        <f>テーブル1[[#This Row],[小物タグ]]&amp;""</f>
        <v>マスク</v>
      </c>
      <c r="M45" s="19" t="str">
        <f>テーブル1[[#This Row],[ワンポイントタグ]]&amp;""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 ","|")</f>
        <v>#ウタウココロネ</v>
      </c>
      <c r="H46" s="19" t="str">
        <f>テーブル1[[#This Row],[性別]]&amp;""</f>
        <v>女性</v>
      </c>
      <c r="I46" s="19" t="str">
        <f>テーブル1[[#This Row],[種族タグ]]&amp;""</f>
        <v>人間</v>
      </c>
      <c r="J46" s="19" t="str">
        <f>テーブル1[[#This Row],[モチーフタグ]]&amp;""</f>
        <v/>
      </c>
      <c r="K46" s="19" t="str">
        <f>テーブル1[[#This Row],[職業タグ]]&amp;""</f>
        <v>学生|アイドル</v>
      </c>
      <c r="L46" s="19" t="str">
        <f>テーブル1[[#This Row],[小物タグ]]&amp;""</f>
        <v>リボン|カチューシャ</v>
      </c>
      <c r="M46" s="19" t="str">
        <f>テーブル1[[#This Row],[ワンポイントタグ]]&amp;""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 ","|")</f>
        <v>#いちみっか</v>
      </c>
      <c r="H47" s="19" t="str">
        <f>テーブル1[[#This Row],[性別]]&amp;""</f>
        <v/>
      </c>
      <c r="I47" s="19" t="str">
        <f>テーブル1[[#This Row],[種族タグ]]&amp;""</f>
        <v/>
      </c>
      <c r="J47" s="19" t="str">
        <f>テーブル1[[#This Row],[モチーフタグ]]&amp;""</f>
        <v/>
      </c>
      <c r="K47" s="19" t="str">
        <f>テーブル1[[#This Row],[職業タグ]]&amp;""</f>
        <v/>
      </c>
      <c r="L47" s="19" t="str">
        <f>テーブル1[[#This Row],[小物タグ]]&amp;""</f>
        <v/>
      </c>
      <c r="M47" s="19" t="str">
        <f>テーブル1[[#This Row],[ワンポイントタグ]]&amp;""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 ","|")</f>
        <v>#Pietà_</v>
      </c>
      <c r="H48" s="19" t="str">
        <f>テーブル1[[#This Row],[性別]]&amp;""</f>
        <v>女性</v>
      </c>
      <c r="I48" s="19" t="str">
        <f>テーブル1[[#This Row],[種族タグ]]&amp;""</f>
        <v>悪魔</v>
      </c>
      <c r="J48" s="19" t="str">
        <f>テーブル1[[#This Row],[モチーフタグ]]&amp;""</f>
        <v/>
      </c>
      <c r="K48" s="19" t="str">
        <f>テーブル1[[#This Row],[職業タグ]]&amp;""</f>
        <v/>
      </c>
      <c r="L48" s="19" t="str">
        <f>テーブル1[[#This Row],[小物タグ]]&amp;""</f>
        <v>髪飾り</v>
      </c>
      <c r="M48" s="19" t="str">
        <f>テーブル1[[#This Row],[ワンポイントタグ]]&amp;""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 ","|")</f>
        <v>#はなときつねごと</v>
      </c>
      <c r="H49" s="19" t="str">
        <f>テーブル1[[#This Row],[性別]]&amp;""</f>
        <v/>
      </c>
      <c r="I49" s="19" t="str">
        <f>テーブル1[[#This Row],[種族タグ]]&amp;""</f>
        <v/>
      </c>
      <c r="J49" s="19" t="str">
        <f>テーブル1[[#This Row],[モチーフタグ]]&amp;""</f>
        <v/>
      </c>
      <c r="K49" s="19" t="str">
        <f>テーブル1[[#This Row],[職業タグ]]&amp;""</f>
        <v/>
      </c>
      <c r="L49" s="19" t="str">
        <f>テーブル1[[#This Row],[小物タグ]]&amp;""</f>
        <v/>
      </c>
      <c r="M49" s="19" t="str">
        <f>テーブル1[[#This Row],[ワンポイントタグ]]&amp;""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 ","|")</f>
        <v>#さてね_UTAU</v>
      </c>
      <c r="H50" s="19" t="str">
        <f>テーブル1[[#This Row],[性別]]&amp;""</f>
        <v/>
      </c>
      <c r="I50" s="19" t="str">
        <f>テーブル1[[#This Row],[種族タグ]]&amp;""</f>
        <v/>
      </c>
      <c r="J50" s="19" t="str">
        <f>テーブル1[[#This Row],[モチーフタグ]]&amp;""</f>
        <v/>
      </c>
      <c r="K50" s="19" t="str">
        <f>テーブル1[[#This Row],[職業タグ]]&amp;""</f>
        <v/>
      </c>
      <c r="L50" s="19" t="str">
        <f>テーブル1[[#This Row],[小物タグ]]&amp;""</f>
        <v/>
      </c>
      <c r="M50" s="19" t="str">
        <f>テーブル1[[#This Row],[ワンポイントタグ]]&amp;""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 ","|")</f>
        <v>#きちゃーと</v>
      </c>
      <c r="H51" s="19" t="str">
        <f>テーブル1[[#This Row],[性別]]&amp;""</f>
        <v/>
      </c>
      <c r="I51" s="19" t="str">
        <f>テーブル1[[#This Row],[種族タグ]]&amp;""</f>
        <v/>
      </c>
      <c r="J51" s="19" t="str">
        <f>テーブル1[[#This Row],[モチーフタグ]]&amp;""</f>
        <v/>
      </c>
      <c r="K51" s="19" t="str">
        <f>テーブル1[[#This Row],[職業タグ]]&amp;""</f>
        <v/>
      </c>
      <c r="L51" s="19" t="str">
        <f>テーブル1[[#This Row],[小物タグ]]&amp;""</f>
        <v/>
      </c>
      <c r="M51" s="19" t="str">
        <f>テーブル1[[#This Row],[ワンポイントタグ]]&amp;""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 ","|")</f>
        <v>#ツキノファミリー</v>
      </c>
      <c r="H52" s="19" t="str">
        <f>テーブル1[[#This Row],[性別]]&amp;""</f>
        <v/>
      </c>
      <c r="I52" s="19" t="str">
        <f>テーブル1[[#This Row],[種族タグ]]&amp;""</f>
        <v/>
      </c>
      <c r="J52" s="19" t="str">
        <f>テーブル1[[#This Row],[モチーフタグ]]&amp;""</f>
        <v/>
      </c>
      <c r="K52" s="19" t="str">
        <f>テーブル1[[#This Row],[職業タグ]]&amp;""</f>
        <v/>
      </c>
      <c r="L52" s="19" t="str">
        <f>テーブル1[[#This Row],[小物タグ]]&amp;""</f>
        <v/>
      </c>
      <c r="M52" s="19" t="str">
        <f>テーブル1[[#This Row],[ワンポイントタグ]]&amp;""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 ","|")</f>
        <v>#Pietà_</v>
      </c>
      <c r="H53" s="19" t="str">
        <f>テーブル1[[#This Row],[性別]]&amp;""</f>
        <v>男性</v>
      </c>
      <c r="I53" s="19" t="str">
        <f>テーブル1[[#This Row],[種族タグ]]&amp;""</f>
        <v>機械</v>
      </c>
      <c r="J53" s="19" t="str">
        <f>テーブル1[[#This Row],[モチーフタグ]]&amp;""</f>
        <v/>
      </c>
      <c r="K53" s="19" t="str">
        <f>テーブル1[[#This Row],[職業タグ]]&amp;""</f>
        <v>サポーター</v>
      </c>
      <c r="L53" s="19" t="str">
        <f>テーブル1[[#This Row],[小物タグ]]&amp;""</f>
        <v/>
      </c>
      <c r="M53" s="19" t="str">
        <f>テーブル1[[#This Row],[ワンポイントタグ]]&amp;""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 ","|")</f>
        <v>#闇塚亭</v>
      </c>
      <c r="H54" s="19" t="str">
        <f>テーブル1[[#This Row],[性別]]&amp;""</f>
        <v/>
      </c>
      <c r="I54" s="19" t="str">
        <f>テーブル1[[#This Row],[種族タグ]]&amp;""</f>
        <v/>
      </c>
      <c r="J54" s="19" t="str">
        <f>テーブル1[[#This Row],[モチーフタグ]]&amp;""</f>
        <v/>
      </c>
      <c r="K54" s="19" t="str">
        <f>テーブル1[[#This Row],[職業タグ]]&amp;""</f>
        <v/>
      </c>
      <c r="L54" s="19" t="str">
        <f>テーブル1[[#This Row],[小物タグ]]&amp;""</f>
        <v/>
      </c>
      <c r="M54" s="19" t="str">
        <f>テーブル1[[#This Row],[ワンポイントタグ]]&amp;""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 ","|")</f>
        <v>#グリーンミルキー</v>
      </c>
      <c r="H55" s="19" t="str">
        <f>テーブル1[[#This Row],[性別]]&amp;""</f>
        <v>女性</v>
      </c>
      <c r="I55" s="19" t="str">
        <f>テーブル1[[#This Row],[種族タグ]]&amp;""</f>
        <v>人間</v>
      </c>
      <c r="J55" s="19" t="str">
        <f>テーブル1[[#This Row],[モチーフタグ]]&amp;""</f>
        <v/>
      </c>
      <c r="K55" s="19" t="str">
        <f>テーブル1[[#This Row],[職業タグ]]&amp;""</f>
        <v/>
      </c>
      <c r="L55" s="19" t="str">
        <f>テーブル1[[#This Row],[小物タグ]]&amp;""</f>
        <v/>
      </c>
      <c r="M55" s="19" t="str">
        <f>テーブル1[[#This Row],[ワンポイントタグ]]&amp;""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 ","|")</f>
        <v>#心理相談ダイヤル</v>
      </c>
      <c r="H56" s="19" t="str">
        <f>テーブル1[[#This Row],[性別]]&amp;""</f>
        <v/>
      </c>
      <c r="I56" s="19" t="str">
        <f>テーブル1[[#This Row],[種族タグ]]&amp;""</f>
        <v/>
      </c>
      <c r="J56" s="19" t="str">
        <f>テーブル1[[#This Row],[モチーフタグ]]&amp;""</f>
        <v/>
      </c>
      <c r="K56" s="19" t="str">
        <f>テーブル1[[#This Row],[職業タグ]]&amp;""</f>
        <v/>
      </c>
      <c r="L56" s="19" t="str">
        <f>テーブル1[[#This Row],[小物タグ]]&amp;""</f>
        <v/>
      </c>
      <c r="M56" s="19" t="str">
        <f>テーブル1[[#This Row],[ワンポイントタグ]]&amp;""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 ","|")</f>
        <v>#あまつぶと声</v>
      </c>
      <c r="H57" s="19" t="str">
        <f>テーブル1[[#This Row],[性別]]&amp;""</f>
        <v/>
      </c>
      <c r="I57" s="19" t="str">
        <f>テーブル1[[#This Row],[種族タグ]]&amp;""</f>
        <v/>
      </c>
      <c r="J57" s="19" t="str">
        <f>テーブル1[[#This Row],[モチーフタグ]]&amp;""</f>
        <v/>
      </c>
      <c r="K57" s="19" t="str">
        <f>テーブル1[[#This Row],[職業タグ]]&amp;""</f>
        <v/>
      </c>
      <c r="L57" s="19" t="str">
        <f>テーブル1[[#This Row],[小物タグ]]&amp;""</f>
        <v/>
      </c>
      <c r="M57" s="19" t="str">
        <f>テーブル1[[#This Row],[ワンポイントタグ]]&amp;""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 ","|")</f>
        <v>#べるずわーくす</v>
      </c>
      <c r="H58" s="19" t="str">
        <f>テーブル1[[#This Row],[性別]]&amp;""</f>
        <v/>
      </c>
      <c r="I58" s="19" t="str">
        <f>テーブル1[[#This Row],[種族タグ]]&amp;""</f>
        <v/>
      </c>
      <c r="J58" s="19" t="str">
        <f>テーブル1[[#This Row],[モチーフタグ]]&amp;""</f>
        <v/>
      </c>
      <c r="K58" s="19" t="str">
        <f>テーブル1[[#This Row],[職業タグ]]&amp;""</f>
        <v/>
      </c>
      <c r="L58" s="19" t="str">
        <f>テーブル1[[#This Row],[小物タグ]]&amp;""</f>
        <v/>
      </c>
      <c r="M58" s="19" t="str">
        <f>テーブル1[[#This Row],[ワンポイントタグ]]&amp;""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 ","|")</f>
        <v>#べるずわーくす</v>
      </c>
      <c r="H59" s="19" t="str">
        <f>テーブル1[[#This Row],[性別]]&amp;""</f>
        <v/>
      </c>
      <c r="I59" s="19" t="str">
        <f>テーブル1[[#This Row],[種族タグ]]&amp;""</f>
        <v/>
      </c>
      <c r="J59" s="19" t="str">
        <f>テーブル1[[#This Row],[モチーフタグ]]&amp;""</f>
        <v/>
      </c>
      <c r="K59" s="19" t="str">
        <f>テーブル1[[#This Row],[職業タグ]]&amp;""</f>
        <v/>
      </c>
      <c r="L59" s="19" t="str">
        <f>テーブル1[[#This Row],[小物タグ]]&amp;""</f>
        <v/>
      </c>
      <c r="M59" s="19" t="str">
        <f>テーブル1[[#This Row],[ワンポイントタグ]]&amp;""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 ","|")</f>
        <v>#星雲アマト</v>
      </c>
      <c r="H60" s="19" t="str">
        <f>テーブル1[[#This Row],[性別]]&amp;""</f>
        <v/>
      </c>
      <c r="I60" s="19" t="str">
        <f>テーブル1[[#This Row],[種族タグ]]&amp;""</f>
        <v/>
      </c>
      <c r="J60" s="19" t="str">
        <f>テーブル1[[#This Row],[モチーフタグ]]&amp;""</f>
        <v/>
      </c>
      <c r="K60" s="19" t="str">
        <f>テーブル1[[#This Row],[職業タグ]]&amp;""</f>
        <v/>
      </c>
      <c r="L60" s="19" t="str">
        <f>テーブル1[[#This Row],[小物タグ]]&amp;""</f>
        <v/>
      </c>
      <c r="M60" s="19" t="str">
        <f>テーブル1[[#This Row],[ワンポイントタグ]]&amp;""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 ","|")</f>
        <v>#仟乃宮紫狼</v>
      </c>
      <c r="H61" s="19" t="str">
        <f>テーブル1[[#This Row],[性別]]&amp;""</f>
        <v>男性</v>
      </c>
      <c r="I61" s="19" t="str">
        <f>テーブル1[[#This Row],[種族タグ]]&amp;""</f>
        <v>使い魔</v>
      </c>
      <c r="J61" s="19" t="str">
        <f>テーブル1[[#This Row],[モチーフタグ]]&amp;""</f>
        <v>犬</v>
      </c>
      <c r="K61" s="19" t="str">
        <f>テーブル1[[#This Row],[職業タグ]]&amp;""</f>
        <v/>
      </c>
      <c r="L61" s="19" t="str">
        <f>テーブル1[[#This Row],[小物タグ]]&amp;""</f>
        <v/>
      </c>
      <c r="M61" s="19" t="str">
        <f>テーブル1[[#This Row],[ワンポイントタグ]]&amp;""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 ","|")</f>
        <v>#君の心音は星の音</v>
      </c>
      <c r="H62" s="19" t="str">
        <f>テーブル1[[#This Row],[性別]]&amp;""</f>
        <v/>
      </c>
      <c r="I62" s="19" t="str">
        <f>テーブル1[[#This Row],[種族タグ]]&amp;""</f>
        <v/>
      </c>
      <c r="J62" s="19" t="str">
        <f>テーブル1[[#This Row],[モチーフタグ]]&amp;""</f>
        <v/>
      </c>
      <c r="K62" s="19" t="str">
        <f>テーブル1[[#This Row],[職業タグ]]&amp;""</f>
        <v/>
      </c>
      <c r="L62" s="19" t="str">
        <f>テーブル1[[#This Row],[小物タグ]]&amp;""</f>
        <v/>
      </c>
      <c r="M62" s="19" t="str">
        <f>テーブル1[[#This Row],[ワンポイントタグ]]&amp;""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 ","|")</f>
        <v>#地守葉風</v>
      </c>
      <c r="H63" s="19" t="str">
        <f>テーブル1[[#This Row],[性別]]&amp;""</f>
        <v/>
      </c>
      <c r="I63" s="19" t="str">
        <f>テーブル1[[#This Row],[種族タグ]]&amp;""</f>
        <v/>
      </c>
      <c r="J63" s="19" t="str">
        <f>テーブル1[[#This Row],[モチーフタグ]]&amp;""</f>
        <v/>
      </c>
      <c r="K63" s="19" t="str">
        <f>テーブル1[[#This Row],[職業タグ]]&amp;""</f>
        <v/>
      </c>
      <c r="L63" s="19" t="str">
        <f>テーブル1[[#This Row],[小物タグ]]&amp;""</f>
        <v/>
      </c>
      <c r="M63" s="19" t="str">
        <f>テーブル1[[#This Row],[ワンポイントタグ]]&amp;""</f>
        <v/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 ","|")</f>
        <v>#御茶と歌</v>
      </c>
      <c r="H64" s="19" t="str">
        <f>テーブル1[[#This Row],[性別]]&amp;""</f>
        <v/>
      </c>
      <c r="I64" s="19" t="str">
        <f>テーブル1[[#This Row],[種族タグ]]&amp;""</f>
        <v/>
      </c>
      <c r="J64" s="19" t="str">
        <f>テーブル1[[#This Row],[モチーフタグ]]&amp;""</f>
        <v/>
      </c>
      <c r="K64" s="19" t="str">
        <f>テーブル1[[#This Row],[職業タグ]]&amp;""</f>
        <v/>
      </c>
      <c r="L64" s="19" t="str">
        <f>テーブル1[[#This Row],[小物タグ]]&amp;""</f>
        <v/>
      </c>
      <c r="M64" s="19" t="str">
        <f>テーブル1[[#This Row],[ワンポイントタグ]]&amp;""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 ","|")</f>
        <v>#ichistar</v>
      </c>
      <c r="H65" s="19" t="str">
        <f>テーブル1[[#This Row],[性別]]&amp;""</f>
        <v>男性</v>
      </c>
      <c r="I65" s="19" t="str">
        <f>テーブル1[[#This Row],[種族タグ]]&amp;""</f>
        <v>機械</v>
      </c>
      <c r="J65" s="19" t="str">
        <f>テーブル1[[#This Row],[モチーフタグ]]&amp;""</f>
        <v/>
      </c>
      <c r="K65" s="19" t="str">
        <f>テーブル1[[#This Row],[職業タグ]]&amp;""</f>
        <v/>
      </c>
      <c r="L65" s="19" t="str">
        <f>テーブル1[[#This Row],[小物タグ]]&amp;""</f>
        <v>ヘッドホン</v>
      </c>
      <c r="M65" s="19" t="str">
        <f>テーブル1[[#This Row],[ワンポイントタグ]]&amp;""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 ","|")</f>
        <v>#無中彩声</v>
      </c>
      <c r="H66" s="19" t="str">
        <f>テーブル1[[#This Row],[性別]]&amp;""</f>
        <v>女性</v>
      </c>
      <c r="I66" s="19" t="str">
        <f>テーブル1[[#This Row],[種族タグ]]&amp;""</f>
        <v>吸血鬼</v>
      </c>
      <c r="J66" s="19" t="str">
        <f>テーブル1[[#This Row],[モチーフタグ]]&amp;""</f>
        <v/>
      </c>
      <c r="K66" s="19" t="str">
        <f>テーブル1[[#This Row],[職業タグ]]&amp;""</f>
        <v/>
      </c>
      <c r="L66" s="19" t="str">
        <f>テーブル1[[#This Row],[小物タグ]]&amp;""</f>
        <v/>
      </c>
      <c r="M66" s="19" t="str">
        <f>テーブル1[[#This Row],[ワンポイントタグ]]&amp;""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 ","|")</f>
        <v>#KODOMEROIDO</v>
      </c>
      <c r="H67" s="19" t="str">
        <f>テーブル1[[#This Row],[性別]]&amp;""</f>
        <v/>
      </c>
      <c r="I67" s="19" t="str">
        <f>テーブル1[[#This Row],[種族タグ]]&amp;""</f>
        <v/>
      </c>
      <c r="J67" s="19" t="str">
        <f>テーブル1[[#This Row],[モチーフタグ]]&amp;""</f>
        <v/>
      </c>
      <c r="K67" s="19" t="str">
        <f>テーブル1[[#This Row],[職業タグ]]&amp;""</f>
        <v/>
      </c>
      <c r="L67" s="19" t="str">
        <f>テーブル1[[#This Row],[小物タグ]]&amp;""</f>
        <v/>
      </c>
      <c r="M67" s="19" t="str">
        <f>テーブル1[[#This Row],[ワンポイントタグ]]&amp;""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 ","|")</f>
        <v>#いちみっか</v>
      </c>
      <c r="H68" s="19" t="str">
        <f>テーブル1[[#This Row],[性別]]&amp;""</f>
        <v/>
      </c>
      <c r="I68" s="19" t="str">
        <f>テーブル1[[#This Row],[種族タグ]]&amp;""</f>
        <v/>
      </c>
      <c r="J68" s="19" t="str">
        <f>テーブル1[[#This Row],[モチーフタグ]]&amp;""</f>
        <v/>
      </c>
      <c r="K68" s="19" t="str">
        <f>テーブル1[[#This Row],[職業タグ]]&amp;""</f>
        <v/>
      </c>
      <c r="L68" s="19" t="str">
        <f>テーブル1[[#This Row],[小物タグ]]&amp;""</f>
        <v/>
      </c>
      <c r="M68" s="19" t="str">
        <f>テーブル1[[#This Row],[ワンポイントタグ]]&amp;""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 ","|")</f>
        <v>#べるずわーくす</v>
      </c>
      <c r="H69" s="19" t="str">
        <f>テーブル1[[#This Row],[性別]]&amp;""</f>
        <v/>
      </c>
      <c r="I69" s="19" t="str">
        <f>テーブル1[[#This Row],[種族タグ]]&amp;""</f>
        <v/>
      </c>
      <c r="J69" s="19" t="str">
        <f>テーブル1[[#This Row],[モチーフタグ]]&amp;""</f>
        <v/>
      </c>
      <c r="K69" s="19" t="str">
        <f>テーブル1[[#This Row],[職業タグ]]&amp;""</f>
        <v/>
      </c>
      <c r="L69" s="19" t="str">
        <f>テーブル1[[#This Row],[小物タグ]]&amp;""</f>
        <v/>
      </c>
      <c r="M69" s="19" t="str">
        <f>テーブル1[[#This Row],[ワンポイントタグ]]&amp;""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 ","|")</f>
        <v>#きちゃーと</v>
      </c>
      <c r="H70" s="19" t="str">
        <f>テーブル1[[#This Row],[性別]]&amp;""</f>
        <v/>
      </c>
      <c r="I70" s="19" t="str">
        <f>テーブル1[[#This Row],[種族タグ]]&amp;""</f>
        <v/>
      </c>
      <c r="J70" s="19" t="str">
        <f>テーブル1[[#This Row],[モチーフタグ]]&amp;""</f>
        <v/>
      </c>
      <c r="K70" s="19" t="str">
        <f>テーブル1[[#This Row],[職業タグ]]&amp;""</f>
        <v/>
      </c>
      <c r="L70" s="19" t="str">
        <f>テーブル1[[#This Row],[小物タグ]]&amp;""</f>
        <v/>
      </c>
      <c r="M70" s="19" t="str">
        <f>テーブル1[[#This Row],[ワンポイントタグ]]&amp;""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 ","|")</f>
        <v>#KODOMEROIDO</v>
      </c>
      <c r="H71" s="19" t="str">
        <f>テーブル1[[#This Row],[性別]]&amp;""</f>
        <v/>
      </c>
      <c r="I71" s="19" t="str">
        <f>テーブル1[[#This Row],[種族タグ]]&amp;""</f>
        <v/>
      </c>
      <c r="J71" s="19" t="str">
        <f>テーブル1[[#This Row],[モチーフタグ]]&amp;""</f>
        <v/>
      </c>
      <c r="K71" s="19" t="str">
        <f>テーブル1[[#This Row],[職業タグ]]&amp;""</f>
        <v/>
      </c>
      <c r="L71" s="19" t="str">
        <f>テーブル1[[#This Row],[小物タグ]]&amp;""</f>
        <v/>
      </c>
      <c r="M71" s="19" t="str">
        <f>テーブル1[[#This Row],[ワンポイントタグ]]&amp;""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 ","|")</f>
        <v>#お米炊けたよ</v>
      </c>
      <c r="H72" s="19" t="str">
        <f>テーブル1[[#This Row],[性別]]&amp;""</f>
        <v/>
      </c>
      <c r="I72" s="19" t="str">
        <f>テーブル1[[#This Row],[種族タグ]]&amp;""</f>
        <v/>
      </c>
      <c r="J72" s="19" t="str">
        <f>テーブル1[[#This Row],[モチーフタグ]]&amp;""</f>
        <v/>
      </c>
      <c r="K72" s="19" t="str">
        <f>テーブル1[[#This Row],[職業タグ]]&amp;""</f>
        <v/>
      </c>
      <c r="L72" s="19" t="str">
        <f>テーブル1[[#This Row],[小物タグ]]&amp;""</f>
        <v/>
      </c>
      <c r="M72" s="19" t="str">
        <f>テーブル1[[#This Row],[ワンポイントタグ]]&amp;""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 ","|")</f>
        <v>#お米炊けたよ</v>
      </c>
      <c r="H73" s="19" t="str">
        <f>テーブル1[[#This Row],[性別]]&amp;""</f>
        <v/>
      </c>
      <c r="I73" s="19" t="str">
        <f>テーブル1[[#This Row],[種族タグ]]&amp;""</f>
        <v/>
      </c>
      <c r="J73" s="19" t="str">
        <f>テーブル1[[#This Row],[モチーフタグ]]&amp;""</f>
        <v/>
      </c>
      <c r="K73" s="19" t="str">
        <f>テーブル1[[#This Row],[職業タグ]]&amp;""</f>
        <v/>
      </c>
      <c r="L73" s="19" t="str">
        <f>テーブル1[[#This Row],[小物タグ]]&amp;""</f>
        <v/>
      </c>
      <c r="M73" s="19" t="str">
        <f>テーブル1[[#This Row],[ワンポイントタグ]]&amp;""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 ","|")</f>
        <v>#十駕走行録</v>
      </c>
      <c r="H74" s="19" t="str">
        <f>テーブル1[[#This Row],[性別]]&amp;""</f>
        <v/>
      </c>
      <c r="I74" s="19" t="str">
        <f>テーブル1[[#This Row],[種族タグ]]&amp;""</f>
        <v/>
      </c>
      <c r="J74" s="19" t="str">
        <f>テーブル1[[#This Row],[モチーフタグ]]&amp;""</f>
        <v/>
      </c>
      <c r="K74" s="19" t="str">
        <f>テーブル1[[#This Row],[職業タグ]]&amp;""</f>
        <v/>
      </c>
      <c r="L74" s="19" t="str">
        <f>テーブル1[[#This Row],[小物タグ]]&amp;""</f>
        <v/>
      </c>
      <c r="M74" s="19" t="str">
        <f>テーブル1[[#This Row],[ワンポイントタグ]]&amp;""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 ","|")</f>
        <v>#取音テア</v>
      </c>
      <c r="H75" s="19" t="str">
        <f>テーブル1[[#This Row],[性別]]&amp;""</f>
        <v/>
      </c>
      <c r="I75" s="19" t="str">
        <f>テーブル1[[#This Row],[種族タグ]]&amp;""</f>
        <v/>
      </c>
      <c r="J75" s="19" t="str">
        <f>テーブル1[[#This Row],[モチーフタグ]]&amp;""</f>
        <v/>
      </c>
      <c r="K75" s="19" t="str">
        <f>テーブル1[[#This Row],[職業タグ]]&amp;""</f>
        <v/>
      </c>
      <c r="L75" s="19" t="str">
        <f>テーブル1[[#This Row],[小物タグ]]&amp;""</f>
        <v/>
      </c>
      <c r="M75" s="19" t="str">
        <f>テーブル1[[#This Row],[ワンポイントタグ]]&amp;""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 ","|")</f>
        <v>#セレソー作</v>
      </c>
      <c r="H76" s="19" t="str">
        <f>テーブル1[[#This Row],[性別]]&amp;""</f>
        <v>女性</v>
      </c>
      <c r="I76" s="19" t="str">
        <f>テーブル1[[#This Row],[種族タグ]]&amp;""</f>
        <v>人形</v>
      </c>
      <c r="J76" s="19" t="str">
        <f>テーブル1[[#This Row],[モチーフタグ]]&amp;""</f>
        <v/>
      </c>
      <c r="K76" s="19" t="str">
        <f>テーブル1[[#This Row],[職業タグ]]&amp;""</f>
        <v/>
      </c>
      <c r="L76" s="19" t="str">
        <f>テーブル1[[#This Row],[小物タグ]]&amp;""</f>
        <v>リボン</v>
      </c>
      <c r="M76" s="19" t="str">
        <f>テーブル1[[#This Row],[ワンポイントタグ]]&amp;""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 ","|")</f>
        <v>#ナースロボ_タイプＴ</v>
      </c>
      <c r="H77" s="19" t="str">
        <f>テーブル1[[#This Row],[性別]]&amp;""</f>
        <v/>
      </c>
      <c r="I77" s="19" t="str">
        <f>テーブル1[[#This Row],[種族タグ]]&amp;""</f>
        <v/>
      </c>
      <c r="J77" s="19" t="str">
        <f>テーブル1[[#This Row],[モチーフタグ]]&amp;""</f>
        <v/>
      </c>
      <c r="K77" s="19" t="str">
        <f>テーブル1[[#This Row],[職業タグ]]&amp;""</f>
        <v/>
      </c>
      <c r="L77" s="19" t="str">
        <f>テーブル1[[#This Row],[小物タグ]]&amp;""</f>
        <v/>
      </c>
      <c r="M77" s="19" t="str">
        <f>テーブル1[[#This Row],[ワンポイントタグ]]&amp;""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 ","|")</f>
        <v>#ミジのみち</v>
      </c>
      <c r="H78" s="19" t="str">
        <f>テーブル1[[#This Row],[性別]]&amp;""</f>
        <v/>
      </c>
      <c r="I78" s="19" t="str">
        <f>テーブル1[[#This Row],[種族タグ]]&amp;""</f>
        <v/>
      </c>
      <c r="J78" s="19" t="str">
        <f>テーブル1[[#This Row],[モチーフタグ]]&amp;""</f>
        <v/>
      </c>
      <c r="K78" s="19" t="str">
        <f>テーブル1[[#This Row],[職業タグ]]&amp;""</f>
        <v/>
      </c>
      <c r="L78" s="19" t="str">
        <f>テーブル1[[#This Row],[小物タグ]]&amp;""</f>
        <v/>
      </c>
      <c r="M78" s="19" t="str">
        <f>テーブル1[[#This Row],[ワンポイントタグ]]&amp;""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 ","|")</f>
        <v>#君の心音は星の音</v>
      </c>
      <c r="H79" s="19" t="str">
        <f>テーブル1[[#This Row],[性別]]&amp;""</f>
        <v/>
      </c>
      <c r="I79" s="19" t="str">
        <f>テーブル1[[#This Row],[種族タグ]]&amp;""</f>
        <v/>
      </c>
      <c r="J79" s="19" t="str">
        <f>テーブル1[[#This Row],[モチーフタグ]]&amp;""</f>
        <v/>
      </c>
      <c r="K79" s="19" t="str">
        <f>テーブル1[[#This Row],[職業タグ]]&amp;""</f>
        <v/>
      </c>
      <c r="L79" s="19" t="str">
        <f>テーブル1[[#This Row],[小物タグ]]&amp;""</f>
        <v/>
      </c>
      <c r="M79" s="19" t="str">
        <f>テーブル1[[#This Row],[ワンポイントタグ]]&amp;""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 ","|")</f>
        <v>#猫垣一姫</v>
      </c>
      <c r="H80" s="19" t="str">
        <f>テーブル1[[#This Row],[性別]]&amp;""</f>
        <v>女性</v>
      </c>
      <c r="I80" s="19" t="str">
        <f>テーブル1[[#This Row],[種族タグ]]&amp;""</f>
        <v>動物</v>
      </c>
      <c r="J80" s="19" t="str">
        <f>テーブル1[[#This Row],[モチーフタグ]]&amp;""</f>
        <v>猫</v>
      </c>
      <c r="K80" s="19" t="str">
        <f>テーブル1[[#This Row],[職業タグ]]&amp;""</f>
        <v/>
      </c>
      <c r="L80" s="19" t="str">
        <f>テーブル1[[#This Row],[小物タグ]]&amp;""</f>
        <v>リボン</v>
      </c>
      <c r="M80" s="19" t="str">
        <f>テーブル1[[#This Row],[ワンポイントタグ]]&amp;""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 ","|")</f>
        <v>#撫音小鞠</v>
      </c>
      <c r="H81" s="19" t="str">
        <f>テーブル1[[#This Row],[性別]]&amp;""</f>
        <v/>
      </c>
      <c r="I81" s="19" t="str">
        <f>テーブル1[[#This Row],[種族タグ]]&amp;""</f>
        <v/>
      </c>
      <c r="J81" s="19" t="str">
        <f>テーブル1[[#This Row],[モチーフタグ]]&amp;""</f>
        <v/>
      </c>
      <c r="K81" s="19" t="str">
        <f>テーブル1[[#This Row],[職業タグ]]&amp;""</f>
        <v/>
      </c>
      <c r="L81" s="19" t="str">
        <f>テーブル1[[#This Row],[小物タグ]]&amp;""</f>
        <v/>
      </c>
      <c r="M81" s="19" t="str">
        <f>テーブル1[[#This Row],[ワンポイントタグ]]&amp;""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 ","|")</f>
        <v>#mono_猫耳宇宙服</v>
      </c>
      <c r="H82" s="19" t="str">
        <f>テーブル1[[#This Row],[性別]]&amp;""</f>
        <v>無性別</v>
      </c>
      <c r="I82" s="19" t="str">
        <f>テーブル1[[#This Row],[種族タグ]]&amp;""</f>
        <v>宇宙人</v>
      </c>
      <c r="J82" s="19" t="str">
        <f>テーブル1[[#This Row],[モチーフタグ]]&amp;""</f>
        <v>宇宙|猫</v>
      </c>
      <c r="K82" s="19" t="str">
        <f>テーブル1[[#This Row],[職業タグ]]&amp;""</f>
        <v/>
      </c>
      <c r="L82" s="19" t="str">
        <f>テーブル1[[#This Row],[小物タグ]]&amp;""</f>
        <v/>
      </c>
      <c r="M82" s="19" t="str">
        <f>テーブル1[[#This Row],[ワンポイントタグ]]&amp;""</f>
        <v>ケモ耳|髭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 ","|")</f>
        <v>#ひつじの寝床</v>
      </c>
      <c r="H83" s="19" t="str">
        <f>テーブル1[[#This Row],[性別]]&amp;""</f>
        <v/>
      </c>
      <c r="I83" s="19" t="str">
        <f>テーブル1[[#This Row],[種族タグ]]&amp;""</f>
        <v/>
      </c>
      <c r="J83" s="19" t="str">
        <f>テーブル1[[#This Row],[モチーフタグ]]&amp;""</f>
        <v/>
      </c>
      <c r="K83" s="19" t="str">
        <f>テーブル1[[#This Row],[職業タグ]]&amp;""</f>
        <v/>
      </c>
      <c r="L83" s="19" t="str">
        <f>テーブル1[[#This Row],[小物タグ]]&amp;""</f>
        <v/>
      </c>
      <c r="M83" s="19" t="str">
        <f>テーブル1[[#This Row],[ワンポイントタグ]]&amp;""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 ","|")</f>
        <v>#ひつじの寝床</v>
      </c>
      <c r="H84" s="19" t="str">
        <f>テーブル1[[#This Row],[性別]]&amp;""</f>
        <v/>
      </c>
      <c r="I84" s="19" t="str">
        <f>テーブル1[[#This Row],[種族タグ]]&amp;""</f>
        <v/>
      </c>
      <c r="J84" s="19" t="str">
        <f>テーブル1[[#This Row],[モチーフタグ]]&amp;""</f>
        <v/>
      </c>
      <c r="K84" s="19" t="str">
        <f>テーブル1[[#This Row],[職業タグ]]&amp;""</f>
        <v/>
      </c>
      <c r="L84" s="19" t="str">
        <f>テーブル1[[#This Row],[小物タグ]]&amp;""</f>
        <v/>
      </c>
      <c r="M84" s="19" t="str">
        <f>テーブル1[[#This Row],[ワンポイントタグ]]&amp;""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 ","|")</f>
        <v>#ねんねこちゃんろぐ</v>
      </c>
      <c r="H85" s="19" t="str">
        <f>テーブル1[[#This Row],[性別]]&amp;""</f>
        <v/>
      </c>
      <c r="I85" s="19" t="str">
        <f>テーブル1[[#This Row],[種族タグ]]&amp;""</f>
        <v/>
      </c>
      <c r="J85" s="19" t="str">
        <f>テーブル1[[#This Row],[モチーフタグ]]&amp;""</f>
        <v/>
      </c>
      <c r="K85" s="19" t="str">
        <f>テーブル1[[#This Row],[職業タグ]]&amp;""</f>
        <v/>
      </c>
      <c r="L85" s="19" t="str">
        <f>テーブル1[[#This Row],[小物タグ]]&amp;""</f>
        <v/>
      </c>
      <c r="M85" s="19" t="str">
        <f>テーブル1[[#This Row],[ワンポイントタグ]]&amp;""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 ","|")</f>
        <v>覗キ視炉(UTAU)</v>
      </c>
      <c r="H86" s="19" t="str">
        <f>テーブル1[[#This Row],[性別]]&amp;""</f>
        <v/>
      </c>
      <c r="I86" s="19" t="str">
        <f>テーブル1[[#This Row],[種族タグ]]&amp;""</f>
        <v/>
      </c>
      <c r="J86" s="19" t="str">
        <f>テーブル1[[#This Row],[モチーフタグ]]&amp;""</f>
        <v/>
      </c>
      <c r="K86" s="19" t="str">
        <f>テーブル1[[#This Row],[職業タグ]]&amp;""</f>
        <v/>
      </c>
      <c r="L86" s="19" t="str">
        <f>テーブル1[[#This Row],[小物タグ]]&amp;""</f>
        <v/>
      </c>
      <c r="M86" s="19" t="str">
        <f>テーブル1[[#This Row],[ワンポイントタグ]]&amp;""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 ","|")</f>
        <v>#セレソー作</v>
      </c>
      <c r="H87" s="19" t="str">
        <f>テーブル1[[#This Row],[性別]]&amp;""</f>
        <v>男性</v>
      </c>
      <c r="I87" s="19" t="str">
        <f>テーブル1[[#This Row],[種族タグ]]&amp;""</f>
        <v>妖精|双子</v>
      </c>
      <c r="J87" s="19" t="str">
        <f>テーブル1[[#This Row],[モチーフタグ]]&amp;""</f>
        <v/>
      </c>
      <c r="K87" s="19" t="str">
        <f>テーブル1[[#This Row],[職業タグ]]&amp;""</f>
        <v>サーカス団員</v>
      </c>
      <c r="L87" s="19" t="str">
        <f>テーブル1[[#This Row],[小物タグ]]&amp;""</f>
        <v>リボン</v>
      </c>
      <c r="M87" s="19" t="str">
        <f>テーブル1[[#This Row],[ワンポイントタグ]]&amp;""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 ","|")</f>
        <v>#セレソー作</v>
      </c>
      <c r="H88" s="19" t="str">
        <f>テーブル1[[#This Row],[性別]]&amp;""</f>
        <v>男性</v>
      </c>
      <c r="I88" s="19" t="str">
        <f>テーブル1[[#This Row],[種族タグ]]&amp;""</f>
        <v>人間</v>
      </c>
      <c r="J88" s="19" t="str">
        <f>テーブル1[[#This Row],[モチーフタグ]]&amp;""</f>
        <v/>
      </c>
      <c r="K88" s="19" t="str">
        <f>テーブル1[[#This Row],[職業タグ]]&amp;""</f>
        <v/>
      </c>
      <c r="L88" s="19" t="str">
        <f>テーブル1[[#This Row],[小物タグ]]&amp;""</f>
        <v>眼鏡</v>
      </c>
      <c r="M88" s="19" t="str">
        <f>テーブル1[[#This Row],[ワンポイントタグ]]&amp;""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 ","|")</f>
        <v>#ふきふき見せろ</v>
      </c>
      <c r="H89" s="19" t="str">
        <f>テーブル1[[#This Row],[性別]]&amp;""</f>
        <v/>
      </c>
      <c r="I89" s="19" t="str">
        <f>テーブル1[[#This Row],[種族タグ]]&amp;""</f>
        <v/>
      </c>
      <c r="J89" s="19" t="str">
        <f>テーブル1[[#This Row],[モチーフタグ]]&amp;""</f>
        <v/>
      </c>
      <c r="K89" s="19" t="str">
        <f>テーブル1[[#This Row],[職業タグ]]&amp;""</f>
        <v/>
      </c>
      <c r="L89" s="19" t="str">
        <f>テーブル1[[#This Row],[小物タグ]]&amp;""</f>
        <v/>
      </c>
      <c r="M89" s="19" t="str">
        <f>テーブル1[[#This Row],[ワンポイントタグ]]&amp;""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 ","|")</f>
        <v>#歌継荘</v>
      </c>
      <c r="H90" s="19" t="str">
        <f>テーブル1[[#This Row],[性別]]&amp;""</f>
        <v/>
      </c>
      <c r="I90" s="19" t="str">
        <f>テーブル1[[#This Row],[種族タグ]]&amp;""</f>
        <v/>
      </c>
      <c r="J90" s="19" t="str">
        <f>テーブル1[[#This Row],[モチーフタグ]]&amp;""</f>
        <v/>
      </c>
      <c r="K90" s="19" t="str">
        <f>テーブル1[[#This Row],[職業タグ]]&amp;""</f>
        <v/>
      </c>
      <c r="L90" s="19" t="str">
        <f>テーブル1[[#This Row],[小物タグ]]&amp;""</f>
        <v/>
      </c>
      <c r="M90" s="19" t="str">
        <f>テーブル1[[#This Row],[ワンポイントタグ]]&amp;""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 ","|")</f>
        <v>#星河ティア</v>
      </c>
      <c r="H91" s="19" t="str">
        <f>テーブル1[[#This Row],[性別]]&amp;""</f>
        <v>女性</v>
      </c>
      <c r="I91" s="19" t="str">
        <f>テーブル1[[#This Row],[種族タグ]]&amp;""</f>
        <v>宇宙人</v>
      </c>
      <c r="J91" s="19" t="str">
        <f>テーブル1[[#This Row],[モチーフタグ]]&amp;""</f>
        <v/>
      </c>
      <c r="K91" s="19" t="str">
        <f>テーブル1[[#This Row],[職業タグ]]&amp;""</f>
        <v>学生</v>
      </c>
      <c r="L91" s="19" t="str">
        <f>テーブル1[[#This Row],[小物タグ]]&amp;""</f>
        <v>ヘアピン</v>
      </c>
      <c r="M91" s="19" t="str">
        <f>テーブル1[[#This Row],[ワンポイントタグ]]&amp;""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 ","|")</f>
        <v>#星河フレア</v>
      </c>
      <c r="H92" s="19" t="str">
        <f>テーブル1[[#This Row],[性別]]&amp;""</f>
        <v>女性</v>
      </c>
      <c r="I92" s="19" t="str">
        <f>テーブル1[[#This Row],[種族タグ]]&amp;""</f>
        <v>宇宙人</v>
      </c>
      <c r="J92" s="19" t="str">
        <f>テーブル1[[#This Row],[モチーフタグ]]&amp;""</f>
        <v/>
      </c>
      <c r="K92" s="19" t="str">
        <f>テーブル1[[#This Row],[職業タグ]]&amp;""</f>
        <v>警察官</v>
      </c>
      <c r="L92" s="19" t="str">
        <f>テーブル1[[#This Row],[小物タグ]]&amp;""</f>
        <v>ヘアピン</v>
      </c>
      <c r="M92" s="19" t="str">
        <f>テーブル1[[#This Row],[ワンポイントタグ]]&amp;""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 ","|")</f>
        <v>#星詠ゆめ</v>
      </c>
      <c r="H93" s="19" t="str">
        <f>テーブル1[[#This Row],[性別]]&amp;""</f>
        <v/>
      </c>
      <c r="I93" s="19" t="str">
        <f>テーブル1[[#This Row],[種族タグ]]&amp;""</f>
        <v/>
      </c>
      <c r="J93" s="19" t="str">
        <f>テーブル1[[#This Row],[モチーフタグ]]&amp;""</f>
        <v/>
      </c>
      <c r="K93" s="19" t="str">
        <f>テーブル1[[#This Row],[職業タグ]]&amp;""</f>
        <v/>
      </c>
      <c r="L93" s="19" t="str">
        <f>テーブル1[[#This Row],[小物タグ]]&amp;""</f>
        <v/>
      </c>
      <c r="M93" s="19" t="str">
        <f>テーブル1[[#This Row],[ワンポイントタグ]]&amp;""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 ","|")</f>
        <v>#蛍_UTAU</v>
      </c>
      <c r="H94" s="19" t="str">
        <f>テーブル1[[#This Row],[性別]]&amp;""</f>
        <v>女性</v>
      </c>
      <c r="I94" s="19" t="str">
        <f>テーブル1[[#This Row],[種族タグ]]&amp;""</f>
        <v>人間</v>
      </c>
      <c r="J94" s="19" t="str">
        <f>テーブル1[[#This Row],[モチーフタグ]]&amp;""</f>
        <v/>
      </c>
      <c r="K94" s="19" t="str">
        <f>テーブル1[[#This Row],[職業タグ]]&amp;""</f>
        <v>学生</v>
      </c>
      <c r="L94" s="19" t="str">
        <f>テーブル1[[#This Row],[小物タグ]]&amp;""</f>
        <v/>
      </c>
      <c r="M94" s="19" t="str">
        <f>テーブル1[[#This Row],[ワンポイントタグ]]&amp;""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 ","|")</f>
        <v>#松田っぽいね</v>
      </c>
      <c r="H95" s="19" t="str">
        <f>テーブル1[[#This Row],[性別]]&amp;""</f>
        <v/>
      </c>
      <c r="I95" s="19" t="str">
        <f>テーブル1[[#This Row],[種族タグ]]&amp;""</f>
        <v/>
      </c>
      <c r="J95" s="19" t="str">
        <f>テーブル1[[#This Row],[モチーフタグ]]&amp;""</f>
        <v/>
      </c>
      <c r="K95" s="19" t="str">
        <f>テーブル1[[#This Row],[職業タグ]]&amp;""</f>
        <v/>
      </c>
      <c r="L95" s="19" t="str">
        <f>テーブル1[[#This Row],[小物タグ]]&amp;""</f>
        <v/>
      </c>
      <c r="M95" s="19" t="str">
        <f>テーブル1[[#This Row],[ワンポイントタグ]]&amp;""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 ","|")</f>
        <v>#松田っぽいよ</v>
      </c>
      <c r="H96" s="19" t="str">
        <f>テーブル1[[#This Row],[性別]]&amp;""</f>
        <v/>
      </c>
      <c r="I96" s="19" t="str">
        <f>テーブル1[[#This Row],[種族タグ]]&amp;""</f>
        <v/>
      </c>
      <c r="J96" s="19" t="str">
        <f>テーブル1[[#This Row],[モチーフタグ]]&amp;""</f>
        <v/>
      </c>
      <c r="K96" s="19" t="str">
        <f>テーブル1[[#This Row],[職業タグ]]&amp;""</f>
        <v/>
      </c>
      <c r="L96" s="19" t="str">
        <f>テーブル1[[#This Row],[小物タグ]]&amp;""</f>
        <v/>
      </c>
      <c r="M96" s="19" t="str">
        <f>テーブル1[[#This Row],[ワンポイントタグ]]&amp;""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 ","|")</f>
        <v>#Pietà_</v>
      </c>
      <c r="H97" s="19" t="str">
        <f>テーブル1[[#This Row],[性別]]&amp;""</f>
        <v>女性</v>
      </c>
      <c r="I97" s="19" t="str">
        <f>テーブル1[[#This Row],[種族タグ]]&amp;""</f>
        <v>人間</v>
      </c>
      <c r="J97" s="19" t="str">
        <f>テーブル1[[#This Row],[モチーフタグ]]&amp;""</f>
        <v/>
      </c>
      <c r="K97" s="19" t="str">
        <f>テーブル1[[#This Row],[職業タグ]]&amp;""</f>
        <v>殺し屋</v>
      </c>
      <c r="L97" s="19" t="str">
        <f>テーブル1[[#This Row],[小物タグ]]&amp;""</f>
        <v/>
      </c>
      <c r="M97" s="19" t="str">
        <f>テーブル1[[#This Row],[ワンポイントタグ]]&amp;""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 ","|")</f>
        <v>#円音春二ノ前</v>
      </c>
      <c r="H98" s="19" t="str">
        <f>テーブル1[[#This Row],[性別]]&amp;""</f>
        <v/>
      </c>
      <c r="I98" s="19" t="str">
        <f>テーブル1[[#This Row],[種族タグ]]&amp;""</f>
        <v/>
      </c>
      <c r="J98" s="19" t="str">
        <f>テーブル1[[#This Row],[モチーフタグ]]&amp;""</f>
        <v/>
      </c>
      <c r="K98" s="19" t="str">
        <f>テーブル1[[#This Row],[職業タグ]]&amp;""</f>
        <v/>
      </c>
      <c r="L98" s="19" t="str">
        <f>テーブル1[[#This Row],[小物タグ]]&amp;""</f>
        <v/>
      </c>
      <c r="M98" s="19" t="str">
        <f>テーブル1[[#This Row],[ワンポイントタグ]]&amp;""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 ","|")</f>
        <v>#折紙食堂</v>
      </c>
      <c r="H99" s="19" t="str">
        <f>テーブル1[[#This Row],[性別]]&amp;""</f>
        <v>男性</v>
      </c>
      <c r="I99" s="19" t="str">
        <f>テーブル1[[#This Row],[種族タグ]]&amp;""</f>
        <v>人間</v>
      </c>
      <c r="J99" s="19" t="str">
        <f>テーブル1[[#This Row],[モチーフタグ]]&amp;""</f>
        <v/>
      </c>
      <c r="K99" s="19" t="str">
        <f>テーブル1[[#This Row],[職業タグ]]&amp;""</f>
        <v/>
      </c>
      <c r="L99" s="19" t="str">
        <f>テーブル1[[#This Row],[小物タグ]]&amp;""</f>
        <v/>
      </c>
      <c r="M99" s="19" t="str">
        <f>テーブル1[[#This Row],[ワンポイントタグ]]&amp;""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 ","|")</f>
        <v>#折紙食堂</v>
      </c>
      <c r="H100" s="19" t="str">
        <f>テーブル1[[#This Row],[性別]]&amp;""</f>
        <v>無性別</v>
      </c>
      <c r="I100" s="19" t="str">
        <f>テーブル1[[#This Row],[種族タグ]]&amp;""</f>
        <v>人間|長寿</v>
      </c>
      <c r="J100" s="19" t="str">
        <f>テーブル1[[#This Row],[モチーフタグ]]&amp;""</f>
        <v/>
      </c>
      <c r="K100" s="19" t="str">
        <f>テーブル1[[#This Row],[職業タグ]]&amp;""</f>
        <v>魔法使い|手品師</v>
      </c>
      <c r="L100" s="19" t="str">
        <f>テーブル1[[#This Row],[小物タグ]]&amp;""</f>
        <v/>
      </c>
      <c r="M100" s="19" t="str">
        <f>テーブル1[[#This Row],[ワンポイントタグ]]&amp;""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 ","|")</f>
        <v>#みゅみゅあーと</v>
      </c>
      <c r="H101" s="19" t="str">
        <f>テーブル1[[#This Row],[性別]]&amp;""</f>
        <v>女性</v>
      </c>
      <c r="I101" s="19" t="str">
        <f>テーブル1[[#This Row],[種族タグ]]&amp;""</f>
        <v>吸血鬼</v>
      </c>
      <c r="J101" s="19" t="str">
        <f>テーブル1[[#This Row],[モチーフタグ]]&amp;""</f>
        <v>兎|さくらんぼ</v>
      </c>
      <c r="K101" s="19" t="str">
        <f>テーブル1[[#This Row],[職業タグ]]&amp;""</f>
        <v>魔法使い</v>
      </c>
      <c r="L101" s="19" t="str">
        <f>テーブル1[[#This Row],[小物タグ]]&amp;""</f>
        <v>カチューシャ|髪飾り</v>
      </c>
      <c r="M101" s="19" t="str">
        <f>テーブル1[[#This Row],[ワンポイントタグ]]&amp;""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 ","|")</f>
        <v>#MQAW</v>
      </c>
      <c r="H102" s="19" t="str">
        <f>テーブル1[[#This Row],[性別]]&amp;""</f>
        <v>男性</v>
      </c>
      <c r="I102" s="19" t="str">
        <f>テーブル1[[#This Row],[種族タグ]]&amp;""</f>
        <v>機械</v>
      </c>
      <c r="J102" s="19" t="str">
        <f>テーブル1[[#This Row],[モチーフタグ]]&amp;""</f>
        <v/>
      </c>
      <c r="K102" s="19" t="str">
        <f>テーブル1[[#This Row],[職業タグ]]&amp;""</f>
        <v/>
      </c>
      <c r="L102" s="19" t="str">
        <f>テーブル1[[#This Row],[小物タグ]]&amp;""</f>
        <v>ゴーグル</v>
      </c>
      <c r="M102" s="19" t="str">
        <f>テーブル1[[#This Row],[ワンポイントタグ]]&amp;""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 ","|")</f>
        <v>#闇塚亭</v>
      </c>
      <c r="H103" s="19" t="str">
        <f>テーブル1[[#This Row],[性別]]&amp;""</f>
        <v/>
      </c>
      <c r="I103" s="19" t="str">
        <f>テーブル1[[#This Row],[種族タグ]]&amp;""</f>
        <v/>
      </c>
      <c r="J103" s="19" t="str">
        <f>テーブル1[[#This Row],[モチーフタグ]]&amp;""</f>
        <v/>
      </c>
      <c r="K103" s="19" t="str">
        <f>テーブル1[[#This Row],[職業タグ]]&amp;""</f>
        <v/>
      </c>
      <c r="L103" s="19" t="str">
        <f>テーブル1[[#This Row],[小物タグ]]&amp;""</f>
        <v/>
      </c>
      <c r="M103" s="19" t="str">
        <f>テーブル1[[#This Row],[ワンポイントタグ]]&amp;""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 ","|")</f>
        <v>#泡沫古書店</v>
      </c>
      <c r="H104" s="19" t="str">
        <f>テーブル1[[#This Row],[性別]]&amp;""</f>
        <v>男性</v>
      </c>
      <c r="I104" s="19" t="str">
        <f>テーブル1[[#This Row],[種族タグ]]&amp;""</f>
        <v>人間</v>
      </c>
      <c r="J104" s="19" t="str">
        <f>テーブル1[[#This Row],[モチーフタグ]]&amp;""</f>
        <v/>
      </c>
      <c r="K104" s="19" t="str">
        <f>テーブル1[[#This Row],[職業タグ]]&amp;""</f>
        <v>書店員</v>
      </c>
      <c r="L104" s="19" t="str">
        <f>テーブル1[[#This Row],[小物タグ]]&amp;""</f>
        <v>眼鏡</v>
      </c>
      <c r="M104" s="19" t="str">
        <f>テーブル1[[#This Row],[ワンポイントタグ]]&amp;""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 ","|")</f>
        <v>#観測レポートを共有します</v>
      </c>
      <c r="H105" s="19" t="str">
        <f>テーブル1[[#This Row],[性別]]&amp;""</f>
        <v/>
      </c>
      <c r="I105" s="19" t="str">
        <f>テーブル1[[#This Row],[種族タグ]]&amp;""</f>
        <v/>
      </c>
      <c r="J105" s="19" t="str">
        <f>テーブル1[[#This Row],[モチーフタグ]]&amp;""</f>
        <v/>
      </c>
      <c r="K105" s="19" t="str">
        <f>テーブル1[[#This Row],[職業タグ]]&amp;""</f>
        <v/>
      </c>
      <c r="L105" s="19" t="str">
        <f>テーブル1[[#This Row],[小物タグ]]&amp;""</f>
        <v/>
      </c>
      <c r="M105" s="19" t="str">
        <f>テーブル1[[#This Row],[ワンポイントタグ]]&amp;""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 ","|")</f>
        <v>#欲音ルコ</v>
      </c>
      <c r="H106" s="19" t="str">
        <f>テーブル1[[#This Row],[性別]]&amp;""</f>
        <v/>
      </c>
      <c r="I106" s="19" t="str">
        <f>テーブル1[[#This Row],[種族タグ]]&amp;""</f>
        <v/>
      </c>
      <c r="J106" s="19" t="str">
        <f>テーブル1[[#This Row],[モチーフタグ]]&amp;""</f>
        <v/>
      </c>
      <c r="K106" s="19" t="str">
        <f>テーブル1[[#This Row],[職業タグ]]&amp;""</f>
        <v/>
      </c>
      <c r="L106" s="19" t="str">
        <f>テーブル1[[#This Row],[小物タグ]]&amp;""</f>
        <v/>
      </c>
      <c r="M106" s="19" t="str">
        <f>テーブル1[[#This Row],[ワンポイントタグ]]&amp;""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 ","|")</f>
        <v>#Pietà_</v>
      </c>
      <c r="H107" s="19" t="str">
        <f>テーブル1[[#This Row],[性別]]&amp;""</f>
        <v>女性</v>
      </c>
      <c r="I107" s="19" t="str">
        <f>テーブル1[[#This Row],[種族タグ]]&amp;""</f>
        <v>天使|長寿</v>
      </c>
      <c r="J107" s="19" t="str">
        <f>テーブル1[[#This Row],[モチーフタグ]]&amp;""</f>
        <v/>
      </c>
      <c r="K107" s="19" t="str">
        <f>テーブル1[[#This Row],[職業タグ]]&amp;""</f>
        <v>カウンセラー</v>
      </c>
      <c r="L107" s="19" t="str">
        <f>テーブル1[[#This Row],[小物タグ]]&amp;""</f>
        <v>エンジェルヘイロゥ|十字架</v>
      </c>
      <c r="M107" s="19" t="str">
        <f>テーブル1[[#This Row],[ワンポイントタグ]]&amp;""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 ","|")</f>
        <v>#どっかのラララボ</v>
      </c>
      <c r="H108" s="19" t="str">
        <f>テーブル1[[#This Row],[性別]]&amp;""</f>
        <v/>
      </c>
      <c r="I108" s="19" t="str">
        <f>テーブル1[[#This Row],[種族タグ]]&amp;""</f>
        <v/>
      </c>
      <c r="J108" s="19" t="str">
        <f>テーブル1[[#This Row],[モチーフタグ]]&amp;""</f>
        <v/>
      </c>
      <c r="K108" s="19" t="str">
        <f>テーブル1[[#This Row],[職業タグ]]&amp;""</f>
        <v/>
      </c>
      <c r="L108" s="19" t="str">
        <f>テーブル1[[#This Row],[小物タグ]]&amp;""</f>
        <v/>
      </c>
      <c r="M108" s="19" t="str">
        <f>テーブル1[[#This Row],[ワンポイントタグ]]&amp;""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 ","|")</f>
        <v>#セレソー作</v>
      </c>
      <c r="H109" s="19" t="str">
        <f>テーブル1[[#This Row],[性別]]&amp;""</f>
        <v>男性</v>
      </c>
      <c r="I109" s="19" t="str">
        <f>テーブル1[[#This Row],[種族タグ]]&amp;""</f>
        <v>機械</v>
      </c>
      <c r="J109" s="19" t="str">
        <f>テーブル1[[#This Row],[モチーフタグ]]&amp;""</f>
        <v/>
      </c>
      <c r="K109" s="19" t="str">
        <f>テーブル1[[#This Row],[職業タグ]]&amp;""</f>
        <v>執事</v>
      </c>
      <c r="L109" s="19" t="str">
        <f>テーブル1[[#This Row],[小物タグ]]&amp;""</f>
        <v/>
      </c>
      <c r="M109" s="19" t="str">
        <f>テーブル1[[#This Row],[ワンポイントタグ]]&amp;""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 ","|")</f>
        <v>#グリーンミルキー</v>
      </c>
      <c r="H110" s="19" t="str">
        <f>テーブル1[[#This Row],[性別]]&amp;""</f>
        <v>男性</v>
      </c>
      <c r="I110" s="19" t="str">
        <f>テーブル1[[#This Row],[種族タグ]]&amp;""</f>
        <v/>
      </c>
      <c r="J110" s="19" t="str">
        <f>テーブル1[[#This Row],[モチーフタグ]]&amp;""</f>
        <v/>
      </c>
      <c r="K110" s="19" t="str">
        <f>テーブル1[[#This Row],[職業タグ]]&amp;""</f>
        <v/>
      </c>
      <c r="L110" s="19" t="str">
        <f>テーブル1[[#This Row],[小物タグ]]&amp;""</f>
        <v/>
      </c>
      <c r="M110" s="19" t="str">
        <f>テーブル1[[#This Row],[ワンポイントタグ]]&amp;""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 ","|")</f>
        <v>#ツキノファミリー</v>
      </c>
      <c r="H111" s="19" t="str">
        <f>テーブル1[[#This Row],[性別]]&amp;""</f>
        <v/>
      </c>
      <c r="I111" s="19" t="str">
        <f>テーブル1[[#This Row],[種族タグ]]&amp;""</f>
        <v/>
      </c>
      <c r="J111" s="19" t="str">
        <f>テーブル1[[#This Row],[モチーフタグ]]&amp;""</f>
        <v/>
      </c>
      <c r="K111" s="19" t="str">
        <f>テーブル1[[#This Row],[職業タグ]]&amp;""</f>
        <v/>
      </c>
      <c r="L111" s="19" t="str">
        <f>テーブル1[[#This Row],[小物タグ]]&amp;""</f>
        <v/>
      </c>
      <c r="M111" s="19" t="str">
        <f>テーブル1[[#This Row],[ワンポイントタグ]]&amp;""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 ","|")</f>
        <v>#歌う雨やどり</v>
      </c>
      <c r="H112" s="19" t="str">
        <f>テーブル1[[#This Row],[性別]]&amp;""</f>
        <v>男性</v>
      </c>
      <c r="I112" s="19" t="str">
        <f>テーブル1[[#This Row],[種族タグ]]&amp;""</f>
        <v>機械</v>
      </c>
      <c r="J112" s="19" t="str">
        <f>テーブル1[[#This Row],[モチーフタグ]]&amp;""</f>
        <v/>
      </c>
      <c r="K112" s="19" t="str">
        <f>テーブル1[[#This Row],[職業タグ]]&amp;""</f>
        <v>司書</v>
      </c>
      <c r="L112" s="19" t="str">
        <f>テーブル1[[#This Row],[小物タグ]]&amp;""</f>
        <v>ゴーグル</v>
      </c>
      <c r="M112" s="19" t="str">
        <f>テーブル1[[#This Row],[ワンポイントタグ]]&amp;""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 ","|")</f>
        <v>#神様の足元</v>
      </c>
      <c r="H113" s="19" t="str">
        <f>テーブル1[[#This Row],[性別]]&amp;""</f>
        <v>女性</v>
      </c>
      <c r="I113" s="19" t="str">
        <f>テーブル1[[#This Row],[種族タグ]]&amp;""</f>
        <v>人間</v>
      </c>
      <c r="J113" s="19" t="str">
        <f>テーブル1[[#This Row],[モチーフタグ]]&amp;""</f>
        <v/>
      </c>
      <c r="K113" s="19" t="str">
        <f>テーブル1[[#This Row],[職業タグ]]&amp;""</f>
        <v>ソーイングスタッフ</v>
      </c>
      <c r="L113" s="19" t="str">
        <f>テーブル1[[#This Row],[小物タグ]]&amp;""</f>
        <v>エンジェルヘイロゥ|カチューシャ</v>
      </c>
      <c r="M113" s="19" t="str">
        <f>テーブル1[[#This Row],[ワンポイントタグ]]&amp;""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 ","|")</f>
        <v>#べるずわーくす</v>
      </c>
      <c r="H114" s="19" t="str">
        <f>テーブル1[[#This Row],[性別]]&amp;""</f>
        <v/>
      </c>
      <c r="I114" s="19" t="str">
        <f>テーブル1[[#This Row],[種族タグ]]&amp;""</f>
        <v/>
      </c>
      <c r="J114" s="19" t="str">
        <f>テーブル1[[#This Row],[モチーフタグ]]&amp;""</f>
        <v/>
      </c>
      <c r="K114" s="19" t="str">
        <f>テーブル1[[#This Row],[職業タグ]]&amp;""</f>
        <v/>
      </c>
      <c r="L114" s="19" t="str">
        <f>テーブル1[[#This Row],[小物タグ]]&amp;""</f>
        <v/>
      </c>
      <c r="M114" s="19" t="str">
        <f>テーブル1[[#This Row],[ワンポイントタグ]]&amp;""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 ","|")</f>
        <v>飯音モグ(UTAU)</v>
      </c>
      <c r="H115" s="19" t="str">
        <f>テーブル1[[#This Row],[性別]]&amp;""</f>
        <v/>
      </c>
      <c r="I115" s="19" t="str">
        <f>テーブル1[[#This Row],[種族タグ]]&amp;""</f>
        <v/>
      </c>
      <c r="J115" s="19" t="str">
        <f>テーブル1[[#This Row],[モチーフタグ]]&amp;""</f>
        <v/>
      </c>
      <c r="K115" s="19" t="str">
        <f>テーブル1[[#This Row],[職業タグ]]&amp;""</f>
        <v/>
      </c>
      <c r="L115" s="19" t="str">
        <f>テーブル1[[#This Row],[小物タグ]]&amp;""</f>
        <v/>
      </c>
      <c r="M115" s="19" t="str">
        <f>テーブル1[[#This Row],[ワンポイントタグ]]&amp;""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 ","|")</f>
        <v>#はなときつねごと|#十二ノ刻</v>
      </c>
      <c r="H116" s="19" t="str">
        <f>テーブル1[[#This Row],[性別]]&amp;""</f>
        <v/>
      </c>
      <c r="I116" s="19" t="str">
        <f>テーブル1[[#This Row],[種族タグ]]&amp;""</f>
        <v/>
      </c>
      <c r="J116" s="19" t="str">
        <f>テーブル1[[#This Row],[モチーフタグ]]&amp;""</f>
        <v/>
      </c>
      <c r="K116" s="19" t="str">
        <f>テーブル1[[#This Row],[職業タグ]]&amp;""</f>
        <v/>
      </c>
      <c r="L116" s="19" t="str">
        <f>テーブル1[[#This Row],[小物タグ]]&amp;""</f>
        <v/>
      </c>
      <c r="M116" s="19" t="str">
        <f>テーブル1[[#This Row],[ワンポイントタグ]]&amp;""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 ","|")</f>
        <v>#神様の足元</v>
      </c>
      <c r="H117" s="19" t="str">
        <f>テーブル1[[#This Row],[性別]]&amp;""</f>
        <v>男性</v>
      </c>
      <c r="I117" s="19" t="str">
        <f>テーブル1[[#This Row],[種族タグ]]&amp;""</f>
        <v>人間|機械</v>
      </c>
      <c r="J117" s="19" t="str">
        <f>テーブル1[[#This Row],[モチーフタグ]]&amp;""</f>
        <v>磁石</v>
      </c>
      <c r="K117" s="19" t="str">
        <f>テーブル1[[#This Row],[職業タグ]]&amp;""</f>
        <v>地磁気調査</v>
      </c>
      <c r="L117" s="19" t="str">
        <f>テーブル1[[#This Row],[小物タグ]]&amp;""</f>
        <v>イヤーユニット</v>
      </c>
      <c r="M117" s="19" t="str">
        <f>テーブル1[[#This Row],[ワンポイントタグ]]&amp;""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 ","|")</f>
        <v>#べるずわーくす</v>
      </c>
      <c r="H118" s="19" t="str">
        <f>テーブル1[[#This Row],[性別]]&amp;""</f>
        <v/>
      </c>
      <c r="I118" s="19" t="str">
        <f>テーブル1[[#This Row],[種族タグ]]&amp;""</f>
        <v/>
      </c>
      <c r="J118" s="19" t="str">
        <f>テーブル1[[#This Row],[モチーフタグ]]&amp;""</f>
        <v/>
      </c>
      <c r="K118" s="19" t="str">
        <f>テーブル1[[#This Row],[職業タグ]]&amp;""</f>
        <v/>
      </c>
      <c r="L118" s="19" t="str">
        <f>テーブル1[[#This Row],[小物タグ]]&amp;""</f>
        <v/>
      </c>
      <c r="M118" s="19" t="str">
        <f>テーブル1[[#This Row],[ワンポイントタグ]]&amp;""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 ","|")</f>
        <v>#硫黄荘音源</v>
      </c>
      <c r="H119" s="19" t="str">
        <f>テーブル1[[#This Row],[性別]]&amp;""</f>
        <v/>
      </c>
      <c r="I119" s="19" t="str">
        <f>テーブル1[[#This Row],[種族タグ]]&amp;""</f>
        <v/>
      </c>
      <c r="J119" s="19" t="str">
        <f>テーブル1[[#This Row],[モチーフタグ]]&amp;""</f>
        <v/>
      </c>
      <c r="K119" s="19" t="str">
        <f>テーブル1[[#This Row],[職業タグ]]&amp;""</f>
        <v/>
      </c>
      <c r="L119" s="19" t="str">
        <f>テーブル1[[#This Row],[小物タグ]]&amp;""</f>
        <v/>
      </c>
      <c r="M119" s="19" t="str">
        <f>テーブル1[[#This Row],[ワンポイントタグ]]&amp;""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 ","|")</f>
        <v>#べるずわーくす</v>
      </c>
      <c r="H120" s="19" t="str">
        <f>テーブル1[[#This Row],[性別]]&amp;""</f>
        <v/>
      </c>
      <c r="I120" s="19" t="str">
        <f>テーブル1[[#This Row],[種族タグ]]&amp;""</f>
        <v/>
      </c>
      <c r="J120" s="19" t="str">
        <f>テーブル1[[#This Row],[モチーフタグ]]&amp;""</f>
        <v/>
      </c>
      <c r="K120" s="19" t="str">
        <f>テーブル1[[#This Row],[職業タグ]]&amp;""</f>
        <v/>
      </c>
      <c r="L120" s="19" t="str">
        <f>テーブル1[[#This Row],[小物タグ]]&amp;""</f>
        <v/>
      </c>
      <c r="M120" s="19" t="str">
        <f>テーブル1[[#This Row],[ワンポイントタグ]]&amp;""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 ","|")</f>
        <v>#紫陽花ノ楽譜ト</v>
      </c>
      <c r="H121" s="19" t="str">
        <f>テーブル1[[#This Row],[性別]]&amp;""</f>
        <v/>
      </c>
      <c r="I121" s="19" t="str">
        <f>テーブル1[[#This Row],[種族タグ]]&amp;""</f>
        <v/>
      </c>
      <c r="J121" s="19" t="str">
        <f>テーブル1[[#This Row],[モチーフタグ]]&amp;""</f>
        <v/>
      </c>
      <c r="K121" s="19" t="str">
        <f>テーブル1[[#This Row],[職業タグ]]&amp;""</f>
        <v/>
      </c>
      <c r="L121" s="19" t="str">
        <f>テーブル1[[#This Row],[小物タグ]]&amp;""</f>
        <v/>
      </c>
      <c r="M121" s="19" t="str">
        <f>テーブル1[[#This Row],[ワンポイントタグ]]&amp;""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 ","|")</f>
        <v>#狂威家</v>
      </c>
      <c r="H122" s="19" t="str">
        <f>テーブル1[[#This Row],[性別]]&amp;""</f>
        <v/>
      </c>
      <c r="I122" s="19" t="str">
        <f>テーブル1[[#This Row],[種族タグ]]&amp;""</f>
        <v/>
      </c>
      <c r="J122" s="19" t="str">
        <f>テーブル1[[#This Row],[モチーフタグ]]&amp;""</f>
        <v/>
      </c>
      <c r="K122" s="19" t="str">
        <f>テーブル1[[#This Row],[職業タグ]]&amp;""</f>
        <v/>
      </c>
      <c r="L122" s="19" t="str">
        <f>テーブル1[[#This Row],[小物タグ]]&amp;""</f>
        <v/>
      </c>
      <c r="M122" s="19" t="str">
        <f>テーブル1[[#This Row],[ワンポイントタグ]]&amp;""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 ","|")</f>
        <v>#べるずわーくす</v>
      </c>
      <c r="H123" s="19" t="str">
        <f>テーブル1[[#This Row],[性別]]&amp;""</f>
        <v/>
      </c>
      <c r="I123" s="19" t="str">
        <f>テーブル1[[#This Row],[種族タグ]]&amp;""</f>
        <v/>
      </c>
      <c r="J123" s="19" t="str">
        <f>テーブル1[[#This Row],[モチーフタグ]]&amp;""</f>
        <v/>
      </c>
      <c r="K123" s="19" t="str">
        <f>テーブル1[[#This Row],[職業タグ]]&amp;""</f>
        <v/>
      </c>
      <c r="L123" s="19" t="str">
        <f>テーブル1[[#This Row],[小物タグ]]&amp;""</f>
        <v/>
      </c>
      <c r="M123" s="19" t="str">
        <f>テーブル1[[#This Row],[ワンポイントタグ]]&amp;""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 ","|")</f>
        <v>#観測レポートを共有します</v>
      </c>
      <c r="H124" s="19" t="str">
        <f>テーブル1[[#This Row],[性別]]&amp;""</f>
        <v/>
      </c>
      <c r="I124" s="19" t="str">
        <f>テーブル1[[#This Row],[種族タグ]]&amp;""</f>
        <v/>
      </c>
      <c r="J124" s="19" t="str">
        <f>テーブル1[[#This Row],[モチーフタグ]]&amp;""</f>
        <v/>
      </c>
      <c r="K124" s="19" t="str">
        <f>テーブル1[[#This Row],[職業タグ]]&amp;""</f>
        <v/>
      </c>
      <c r="L124" s="19" t="str">
        <f>テーブル1[[#This Row],[小物タグ]]&amp;""</f>
        <v/>
      </c>
      <c r="M124" s="19" t="str">
        <f>テーブル1[[#This Row],[ワンポイントタグ]]&amp;""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 ","|")</f>
        <v>#どっかのラララボ</v>
      </c>
      <c r="H125" s="19" t="str">
        <f>テーブル1[[#This Row],[性別]]&amp;""</f>
        <v/>
      </c>
      <c r="I125" s="19" t="str">
        <f>テーブル1[[#This Row],[種族タグ]]&amp;""</f>
        <v/>
      </c>
      <c r="J125" s="19" t="str">
        <f>テーブル1[[#This Row],[モチーフタグ]]&amp;""</f>
        <v/>
      </c>
      <c r="K125" s="19" t="str">
        <f>テーブル1[[#This Row],[職業タグ]]&amp;""</f>
        <v/>
      </c>
      <c r="L125" s="19" t="str">
        <f>テーブル1[[#This Row],[小物タグ]]&amp;""</f>
        <v/>
      </c>
      <c r="M125" s="19" t="str">
        <f>テーブル1[[#This Row],[ワンポイントタグ]]&amp;""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 ","|")</f>
        <v>#シロメ人類</v>
      </c>
      <c r="H126" s="19" t="str">
        <f>テーブル1[[#This Row],[性別]]&amp;""</f>
        <v/>
      </c>
      <c r="I126" s="19" t="str">
        <f>テーブル1[[#This Row],[種族タグ]]&amp;""</f>
        <v/>
      </c>
      <c r="J126" s="19" t="str">
        <f>テーブル1[[#This Row],[モチーフタグ]]&amp;""</f>
        <v/>
      </c>
      <c r="K126" s="19" t="str">
        <f>テーブル1[[#This Row],[職業タグ]]&amp;""</f>
        <v/>
      </c>
      <c r="L126" s="19" t="str">
        <f>テーブル1[[#This Row],[小物タグ]]&amp;""</f>
        <v/>
      </c>
      <c r="M126" s="19" t="str">
        <f>テーブル1[[#This Row],[ワンポイントタグ]]&amp;""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 ","|")</f>
        <v>#nerutoko</v>
      </c>
      <c r="H127" s="19" t="str">
        <f>テーブル1[[#This Row],[性別]]&amp;""</f>
        <v/>
      </c>
      <c r="I127" s="19" t="str">
        <f>テーブル1[[#This Row],[種族タグ]]&amp;""</f>
        <v/>
      </c>
      <c r="J127" s="19" t="str">
        <f>テーブル1[[#This Row],[モチーフタグ]]&amp;""</f>
        <v/>
      </c>
      <c r="K127" s="19" t="str">
        <f>テーブル1[[#This Row],[職業タグ]]&amp;""</f>
        <v/>
      </c>
      <c r="L127" s="19" t="str">
        <f>テーブル1[[#This Row],[小物タグ]]&amp;""</f>
        <v/>
      </c>
      <c r="M127" s="19" t="str">
        <f>テーブル1[[#This Row],[ワンポイントタグ]]&amp;""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 ","|")</f>
        <v>#べるずわーくす</v>
      </c>
      <c r="H128" s="19" t="str">
        <f>テーブル1[[#This Row],[性別]]&amp;""</f>
        <v/>
      </c>
      <c r="I128" s="19" t="str">
        <f>テーブル1[[#This Row],[種族タグ]]&amp;""</f>
        <v/>
      </c>
      <c r="J128" s="19" t="str">
        <f>テーブル1[[#This Row],[モチーフタグ]]&amp;""</f>
        <v/>
      </c>
      <c r="K128" s="19" t="str">
        <f>テーブル1[[#This Row],[職業タグ]]&amp;""</f>
        <v/>
      </c>
      <c r="L128" s="19" t="str">
        <f>テーブル1[[#This Row],[小物タグ]]&amp;""</f>
        <v/>
      </c>
      <c r="M128" s="19" t="str">
        <f>テーブル1[[#This Row],[ワンポイントタグ]]&amp;""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 ","|")</f>
        <v>#べるずわーくす</v>
      </c>
      <c r="H129" s="19" t="str">
        <f>テーブル1[[#This Row],[性別]]&amp;""</f>
        <v/>
      </c>
      <c r="I129" s="19" t="str">
        <f>テーブル1[[#This Row],[種族タグ]]&amp;""</f>
        <v/>
      </c>
      <c r="J129" s="19" t="str">
        <f>テーブル1[[#This Row],[モチーフタグ]]&amp;""</f>
        <v/>
      </c>
      <c r="K129" s="19" t="str">
        <f>テーブル1[[#This Row],[職業タグ]]&amp;""</f>
        <v/>
      </c>
      <c r="L129" s="19" t="str">
        <f>テーブル1[[#This Row],[小物タグ]]&amp;""</f>
        <v/>
      </c>
      <c r="M129" s="19" t="str">
        <f>テーブル1[[#This Row],[ワンポイントタグ]]&amp;""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 ","|")</f>
        <v>#空音絵巻</v>
      </c>
      <c r="H130" s="19" t="str">
        <f>テーブル1[[#This Row],[性別]]&amp;""</f>
        <v>男性</v>
      </c>
      <c r="I130" s="19" t="str">
        <f>テーブル1[[#This Row],[種族タグ]]&amp;""</f>
        <v>人間</v>
      </c>
      <c r="J130" s="19" t="str">
        <f>テーブル1[[#This Row],[モチーフタグ]]&amp;""</f>
        <v/>
      </c>
      <c r="K130" s="19" t="str">
        <f>テーブル1[[#This Row],[職業タグ]]&amp;""</f>
        <v/>
      </c>
      <c r="L130" s="19" t="str">
        <f>テーブル1[[#This Row],[小物タグ]]&amp;""</f>
        <v>銃</v>
      </c>
      <c r="M130" s="19" t="str">
        <f>テーブル1[[#This Row],[ワンポイントタグ]]&amp;""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 ","|")</f>
        <v>#でるらぼ</v>
      </c>
      <c r="H131" s="19" t="str">
        <f>テーブル1[[#This Row],[性別]]&amp;""</f>
        <v>男性</v>
      </c>
      <c r="I131" s="19" t="str">
        <f>テーブル1[[#This Row],[種族タグ]]&amp;""</f>
        <v>人間</v>
      </c>
      <c r="J131" s="19" t="str">
        <f>テーブル1[[#This Row],[モチーフタグ]]&amp;""</f>
        <v/>
      </c>
      <c r="K131" s="19" t="str">
        <f>テーブル1[[#This Row],[職業タグ]]&amp;""</f>
        <v/>
      </c>
      <c r="L131" s="19" t="str">
        <f>テーブル1[[#This Row],[小物タグ]]&amp;""</f>
        <v/>
      </c>
      <c r="M131" s="19" t="str">
        <f>テーブル1[[#This Row],[ワンポイントタグ]]&amp;""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 ","|")</f>
        <v>#水沫烏有</v>
      </c>
      <c r="H132" s="19" t="str">
        <f>テーブル1[[#This Row],[性別]]&amp;""</f>
        <v/>
      </c>
      <c r="I132" s="19" t="str">
        <f>テーブル1[[#This Row],[種族タグ]]&amp;""</f>
        <v/>
      </c>
      <c r="J132" s="19" t="str">
        <f>テーブル1[[#This Row],[モチーフタグ]]&amp;""</f>
        <v/>
      </c>
      <c r="K132" s="19" t="str">
        <f>テーブル1[[#This Row],[職業タグ]]&amp;""</f>
        <v/>
      </c>
      <c r="L132" s="19" t="str">
        <f>テーブル1[[#This Row],[小物タグ]]&amp;""</f>
        <v/>
      </c>
      <c r="M132" s="19" t="str">
        <f>テーブル1[[#This Row],[ワンポイントタグ]]&amp;""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 ","|")</f>
        <v>#お米炊けたよ</v>
      </c>
      <c r="H133" s="19" t="str">
        <f>テーブル1[[#This Row],[性別]]&amp;""</f>
        <v/>
      </c>
      <c r="I133" s="19" t="str">
        <f>テーブル1[[#This Row],[種族タグ]]&amp;""</f>
        <v/>
      </c>
      <c r="J133" s="19" t="str">
        <f>テーブル1[[#This Row],[モチーフタグ]]&amp;""</f>
        <v/>
      </c>
      <c r="K133" s="19" t="str">
        <f>テーブル1[[#This Row],[職業タグ]]&amp;""</f>
        <v/>
      </c>
      <c r="L133" s="19" t="str">
        <f>テーブル1[[#This Row],[小物タグ]]&amp;""</f>
        <v/>
      </c>
      <c r="M133" s="19" t="str">
        <f>テーブル1[[#This Row],[ワンポイントタグ]]&amp;""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 ","|")</f>
        <v>#観測レポートを共有します</v>
      </c>
      <c r="H134" s="19" t="str">
        <f>テーブル1[[#This Row],[性別]]&amp;""</f>
        <v/>
      </c>
      <c r="I134" s="19" t="str">
        <f>テーブル1[[#This Row],[種族タグ]]&amp;""</f>
        <v/>
      </c>
      <c r="J134" s="19" t="str">
        <f>テーブル1[[#This Row],[モチーフタグ]]&amp;""</f>
        <v/>
      </c>
      <c r="K134" s="19" t="str">
        <f>テーブル1[[#This Row],[職業タグ]]&amp;""</f>
        <v/>
      </c>
      <c r="L134" s="19" t="str">
        <f>テーブル1[[#This Row],[小物タグ]]&amp;""</f>
        <v/>
      </c>
      <c r="M134" s="19" t="str">
        <f>テーブル1[[#This Row],[ワンポイントタグ]]&amp;""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 ","|")</f>
        <v>#狐鳴さんち</v>
      </c>
      <c r="H135" s="19" t="str">
        <f>テーブル1[[#This Row],[性別]]&amp;""</f>
        <v/>
      </c>
      <c r="I135" s="19" t="str">
        <f>テーブル1[[#This Row],[種族タグ]]&amp;""</f>
        <v/>
      </c>
      <c r="J135" s="19" t="str">
        <f>テーブル1[[#This Row],[モチーフタグ]]&amp;""</f>
        <v/>
      </c>
      <c r="K135" s="19" t="str">
        <f>テーブル1[[#This Row],[職業タグ]]&amp;""</f>
        <v/>
      </c>
      <c r="L135" s="19" t="str">
        <f>テーブル1[[#This Row],[小物タグ]]&amp;""</f>
        <v/>
      </c>
      <c r="M135" s="19" t="str">
        <f>テーブル1[[#This Row],[ワンポイントタグ]]&amp;""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 ","|")</f>
        <v>#花束町めら</v>
      </c>
      <c r="H136" s="19" t="str">
        <f>テーブル1[[#This Row],[性別]]&amp;""</f>
        <v/>
      </c>
      <c r="I136" s="19" t="str">
        <f>テーブル1[[#This Row],[種族タグ]]&amp;""</f>
        <v/>
      </c>
      <c r="J136" s="19" t="str">
        <f>テーブル1[[#This Row],[モチーフタグ]]&amp;""</f>
        <v/>
      </c>
      <c r="K136" s="19" t="str">
        <f>テーブル1[[#This Row],[職業タグ]]&amp;""</f>
        <v/>
      </c>
      <c r="L136" s="19" t="str">
        <f>テーブル1[[#This Row],[小物タグ]]&amp;""</f>
        <v/>
      </c>
      <c r="M136" s="19" t="str">
        <f>テーブル1[[#This Row],[ワンポイントタグ]]&amp;""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 ","|")</f>
        <v>#お米炊けたよ</v>
      </c>
      <c r="H137" s="19" t="str">
        <f>テーブル1[[#This Row],[性別]]&amp;""</f>
        <v/>
      </c>
      <c r="I137" s="19" t="str">
        <f>テーブル1[[#This Row],[種族タグ]]&amp;""</f>
        <v/>
      </c>
      <c r="J137" s="19" t="str">
        <f>テーブル1[[#This Row],[モチーフタグ]]&amp;""</f>
        <v/>
      </c>
      <c r="K137" s="19" t="str">
        <f>テーブル1[[#This Row],[職業タグ]]&amp;""</f>
        <v/>
      </c>
      <c r="L137" s="19" t="str">
        <f>テーブル1[[#This Row],[小物タグ]]&amp;""</f>
        <v/>
      </c>
      <c r="M137" s="19" t="str">
        <f>テーブル1[[#This Row],[ワンポイントタグ]]&amp;""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 ","|")</f>
        <v>#煮バコ</v>
      </c>
      <c r="H138" s="19" t="str">
        <f>テーブル1[[#This Row],[性別]]&amp;""</f>
        <v>女性</v>
      </c>
      <c r="I138" s="19" t="str">
        <f>テーブル1[[#This Row],[種族タグ]]&amp;""</f>
        <v>故人|ゾンビ</v>
      </c>
      <c r="J138" s="19" t="str">
        <f>テーブル1[[#This Row],[モチーフタグ]]&amp;""</f>
        <v/>
      </c>
      <c r="K138" s="19" t="str">
        <f>テーブル1[[#This Row],[職業タグ]]&amp;""</f>
        <v/>
      </c>
      <c r="L138" s="19" t="str">
        <f>テーブル1[[#This Row],[小物タグ]]&amp;""</f>
        <v>アイバンド</v>
      </c>
      <c r="M138" s="19" t="str">
        <f>テーブル1[[#This Row],[ワンポイントタグ]]&amp;""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 ","|")</f>
        <v>#ぞんび線CB</v>
      </c>
      <c r="H139" s="19" t="str">
        <f>テーブル1[[#This Row],[性別]]&amp;""</f>
        <v/>
      </c>
      <c r="I139" s="19" t="str">
        <f>テーブル1[[#This Row],[種族タグ]]&amp;""</f>
        <v/>
      </c>
      <c r="J139" s="19" t="str">
        <f>テーブル1[[#This Row],[モチーフタグ]]&amp;""</f>
        <v/>
      </c>
      <c r="K139" s="19" t="str">
        <f>テーブル1[[#This Row],[職業タグ]]&amp;""</f>
        <v/>
      </c>
      <c r="L139" s="19" t="str">
        <f>テーブル1[[#This Row],[小物タグ]]&amp;""</f>
        <v/>
      </c>
      <c r="M139" s="19" t="str">
        <f>テーブル1[[#This Row],[ワンポイントタグ]]&amp;""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 ","|")</f>
        <v>#べるずわーくす</v>
      </c>
      <c r="H140" s="19" t="str">
        <f>テーブル1[[#This Row],[性別]]&amp;""</f>
        <v/>
      </c>
      <c r="I140" s="19" t="str">
        <f>テーブル1[[#This Row],[種族タグ]]&amp;""</f>
        <v/>
      </c>
      <c r="J140" s="19" t="str">
        <f>テーブル1[[#This Row],[モチーフタグ]]&amp;""</f>
        <v/>
      </c>
      <c r="K140" s="19" t="str">
        <f>テーブル1[[#This Row],[職業タグ]]&amp;""</f>
        <v/>
      </c>
      <c r="L140" s="19" t="str">
        <f>テーブル1[[#This Row],[小物タグ]]&amp;""</f>
        <v/>
      </c>
      <c r="M140" s="19" t="str">
        <f>テーブル1[[#This Row],[ワンポイントタグ]]&amp;""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 ","|")</f>
        <v>#学静出席簿</v>
      </c>
      <c r="H141" s="19" t="str">
        <f>テーブル1[[#This Row],[性別]]&amp;""</f>
        <v/>
      </c>
      <c r="I141" s="19" t="str">
        <f>テーブル1[[#This Row],[種族タグ]]&amp;""</f>
        <v/>
      </c>
      <c r="J141" s="19" t="str">
        <f>テーブル1[[#This Row],[モチーフタグ]]&amp;""</f>
        <v/>
      </c>
      <c r="K141" s="19" t="str">
        <f>テーブル1[[#This Row],[職業タグ]]&amp;""</f>
        <v/>
      </c>
      <c r="L141" s="19" t="str">
        <f>テーブル1[[#This Row],[小物タグ]]&amp;""</f>
        <v/>
      </c>
      <c r="M141" s="19" t="str">
        <f>テーブル1[[#This Row],[ワンポイントタグ]]&amp;""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 ","|")</f>
        <v>#六見Q</v>
      </c>
      <c r="H142" s="19" t="str">
        <f>テーブル1[[#This Row],[性別]]&amp;""</f>
        <v/>
      </c>
      <c r="I142" s="19" t="str">
        <f>テーブル1[[#This Row],[種族タグ]]&amp;""</f>
        <v/>
      </c>
      <c r="J142" s="19" t="str">
        <f>テーブル1[[#This Row],[モチーフタグ]]&amp;""</f>
        <v/>
      </c>
      <c r="K142" s="19" t="str">
        <f>テーブル1[[#This Row],[職業タグ]]&amp;""</f>
        <v/>
      </c>
      <c r="L142" s="19" t="str">
        <f>テーブル1[[#This Row],[小物タグ]]&amp;""</f>
        <v/>
      </c>
      <c r="M142" s="19" t="str">
        <f>テーブル1[[#This Row],[ワンポイントタグ]]&amp;""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 ","|")</f>
        <v>悪戯清子(UTAU)</v>
      </c>
      <c r="H143" s="19" t="str">
        <f>テーブル1[[#This Row],[性別]]&amp;""</f>
        <v/>
      </c>
      <c r="I143" s="19" t="str">
        <f>テーブル1[[#This Row],[種族タグ]]&amp;""</f>
        <v/>
      </c>
      <c r="J143" s="19" t="str">
        <f>テーブル1[[#This Row],[モチーフタグ]]&amp;""</f>
        <v/>
      </c>
      <c r="K143" s="19" t="str">
        <f>テーブル1[[#This Row],[職業タグ]]&amp;""</f>
        <v/>
      </c>
      <c r="L143" s="19" t="str">
        <f>テーブル1[[#This Row],[小物タグ]]&amp;""</f>
        <v/>
      </c>
      <c r="M143" s="19" t="str">
        <f>テーブル1[[#This Row],[ワンポイントタグ]]&amp;""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 ","|")</f>
        <v>#きのみあーと</v>
      </c>
      <c r="H144" s="19" t="str">
        <f>テーブル1[[#This Row],[性別]]&amp;""</f>
        <v>女性</v>
      </c>
      <c r="I144" s="19" t="str">
        <f>テーブル1[[#This Row],[種族タグ]]&amp;""</f>
        <v>人間|不老|不死|長寿</v>
      </c>
      <c r="J144" s="19" t="str">
        <f>テーブル1[[#This Row],[モチーフタグ]]&amp;""</f>
        <v/>
      </c>
      <c r="K144" s="19" t="str">
        <f>テーブル1[[#This Row],[職業タグ]]&amp;""</f>
        <v>魔法使い</v>
      </c>
      <c r="L144" s="19" t="str">
        <f>テーブル1[[#This Row],[小物タグ]]&amp;""</f>
        <v>杖</v>
      </c>
      <c r="M144" s="19" t="str">
        <f>テーブル1[[#This Row],[ワンポイントタグ]]&amp;""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 ","|")</f>
        <v>#べるずわーくす</v>
      </c>
      <c r="H145" s="19" t="str">
        <f>テーブル1[[#This Row],[性別]]&amp;""</f>
        <v/>
      </c>
      <c r="I145" s="19" t="str">
        <f>テーブル1[[#This Row],[種族タグ]]&amp;""</f>
        <v/>
      </c>
      <c r="J145" s="19" t="str">
        <f>テーブル1[[#This Row],[モチーフタグ]]&amp;""</f>
        <v/>
      </c>
      <c r="K145" s="19" t="str">
        <f>テーブル1[[#This Row],[職業タグ]]&amp;""</f>
        <v/>
      </c>
      <c r="L145" s="19" t="str">
        <f>テーブル1[[#This Row],[小物タグ]]&amp;""</f>
        <v/>
      </c>
      <c r="M145" s="19" t="str">
        <f>テーブル1[[#This Row],[ワンポイントタグ]]&amp;""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 ","|")</f>
        <v>#あるがままのうた</v>
      </c>
      <c r="H146" s="19" t="str">
        <f>テーブル1[[#This Row],[性別]]&amp;""</f>
        <v/>
      </c>
      <c r="I146" s="19" t="str">
        <f>テーブル1[[#This Row],[種族タグ]]&amp;""</f>
        <v/>
      </c>
      <c r="J146" s="19" t="str">
        <f>テーブル1[[#This Row],[モチーフタグ]]&amp;""</f>
        <v/>
      </c>
      <c r="K146" s="19" t="str">
        <f>テーブル1[[#This Row],[職業タグ]]&amp;""</f>
        <v/>
      </c>
      <c r="L146" s="19" t="str">
        <f>テーブル1[[#This Row],[小物タグ]]&amp;""</f>
        <v/>
      </c>
      <c r="M146" s="19" t="str">
        <f>テーブル1[[#This Row],[ワンポイントタグ]]&amp;""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 ","|")</f>
        <v>#ぞんび線CB</v>
      </c>
      <c r="H147" s="19" t="str">
        <f>テーブル1[[#This Row],[性別]]&amp;""</f>
        <v/>
      </c>
      <c r="I147" s="19" t="str">
        <f>テーブル1[[#This Row],[種族タグ]]&amp;""</f>
        <v/>
      </c>
      <c r="J147" s="19" t="str">
        <f>テーブル1[[#This Row],[モチーフタグ]]&amp;""</f>
        <v/>
      </c>
      <c r="K147" s="19" t="str">
        <f>テーブル1[[#This Row],[職業タグ]]&amp;""</f>
        <v/>
      </c>
      <c r="L147" s="19" t="str">
        <f>テーブル1[[#This Row],[小物タグ]]&amp;""</f>
        <v/>
      </c>
      <c r="M147" s="19" t="str">
        <f>テーブル1[[#This Row],[ワンポイントタグ]]&amp;""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 ","|")</f>
        <v>#煮バコ</v>
      </c>
      <c r="H148" s="19" t="str">
        <f>テーブル1[[#This Row],[性別]]&amp;""</f>
        <v>女性</v>
      </c>
      <c r="I148" s="19" t="str">
        <f>テーブル1[[#This Row],[種族タグ]]&amp;""</f>
        <v>人間</v>
      </c>
      <c r="J148" s="19" t="str">
        <f>テーブル1[[#This Row],[モチーフタグ]]&amp;""</f>
        <v>兎</v>
      </c>
      <c r="K148" s="19" t="str">
        <f>テーブル1[[#This Row],[職業タグ]]&amp;""</f>
        <v/>
      </c>
      <c r="L148" s="19" t="str">
        <f>テーブル1[[#This Row],[小物タグ]]&amp;""</f>
        <v/>
      </c>
      <c r="M148" s="19" t="str">
        <f>テーブル1[[#This Row],[ワンポイントタグ]]&amp;""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 ","|")</f>
        <v>クリノクロア(UTAU)</v>
      </c>
      <c r="H149" s="19" t="str">
        <f>テーブル1[[#This Row],[性別]]&amp;""</f>
        <v/>
      </c>
      <c r="I149" s="19" t="str">
        <f>テーブル1[[#This Row],[種族タグ]]&amp;""</f>
        <v/>
      </c>
      <c r="J149" s="19" t="str">
        <f>テーブル1[[#This Row],[モチーフタグ]]&amp;""</f>
        <v/>
      </c>
      <c r="K149" s="19" t="str">
        <f>テーブル1[[#This Row],[職業タグ]]&amp;""</f>
        <v/>
      </c>
      <c r="L149" s="19" t="str">
        <f>テーブル1[[#This Row],[小物タグ]]&amp;""</f>
        <v/>
      </c>
      <c r="M149" s="19" t="str">
        <f>テーブル1[[#This Row],[ワンポイントタグ]]&amp;""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 ","|")</f>
        <v>音々尾ミュー(UTAU)</v>
      </c>
      <c r="H150" s="19" t="str">
        <f>テーブル1[[#This Row],[性別]]&amp;""</f>
        <v/>
      </c>
      <c r="I150" s="19" t="str">
        <f>テーブル1[[#This Row],[種族タグ]]&amp;""</f>
        <v/>
      </c>
      <c r="J150" s="19" t="str">
        <f>テーブル1[[#This Row],[モチーフタグ]]&amp;""</f>
        <v/>
      </c>
      <c r="K150" s="19" t="str">
        <f>テーブル1[[#This Row],[職業タグ]]&amp;""</f>
        <v/>
      </c>
      <c r="L150" s="19" t="str">
        <f>テーブル1[[#This Row],[小物タグ]]&amp;""</f>
        <v/>
      </c>
      <c r="M150" s="19" t="str">
        <f>テーブル1[[#This Row],[ワンポイントタグ]]&amp;""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 ","|")</f>
        <v>#狂威家</v>
      </c>
      <c r="H151" s="19" t="str">
        <f>テーブル1[[#This Row],[性別]]&amp;""</f>
        <v/>
      </c>
      <c r="I151" s="19" t="str">
        <f>テーブル1[[#This Row],[種族タグ]]&amp;""</f>
        <v/>
      </c>
      <c r="J151" s="19" t="str">
        <f>テーブル1[[#This Row],[モチーフタグ]]&amp;""</f>
        <v/>
      </c>
      <c r="K151" s="19" t="str">
        <f>テーブル1[[#This Row],[職業タグ]]&amp;""</f>
        <v/>
      </c>
      <c r="L151" s="19" t="str">
        <f>テーブル1[[#This Row],[小物タグ]]&amp;""</f>
        <v/>
      </c>
      <c r="M151" s="19" t="str">
        <f>テーブル1[[#This Row],[ワンポイントタグ]]&amp;""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 ","|")</f>
        <v>#べるずわーくす</v>
      </c>
      <c r="H152" s="19" t="str">
        <f>テーブル1[[#This Row],[性別]]&amp;""</f>
        <v/>
      </c>
      <c r="I152" s="19" t="str">
        <f>テーブル1[[#This Row],[種族タグ]]&amp;""</f>
        <v/>
      </c>
      <c r="J152" s="19" t="str">
        <f>テーブル1[[#This Row],[モチーフタグ]]&amp;""</f>
        <v/>
      </c>
      <c r="K152" s="19" t="str">
        <f>テーブル1[[#This Row],[職業タグ]]&amp;""</f>
        <v/>
      </c>
      <c r="L152" s="19" t="str">
        <f>テーブル1[[#This Row],[小物タグ]]&amp;""</f>
        <v/>
      </c>
      <c r="M152" s="19" t="str">
        <f>テーブル1[[#This Row],[ワンポイントタグ]]&amp;""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 ","|")</f>
        <v>#あるがままのうた</v>
      </c>
      <c r="H153" s="19" t="str">
        <f>テーブル1[[#This Row],[性別]]&amp;""</f>
        <v/>
      </c>
      <c r="I153" s="19" t="str">
        <f>テーブル1[[#This Row],[種族タグ]]&amp;""</f>
        <v/>
      </c>
      <c r="J153" s="19" t="str">
        <f>テーブル1[[#This Row],[モチーフタグ]]&amp;""</f>
        <v/>
      </c>
      <c r="K153" s="19" t="str">
        <f>テーブル1[[#This Row],[職業タグ]]&amp;""</f>
        <v/>
      </c>
      <c r="L153" s="19" t="str">
        <f>テーブル1[[#This Row],[小物タグ]]&amp;""</f>
        <v/>
      </c>
      <c r="M153" s="19" t="str">
        <f>テーブル1[[#This Row],[ワンポイントタグ]]&amp;""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 ","|")</f>
        <v>#けもののけもの</v>
      </c>
      <c r="H154" s="19" t="str">
        <f>テーブル1[[#This Row],[性別]]&amp;""</f>
        <v/>
      </c>
      <c r="I154" s="19" t="str">
        <f>テーブル1[[#This Row],[種族タグ]]&amp;""</f>
        <v/>
      </c>
      <c r="J154" s="19" t="str">
        <f>テーブル1[[#This Row],[モチーフタグ]]&amp;""</f>
        <v/>
      </c>
      <c r="K154" s="19" t="str">
        <f>テーブル1[[#This Row],[職業タグ]]&amp;""</f>
        <v/>
      </c>
      <c r="L154" s="19" t="str">
        <f>テーブル1[[#This Row],[小物タグ]]&amp;""</f>
        <v/>
      </c>
      <c r="M154" s="19" t="str">
        <f>テーブル1[[#This Row],[ワンポイントタグ]]&amp;""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 ","|")</f>
        <v>#meta世界より</v>
      </c>
      <c r="H155" s="19" t="str">
        <f>テーブル1[[#This Row],[性別]]&amp;""</f>
        <v/>
      </c>
      <c r="I155" s="19" t="str">
        <f>テーブル1[[#This Row],[種族タグ]]&amp;""</f>
        <v/>
      </c>
      <c r="J155" s="19" t="str">
        <f>テーブル1[[#This Row],[モチーフタグ]]&amp;""</f>
        <v/>
      </c>
      <c r="K155" s="19" t="str">
        <f>テーブル1[[#This Row],[職業タグ]]&amp;""</f>
        <v/>
      </c>
      <c r="L155" s="19" t="str">
        <f>テーブル1[[#This Row],[小物タグ]]&amp;""</f>
        <v/>
      </c>
      <c r="M155" s="19" t="str">
        <f>テーブル1[[#This Row],[ワンポイントタグ]]&amp;""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 ","|")</f>
        <v>#空音絵巻</v>
      </c>
      <c r="H156" s="19" t="str">
        <f>テーブル1[[#This Row],[性別]]&amp;""</f>
        <v>女性</v>
      </c>
      <c r="I156" s="19" t="str">
        <f>テーブル1[[#This Row],[種族タグ]]&amp;""</f>
        <v>人間|長寿</v>
      </c>
      <c r="J156" s="19" t="str">
        <f>テーブル1[[#This Row],[モチーフタグ]]&amp;""</f>
        <v/>
      </c>
      <c r="K156" s="19" t="str">
        <f>テーブル1[[#This Row],[職業タグ]]&amp;""</f>
        <v/>
      </c>
      <c r="L156" s="19" t="str">
        <f>テーブル1[[#This Row],[小物タグ]]&amp;""</f>
        <v/>
      </c>
      <c r="M156" s="19" t="str">
        <f>テーブル1[[#This Row],[ワンポイントタグ]]&amp;""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 ","|")</f>
        <v>#芯零須キシル</v>
      </c>
      <c r="H157" s="19" t="str">
        <f>テーブル1[[#This Row],[性別]]&amp;""</f>
        <v/>
      </c>
      <c r="I157" s="19" t="str">
        <f>テーブル1[[#This Row],[種族タグ]]&amp;""</f>
        <v/>
      </c>
      <c r="J157" s="19" t="str">
        <f>テーブル1[[#This Row],[モチーフタグ]]&amp;""</f>
        <v/>
      </c>
      <c r="K157" s="19" t="str">
        <f>テーブル1[[#This Row],[職業タグ]]&amp;""</f>
        <v/>
      </c>
      <c r="L157" s="19" t="str">
        <f>テーブル1[[#This Row],[小物タグ]]&amp;""</f>
        <v/>
      </c>
      <c r="M157" s="19" t="str">
        <f>テーブル1[[#This Row],[ワンポイントタグ]]&amp;""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 ","|")</f>
        <v>#UTA打KyeFlow</v>
      </c>
      <c r="H158" s="19" t="str">
        <f>テーブル1[[#This Row],[性別]]&amp;""</f>
        <v>無性別</v>
      </c>
      <c r="I158" s="19" t="str">
        <f>テーブル1[[#This Row],[種族タグ]]&amp;""</f>
        <v>機械</v>
      </c>
      <c r="J158" s="19" t="str">
        <f>テーブル1[[#This Row],[モチーフタグ]]&amp;""</f>
        <v>キーボード</v>
      </c>
      <c r="K158" s="19" t="str">
        <f>テーブル1[[#This Row],[職業タグ]]&amp;""</f>
        <v>サポーター</v>
      </c>
      <c r="L158" s="19" t="str">
        <f>テーブル1[[#This Row],[小物タグ]]&amp;""</f>
        <v/>
      </c>
      <c r="M158" s="19" t="str">
        <f>テーブル1[[#This Row],[ワンポイントタグ]]&amp;""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 ","|")</f>
        <v>#硫黄荘音源</v>
      </c>
      <c r="H159" s="19" t="str">
        <f>テーブル1[[#This Row],[性別]]&amp;""</f>
        <v/>
      </c>
      <c r="I159" s="19" t="str">
        <f>テーブル1[[#This Row],[種族タグ]]&amp;""</f>
        <v/>
      </c>
      <c r="J159" s="19" t="str">
        <f>テーブル1[[#This Row],[モチーフタグ]]&amp;""</f>
        <v/>
      </c>
      <c r="K159" s="19" t="str">
        <f>テーブル1[[#This Row],[職業タグ]]&amp;""</f>
        <v/>
      </c>
      <c r="L159" s="19" t="str">
        <f>テーブル1[[#This Row],[小物タグ]]&amp;""</f>
        <v/>
      </c>
      <c r="M159" s="19" t="str">
        <f>テーブル1[[#This Row],[ワンポイントタグ]]&amp;""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 ","|")</f>
        <v>マック音サイ(UTAU)</v>
      </c>
      <c r="H160" s="19" t="str">
        <f>テーブル1[[#This Row],[性別]]&amp;""</f>
        <v/>
      </c>
      <c r="I160" s="19" t="str">
        <f>テーブル1[[#This Row],[種族タグ]]&amp;""</f>
        <v/>
      </c>
      <c r="J160" s="19" t="str">
        <f>テーブル1[[#This Row],[モチーフタグ]]&amp;""</f>
        <v/>
      </c>
      <c r="K160" s="19" t="str">
        <f>テーブル1[[#This Row],[職業タグ]]&amp;""</f>
        <v/>
      </c>
      <c r="L160" s="19" t="str">
        <f>テーブル1[[#This Row],[小物タグ]]&amp;""</f>
        <v/>
      </c>
      <c r="M160" s="19" t="str">
        <f>テーブル1[[#This Row],[ワンポイントタグ]]&amp;""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 ","|")</f>
        <v>#べるずわーくす</v>
      </c>
      <c r="H161" s="19" t="str">
        <f>テーブル1[[#This Row],[性別]]&amp;""</f>
        <v/>
      </c>
      <c r="I161" s="19" t="str">
        <f>テーブル1[[#This Row],[種族タグ]]&amp;""</f>
        <v/>
      </c>
      <c r="J161" s="19" t="str">
        <f>テーブル1[[#This Row],[モチーフタグ]]&amp;""</f>
        <v/>
      </c>
      <c r="K161" s="19" t="str">
        <f>テーブル1[[#This Row],[職業タグ]]&amp;""</f>
        <v/>
      </c>
      <c r="L161" s="19" t="str">
        <f>テーブル1[[#This Row],[小物タグ]]&amp;""</f>
        <v/>
      </c>
      <c r="M161" s="19" t="str">
        <f>テーブル1[[#This Row],[ワンポイントタグ]]&amp;""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 ","|")</f>
        <v>澳音ぱす(UTAU)</v>
      </c>
      <c r="H162" s="19" t="str">
        <f>テーブル1[[#This Row],[性別]]&amp;""</f>
        <v/>
      </c>
      <c r="I162" s="19" t="str">
        <f>テーブル1[[#This Row],[種族タグ]]&amp;""</f>
        <v/>
      </c>
      <c r="J162" s="19" t="str">
        <f>テーブル1[[#This Row],[モチーフタグ]]&amp;""</f>
        <v/>
      </c>
      <c r="K162" s="19" t="str">
        <f>テーブル1[[#This Row],[職業タグ]]&amp;""</f>
        <v/>
      </c>
      <c r="L162" s="19" t="str">
        <f>テーブル1[[#This Row],[小物タグ]]&amp;""</f>
        <v/>
      </c>
      <c r="M162" s="19" t="str">
        <f>テーブル1[[#This Row],[ワンポイントタグ]]&amp;""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 ","|")</f>
        <v>#はなときつねごと</v>
      </c>
      <c r="H163" s="19" t="str">
        <f>テーブル1[[#This Row],[性別]]&amp;""</f>
        <v/>
      </c>
      <c r="I163" s="19" t="str">
        <f>テーブル1[[#This Row],[種族タグ]]&amp;""</f>
        <v/>
      </c>
      <c r="J163" s="19" t="str">
        <f>テーブル1[[#This Row],[モチーフタグ]]&amp;""</f>
        <v/>
      </c>
      <c r="K163" s="19" t="str">
        <f>テーブル1[[#This Row],[職業タグ]]&amp;""</f>
        <v/>
      </c>
      <c r="L163" s="19" t="str">
        <f>テーブル1[[#This Row],[小物タグ]]&amp;""</f>
        <v/>
      </c>
      <c r="M163" s="19" t="str">
        <f>テーブル1[[#This Row],[ワンポイントタグ]]&amp;""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 ","|")</f>
        <v>#楽園の子守唄</v>
      </c>
      <c r="H164" s="19" t="str">
        <f>テーブル1[[#This Row],[性別]]&amp;""</f>
        <v/>
      </c>
      <c r="I164" s="19" t="str">
        <f>テーブル1[[#This Row],[種族タグ]]&amp;""</f>
        <v/>
      </c>
      <c r="J164" s="19" t="str">
        <f>テーブル1[[#This Row],[モチーフタグ]]&amp;""</f>
        <v/>
      </c>
      <c r="K164" s="19" t="str">
        <f>テーブル1[[#This Row],[職業タグ]]&amp;""</f>
        <v/>
      </c>
      <c r="L164" s="19" t="str">
        <f>テーブル1[[#This Row],[小物タグ]]&amp;""</f>
        <v/>
      </c>
      <c r="M164" s="19" t="str">
        <f>テーブル1[[#This Row],[ワンポイントタグ]]&amp;""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 ","|")</f>
        <v>律時シドク(UTAU)</v>
      </c>
      <c r="H165" s="19" t="str">
        <f>テーブル1[[#This Row],[性別]]&amp;""</f>
        <v/>
      </c>
      <c r="I165" s="19" t="str">
        <f>テーブル1[[#This Row],[種族タグ]]&amp;""</f>
        <v/>
      </c>
      <c r="J165" s="19" t="str">
        <f>テーブル1[[#This Row],[モチーフタグ]]&amp;""</f>
        <v/>
      </c>
      <c r="K165" s="19" t="str">
        <f>テーブル1[[#This Row],[職業タグ]]&amp;""</f>
        <v/>
      </c>
      <c r="L165" s="19" t="str">
        <f>テーブル1[[#This Row],[小物タグ]]&amp;""</f>
        <v/>
      </c>
      <c r="M165" s="19" t="str">
        <f>テーブル1[[#This Row],[ワンポイントタグ]]&amp;""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 ","|")</f>
        <v>吟児(UTAU)</v>
      </c>
      <c r="H166" s="19" t="str">
        <f>テーブル1[[#This Row],[性別]]&amp;""</f>
        <v/>
      </c>
      <c r="I166" s="19" t="str">
        <f>テーブル1[[#This Row],[種族タグ]]&amp;""</f>
        <v/>
      </c>
      <c r="J166" s="19" t="str">
        <f>テーブル1[[#This Row],[モチーフタグ]]&amp;""</f>
        <v/>
      </c>
      <c r="K166" s="19" t="str">
        <f>テーブル1[[#This Row],[職業タグ]]&amp;""</f>
        <v/>
      </c>
      <c r="L166" s="19" t="str">
        <f>テーブル1[[#This Row],[小物タグ]]&amp;""</f>
        <v/>
      </c>
      <c r="M166" s="19" t="str">
        <f>テーブル1[[#This Row],[ワンポイントタグ]]&amp;""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 ","|")</f>
        <v>#めんのこ</v>
      </c>
      <c r="H167" s="19" t="str">
        <f>テーブル1[[#This Row],[性別]]&amp;""</f>
        <v/>
      </c>
      <c r="I167" s="19" t="str">
        <f>テーブル1[[#This Row],[種族タグ]]&amp;""</f>
        <v/>
      </c>
      <c r="J167" s="19" t="str">
        <f>テーブル1[[#This Row],[モチーフタグ]]&amp;""</f>
        <v/>
      </c>
      <c r="K167" s="19" t="str">
        <f>テーブル1[[#This Row],[職業タグ]]&amp;""</f>
        <v/>
      </c>
      <c r="L167" s="19" t="str">
        <f>テーブル1[[#This Row],[小物タグ]]&amp;""</f>
        <v/>
      </c>
      <c r="M167" s="19" t="str">
        <f>テーブル1[[#This Row],[ワンポイントタグ]]&amp;""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 ","|")</f>
        <v>#けもののけもの</v>
      </c>
      <c r="H168" s="19" t="str">
        <f>テーブル1[[#This Row],[性別]]&amp;""</f>
        <v/>
      </c>
      <c r="I168" s="19" t="str">
        <f>テーブル1[[#This Row],[種族タグ]]&amp;""</f>
        <v/>
      </c>
      <c r="J168" s="19" t="str">
        <f>テーブル1[[#This Row],[モチーフタグ]]&amp;""</f>
        <v/>
      </c>
      <c r="K168" s="19" t="str">
        <f>テーブル1[[#This Row],[職業タグ]]&amp;""</f>
        <v/>
      </c>
      <c r="L168" s="19" t="str">
        <f>テーブル1[[#This Row],[小物タグ]]&amp;""</f>
        <v/>
      </c>
      <c r="M168" s="19" t="str">
        <f>テーブル1[[#This Row],[ワンポイントタグ]]&amp;""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 ","|")</f>
        <v>#製造番号626</v>
      </c>
      <c r="H169" s="19" t="str">
        <f>テーブル1[[#This Row],[性別]]&amp;""</f>
        <v/>
      </c>
      <c r="I169" s="19" t="str">
        <f>テーブル1[[#This Row],[種族タグ]]&amp;""</f>
        <v/>
      </c>
      <c r="J169" s="19" t="str">
        <f>テーブル1[[#This Row],[モチーフタグ]]&amp;""</f>
        <v/>
      </c>
      <c r="K169" s="19" t="str">
        <f>テーブル1[[#This Row],[職業タグ]]&amp;""</f>
        <v/>
      </c>
      <c r="L169" s="19" t="str">
        <f>テーブル1[[#This Row],[小物タグ]]&amp;""</f>
        <v/>
      </c>
      <c r="M169" s="19" t="str">
        <f>テーブル1[[#This Row],[ワンポイントタグ]]&amp;""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 ","|")</f>
        <v>#柳楼町観測所</v>
      </c>
      <c r="H170" s="19" t="str">
        <f>テーブル1[[#This Row],[性別]]&amp;""</f>
        <v/>
      </c>
      <c r="I170" s="19" t="str">
        <f>テーブル1[[#This Row],[種族タグ]]&amp;""</f>
        <v/>
      </c>
      <c r="J170" s="19" t="str">
        <f>テーブル1[[#This Row],[モチーフタグ]]&amp;""</f>
        <v/>
      </c>
      <c r="K170" s="19" t="str">
        <f>テーブル1[[#This Row],[職業タグ]]&amp;""</f>
        <v/>
      </c>
      <c r="L170" s="19" t="str">
        <f>テーブル1[[#This Row],[小物タグ]]&amp;""</f>
        <v/>
      </c>
      <c r="M170" s="19" t="str">
        <f>テーブル1[[#This Row],[ワンポイントタグ]]&amp;""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 ","|")</f>
        <v>#神様の足元</v>
      </c>
      <c r="H171" s="19" t="str">
        <f>テーブル1[[#This Row],[性別]]&amp;""</f>
        <v>男性</v>
      </c>
      <c r="I171" s="19" t="str">
        <f>テーブル1[[#This Row],[種族タグ]]&amp;""</f>
        <v>バーチャル</v>
      </c>
      <c r="J171" s="19" t="str">
        <f>テーブル1[[#This Row],[モチーフタグ]]&amp;""</f>
        <v/>
      </c>
      <c r="K171" s="19" t="str">
        <f>テーブル1[[#This Row],[職業タグ]]&amp;""</f>
        <v/>
      </c>
      <c r="L171" s="19" t="str">
        <f>テーブル1[[#This Row],[小物タグ]]&amp;""</f>
        <v>エンジェルヘイロゥ</v>
      </c>
      <c r="M171" s="19" t="str">
        <f>テーブル1[[#This Row],[ワンポイントタグ]]&amp;""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 ","|")</f>
        <v>#九作Q</v>
      </c>
      <c r="H172" s="19" t="str">
        <f>テーブル1[[#This Row],[性別]]&amp;""</f>
        <v/>
      </c>
      <c r="I172" s="19" t="str">
        <f>テーブル1[[#This Row],[種族タグ]]&amp;""</f>
        <v/>
      </c>
      <c r="J172" s="19" t="str">
        <f>テーブル1[[#This Row],[モチーフタグ]]&amp;""</f>
        <v/>
      </c>
      <c r="K172" s="19" t="str">
        <f>テーブル1[[#This Row],[職業タグ]]&amp;""</f>
        <v/>
      </c>
      <c r="L172" s="19" t="str">
        <f>テーブル1[[#This Row],[小物タグ]]&amp;""</f>
        <v/>
      </c>
      <c r="M172" s="19" t="str">
        <f>テーブル1[[#This Row],[ワンポイントタグ]]&amp;""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 ","|")</f>
        <v>#ひーろーあーと</v>
      </c>
      <c r="H173" s="19" t="str">
        <f>テーブル1[[#This Row],[性別]]&amp;""</f>
        <v/>
      </c>
      <c r="I173" s="19" t="str">
        <f>テーブル1[[#This Row],[種族タグ]]&amp;""</f>
        <v/>
      </c>
      <c r="J173" s="19" t="str">
        <f>テーブル1[[#This Row],[モチーフタグ]]&amp;""</f>
        <v/>
      </c>
      <c r="K173" s="19" t="str">
        <f>テーブル1[[#This Row],[職業タグ]]&amp;""</f>
        <v/>
      </c>
      <c r="L173" s="19" t="str">
        <f>テーブル1[[#This Row],[小物タグ]]&amp;""</f>
        <v/>
      </c>
      <c r="M173" s="19" t="str">
        <f>テーブル1[[#This Row],[ワンポイントタグ]]&amp;""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 ","|")</f>
        <v>#奈落の天蓋</v>
      </c>
      <c r="H174" s="19" t="str">
        <f>テーブル1[[#This Row],[性別]]&amp;""</f>
        <v/>
      </c>
      <c r="I174" s="19" t="str">
        <f>テーブル1[[#This Row],[種族タグ]]&amp;""</f>
        <v/>
      </c>
      <c r="J174" s="19" t="str">
        <f>テーブル1[[#This Row],[モチーフタグ]]&amp;""</f>
        <v/>
      </c>
      <c r="K174" s="19" t="str">
        <f>テーブル1[[#This Row],[職業タグ]]&amp;""</f>
        <v/>
      </c>
      <c r="L174" s="19" t="str">
        <f>テーブル1[[#This Row],[小物タグ]]&amp;""</f>
        <v/>
      </c>
      <c r="M174" s="19" t="str">
        <f>テーブル1[[#This Row],[ワンポイントタグ]]&amp;""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 ","|")</f>
        <v>#守智歌ピノ</v>
      </c>
      <c r="H175" s="19" t="str">
        <f>テーブル1[[#This Row],[性別]]&amp;""</f>
        <v/>
      </c>
      <c r="I175" s="19" t="str">
        <f>テーブル1[[#This Row],[種族タグ]]&amp;""</f>
        <v/>
      </c>
      <c r="J175" s="19" t="str">
        <f>テーブル1[[#This Row],[モチーフタグ]]&amp;""</f>
        <v/>
      </c>
      <c r="K175" s="19" t="str">
        <f>テーブル1[[#This Row],[職業タグ]]&amp;""</f>
        <v/>
      </c>
      <c r="L175" s="19" t="str">
        <f>テーブル1[[#This Row],[小物タグ]]&amp;""</f>
        <v/>
      </c>
      <c r="M175" s="19" t="str">
        <f>テーブル1[[#This Row],[ワンポイントタグ]]&amp;""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 ","|")</f>
        <v>#轟雪マチ丸</v>
      </c>
      <c r="H176" s="19" t="str">
        <f>テーブル1[[#This Row],[性別]]&amp;""</f>
        <v/>
      </c>
      <c r="I176" s="19" t="str">
        <f>テーブル1[[#This Row],[種族タグ]]&amp;""</f>
        <v/>
      </c>
      <c r="J176" s="19" t="str">
        <f>テーブル1[[#This Row],[モチーフタグ]]&amp;""</f>
        <v/>
      </c>
      <c r="K176" s="19" t="str">
        <f>テーブル1[[#This Row],[職業タグ]]&amp;""</f>
        <v/>
      </c>
      <c r="L176" s="19" t="str">
        <f>テーブル1[[#This Row],[小物タグ]]&amp;""</f>
        <v/>
      </c>
      <c r="M176" s="19" t="str">
        <f>テーブル1[[#This Row],[ワンポイントタグ]]&amp;""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 ","|")</f>
        <v>桃沼(UTAU)</v>
      </c>
      <c r="H177" s="19" t="str">
        <f>テーブル1[[#This Row],[性別]]&amp;""</f>
        <v/>
      </c>
      <c r="I177" s="19" t="str">
        <f>テーブル1[[#This Row],[種族タグ]]&amp;""</f>
        <v/>
      </c>
      <c r="J177" s="19" t="str">
        <f>テーブル1[[#This Row],[モチーフタグ]]&amp;""</f>
        <v/>
      </c>
      <c r="K177" s="19" t="str">
        <f>テーブル1[[#This Row],[職業タグ]]&amp;""</f>
        <v/>
      </c>
      <c r="L177" s="19" t="str">
        <f>テーブル1[[#This Row],[小物タグ]]&amp;""</f>
        <v/>
      </c>
      <c r="M177" s="19" t="str">
        <f>テーブル1[[#This Row],[ワンポイントタグ]]&amp;""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 ","|")</f>
        <v>#べるずわーくす</v>
      </c>
      <c r="H178" s="19" t="str">
        <f>テーブル1[[#This Row],[性別]]&amp;""</f>
        <v/>
      </c>
      <c r="I178" s="19" t="str">
        <f>テーブル1[[#This Row],[種族タグ]]&amp;""</f>
        <v/>
      </c>
      <c r="J178" s="19" t="str">
        <f>テーブル1[[#This Row],[モチーフタグ]]&amp;""</f>
        <v/>
      </c>
      <c r="K178" s="19" t="str">
        <f>テーブル1[[#This Row],[職業タグ]]&amp;""</f>
        <v/>
      </c>
      <c r="L178" s="19" t="str">
        <f>テーブル1[[#This Row],[小物タグ]]&amp;""</f>
        <v/>
      </c>
      <c r="M178" s="19" t="str">
        <f>テーブル1[[#This Row],[ワンポイントタグ]]&amp;""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 ","|")</f>
        <v>マック音ヒトキ(UTAU)</v>
      </c>
      <c r="H179" s="19" t="str">
        <f>テーブル1[[#This Row],[性別]]&amp;""</f>
        <v/>
      </c>
      <c r="I179" s="19" t="str">
        <f>テーブル1[[#This Row],[種族タグ]]&amp;""</f>
        <v/>
      </c>
      <c r="J179" s="19" t="str">
        <f>テーブル1[[#This Row],[モチーフタグ]]&amp;""</f>
        <v/>
      </c>
      <c r="K179" s="19" t="str">
        <f>テーブル1[[#This Row],[職業タグ]]&amp;""</f>
        <v/>
      </c>
      <c r="L179" s="19" t="str">
        <f>テーブル1[[#This Row],[小物タグ]]&amp;""</f>
        <v/>
      </c>
      <c r="M179" s="19" t="str">
        <f>テーブル1[[#This Row],[ワンポイントタグ]]&amp;""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 ","|")</f>
        <v>#6月の放課後_山名</v>
      </c>
      <c r="H180" s="19" t="str">
        <f>テーブル1[[#This Row],[性別]]&amp;""</f>
        <v/>
      </c>
      <c r="I180" s="19" t="str">
        <f>テーブル1[[#This Row],[種族タグ]]&amp;""</f>
        <v/>
      </c>
      <c r="J180" s="19" t="str">
        <f>テーブル1[[#This Row],[モチーフタグ]]&amp;""</f>
        <v/>
      </c>
      <c r="K180" s="19" t="str">
        <f>テーブル1[[#This Row],[職業タグ]]&amp;""</f>
        <v/>
      </c>
      <c r="L180" s="19" t="str">
        <f>テーブル1[[#This Row],[小物タグ]]&amp;""</f>
        <v/>
      </c>
      <c r="M180" s="19" t="str">
        <f>テーブル1[[#This Row],[ワンポイントタグ]]&amp;""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 ","|")</f>
        <v>#刹葬セツリ</v>
      </c>
      <c r="H181" s="19" t="str">
        <f>テーブル1[[#This Row],[性別]]&amp;""</f>
        <v/>
      </c>
      <c r="I181" s="19" t="str">
        <f>テーブル1[[#This Row],[種族タグ]]&amp;""</f>
        <v/>
      </c>
      <c r="J181" s="19" t="str">
        <f>テーブル1[[#This Row],[モチーフタグ]]&amp;""</f>
        <v/>
      </c>
      <c r="K181" s="19" t="str">
        <f>テーブル1[[#This Row],[職業タグ]]&amp;""</f>
        <v/>
      </c>
      <c r="L181" s="19" t="str">
        <f>テーブル1[[#This Row],[小物タグ]]&amp;""</f>
        <v/>
      </c>
      <c r="M181" s="19" t="str">
        <f>テーブル1[[#This Row],[ワンポイントタグ]]&amp;""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 ","|")</f>
        <v>#波音リツ</v>
      </c>
      <c r="H182" s="19" t="str">
        <f>テーブル1[[#This Row],[性別]]&amp;""</f>
        <v/>
      </c>
      <c r="I182" s="19" t="str">
        <f>テーブル1[[#This Row],[種族タグ]]&amp;""</f>
        <v/>
      </c>
      <c r="J182" s="19" t="str">
        <f>テーブル1[[#This Row],[モチーフタグ]]&amp;""</f>
        <v/>
      </c>
      <c r="K182" s="19" t="str">
        <f>テーブル1[[#This Row],[職業タグ]]&amp;""</f>
        <v/>
      </c>
      <c r="L182" s="19" t="str">
        <f>テーブル1[[#This Row],[小物タグ]]&amp;""</f>
        <v/>
      </c>
      <c r="M182" s="19" t="str">
        <f>テーブル1[[#This Row],[ワンポイントタグ]]&amp;""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 ","|")</f>
        <v>#緑音翡翠</v>
      </c>
      <c r="H183" s="19" t="str">
        <f>テーブル1[[#This Row],[性別]]&amp;""</f>
        <v/>
      </c>
      <c r="I183" s="19" t="str">
        <f>テーブル1[[#This Row],[種族タグ]]&amp;""</f>
        <v/>
      </c>
      <c r="J183" s="19" t="str">
        <f>テーブル1[[#This Row],[モチーフタグ]]&amp;""</f>
        <v/>
      </c>
      <c r="K183" s="19" t="str">
        <f>テーブル1[[#This Row],[職業タグ]]&amp;""</f>
        <v/>
      </c>
      <c r="L183" s="19" t="str">
        <f>テーブル1[[#This Row],[小物タグ]]&amp;""</f>
        <v/>
      </c>
      <c r="M183" s="19" t="str">
        <f>テーブル1[[#This Row],[ワンポイントタグ]]&amp;""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 ","|")</f>
        <v>#ぞんび線CB</v>
      </c>
      <c r="H184" s="19" t="str">
        <f>テーブル1[[#This Row],[性別]]&amp;""</f>
        <v/>
      </c>
      <c r="I184" s="19" t="str">
        <f>テーブル1[[#This Row],[種族タグ]]&amp;""</f>
        <v/>
      </c>
      <c r="J184" s="19" t="str">
        <f>テーブル1[[#This Row],[モチーフタグ]]&amp;""</f>
        <v/>
      </c>
      <c r="K184" s="19" t="str">
        <f>テーブル1[[#This Row],[職業タグ]]&amp;""</f>
        <v/>
      </c>
      <c r="L184" s="19" t="str">
        <f>テーブル1[[#This Row],[小物タグ]]&amp;""</f>
        <v/>
      </c>
      <c r="M184" s="19" t="str">
        <f>テーブル1[[#This Row],[ワンポイントタグ]]&amp;""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 ","|")</f>
        <v>#歌う雨やどり</v>
      </c>
      <c r="H185" s="19" t="str">
        <f>テーブル1[[#This Row],[性別]]&amp;""</f>
        <v>男性</v>
      </c>
      <c r="I185" s="19" t="str">
        <f>テーブル1[[#This Row],[種族タグ]]&amp;""</f>
        <v>人間</v>
      </c>
      <c r="J185" s="19" t="str">
        <f>テーブル1[[#This Row],[モチーフタグ]]&amp;""</f>
        <v/>
      </c>
      <c r="K185" s="19" t="str">
        <f>テーブル1[[#This Row],[職業タグ]]&amp;""</f>
        <v>科学者</v>
      </c>
      <c r="L185" s="19" t="str">
        <f>テーブル1[[#This Row],[小物タグ]]&amp;""</f>
        <v>ゴーグル</v>
      </c>
      <c r="M185" s="19" t="str">
        <f>テーブル1[[#This Row],[ワンポイントタグ]]&amp;""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 ","|")</f>
        <v>#べるずわーくす</v>
      </c>
      <c r="H186" s="19" t="str">
        <f>テーブル1[[#This Row],[性別]]&amp;""</f>
        <v/>
      </c>
      <c r="I186" s="19" t="str">
        <f>テーブル1[[#This Row],[種族タグ]]&amp;""</f>
        <v/>
      </c>
      <c r="J186" s="19" t="str">
        <f>テーブル1[[#This Row],[モチーフタグ]]&amp;""</f>
        <v/>
      </c>
      <c r="K186" s="19" t="str">
        <f>テーブル1[[#This Row],[職業タグ]]&amp;""</f>
        <v/>
      </c>
      <c r="L186" s="19" t="str">
        <f>テーブル1[[#This Row],[小物タグ]]&amp;""</f>
        <v/>
      </c>
      <c r="M186" s="19" t="str">
        <f>テーブル1[[#This Row],[ワンポイントタグ]]&amp;""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 ","|")</f>
        <v>#セレソー作</v>
      </c>
      <c r="H187" s="19" t="str">
        <f>テーブル1[[#This Row],[性別]]&amp;""</f>
        <v>不明</v>
      </c>
      <c r="I187" s="19" t="str">
        <f>テーブル1[[#This Row],[種族タグ]]&amp;""</f>
        <v>人間|双子|故人</v>
      </c>
      <c r="J187" s="19" t="str">
        <f>テーブル1[[#This Row],[モチーフタグ]]&amp;""</f>
        <v/>
      </c>
      <c r="K187" s="19" t="str">
        <f>テーブル1[[#This Row],[職業タグ]]&amp;""</f>
        <v>元ヤン</v>
      </c>
      <c r="L187" s="19" t="str">
        <f>テーブル1[[#This Row],[小物タグ]]&amp;""</f>
        <v/>
      </c>
      <c r="M187" s="19" t="str">
        <f>テーブル1[[#This Row],[ワンポイントタグ]]&amp;""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 ","|")</f>
        <v>#めいあんぐ</v>
      </c>
      <c r="H188" s="19" t="str">
        <f>テーブル1[[#This Row],[性別]]&amp;""</f>
        <v/>
      </c>
      <c r="I188" s="19" t="str">
        <f>テーブル1[[#This Row],[種族タグ]]&amp;""</f>
        <v/>
      </c>
      <c r="J188" s="19" t="str">
        <f>テーブル1[[#This Row],[モチーフタグ]]&amp;""</f>
        <v/>
      </c>
      <c r="K188" s="19" t="str">
        <f>テーブル1[[#This Row],[職業タグ]]&amp;""</f>
        <v/>
      </c>
      <c r="L188" s="19" t="str">
        <f>テーブル1[[#This Row],[小物タグ]]&amp;""</f>
        <v/>
      </c>
      <c r="M188" s="19" t="str">
        <f>テーブル1[[#This Row],[ワンポイントタグ]]&amp;""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 ","|")</f>
        <v>#べるずわーくす</v>
      </c>
      <c r="H189" s="19" t="str">
        <f>テーブル1[[#This Row],[性別]]&amp;""</f>
        <v/>
      </c>
      <c r="I189" s="19" t="str">
        <f>テーブル1[[#This Row],[種族タグ]]&amp;""</f>
        <v/>
      </c>
      <c r="J189" s="19" t="str">
        <f>テーブル1[[#This Row],[モチーフタグ]]&amp;""</f>
        <v/>
      </c>
      <c r="K189" s="19" t="str">
        <f>テーブル1[[#This Row],[職業タグ]]&amp;""</f>
        <v/>
      </c>
      <c r="L189" s="19" t="str">
        <f>テーブル1[[#This Row],[小物タグ]]&amp;""</f>
        <v/>
      </c>
      <c r="M189" s="19" t="str">
        <f>テーブル1[[#This Row],[ワンポイントタグ]]&amp;""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 ","|")</f>
        <v>#保冷安室</v>
      </c>
      <c r="H190" s="19" t="str">
        <f>テーブル1[[#This Row],[性別]]&amp;""</f>
        <v/>
      </c>
      <c r="I190" s="19" t="str">
        <f>テーブル1[[#This Row],[種族タグ]]&amp;""</f>
        <v/>
      </c>
      <c r="J190" s="19" t="str">
        <f>テーブル1[[#This Row],[モチーフタグ]]&amp;""</f>
        <v/>
      </c>
      <c r="K190" s="19" t="str">
        <f>テーブル1[[#This Row],[職業タグ]]&amp;""</f>
        <v/>
      </c>
      <c r="L190" s="19" t="str">
        <f>テーブル1[[#This Row],[小物タグ]]&amp;""</f>
        <v/>
      </c>
      <c r="M190" s="19" t="str">
        <f>テーブル1[[#This Row],[ワンポイントタグ]]&amp;""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 ","|")</f>
        <v>#喜怒哀ROCK</v>
      </c>
      <c r="H191" s="19" t="str">
        <f>テーブル1[[#This Row],[性別]]&amp;""</f>
        <v/>
      </c>
      <c r="I191" s="19" t="str">
        <f>テーブル1[[#This Row],[種族タグ]]&amp;""</f>
        <v/>
      </c>
      <c r="J191" s="19" t="str">
        <f>テーブル1[[#This Row],[モチーフタグ]]&amp;""</f>
        <v/>
      </c>
      <c r="K191" s="19" t="str">
        <f>テーブル1[[#This Row],[職業タグ]]&amp;""</f>
        <v/>
      </c>
      <c r="L191" s="19" t="str">
        <f>テーブル1[[#This Row],[小物タグ]]&amp;""</f>
        <v/>
      </c>
      <c r="M191" s="19" t="str">
        <f>テーブル1[[#This Row],[ワンポイントタグ]]&amp;""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 ","|")</f>
        <v>#6月の放課後_日出</v>
      </c>
      <c r="H192" s="19" t="str">
        <f>テーブル1[[#This Row],[性別]]&amp;""</f>
        <v/>
      </c>
      <c r="I192" s="19" t="str">
        <f>テーブル1[[#This Row],[種族タグ]]&amp;""</f>
        <v/>
      </c>
      <c r="J192" s="19" t="str">
        <f>テーブル1[[#This Row],[モチーフタグ]]&amp;""</f>
        <v/>
      </c>
      <c r="K192" s="19" t="str">
        <f>テーブル1[[#This Row],[職業タグ]]&amp;""</f>
        <v/>
      </c>
      <c r="L192" s="19" t="str">
        <f>テーブル1[[#This Row],[小物タグ]]&amp;""</f>
        <v/>
      </c>
      <c r="M192" s="19" t="str">
        <f>テーブル1[[#This Row],[ワンポイントタグ]]&amp;""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 ","|")</f>
        <v>#べるずわーくす</v>
      </c>
      <c r="H193" s="19" t="str">
        <f>テーブル1[[#This Row],[性別]]&amp;""</f>
        <v/>
      </c>
      <c r="I193" s="19" t="str">
        <f>テーブル1[[#This Row],[種族タグ]]&amp;""</f>
        <v/>
      </c>
      <c r="J193" s="19" t="str">
        <f>テーブル1[[#This Row],[モチーフタグ]]&amp;""</f>
        <v/>
      </c>
      <c r="K193" s="19" t="str">
        <f>テーブル1[[#This Row],[職業タグ]]&amp;""</f>
        <v/>
      </c>
      <c r="L193" s="19" t="str">
        <f>テーブル1[[#This Row],[小物タグ]]&amp;""</f>
        <v/>
      </c>
      <c r="M193" s="19" t="str">
        <f>テーブル1[[#This Row],[ワンポイントタグ]]&amp;""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 ","|")</f>
        <v>#MQAW</v>
      </c>
      <c r="H194" s="19" t="str">
        <f>テーブル1[[#This Row],[性別]]&amp;""</f>
        <v>女性</v>
      </c>
      <c r="I194" s="19" t="str">
        <f>テーブル1[[#This Row],[種族タグ]]&amp;""</f>
        <v>宇宙人</v>
      </c>
      <c r="J194" s="19" t="str">
        <f>テーブル1[[#This Row],[モチーフタグ]]&amp;""</f>
        <v>クラゲ</v>
      </c>
      <c r="K194" s="19" t="str">
        <f>テーブル1[[#This Row],[職業タグ]]&amp;""</f>
        <v/>
      </c>
      <c r="L194" s="19" t="str">
        <f>テーブル1[[#This Row],[小物タグ]]&amp;""</f>
        <v/>
      </c>
      <c r="M194" s="19" t="str">
        <f>テーブル1[[#This Row],[ワンポイントタグ]]&amp;""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 ","|")</f>
        <v>#べるずわーくす</v>
      </c>
      <c r="H195" s="19" t="str">
        <f>テーブル1[[#This Row],[性別]]&amp;""</f>
        <v/>
      </c>
      <c r="I195" s="19" t="str">
        <f>テーブル1[[#This Row],[種族タグ]]&amp;""</f>
        <v/>
      </c>
      <c r="J195" s="19" t="str">
        <f>テーブル1[[#This Row],[モチーフタグ]]&amp;""</f>
        <v/>
      </c>
      <c r="K195" s="19" t="str">
        <f>テーブル1[[#This Row],[職業タグ]]&amp;""</f>
        <v/>
      </c>
      <c r="L195" s="19" t="str">
        <f>テーブル1[[#This Row],[小物タグ]]&amp;""</f>
        <v/>
      </c>
      <c r="M195" s="19" t="str">
        <f>テーブル1[[#This Row],[ワンポイントタグ]]&amp;""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 ","|")</f>
        <v>#紫陽花ノ楽譜ト</v>
      </c>
      <c r="H196" s="19" t="str">
        <f>テーブル1[[#This Row],[性別]]&amp;""</f>
        <v/>
      </c>
      <c r="I196" s="19" t="str">
        <f>テーブル1[[#This Row],[種族タグ]]&amp;""</f>
        <v/>
      </c>
      <c r="J196" s="19" t="str">
        <f>テーブル1[[#This Row],[モチーフタグ]]&amp;""</f>
        <v/>
      </c>
      <c r="K196" s="19" t="str">
        <f>テーブル1[[#This Row],[職業タグ]]&amp;""</f>
        <v/>
      </c>
      <c r="L196" s="19" t="str">
        <f>テーブル1[[#This Row],[小物タグ]]&amp;""</f>
        <v/>
      </c>
      <c r="M196" s="19" t="str">
        <f>テーブル1[[#This Row],[ワンポイントタグ]]&amp;""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 ","|")</f>
        <v>#泡沫の青ヰハル</v>
      </c>
      <c r="H197" s="19" t="str">
        <f>テーブル1[[#This Row],[性別]]&amp;""</f>
        <v/>
      </c>
      <c r="I197" s="19" t="str">
        <f>テーブル1[[#This Row],[種族タグ]]&amp;""</f>
        <v/>
      </c>
      <c r="J197" s="19" t="str">
        <f>テーブル1[[#This Row],[モチーフタグ]]&amp;""</f>
        <v/>
      </c>
      <c r="K197" s="19" t="str">
        <f>テーブル1[[#This Row],[職業タグ]]&amp;""</f>
        <v/>
      </c>
      <c r="L197" s="19" t="str">
        <f>テーブル1[[#This Row],[小物タグ]]&amp;""</f>
        <v/>
      </c>
      <c r="M197" s="19" t="str">
        <f>テーブル1[[#This Row],[ワンポイントタグ]]&amp;""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 ","|")</f>
        <v>#べるずわーくす</v>
      </c>
      <c r="H198" s="19" t="str">
        <f>テーブル1[[#This Row],[性別]]&amp;""</f>
        <v/>
      </c>
      <c r="I198" s="19" t="str">
        <f>テーブル1[[#This Row],[種族タグ]]&amp;""</f>
        <v/>
      </c>
      <c r="J198" s="19" t="str">
        <f>テーブル1[[#This Row],[モチーフタグ]]&amp;""</f>
        <v/>
      </c>
      <c r="K198" s="19" t="str">
        <f>テーブル1[[#This Row],[職業タグ]]&amp;""</f>
        <v/>
      </c>
      <c r="L198" s="19" t="str">
        <f>テーブル1[[#This Row],[小物タグ]]&amp;""</f>
        <v/>
      </c>
      <c r="M198" s="19" t="str">
        <f>テーブル1[[#This Row],[ワンポイントタグ]]&amp;""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 ","|")</f>
        <v>#玖夏参伏|</v>
      </c>
      <c r="H199" s="19" t="str">
        <f>テーブル1[[#This Row],[性別]]&amp;""</f>
        <v/>
      </c>
      <c r="I199" s="19" t="str">
        <f>テーブル1[[#This Row],[種族タグ]]&amp;""</f>
        <v/>
      </c>
      <c r="J199" s="19" t="str">
        <f>テーブル1[[#This Row],[モチーフタグ]]&amp;""</f>
        <v/>
      </c>
      <c r="K199" s="19" t="str">
        <f>テーブル1[[#This Row],[職業タグ]]&amp;""</f>
        <v/>
      </c>
      <c r="L199" s="19" t="str">
        <f>テーブル1[[#This Row],[小物タグ]]&amp;""</f>
        <v/>
      </c>
      <c r="M199" s="19" t="str">
        <f>テーブル1[[#This Row],[ワンポイントタグ]]&amp;""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 ","|")</f>
        <v>#行宮事務所</v>
      </c>
      <c r="H200" s="19" t="str">
        <f>テーブル1[[#This Row],[性別]]&amp;""</f>
        <v/>
      </c>
      <c r="I200" s="19" t="str">
        <f>テーブル1[[#This Row],[種族タグ]]&amp;""</f>
        <v/>
      </c>
      <c r="J200" s="19" t="str">
        <f>テーブル1[[#This Row],[モチーフタグ]]&amp;""</f>
        <v/>
      </c>
      <c r="K200" s="19" t="str">
        <f>テーブル1[[#This Row],[職業タグ]]&amp;""</f>
        <v/>
      </c>
      <c r="L200" s="19" t="str">
        <f>テーブル1[[#This Row],[小物タグ]]&amp;""</f>
        <v/>
      </c>
      <c r="M200" s="19" t="str">
        <f>テーブル1[[#This Row],[ワンポイントタグ]]&amp;""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 ","|")</f>
        <v>#秋太を目撃しました</v>
      </c>
      <c r="H201" s="19" t="str">
        <f>テーブル1[[#This Row],[性別]]&amp;""</f>
        <v/>
      </c>
      <c r="I201" s="19" t="str">
        <f>テーブル1[[#This Row],[種族タグ]]&amp;""</f>
        <v/>
      </c>
      <c r="J201" s="19" t="str">
        <f>テーブル1[[#This Row],[モチーフタグ]]&amp;""</f>
        <v/>
      </c>
      <c r="K201" s="19" t="str">
        <f>テーブル1[[#This Row],[職業タグ]]&amp;""</f>
        <v/>
      </c>
      <c r="L201" s="19" t="str">
        <f>テーブル1[[#This Row],[小物タグ]]&amp;""</f>
        <v/>
      </c>
      <c r="M201" s="19" t="str">
        <f>テーブル1[[#This Row],[ワンポイントタグ]]&amp;""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 ","|")</f>
        <v>#血音ヤン</v>
      </c>
      <c r="H202" s="19" t="str">
        <f>テーブル1[[#This Row],[性別]]&amp;""</f>
        <v/>
      </c>
      <c r="I202" s="19" t="str">
        <f>テーブル1[[#This Row],[種族タグ]]&amp;""</f>
        <v/>
      </c>
      <c r="J202" s="19" t="str">
        <f>テーブル1[[#This Row],[モチーフタグ]]&amp;""</f>
        <v/>
      </c>
      <c r="K202" s="19" t="str">
        <f>テーブル1[[#This Row],[職業タグ]]&amp;""</f>
        <v/>
      </c>
      <c r="L202" s="19" t="str">
        <f>テーブル1[[#This Row],[小物タグ]]&amp;""</f>
        <v/>
      </c>
      <c r="M202" s="19" t="str">
        <f>テーブル1[[#This Row],[ワンポイントタグ]]&amp;""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 ","|")</f>
        <v>#悩音Blue</v>
      </c>
      <c r="H203" s="19" t="str">
        <f>テーブル1[[#This Row],[性別]]&amp;""</f>
        <v/>
      </c>
      <c r="I203" s="19" t="str">
        <f>テーブル1[[#This Row],[種族タグ]]&amp;""</f>
        <v/>
      </c>
      <c r="J203" s="19" t="str">
        <f>テーブル1[[#This Row],[モチーフタグ]]&amp;""</f>
        <v/>
      </c>
      <c r="K203" s="19" t="str">
        <f>テーブル1[[#This Row],[職業タグ]]&amp;""</f>
        <v/>
      </c>
      <c r="L203" s="19" t="str">
        <f>テーブル1[[#This Row],[小物タグ]]&amp;""</f>
        <v/>
      </c>
      <c r="M203" s="19" t="str">
        <f>テーブル1[[#This Row],[ワンポイントタグ]]&amp;""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 ","|")</f>
        <v>#グウ|(UTAU)</v>
      </c>
      <c r="H204" s="19" t="str">
        <f>テーブル1[[#This Row],[性別]]&amp;""</f>
        <v/>
      </c>
      <c r="I204" s="19" t="str">
        <f>テーブル1[[#This Row],[種族タグ]]&amp;""</f>
        <v/>
      </c>
      <c r="J204" s="19" t="str">
        <f>テーブル1[[#This Row],[モチーフタグ]]&amp;""</f>
        <v/>
      </c>
      <c r="K204" s="19" t="str">
        <f>テーブル1[[#This Row],[職業タグ]]&amp;""</f>
        <v/>
      </c>
      <c r="L204" s="19" t="str">
        <f>テーブル1[[#This Row],[小物タグ]]&amp;""</f>
        <v/>
      </c>
      <c r="M204" s="19" t="str">
        <f>テーブル1[[#This Row],[ワンポイントタグ]]&amp;""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https://twisibi.notion.site/1e947481a8ac80a59110fa6b43bf6319</v>
      </c>
      <c r="G205" s="19" t="str">
        <f>SUBSTITUTE(テーブル1[[#This Row],[作品タグ]]," ","|")</f>
        <v>#신민혜</v>
      </c>
      <c r="H205" s="19" t="str">
        <f>テーブル1[[#This Row],[性別]]&amp;""</f>
        <v/>
      </c>
      <c r="I205" s="19" t="str">
        <f>テーブル1[[#This Row],[種族タグ]]&amp;""</f>
        <v/>
      </c>
      <c r="J205" s="19" t="str">
        <f>テーブル1[[#This Row],[モチーフタグ]]&amp;""</f>
        <v/>
      </c>
      <c r="K205" s="19" t="str">
        <f>テーブル1[[#This Row],[職業タグ]]&amp;""</f>
        <v/>
      </c>
      <c r="L205" s="19" t="str">
        <f>テーブル1[[#This Row],[小物タグ]]&amp;""</f>
        <v/>
      </c>
      <c r="M205" s="19" t="str">
        <f>テーブル1[[#This Row],[ワンポイントタグ]]&amp;""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 ","|")</f>
        <v>#轟音ロキ</v>
      </c>
      <c r="H206" s="19" t="str">
        <f>テーブル1[[#This Row],[性別]]&amp;""</f>
        <v/>
      </c>
      <c r="I206" s="19" t="str">
        <f>テーブル1[[#This Row],[種族タグ]]&amp;""</f>
        <v/>
      </c>
      <c r="J206" s="19" t="str">
        <f>テーブル1[[#This Row],[モチーフタグ]]&amp;""</f>
        <v/>
      </c>
      <c r="K206" s="19" t="str">
        <f>テーブル1[[#This Row],[職業タグ]]&amp;""</f>
        <v/>
      </c>
      <c r="L206" s="19" t="str">
        <f>テーブル1[[#This Row],[小物タグ]]&amp;""</f>
        <v/>
      </c>
      <c r="M206" s="19" t="str">
        <f>テーブル1[[#This Row],[ワンポイントタグ]]&amp;""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 ","|")</f>
        <v>16号(UTAU)</v>
      </c>
      <c r="H207" s="19" t="str">
        <f>テーブル1[[#This Row],[性別]]&amp;""</f>
        <v/>
      </c>
      <c r="I207" s="19" t="str">
        <f>テーブル1[[#This Row],[種族タグ]]&amp;""</f>
        <v/>
      </c>
      <c r="J207" s="19" t="str">
        <f>テーブル1[[#This Row],[モチーフタグ]]&amp;""</f>
        <v/>
      </c>
      <c r="K207" s="19" t="str">
        <f>テーブル1[[#This Row],[職業タグ]]&amp;""</f>
        <v/>
      </c>
      <c r="L207" s="19" t="str">
        <f>テーブル1[[#This Row],[小物タグ]]&amp;""</f>
        <v/>
      </c>
      <c r="M207" s="19" t="str">
        <f>テーブル1[[#This Row],[ワンポイントタグ]]&amp;""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 ","|")</f>
        <v>シズルう(UTAU)</v>
      </c>
      <c r="H208" s="19" t="str">
        <f>テーブル1[[#This Row],[性別]]&amp;""</f>
        <v/>
      </c>
      <c r="I208" s="19" t="str">
        <f>テーブル1[[#This Row],[種族タグ]]&amp;""</f>
        <v/>
      </c>
      <c r="J208" s="19" t="str">
        <f>テーブル1[[#This Row],[モチーフタグ]]&amp;""</f>
        <v/>
      </c>
      <c r="K208" s="19" t="str">
        <f>テーブル1[[#This Row],[職業タグ]]&amp;""</f>
        <v/>
      </c>
      <c r="L208" s="19" t="str">
        <f>テーブル1[[#This Row],[小物タグ]]&amp;""</f>
        <v/>
      </c>
      <c r="M208" s="19" t="str">
        <f>テーブル1[[#This Row],[ワンポイントタグ]]&amp;""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 ","|")</f>
        <v>#べるずわーくす</v>
      </c>
      <c r="H209" s="19" t="str">
        <f>テーブル1[[#This Row],[性別]]&amp;""</f>
        <v/>
      </c>
      <c r="I209" s="19" t="str">
        <f>テーブル1[[#This Row],[種族タグ]]&amp;""</f>
        <v/>
      </c>
      <c r="J209" s="19" t="str">
        <f>テーブル1[[#This Row],[モチーフタグ]]&amp;""</f>
        <v/>
      </c>
      <c r="K209" s="19" t="str">
        <f>テーブル1[[#This Row],[職業タグ]]&amp;""</f>
        <v/>
      </c>
      <c r="L209" s="19" t="str">
        <f>テーブル1[[#This Row],[小物タグ]]&amp;""</f>
        <v/>
      </c>
      <c r="M209" s="19" t="str">
        <f>テーブル1[[#This Row],[ワンポイントタグ]]&amp;""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 ","|")</f>
        <v>ろんく1号(UTAU)</v>
      </c>
      <c r="H210" s="19" t="str">
        <f>テーブル1[[#This Row],[性別]]&amp;""</f>
        <v/>
      </c>
      <c r="I210" s="19" t="str">
        <f>テーブル1[[#This Row],[種族タグ]]&amp;""</f>
        <v/>
      </c>
      <c r="J210" s="19" t="str">
        <f>テーブル1[[#This Row],[モチーフタグ]]&amp;""</f>
        <v/>
      </c>
      <c r="K210" s="19" t="str">
        <f>テーブル1[[#This Row],[職業タグ]]&amp;""</f>
        <v/>
      </c>
      <c r="L210" s="19" t="str">
        <f>テーブル1[[#This Row],[小物タグ]]&amp;""</f>
        <v/>
      </c>
      <c r="M210" s="19" t="str">
        <f>テーブル1[[#This Row],[ワンポイントタグ]]&amp;""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 ","|")</f>
        <v>#モノクロの火葬場</v>
      </c>
      <c r="H211" s="19" t="str">
        <f>テーブル1[[#This Row],[性別]]&amp;""</f>
        <v/>
      </c>
      <c r="I211" s="19" t="str">
        <f>テーブル1[[#This Row],[種族タグ]]&amp;""</f>
        <v/>
      </c>
      <c r="J211" s="19" t="str">
        <f>テーブル1[[#This Row],[モチーフタグ]]&amp;""</f>
        <v/>
      </c>
      <c r="K211" s="19" t="str">
        <f>テーブル1[[#This Row],[職業タグ]]&amp;""</f>
        <v/>
      </c>
      <c r="L211" s="19" t="str">
        <f>テーブル1[[#This Row],[小物タグ]]&amp;""</f>
        <v/>
      </c>
      <c r="M211" s="19" t="str">
        <f>テーブル1[[#This Row],[ワンポイントタグ]]&amp;""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 ","|")</f>
        <v>#有線水族館</v>
      </c>
      <c r="H212" s="19" t="str">
        <f>テーブル1[[#This Row],[性別]]&amp;""</f>
        <v>男性</v>
      </c>
      <c r="I212" s="19" t="str">
        <f>テーブル1[[#This Row],[種族タグ]]&amp;""</f>
        <v>人間</v>
      </c>
      <c r="J212" s="19" t="str">
        <f>テーブル1[[#This Row],[モチーフタグ]]&amp;""</f>
        <v/>
      </c>
      <c r="K212" s="19" t="str">
        <f>テーブル1[[#This Row],[職業タグ]]&amp;""</f>
        <v/>
      </c>
      <c r="L212" s="19" t="str">
        <f>テーブル1[[#This Row],[小物タグ]]&amp;""</f>
        <v>ヘッドセット</v>
      </c>
      <c r="M212" s="19" t="str">
        <f>テーブル1[[#This Row],[ワンポイントタグ]]&amp;""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 ","|")</f>
        <v>#有線水族館</v>
      </c>
      <c r="H213" s="19" t="str">
        <f>テーブル1[[#This Row],[性別]]&amp;""</f>
        <v>無性別</v>
      </c>
      <c r="I213" s="19" t="str">
        <f>テーブル1[[#This Row],[種族タグ]]&amp;""</f>
        <v>人造人間</v>
      </c>
      <c r="J213" s="19" t="str">
        <f>テーブル1[[#This Row],[モチーフタグ]]&amp;""</f>
        <v/>
      </c>
      <c r="K213" s="19" t="str">
        <f>テーブル1[[#This Row],[職業タグ]]&amp;""</f>
        <v/>
      </c>
      <c r="L213" s="19" t="str">
        <f>テーブル1[[#This Row],[小物タグ]]&amp;""</f>
        <v>ヘッドホン</v>
      </c>
      <c r="M213" s="19" t="str">
        <f>テーブル1[[#This Row],[ワンポイントタグ]]&amp;""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 ","|")</f>
        <v>#深海マリン</v>
      </c>
      <c r="H214" s="19" t="str">
        <f>テーブル1[[#This Row],[性別]]&amp;""</f>
        <v/>
      </c>
      <c r="I214" s="19" t="str">
        <f>テーブル1[[#This Row],[種族タグ]]&amp;""</f>
        <v/>
      </c>
      <c r="J214" s="19" t="str">
        <f>テーブル1[[#This Row],[モチーフタグ]]&amp;""</f>
        <v/>
      </c>
      <c r="K214" s="19" t="str">
        <f>テーブル1[[#This Row],[職業タグ]]&amp;""</f>
        <v/>
      </c>
      <c r="L214" s="19" t="str">
        <f>テーブル1[[#This Row],[小物タグ]]&amp;""</f>
        <v/>
      </c>
      <c r="M214" s="19" t="str">
        <f>テーブル1[[#This Row],[ワンポイントタグ]]&amp;""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 ","|")</f>
        <v>#カラフル・シュガースプリンクル</v>
      </c>
      <c r="H215" s="19" t="str">
        <f>テーブル1[[#This Row],[性別]]&amp;""</f>
        <v/>
      </c>
      <c r="I215" s="19" t="str">
        <f>テーブル1[[#This Row],[種族タグ]]&amp;""</f>
        <v/>
      </c>
      <c r="J215" s="19" t="str">
        <f>テーブル1[[#This Row],[モチーフタグ]]&amp;""</f>
        <v/>
      </c>
      <c r="K215" s="19" t="str">
        <f>テーブル1[[#This Row],[職業タグ]]&amp;""</f>
        <v/>
      </c>
      <c r="L215" s="19" t="str">
        <f>テーブル1[[#This Row],[小物タグ]]&amp;""</f>
        <v/>
      </c>
      <c r="M215" s="19" t="str">
        <f>テーブル1[[#This Row],[ワンポイントタグ]]&amp;""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 ","|")</f>
        <v>#歌う雨やどり</v>
      </c>
      <c r="H216" s="19" t="str">
        <f>テーブル1[[#This Row],[性別]]&amp;""</f>
        <v>男性</v>
      </c>
      <c r="I216" s="19" t="str">
        <f>テーブル1[[#This Row],[種族タグ]]&amp;""</f>
        <v>バーチャル</v>
      </c>
      <c r="J216" s="19" t="str">
        <f>テーブル1[[#This Row],[モチーフタグ]]&amp;""</f>
        <v/>
      </c>
      <c r="K216" s="19" t="str">
        <f>テーブル1[[#This Row],[職業タグ]]&amp;""</f>
        <v/>
      </c>
      <c r="L216" s="19" t="str">
        <f>テーブル1[[#This Row],[小物タグ]]&amp;""</f>
        <v>眼鏡</v>
      </c>
      <c r="M216" s="19" t="str">
        <f>テーブル1[[#This Row],[ワンポイントタグ]]&amp;""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 ","|")</f>
        <v>#ネコナリ</v>
      </c>
      <c r="H217" s="19" t="str">
        <f>テーブル1[[#This Row],[性別]]&amp;""</f>
        <v/>
      </c>
      <c r="I217" s="19" t="str">
        <f>テーブル1[[#This Row],[種族タグ]]&amp;""</f>
        <v/>
      </c>
      <c r="J217" s="19" t="str">
        <f>テーブル1[[#This Row],[モチーフタグ]]&amp;""</f>
        <v/>
      </c>
      <c r="K217" s="19" t="str">
        <f>テーブル1[[#This Row],[職業タグ]]&amp;""</f>
        <v/>
      </c>
      <c r="L217" s="19" t="str">
        <f>テーブル1[[#This Row],[小物タグ]]&amp;""</f>
        <v/>
      </c>
      <c r="M217" s="19" t="str">
        <f>テーブル1[[#This Row],[ワンポイントタグ]]&amp;""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 ","|")</f>
        <v>#セレソー作</v>
      </c>
      <c r="H218" s="19" t="str">
        <f>テーブル1[[#This Row],[性別]]&amp;""</f>
        <v>男性</v>
      </c>
      <c r="I218" s="19" t="str">
        <f>テーブル1[[#This Row],[種族タグ]]&amp;""</f>
        <v>人間</v>
      </c>
      <c r="J218" s="19" t="str">
        <f>テーブル1[[#This Row],[モチーフタグ]]&amp;""</f>
        <v/>
      </c>
      <c r="K218" s="19" t="str">
        <f>テーブル1[[#This Row],[職業タグ]]&amp;""</f>
        <v>科学者</v>
      </c>
      <c r="L218" s="19" t="str">
        <f>テーブル1[[#This Row],[小物タグ]]&amp;""</f>
        <v>眼鏡</v>
      </c>
      <c r="M218" s="19" t="str">
        <f>テーブル1[[#This Row],[ワンポイントタグ]]&amp;""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 ","|")</f>
        <v>#虹彩箱</v>
      </c>
      <c r="H219" s="19" t="str">
        <f>テーブル1[[#This Row],[性別]]&amp;""</f>
        <v/>
      </c>
      <c r="I219" s="19" t="str">
        <f>テーブル1[[#This Row],[種族タグ]]&amp;""</f>
        <v/>
      </c>
      <c r="J219" s="19" t="str">
        <f>テーブル1[[#This Row],[モチーフタグ]]&amp;""</f>
        <v/>
      </c>
      <c r="K219" s="19" t="str">
        <f>テーブル1[[#This Row],[職業タグ]]&amp;""</f>
        <v/>
      </c>
      <c r="L219" s="19" t="str">
        <f>テーブル1[[#This Row],[小物タグ]]&amp;""</f>
        <v/>
      </c>
      <c r="M219" s="19" t="str">
        <f>テーブル1[[#This Row],[ワンポイントタグ]]&amp;""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 ","|")</f>
        <v>#そらいろマーチ</v>
      </c>
      <c r="H220" s="19" t="str">
        <f>テーブル1[[#This Row],[性別]]&amp;""</f>
        <v>女性</v>
      </c>
      <c r="I220" s="19" t="str">
        <f>テーブル1[[#This Row],[種族タグ]]&amp;""</f>
        <v>バーチャル</v>
      </c>
      <c r="J220" s="19" t="str">
        <f>テーブル1[[#This Row],[モチーフタグ]]&amp;""</f>
        <v/>
      </c>
      <c r="K220" s="19" t="str">
        <f>テーブル1[[#This Row],[職業タグ]]&amp;""</f>
        <v/>
      </c>
      <c r="L220" s="19" t="str">
        <f>テーブル1[[#This Row],[小物タグ]]&amp;""</f>
        <v>ヘアピン</v>
      </c>
      <c r="M220" s="19" t="str">
        <f>テーブル1[[#This Row],[ワンポイントタグ]]&amp;""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 ","|")</f>
        <v>#Kang_UTAU</v>
      </c>
      <c r="H221" s="19" t="str">
        <f>テーブル1[[#This Row],[性別]]&amp;""</f>
        <v/>
      </c>
      <c r="I221" s="19" t="str">
        <f>テーブル1[[#This Row],[種族タグ]]&amp;""</f>
        <v/>
      </c>
      <c r="J221" s="19" t="str">
        <f>テーブル1[[#This Row],[モチーフタグ]]&amp;""</f>
        <v/>
      </c>
      <c r="K221" s="19" t="str">
        <f>テーブル1[[#This Row],[職業タグ]]&amp;""</f>
        <v/>
      </c>
      <c r="L221" s="19" t="str">
        <f>テーブル1[[#This Row],[小物タグ]]&amp;""</f>
        <v/>
      </c>
      <c r="M221" s="19" t="str">
        <f>テーブル1[[#This Row],[ワンポイントタグ]]&amp;""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 ","|")</f>
        <v>#OPTIMA_UTAU</v>
      </c>
      <c r="H222" s="19" t="str">
        <f>テーブル1[[#This Row],[性別]]&amp;""</f>
        <v/>
      </c>
      <c r="I222" s="19" t="str">
        <f>テーブル1[[#This Row],[種族タグ]]&amp;""</f>
        <v/>
      </c>
      <c r="J222" s="19" t="str">
        <f>テーブル1[[#This Row],[モチーフタグ]]&amp;""</f>
        <v/>
      </c>
      <c r="K222" s="19" t="str">
        <f>テーブル1[[#This Row],[職業タグ]]&amp;""</f>
        <v/>
      </c>
      <c r="L222" s="19" t="str">
        <f>テーブル1[[#This Row],[小物タグ]]&amp;""</f>
        <v/>
      </c>
      <c r="M222" s="19" t="str">
        <f>テーブル1[[#This Row],[ワンポイントタグ]]&amp;""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 ","|")</f>
        <v>カイル・タイラー(UTAU)</v>
      </c>
      <c r="H223" s="19" t="str">
        <f>テーブル1[[#This Row],[性別]]&amp;""</f>
        <v/>
      </c>
      <c r="I223" s="19" t="str">
        <f>テーブル1[[#This Row],[種族タグ]]&amp;""</f>
        <v/>
      </c>
      <c r="J223" s="19" t="str">
        <f>テーブル1[[#This Row],[モチーフタグ]]&amp;""</f>
        <v/>
      </c>
      <c r="K223" s="19" t="str">
        <f>テーブル1[[#This Row],[職業タグ]]&amp;""</f>
        <v/>
      </c>
      <c r="L223" s="19" t="str">
        <f>テーブル1[[#This Row],[小物タグ]]&amp;""</f>
        <v/>
      </c>
      <c r="M223" s="19" t="str">
        <f>テーブル1[[#This Row],[ワンポイントタグ]]&amp;""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 ","|")</f>
        <v>#通音トオ|#utau_tonetoo</v>
      </c>
      <c r="H224" s="19" t="str">
        <f>テーブル1[[#This Row],[性別]]&amp;""</f>
        <v/>
      </c>
      <c r="I224" s="19" t="str">
        <f>テーブル1[[#This Row],[種族タグ]]&amp;""</f>
        <v/>
      </c>
      <c r="J224" s="19" t="str">
        <f>テーブル1[[#This Row],[モチーフタグ]]&amp;""</f>
        <v/>
      </c>
      <c r="K224" s="19" t="str">
        <f>テーブル1[[#This Row],[職業タグ]]&amp;""</f>
        <v/>
      </c>
      <c r="L224" s="19" t="str">
        <f>テーブル1[[#This Row],[小物タグ]]&amp;""</f>
        <v/>
      </c>
      <c r="M224" s="19" t="str">
        <f>テーブル1[[#This Row],[ワンポイントタグ]]&amp;""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 ","|")</f>
        <v>#不破マリア</v>
      </c>
      <c r="H225" s="19" t="str">
        <f>テーブル1[[#This Row],[性別]]&amp;""</f>
        <v/>
      </c>
      <c r="I225" s="19" t="str">
        <f>テーブル1[[#This Row],[種族タグ]]&amp;""</f>
        <v/>
      </c>
      <c r="J225" s="19" t="str">
        <f>テーブル1[[#This Row],[モチーフタグ]]&amp;""</f>
        <v/>
      </c>
      <c r="K225" s="19" t="str">
        <f>テーブル1[[#This Row],[職業タグ]]&amp;""</f>
        <v/>
      </c>
      <c r="L225" s="19" t="str">
        <f>テーブル1[[#This Row],[小物タグ]]&amp;""</f>
        <v/>
      </c>
      <c r="M225" s="19" t="str">
        <f>テーブル1[[#This Row],[ワンポイントタグ]]&amp;""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 ","|")</f>
        <v>#マルアリア</v>
      </c>
      <c r="H226" s="19" t="str">
        <f>テーブル1[[#This Row],[性別]]&amp;""</f>
        <v/>
      </c>
      <c r="I226" s="19" t="str">
        <f>テーブル1[[#This Row],[種族タグ]]&amp;""</f>
        <v/>
      </c>
      <c r="J226" s="19" t="str">
        <f>テーブル1[[#This Row],[モチーフタグ]]&amp;""</f>
        <v/>
      </c>
      <c r="K226" s="19" t="str">
        <f>テーブル1[[#This Row],[職業タグ]]&amp;""</f>
        <v/>
      </c>
      <c r="L226" s="19" t="str">
        <f>テーブル1[[#This Row],[小物タグ]]&amp;""</f>
        <v/>
      </c>
      <c r="M226" s="19" t="str">
        <f>テーブル1[[#This Row],[ワンポイントタグ]]&amp;""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 ","|")</f>
        <v>#サニティ・ドゥーユー</v>
      </c>
      <c r="H227" s="19" t="str">
        <f>テーブル1[[#This Row],[性別]]&amp;""</f>
        <v/>
      </c>
      <c r="I227" s="19" t="str">
        <f>テーブル1[[#This Row],[種族タグ]]&amp;""</f>
        <v/>
      </c>
      <c r="J227" s="19" t="str">
        <f>テーブル1[[#This Row],[モチーフタグ]]&amp;""</f>
        <v/>
      </c>
      <c r="K227" s="19" t="str">
        <f>テーブル1[[#This Row],[職業タグ]]&amp;""</f>
        <v/>
      </c>
      <c r="L227" s="19" t="str">
        <f>テーブル1[[#This Row],[小物タグ]]&amp;""</f>
        <v/>
      </c>
      <c r="M227" s="19" t="str">
        <f>テーブル1[[#This Row],[ワンポイントタグ]]&amp;""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 ","|")</f>
        <v>#LCLCみてみて</v>
      </c>
      <c r="H228" s="19" t="str">
        <f>テーブル1[[#This Row],[性別]]&amp;""</f>
        <v>女性</v>
      </c>
      <c r="I228" s="19" t="str">
        <f>テーブル1[[#This Row],[種族タグ]]&amp;""</f>
        <v>バーチャル</v>
      </c>
      <c r="J228" s="19" t="str">
        <f>テーブル1[[#This Row],[モチーフタグ]]&amp;""</f>
        <v/>
      </c>
      <c r="K228" s="19" t="str">
        <f>テーブル1[[#This Row],[職業タグ]]&amp;""</f>
        <v>オタク</v>
      </c>
      <c r="L228" s="19" t="str">
        <f>テーブル1[[#This Row],[小物タグ]]&amp;""</f>
        <v>イヤーユニット|鍵</v>
      </c>
      <c r="M228" s="19" t="str">
        <f>テーブル1[[#This Row],[ワンポイントタグ]]&amp;""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 ","|")</f>
        <v>#夕焼け研究所</v>
      </c>
      <c r="H229" s="19" t="str">
        <f>テーブル1[[#This Row],[性別]]&amp;""</f>
        <v>女性</v>
      </c>
      <c r="I229" s="19" t="str">
        <f>テーブル1[[#This Row],[種族タグ]]&amp;""</f>
        <v>人間</v>
      </c>
      <c r="J229" s="19" t="str">
        <f>テーブル1[[#This Row],[モチーフタグ]]&amp;""</f>
        <v/>
      </c>
      <c r="K229" s="19" t="str">
        <f>テーブル1[[#This Row],[職業タグ]]&amp;""</f>
        <v/>
      </c>
      <c r="L229" s="19" t="str">
        <f>テーブル1[[#This Row],[小物タグ]]&amp;""</f>
        <v>ヘッドホン</v>
      </c>
      <c r="M229" s="19" t="str">
        <f>テーブル1[[#This Row],[ワンポイントタグ]]&amp;""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 ","|")</f>
        <v>#ムジカの友人たち</v>
      </c>
      <c r="H230" s="19" t="str">
        <f>テーブル1[[#This Row],[性別]]&amp;""</f>
        <v>不明</v>
      </c>
      <c r="I230" s="19" t="str">
        <f>テーブル1[[#This Row],[種族タグ]]&amp;""</f>
        <v>人間</v>
      </c>
      <c r="J230" s="19" t="str">
        <f>テーブル1[[#This Row],[モチーフタグ]]&amp;""</f>
        <v/>
      </c>
      <c r="K230" s="19" t="str">
        <f>テーブル1[[#This Row],[職業タグ]]&amp;""</f>
        <v>吟遊詩人</v>
      </c>
      <c r="L230" s="19" t="str">
        <f>テーブル1[[#This Row],[小物タグ]]&amp;""</f>
        <v/>
      </c>
      <c r="M230" s="19" t="str">
        <f>テーブル1[[#This Row],[ワンポイントタグ]]&amp;""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 ","|")</f>
        <v>#主音サラサ</v>
      </c>
      <c r="H231" s="19" t="str">
        <f>テーブル1[[#This Row],[性別]]&amp;""</f>
        <v>男性</v>
      </c>
      <c r="I231" s="19" t="str">
        <f>テーブル1[[#This Row],[種族タグ]]&amp;""</f>
        <v>動物</v>
      </c>
      <c r="J231" s="19" t="str">
        <f>テーブル1[[#This Row],[モチーフタグ]]&amp;""</f>
        <v>狼</v>
      </c>
      <c r="K231" s="19" t="str">
        <f>テーブル1[[#This Row],[職業タグ]]&amp;""</f>
        <v/>
      </c>
      <c r="L231" s="19" t="str">
        <f>テーブル1[[#This Row],[小物タグ]]&amp;""</f>
        <v>ピアス|首輪</v>
      </c>
      <c r="M231" s="19" t="str">
        <f>テーブル1[[#This Row],[ワンポイントタグ]]&amp;""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 ","|")</f>
        <v>#雨歌エル</v>
      </c>
      <c r="H232" s="19" t="str">
        <f>テーブル1[[#This Row],[性別]]&amp;""</f>
        <v>女性</v>
      </c>
      <c r="I232" s="19" t="str">
        <f>テーブル1[[#This Row],[種族タグ]]&amp;""</f>
        <v>人間</v>
      </c>
      <c r="J232" s="19" t="str">
        <f>テーブル1[[#This Row],[モチーフタグ]]&amp;""</f>
        <v>蛙</v>
      </c>
      <c r="K232" s="19" t="str">
        <f>テーブル1[[#This Row],[職業タグ]]&amp;""</f>
        <v/>
      </c>
      <c r="L232" s="19" t="str">
        <f>テーブル1[[#This Row],[小物タグ]]&amp;""</f>
        <v>髪飾り</v>
      </c>
      <c r="M232" s="19" t="str">
        <f>テーブル1[[#This Row],[ワンポイントタグ]]&amp;""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 ","|")</f>
        <v>鳴上キョウ(UTAU)</v>
      </c>
      <c r="H233" s="19" t="str">
        <f>テーブル1[[#This Row],[性別]]&amp;""</f>
        <v>男性</v>
      </c>
      <c r="I233" s="19" t="str">
        <f>テーブル1[[#This Row],[種族タグ]]&amp;""</f>
        <v>人間</v>
      </c>
      <c r="J233" s="19" t="str">
        <f>テーブル1[[#This Row],[モチーフタグ]]&amp;""</f>
        <v/>
      </c>
      <c r="K233" s="19" t="str">
        <f>テーブル1[[#This Row],[職業タグ]]&amp;""</f>
        <v/>
      </c>
      <c r="L233" s="19" t="str">
        <f>テーブル1[[#This Row],[小物タグ]]&amp;""</f>
        <v/>
      </c>
      <c r="M233" s="19" t="str">
        <f>テーブル1[[#This Row],[ワンポイントタグ]]&amp;""</f>
        <v/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2026-06-19T08:45:19Z</dcterms:modified>
  <cp:category/>
  <cp:contentStatus/>
</cp:coreProperties>
</file>