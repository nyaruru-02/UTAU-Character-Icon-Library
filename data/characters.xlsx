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F8142941-B01B-4DE8-8D35-ED3274C2DEDD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9" l="1"/>
  <c r="B237" i="9"/>
  <c r="C237" i="9"/>
  <c r="D237" i="9"/>
  <c r="E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U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8" i="1"/>
  <c r="P238" i="1"/>
  <c r="T238" i="1"/>
  <c r="V238" i="1"/>
  <c r="W238" i="1"/>
  <c r="X238" i="1"/>
  <c r="Y238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9" i="1"/>
  <c r="Y240" i="1"/>
  <c r="Y241" i="1"/>
  <c r="Y242" i="1"/>
  <c r="Y243" i="1"/>
  <c r="Y244" i="1"/>
  <c r="Y245" i="1"/>
  <c r="Y246" i="1"/>
  <c r="Y235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23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23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9" i="1"/>
  <c r="B240" i="1"/>
  <c r="B241" i="1"/>
  <c r="B242" i="1"/>
  <c r="B243" i="1"/>
  <c r="B244" i="1"/>
  <c r="B245" i="1"/>
  <c r="B246" i="1"/>
  <c r="B235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23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23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5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1" i="9"/>
  <c r="G182" i="9"/>
  <c r="G183" i="9"/>
  <c r="G184" i="9"/>
  <c r="G185" i="9"/>
  <c r="G186" i="9"/>
  <c r="G187" i="9"/>
  <c r="G188" i="9"/>
  <c r="G189" i="9"/>
  <c r="G197" i="9"/>
  <c r="G198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3" i="1"/>
  <c r="G389" i="1"/>
  <c r="G384" i="1"/>
  <c r="G381" i="1"/>
  <c r="G362" i="1"/>
  <c r="G359" i="1"/>
  <c r="G358" i="1"/>
  <c r="G353" i="1"/>
  <c r="G342" i="1"/>
  <c r="G336" i="1"/>
  <c r="G329" i="1"/>
  <c r="G328" i="1"/>
  <c r="G323" i="1"/>
  <c r="G322" i="1"/>
  <c r="G321" i="1"/>
  <c r="G320" i="1"/>
  <c r="G319" i="1"/>
  <c r="G318" i="1"/>
  <c r="G314" i="1"/>
  <c r="G313" i="1"/>
  <c r="G286" i="1"/>
  <c r="G284" i="1"/>
  <c r="G261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9" i="1"/>
  <c r="P240" i="1"/>
  <c r="T239" i="1"/>
  <c r="T240" i="1"/>
  <c r="V239" i="1"/>
  <c r="V240" i="1"/>
  <c r="W239" i="1"/>
  <c r="W240" i="1"/>
  <c r="X239" i="1"/>
  <c r="X240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1" i="1"/>
  <c r="V242" i="1"/>
  <c r="V243" i="1"/>
  <c r="V244" i="1"/>
  <c r="V245" i="1"/>
  <c r="V246" i="1"/>
  <c r="V235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23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23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1" i="1"/>
  <c r="W242" i="1"/>
  <c r="W243" i="1"/>
  <c r="W244" i="1"/>
  <c r="W245" i="1"/>
  <c r="W246" i="1"/>
  <c r="W235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23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23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1" i="1"/>
  <c r="X242" i="1"/>
  <c r="X243" i="1"/>
  <c r="X244" i="1"/>
  <c r="X245" i="1"/>
  <c r="X246" i="1"/>
  <c r="X235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23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23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7" i="1"/>
  <c r="T397" i="1"/>
  <c r="P363" i="1"/>
  <c r="T363" i="1"/>
  <c r="P277" i="1"/>
  <c r="T277" i="1"/>
  <c r="P392" i="1"/>
  <c r="T392" i="1"/>
  <c r="P298" i="1"/>
  <c r="T29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4" i="1"/>
  <c r="T364" i="1"/>
  <c r="P244" i="1"/>
  <c r="T244" i="1"/>
  <c r="P398" i="1"/>
  <c r="T398" i="1"/>
  <c r="P372" i="1"/>
  <c r="T372" i="1"/>
  <c r="P367" i="1"/>
  <c r="T367" i="1"/>
  <c r="P330" i="1"/>
  <c r="T330" i="1"/>
  <c r="P331" i="1"/>
  <c r="T331" i="1"/>
  <c r="P188" i="1"/>
  <c r="T188" i="1"/>
  <c r="P174" i="1"/>
  <c r="T174" i="1"/>
  <c r="G268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8" i="1"/>
  <c r="T278" i="1"/>
  <c r="P182" i="1"/>
  <c r="T182" i="1"/>
  <c r="P424" i="1"/>
  <c r="T424" i="1"/>
  <c r="P13" i="1"/>
  <c r="P17" i="1"/>
  <c r="P18" i="1"/>
  <c r="P86" i="1"/>
  <c r="P106" i="1"/>
  <c r="P355" i="1"/>
  <c r="P269" i="1"/>
  <c r="P323" i="1"/>
  <c r="P95" i="1"/>
  <c r="P96" i="1"/>
  <c r="P293" i="1"/>
  <c r="P40" i="1"/>
  <c r="P61" i="1"/>
  <c r="P80" i="1"/>
  <c r="P94" i="1"/>
  <c r="P199" i="1"/>
  <c r="P243" i="1"/>
  <c r="P242" i="1"/>
  <c r="P432" i="1"/>
  <c r="P78" i="1"/>
  <c r="P281" i="1"/>
  <c r="P89" i="1"/>
  <c r="P318" i="1"/>
  <c r="P415" i="1"/>
  <c r="P147" i="1"/>
  <c r="P256" i="1"/>
  <c r="P257" i="1"/>
  <c r="P139" i="1"/>
  <c r="P184" i="1"/>
  <c r="P251" i="1"/>
  <c r="P260" i="1"/>
  <c r="P252" i="1"/>
  <c r="P254" i="1"/>
  <c r="P259" i="1"/>
  <c r="P258" i="1"/>
  <c r="P255" i="1"/>
  <c r="P250" i="1"/>
  <c r="P253" i="1"/>
  <c r="P346" i="1"/>
  <c r="P19" i="1"/>
  <c r="P399" i="1"/>
  <c r="P428" i="1"/>
  <c r="P401" i="1"/>
  <c r="P328" i="1"/>
  <c r="P403" i="1"/>
  <c r="P75" i="1"/>
  <c r="P329" i="1"/>
  <c r="P155" i="1"/>
  <c r="P378" i="1"/>
  <c r="P414" i="1"/>
  <c r="P300" i="1"/>
  <c r="P245" i="1"/>
  <c r="P387" i="1"/>
  <c r="P288" i="1"/>
  <c r="P248" i="1"/>
  <c r="P365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7" i="1"/>
  <c r="P356" i="1"/>
  <c r="P176" i="1"/>
  <c r="P115" i="1"/>
  <c r="P141" i="1"/>
  <c r="P283" i="1"/>
  <c r="P310" i="1"/>
  <c r="P352" i="1"/>
  <c r="P374" i="1"/>
  <c r="P282" i="1"/>
  <c r="P143" i="1"/>
  <c r="P268" i="1"/>
  <c r="P28" i="1"/>
  <c r="P34" i="1"/>
  <c r="P297" i="1"/>
  <c r="P144" i="1"/>
  <c r="P357" i="1"/>
  <c r="P327" i="1"/>
  <c r="P301" i="1"/>
  <c r="P411" i="1"/>
  <c r="P326" i="1"/>
  <c r="P175" i="1"/>
  <c r="P157" i="1"/>
  <c r="P216" i="1"/>
  <c r="P185" i="1"/>
  <c r="P22" i="1"/>
  <c r="P112" i="1"/>
  <c r="P303" i="1"/>
  <c r="P294" i="1"/>
  <c r="P285" i="1"/>
  <c r="P336" i="1"/>
  <c r="P54" i="1"/>
  <c r="P103" i="1"/>
  <c r="P64" i="1"/>
  <c r="P44" i="1"/>
  <c r="P66" i="1"/>
  <c r="P370" i="1"/>
  <c r="P349" i="1"/>
  <c r="P308" i="1"/>
  <c r="P335" i="1"/>
  <c r="P4" i="1"/>
  <c r="P113" i="1"/>
  <c r="P117" i="1"/>
  <c r="P171" i="1"/>
  <c r="P289" i="1"/>
  <c r="P284" i="1"/>
  <c r="P292" i="1"/>
  <c r="P149" i="1"/>
  <c r="P313" i="1"/>
  <c r="P342" i="1"/>
  <c r="P358" i="1"/>
  <c r="P416" i="1"/>
  <c r="P417" i="1"/>
  <c r="P422" i="1"/>
  <c r="P425" i="1"/>
  <c r="P426" i="1"/>
  <c r="P302" i="1"/>
  <c r="P410" i="1"/>
  <c r="P241" i="1"/>
  <c r="P119" i="1"/>
  <c r="P324" i="1"/>
  <c r="P325" i="1"/>
  <c r="P159" i="1"/>
  <c r="P354" i="1"/>
  <c r="P350" i="1"/>
  <c r="P334" i="1"/>
  <c r="P371" i="1"/>
  <c r="P296" i="1"/>
  <c r="P366" i="1"/>
  <c r="P191" i="1"/>
  <c r="P343" i="1"/>
  <c r="P337" i="1"/>
  <c r="P190" i="1"/>
  <c r="P319" i="1"/>
  <c r="P320" i="1"/>
  <c r="P362" i="1"/>
  <c r="P321" i="1"/>
  <c r="P314" i="1"/>
  <c r="P46" i="1"/>
  <c r="P309" i="1"/>
  <c r="P379" i="1"/>
  <c r="P333" i="1"/>
  <c r="P249" i="1"/>
  <c r="P93" i="1"/>
  <c r="P37" i="1"/>
  <c r="P368" i="1"/>
  <c r="P380" i="1"/>
  <c r="P16" i="1"/>
  <c r="P65" i="1"/>
  <c r="P11" i="1"/>
  <c r="P148" i="1"/>
  <c r="P138" i="1"/>
  <c r="P164" i="1"/>
  <c r="P26" i="1"/>
  <c r="P27" i="1"/>
  <c r="P201" i="1"/>
  <c r="P348" i="1"/>
  <c r="P384" i="1"/>
  <c r="P389" i="1"/>
  <c r="P286" i="1"/>
  <c r="P375" i="1"/>
  <c r="P390" i="1"/>
  <c r="P247" i="1"/>
  <c r="P275" i="1"/>
  <c r="P276" i="1"/>
  <c r="P279" i="1"/>
  <c r="P295" i="1"/>
  <c r="P341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5" i="1"/>
  <c r="P306" i="1"/>
  <c r="P7" i="1"/>
  <c r="P131" i="1"/>
  <c r="P338" i="1"/>
  <c r="P23" i="1"/>
  <c r="P42" i="1"/>
  <c r="P63" i="1"/>
  <c r="P234" i="1"/>
  <c r="P235" i="1"/>
  <c r="P237" i="1"/>
  <c r="P369" i="1"/>
  <c r="P383" i="1"/>
  <c r="P396" i="1"/>
  <c r="P385" i="1"/>
  <c r="P74" i="1"/>
  <c r="P85" i="1"/>
  <c r="P3" i="1"/>
  <c r="P50" i="1"/>
  <c r="P192" i="1"/>
  <c r="P180" i="1"/>
  <c r="P81" i="1"/>
  <c r="P181" i="1"/>
  <c r="P262" i="1"/>
  <c r="P154" i="1"/>
  <c r="P361" i="1"/>
  <c r="P168" i="1"/>
  <c r="P412" i="1"/>
  <c r="P108" i="1"/>
  <c r="P125" i="1"/>
  <c r="P421" i="1"/>
  <c r="P197" i="1"/>
  <c r="P264" i="1"/>
  <c r="P121" i="1"/>
  <c r="P196" i="1"/>
  <c r="P5" i="1"/>
  <c r="P127" i="1"/>
  <c r="P57" i="1"/>
  <c r="P2" i="1"/>
  <c r="P246" i="1"/>
  <c r="P332" i="1"/>
  <c r="P25" i="1"/>
  <c r="P102" i="1"/>
  <c r="P274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9" i="1"/>
  <c r="P386" i="1"/>
  <c r="P135" i="1"/>
  <c r="P311" i="1"/>
  <c r="P312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9" i="1"/>
  <c r="P136" i="1"/>
  <c r="P316" i="1"/>
  <c r="P315" i="1"/>
  <c r="P172" i="1"/>
  <c r="P142" i="1"/>
  <c r="P266" i="1"/>
  <c r="P405" i="1"/>
  <c r="P265" i="1"/>
  <c r="P404" i="1"/>
  <c r="P14" i="1"/>
  <c r="P39" i="1"/>
  <c r="P72" i="1"/>
  <c r="P73" i="1"/>
  <c r="P133" i="1"/>
  <c r="P137" i="1"/>
  <c r="P339" i="1"/>
  <c r="P351" i="1"/>
  <c r="P408" i="1"/>
  <c r="P287" i="1"/>
  <c r="P407" i="1"/>
  <c r="P83" i="1"/>
  <c r="P84" i="1"/>
  <c r="P304" i="1"/>
  <c r="P344" i="1"/>
  <c r="P162" i="1"/>
  <c r="P322" i="1"/>
  <c r="P400" i="1"/>
  <c r="P6" i="1"/>
  <c r="P15" i="1"/>
  <c r="P273" i="1"/>
  <c r="P272" i="1"/>
  <c r="P271" i="1"/>
  <c r="P291" i="1"/>
  <c r="P402" i="1"/>
  <c r="P360" i="1"/>
  <c r="P317" i="1"/>
  <c r="P280" i="1"/>
  <c r="P431" i="1"/>
  <c r="P345" i="1"/>
  <c r="P347" i="1"/>
  <c r="P388" i="1"/>
  <c r="P373" i="1"/>
  <c r="P382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61" i="1"/>
  <c r="P166" i="1"/>
  <c r="P409" i="1"/>
  <c r="P353" i="1"/>
  <c r="P381" i="1"/>
  <c r="P393" i="1"/>
  <c r="P67" i="1"/>
  <c r="P71" i="1"/>
  <c r="P270" i="1"/>
  <c r="P394" i="1"/>
  <c r="P391" i="1"/>
  <c r="P290" i="1"/>
  <c r="P376" i="1"/>
  <c r="P263" i="1"/>
  <c r="P419" i="1"/>
  <c r="P200" i="1"/>
  <c r="P340" i="1"/>
  <c r="P418" i="1"/>
  <c r="P377" i="1"/>
  <c r="P395" i="1"/>
  <c r="P413" i="1"/>
  <c r="P267" i="1"/>
  <c r="P122" i="1"/>
  <c r="P151" i="1"/>
  <c r="T286" i="1"/>
  <c r="T389" i="1"/>
  <c r="T384" i="1"/>
  <c r="T348" i="1"/>
  <c r="T201" i="1"/>
  <c r="T327" i="1"/>
  <c r="T306" i="1"/>
  <c r="T305" i="1"/>
  <c r="T164" i="1"/>
  <c r="T366" i="1"/>
  <c r="T396" i="1"/>
  <c r="T383" i="1"/>
  <c r="T369" i="1"/>
  <c r="T237" i="1"/>
  <c r="T235" i="1"/>
  <c r="T234" i="1"/>
  <c r="T301" i="1"/>
  <c r="T315" i="1"/>
  <c r="T316" i="1"/>
  <c r="T272" i="1"/>
  <c r="T271" i="1"/>
  <c r="T291" i="1"/>
  <c r="T402" i="1"/>
  <c r="T360" i="1"/>
  <c r="T317" i="1"/>
  <c r="T280" i="1"/>
  <c r="T431" i="1"/>
  <c r="T345" i="1"/>
  <c r="T347" i="1"/>
  <c r="T388" i="1"/>
  <c r="T373" i="1"/>
  <c r="T382" i="1"/>
  <c r="T273" i="1"/>
  <c r="T190" i="1"/>
  <c r="T386" i="1"/>
  <c r="T359" i="1"/>
  <c r="T337" i="1"/>
  <c r="T318" i="1"/>
  <c r="T310" i="1"/>
  <c r="T293" i="1"/>
  <c r="T249" i="1"/>
  <c r="T333" i="1"/>
  <c r="T379" i="1"/>
  <c r="T309" i="1"/>
  <c r="T135" i="1"/>
  <c r="T312" i="1"/>
  <c r="T311" i="1"/>
  <c r="T404" i="1"/>
  <c r="T265" i="1"/>
  <c r="T405" i="1"/>
  <c r="T266" i="1"/>
  <c r="T393" i="1"/>
  <c r="T381" i="1"/>
  <c r="T353" i="1"/>
  <c r="T409" i="1"/>
  <c r="T166" i="1"/>
  <c r="T261" i="1"/>
  <c r="T423" i="1"/>
  <c r="T427" i="1"/>
  <c r="T314" i="1"/>
  <c r="T321" i="1"/>
  <c r="T362" i="1"/>
  <c r="T320" i="1"/>
  <c r="T319" i="1"/>
  <c r="T267" i="1"/>
  <c r="T413" i="1"/>
  <c r="T395" i="1"/>
  <c r="T377" i="1"/>
  <c r="T418" i="1"/>
  <c r="T340" i="1"/>
  <c r="T200" i="1"/>
  <c r="T419" i="1"/>
  <c r="T263" i="1"/>
  <c r="T376" i="1"/>
  <c r="T290" i="1"/>
  <c r="T391" i="1"/>
  <c r="T394" i="1"/>
  <c r="T270" i="1"/>
  <c r="T324" i="1"/>
  <c r="T325" i="1"/>
  <c r="T159" i="1"/>
  <c r="T354" i="1"/>
  <c r="T350" i="1"/>
  <c r="T334" i="1"/>
  <c r="T371" i="1"/>
  <c r="T296" i="1"/>
  <c r="T410" i="1"/>
  <c r="T241" i="1"/>
  <c r="T289" i="1"/>
  <c r="T370" i="1"/>
  <c r="T349" i="1"/>
  <c r="T308" i="1"/>
  <c r="T335" i="1"/>
  <c r="T303" i="1"/>
  <c r="T294" i="1"/>
  <c r="T285" i="1"/>
  <c r="T144" i="1"/>
  <c r="T357" i="1"/>
  <c r="T297" i="1"/>
  <c r="T300" i="1"/>
  <c r="T245" i="1"/>
  <c r="T387" i="1"/>
  <c r="T288" i="1"/>
  <c r="T248" i="1"/>
  <c r="T365" i="1"/>
  <c r="T429" i="1"/>
  <c r="T414" i="1"/>
  <c r="T329" i="1"/>
  <c r="T401" i="1"/>
  <c r="T328" i="1"/>
  <c r="T403" i="1"/>
  <c r="T399" i="1"/>
  <c r="T428" i="1"/>
  <c r="T346" i="1"/>
  <c r="T256" i="1"/>
  <c r="T257" i="1"/>
  <c r="T139" i="1"/>
  <c r="T184" i="1"/>
  <c r="T251" i="1"/>
  <c r="T260" i="1"/>
  <c r="T252" i="1"/>
  <c r="T254" i="1"/>
  <c r="T259" i="1"/>
  <c r="T258" i="1"/>
  <c r="T255" i="1"/>
  <c r="T250" i="1"/>
  <c r="T253" i="1"/>
  <c r="T242" i="1"/>
  <c r="T269" i="1"/>
  <c r="T407" i="1"/>
  <c r="T287" i="1"/>
  <c r="T408" i="1"/>
  <c r="T351" i="1"/>
  <c r="T339" i="1"/>
  <c r="T355" i="1"/>
  <c r="T176" i="1"/>
  <c r="T336" i="1"/>
  <c r="T430" i="1"/>
  <c r="T433" i="1"/>
  <c r="T432" i="1"/>
  <c r="T307" i="1"/>
  <c r="T374" i="1"/>
  <c r="T352" i="1"/>
  <c r="T356" i="1"/>
  <c r="T341" i="1"/>
  <c r="T420" i="1"/>
  <c r="T295" i="1"/>
  <c r="T279" i="1"/>
  <c r="T247" i="1"/>
  <c r="T275" i="1"/>
  <c r="T276" i="1"/>
  <c r="T170" i="1"/>
  <c r="T181" i="1"/>
  <c r="T412" i="1"/>
  <c r="T361" i="1"/>
  <c r="T262" i="1"/>
  <c r="T154" i="1"/>
  <c r="T168" i="1"/>
  <c r="T292" i="1"/>
  <c r="T422" i="1"/>
  <c r="T425" i="1"/>
  <c r="T417" i="1"/>
  <c r="T149" i="1"/>
  <c r="T342" i="1"/>
  <c r="T358" i="1"/>
  <c r="T426" i="1"/>
  <c r="T284" i="1"/>
  <c r="T313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3" i="1"/>
  <c r="T281" i="1"/>
  <c r="T415" i="1"/>
  <c r="T147" i="1"/>
  <c r="T155" i="1"/>
  <c r="T378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3" i="1"/>
  <c r="T282" i="1"/>
  <c r="T143" i="1"/>
  <c r="T268" i="1"/>
  <c r="T411" i="1"/>
  <c r="T326" i="1"/>
  <c r="T175" i="1"/>
  <c r="T157" i="1"/>
  <c r="T216" i="1"/>
  <c r="T185" i="1"/>
  <c r="T117" i="1"/>
  <c r="T171" i="1"/>
  <c r="T302" i="1"/>
  <c r="T119" i="1"/>
  <c r="T191" i="1"/>
  <c r="T343" i="1"/>
  <c r="T368" i="1"/>
  <c r="T380" i="1"/>
  <c r="T148" i="1"/>
  <c r="T138" i="1"/>
  <c r="T375" i="1"/>
  <c r="T390" i="1"/>
  <c r="T153" i="1"/>
  <c r="T146" i="1"/>
  <c r="T156" i="1"/>
  <c r="T130" i="1"/>
  <c r="T131" i="1"/>
  <c r="T338" i="1"/>
  <c r="T385" i="1"/>
  <c r="T192" i="1"/>
  <c r="T180" i="1"/>
  <c r="T421" i="1"/>
  <c r="T125" i="1"/>
  <c r="T197" i="1"/>
  <c r="T264" i="1"/>
  <c r="T196" i="1"/>
  <c r="T121" i="1"/>
  <c r="T127" i="1"/>
  <c r="T246" i="1"/>
  <c r="T332" i="1"/>
  <c r="T274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9" i="1"/>
  <c r="T136" i="1"/>
  <c r="T172" i="1"/>
  <c r="T142" i="1"/>
  <c r="T137" i="1"/>
  <c r="T133" i="1"/>
  <c r="T304" i="1"/>
  <c r="T344" i="1"/>
  <c r="T162" i="1"/>
  <c r="T322" i="1"/>
  <c r="T400" i="1"/>
  <c r="T160" i="1"/>
  <c r="T179" i="1"/>
  <c r="T151" i="1"/>
  <c r="T122" i="1"/>
  <c r="T323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6" i="9" l="1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9" i="1"/>
  <c r="Q258" i="1"/>
  <c r="Q93" i="1"/>
  <c r="Q156" i="1"/>
  <c r="Q415" i="1"/>
  <c r="Q172" i="1"/>
  <c r="Q21" i="1"/>
  <c r="Q248" i="1"/>
  <c r="Q353" i="1"/>
  <c r="Q107" i="1"/>
  <c r="Q16" i="1"/>
  <c r="Q288" i="1"/>
  <c r="Q35" i="1"/>
  <c r="Q412" i="1"/>
  <c r="Q343" i="1"/>
  <c r="Q106" i="1"/>
  <c r="Q351" i="1"/>
  <c r="Q55" i="1"/>
  <c r="Q310" i="1"/>
  <c r="Q90" i="1"/>
  <c r="Q25" i="1"/>
  <c r="Q366" i="1"/>
  <c r="Q300" i="1"/>
  <c r="Q137" i="1"/>
  <c r="Q154" i="1"/>
  <c r="Q326" i="1"/>
  <c r="Q381" i="1"/>
  <c r="Q282" i="1"/>
  <c r="Q253" i="1"/>
  <c r="Q387" i="1"/>
  <c r="Q245" i="1"/>
  <c r="Q283" i="1"/>
  <c r="Q370" i="1"/>
  <c r="Q101" i="1"/>
  <c r="Q22" i="1"/>
  <c r="Q89" i="1"/>
  <c r="Q250" i="1"/>
  <c r="Q340" i="1"/>
  <c r="Q112" i="1"/>
  <c r="Q407" i="1"/>
  <c r="Q396" i="1"/>
  <c r="Q195" i="1"/>
  <c r="Q9" i="1"/>
  <c r="Q108" i="1"/>
  <c r="Q337" i="1"/>
  <c r="Q377" i="1"/>
  <c r="Q62" i="1"/>
  <c r="Q247" i="1"/>
  <c r="Q193" i="1"/>
  <c r="Q291" i="1"/>
  <c r="Q168" i="1"/>
  <c r="Q425" i="1"/>
  <c r="Q86" i="1"/>
  <c r="Q312" i="1"/>
  <c r="Q375" i="1"/>
  <c r="Q349" i="1"/>
  <c r="Q432" i="1"/>
  <c r="Q126" i="1"/>
  <c r="Q235" i="1"/>
  <c r="Q129" i="1"/>
  <c r="Q117" i="1"/>
  <c r="Q125" i="1"/>
  <c r="Q113" i="1"/>
  <c r="Q395" i="1"/>
  <c r="Q315" i="1"/>
  <c r="Q20" i="1"/>
  <c r="Q374" i="1"/>
  <c r="Q408" i="1"/>
  <c r="Q380" i="1"/>
  <c r="Q281" i="1"/>
  <c r="Q53" i="1"/>
  <c r="Q157" i="1"/>
  <c r="Q261" i="1"/>
  <c r="Q209" i="1"/>
  <c r="Q272" i="1"/>
  <c r="Q332" i="1"/>
  <c r="Q141" i="1"/>
  <c r="Q410" i="1"/>
  <c r="Q33" i="1"/>
  <c r="Q65" i="1"/>
  <c r="Q346" i="1"/>
  <c r="Q360" i="1"/>
  <c r="Q194" i="1"/>
  <c r="Q4" i="1"/>
  <c r="Q254" i="1"/>
  <c r="Q316" i="1"/>
  <c r="Q110" i="1"/>
  <c r="Q352" i="1"/>
  <c r="Q31" i="1"/>
  <c r="Q237" i="1"/>
  <c r="Q308" i="1"/>
  <c r="Q128" i="1"/>
  <c r="Q48" i="1"/>
  <c r="Q37" i="1"/>
  <c r="Q111" i="1"/>
  <c r="Q417" i="1"/>
  <c r="Q242" i="1"/>
  <c r="Q365" i="1"/>
  <c r="Q318" i="1"/>
  <c r="Q185" i="1"/>
  <c r="Q97" i="1"/>
  <c r="Q426" i="1"/>
  <c r="Q418" i="1"/>
  <c r="Q136" i="1"/>
  <c r="Q390" i="1"/>
  <c r="Q255" i="1"/>
  <c r="Q271" i="1"/>
  <c r="Q361" i="1"/>
  <c r="Q422" i="1"/>
  <c r="Q18" i="1"/>
  <c r="Q311" i="1"/>
  <c r="Q286" i="1"/>
  <c r="Q414" i="1"/>
  <c r="Q161" i="1"/>
  <c r="Q430" i="1"/>
  <c r="Q276" i="1"/>
  <c r="Q249" i="1"/>
  <c r="Q79" i="1"/>
  <c r="Q275" i="1"/>
  <c r="Q140" i="1"/>
  <c r="Q409" i="1"/>
  <c r="Q274" i="1"/>
  <c r="Q335" i="1"/>
  <c r="Q262" i="1"/>
  <c r="Q102" i="1"/>
  <c r="Q191" i="1"/>
  <c r="Q78" i="1"/>
  <c r="Q299" i="1"/>
  <c r="Q43" i="1"/>
  <c r="Q175" i="1"/>
  <c r="Q423" i="1"/>
  <c r="Q38" i="1"/>
  <c r="Q296" i="1"/>
  <c r="Q259" i="1"/>
  <c r="Q143" i="1"/>
  <c r="Q433" i="1"/>
  <c r="Q190" i="1"/>
  <c r="Q269" i="1"/>
  <c r="Q287" i="1"/>
  <c r="Q383" i="1"/>
  <c r="Q302" i="1"/>
  <c r="Q355" i="1"/>
  <c r="Q402" i="1"/>
  <c r="Q369" i="1"/>
  <c r="Q216" i="1"/>
  <c r="Q166" i="1"/>
  <c r="Q167" i="1"/>
  <c r="Q368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5" i="1"/>
  <c r="Q41" i="1"/>
  <c r="Q279" i="1"/>
  <c r="Q11" i="1"/>
  <c r="Q319" i="1"/>
  <c r="Q19" i="1"/>
  <c r="Q323" i="1"/>
  <c r="Q115" i="1"/>
  <c r="Q413" i="1"/>
  <c r="Q317" i="1"/>
  <c r="U230" i="1"/>
  <c r="U89" i="1"/>
  <c r="U90" i="1"/>
  <c r="U91" i="1"/>
  <c r="U92" i="1"/>
  <c r="U93" i="1"/>
  <c r="U94" i="1"/>
  <c r="U238" i="1"/>
  <c r="U239" i="1"/>
  <c r="U240" i="1"/>
  <c r="U241" i="1"/>
  <c r="U242" i="1"/>
  <c r="U243" i="1"/>
  <c r="U244" i="1"/>
  <c r="U245" i="1"/>
  <c r="U246" i="1"/>
  <c r="U235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23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23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8" i="1"/>
  <c r="R238" i="1" s="1"/>
  <c r="Q28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5" i="1"/>
  <c r="Q295" i="1"/>
  <c r="Q148" i="1"/>
  <c r="Q320" i="1"/>
  <c r="Q241" i="1"/>
  <c r="Q171" i="1"/>
  <c r="Q303" i="1"/>
  <c r="Q268" i="1"/>
  <c r="Q198" i="1"/>
  <c r="Q429" i="1"/>
  <c r="Q399" i="1"/>
  <c r="Q147" i="1"/>
  <c r="Q95" i="1"/>
  <c r="Q267" i="1"/>
  <c r="Q393" i="1"/>
  <c r="Q45" i="1"/>
  <c r="Q229" i="1"/>
  <c r="R229" i="1" s="1"/>
  <c r="Q227" i="1"/>
  <c r="Q226" i="1"/>
  <c r="Q225" i="1"/>
  <c r="Q224" i="1"/>
  <c r="Q223" i="1"/>
  <c r="Q186" i="1"/>
  <c r="Q59" i="1"/>
  <c r="Q401" i="1"/>
  <c r="Q257" i="1"/>
  <c r="Q293" i="1"/>
  <c r="Q411" i="1"/>
  <c r="Q151" i="1"/>
  <c r="Q71" i="1"/>
  <c r="Q100" i="1"/>
  <c r="Q345" i="1"/>
  <c r="Q304" i="1"/>
  <c r="Q405" i="1"/>
  <c r="Q24" i="1"/>
  <c r="Q91" i="1"/>
  <c r="Q173" i="1"/>
  <c r="Q264" i="1"/>
  <c r="Q85" i="1"/>
  <c r="Q306" i="1"/>
  <c r="Q341" i="1"/>
  <c r="Q138" i="1"/>
  <c r="Q362" i="1"/>
  <c r="Q119" i="1"/>
  <c r="Q289" i="1"/>
  <c r="Q294" i="1"/>
  <c r="Q28" i="1"/>
  <c r="Q145" i="1"/>
  <c r="Q58" i="1"/>
  <c r="Q428" i="1"/>
  <c r="Q256" i="1"/>
  <c r="Q96" i="1"/>
  <c r="Q234" i="1"/>
  <c r="Q122" i="1"/>
  <c r="Q67" i="1"/>
  <c r="Q99" i="1"/>
  <c r="Q431" i="1"/>
  <c r="Q84" i="1"/>
  <c r="Q266" i="1"/>
  <c r="Q8" i="1"/>
  <c r="Q82" i="1"/>
  <c r="Q222" i="1"/>
  <c r="Q221" i="1"/>
  <c r="Q239" i="1"/>
  <c r="Q240" i="1"/>
  <c r="Q220" i="1"/>
  <c r="Q439" i="1"/>
  <c r="Q438" i="1"/>
  <c r="Q437" i="1"/>
  <c r="Q219" i="1"/>
  <c r="Q196" i="1"/>
  <c r="Q50" i="1"/>
  <c r="Q131" i="1"/>
  <c r="Q420" i="1"/>
  <c r="Q26" i="1"/>
  <c r="Q314" i="1"/>
  <c r="Q325" i="1"/>
  <c r="Q292" i="1"/>
  <c r="Q336" i="1"/>
  <c r="Q297" i="1"/>
  <c r="Q178" i="1"/>
  <c r="Q69" i="1"/>
  <c r="Q328" i="1"/>
  <c r="Q139" i="1"/>
  <c r="Q40" i="1"/>
  <c r="Q389" i="1"/>
  <c r="Q270" i="1"/>
  <c r="Q51" i="1"/>
  <c r="Q347" i="1"/>
  <c r="Q344" i="1"/>
  <c r="Q265" i="1"/>
  <c r="Q32" i="1"/>
  <c r="Q92" i="1"/>
  <c r="Q169" i="1"/>
  <c r="Q121" i="1"/>
  <c r="Q3" i="1"/>
  <c r="Q7" i="1"/>
  <c r="Q170" i="1"/>
  <c r="Q164" i="1"/>
  <c r="Q321" i="1"/>
  <c r="Q324" i="1"/>
  <c r="Q284" i="1"/>
  <c r="Q285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4" i="1"/>
  <c r="Q70" i="1"/>
  <c r="Q388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7" i="1"/>
  <c r="Q277" i="1"/>
  <c r="Q363" i="1"/>
  <c r="Q298" i="1"/>
  <c r="Q392" i="1"/>
  <c r="Q204" i="1"/>
  <c r="Q206" i="1"/>
  <c r="Q183" i="1"/>
  <c r="Q165" i="1"/>
  <c r="Q150" i="1"/>
  <c r="Q177" i="1"/>
  <c r="Q364" i="1"/>
  <c r="Q398" i="1"/>
  <c r="Q244" i="1"/>
  <c r="Q367" i="1"/>
  <c r="Q372" i="1"/>
  <c r="Q331" i="1"/>
  <c r="Q330" i="1"/>
  <c r="Q174" i="1"/>
  <c r="Q188" i="1"/>
  <c r="Q406" i="1"/>
  <c r="Q182" i="1"/>
  <c r="Q278" i="1"/>
  <c r="Q424" i="1"/>
  <c r="Q56" i="1"/>
  <c r="Q133" i="1"/>
  <c r="Q130" i="1"/>
  <c r="Q135" i="1"/>
  <c r="Q163" i="1"/>
  <c r="Q378" i="1"/>
  <c r="Q246" i="1"/>
  <c r="Q13" i="1"/>
  <c r="Q200" i="1"/>
  <c r="Q17" i="1"/>
  <c r="Q419" i="1"/>
  <c r="Q427" i="1"/>
  <c r="Q52" i="1"/>
  <c r="Q273" i="1"/>
  <c r="Q416" i="1"/>
  <c r="Q263" i="1"/>
  <c r="Q98" i="1"/>
  <c r="Q104" i="1"/>
  <c r="Q15" i="1"/>
  <c r="Q73" i="1"/>
  <c r="Q187" i="1"/>
  <c r="Q386" i="1"/>
  <c r="Q116" i="1"/>
  <c r="Q2" i="1"/>
  <c r="Q181" i="1"/>
  <c r="Q63" i="1"/>
  <c r="Q30" i="1"/>
  <c r="Q384" i="1"/>
  <c r="Q333" i="1"/>
  <c r="Q334" i="1"/>
  <c r="Q358" i="1"/>
  <c r="Q44" i="1"/>
  <c r="Q301" i="1"/>
  <c r="Q176" i="1"/>
  <c r="Q123" i="1"/>
  <c r="Q155" i="1"/>
  <c r="Q252" i="1"/>
  <c r="Q199" i="1"/>
  <c r="Q243" i="1"/>
  <c r="Q376" i="1"/>
  <c r="Q179" i="1"/>
  <c r="Q87" i="1"/>
  <c r="Q60" i="1"/>
  <c r="Q124" i="1"/>
  <c r="Q5" i="1"/>
  <c r="Q192" i="1"/>
  <c r="Q338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9" i="1"/>
  <c r="Q49" i="1"/>
  <c r="Q57" i="1"/>
  <c r="Q81" i="1"/>
  <c r="Q42" i="1"/>
  <c r="Q29" i="1"/>
  <c r="Q348" i="1"/>
  <c r="Q379" i="1"/>
  <c r="Q350" i="1"/>
  <c r="Q342" i="1"/>
  <c r="Q64" i="1"/>
  <c r="Q327" i="1"/>
  <c r="Q356" i="1"/>
  <c r="Q120" i="1"/>
  <c r="Q329" i="1"/>
  <c r="Q260" i="1"/>
  <c r="Q94" i="1"/>
  <c r="Q371" i="1"/>
  <c r="Q290" i="1"/>
  <c r="Q160" i="1"/>
  <c r="Q382" i="1"/>
  <c r="Q400" i="1"/>
  <c r="Q39" i="1"/>
  <c r="Q88" i="1"/>
  <c r="Q132" i="1"/>
  <c r="Q118" i="1"/>
  <c r="Q75" i="1"/>
  <c r="Q251" i="1"/>
  <c r="Q80" i="1"/>
  <c r="Q66" i="1"/>
  <c r="Q391" i="1"/>
  <c r="Q77" i="1"/>
  <c r="Q373" i="1"/>
  <c r="Q322" i="1"/>
  <c r="Q14" i="1"/>
  <c r="Q134" i="1"/>
  <c r="Q127" i="1"/>
  <c r="Q180" i="1"/>
  <c r="Q23" i="1"/>
  <c r="Q146" i="1"/>
  <c r="Q201" i="1"/>
  <c r="Q309" i="1"/>
  <c r="Q354" i="1"/>
  <c r="Q313" i="1"/>
  <c r="Q103" i="1"/>
  <c r="Q357" i="1"/>
  <c r="Q307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3" i="1" l="1"/>
  <c r="R288" i="1"/>
  <c r="R381" i="1"/>
  <c r="R282" i="1"/>
  <c r="R258" i="1"/>
  <c r="R339" i="1"/>
  <c r="R241" i="1"/>
  <c r="R247" i="1"/>
  <c r="R291" i="1"/>
  <c r="R312" i="1"/>
  <c r="R349" i="1"/>
  <c r="R332" i="1"/>
  <c r="R370" i="1"/>
  <c r="R242" i="1"/>
  <c r="R425" i="1"/>
  <c r="R337" i="1"/>
  <c r="R235" i="1"/>
  <c r="R412" i="1"/>
  <c r="R374" i="1"/>
  <c r="R387" i="1"/>
  <c r="R340" i="1"/>
  <c r="R283" i="1"/>
  <c r="R410" i="1"/>
  <c r="R352" i="1"/>
  <c r="R300" i="1"/>
  <c r="R248" i="1"/>
  <c r="R395" i="1"/>
  <c r="R353" i="1"/>
  <c r="R281" i="1"/>
  <c r="R433" i="1"/>
  <c r="R383" i="1"/>
  <c r="R402" i="1"/>
  <c r="R368" i="1"/>
  <c r="R255" i="1"/>
  <c r="R423" i="1"/>
  <c r="R323" i="1"/>
  <c r="R430" i="1"/>
  <c r="R249" i="1"/>
  <c r="R355" i="1"/>
  <c r="R274" i="1"/>
  <c r="R319" i="1"/>
  <c r="R369" i="1"/>
  <c r="R361" i="1"/>
  <c r="R311" i="1"/>
  <c r="R296" i="1"/>
  <c r="R409" i="1"/>
  <c r="R271" i="1"/>
  <c r="R286" i="1"/>
  <c r="R414" i="1"/>
  <c r="R365" i="1"/>
  <c r="R276" i="1"/>
  <c r="R287" i="1"/>
  <c r="R253" i="1"/>
  <c r="R408" i="1"/>
  <c r="R380" i="1"/>
  <c r="R250" i="1"/>
  <c r="R390" i="1"/>
  <c r="R245" i="1"/>
  <c r="R422" i="1"/>
  <c r="R326" i="1"/>
  <c r="R396" i="1"/>
  <c r="R316" i="1"/>
  <c r="R310" i="1"/>
  <c r="R366" i="1"/>
  <c r="R417" i="1"/>
  <c r="R407" i="1"/>
  <c r="R346" i="1"/>
  <c r="R315" i="1"/>
  <c r="R254" i="1"/>
  <c r="R335" i="1"/>
  <c r="R418" i="1"/>
  <c r="R308" i="1"/>
  <c r="R261" i="1"/>
  <c r="R272" i="1"/>
  <c r="R237" i="1"/>
  <c r="R275" i="1"/>
  <c r="R262" i="1"/>
  <c r="R415" i="1"/>
  <c r="R318" i="1"/>
  <c r="R269" i="1"/>
  <c r="R302" i="1"/>
  <c r="R377" i="1"/>
  <c r="R375" i="1"/>
  <c r="R259" i="1"/>
  <c r="R351" i="1"/>
  <c r="R360" i="1"/>
  <c r="R426" i="1"/>
  <c r="R299" i="1"/>
  <c r="R432" i="1"/>
  <c r="R413" i="1"/>
  <c r="R385" i="1"/>
  <c r="R279" i="1"/>
  <c r="R317" i="1"/>
  <c r="R421" i="1"/>
  <c r="R280" i="1"/>
  <c r="R399" i="1"/>
  <c r="R293" i="1"/>
  <c r="R411" i="1"/>
  <c r="R345" i="1"/>
  <c r="R304" i="1"/>
  <c r="R257" i="1"/>
  <c r="R320" i="1"/>
  <c r="R305" i="1"/>
  <c r="R295" i="1"/>
  <c r="R429" i="1"/>
  <c r="R268" i="1"/>
  <c r="R303" i="1"/>
  <c r="R393" i="1"/>
  <c r="R267" i="1"/>
  <c r="R362" i="1"/>
  <c r="R234" i="1"/>
  <c r="R405" i="1"/>
  <c r="R428" i="1"/>
  <c r="R289" i="1"/>
  <c r="R256" i="1"/>
  <c r="R264" i="1"/>
  <c r="R306" i="1"/>
  <c r="R341" i="1"/>
  <c r="R294" i="1"/>
  <c r="R266" i="1"/>
  <c r="R431" i="1"/>
  <c r="R401" i="1"/>
  <c r="R328" i="1"/>
  <c r="R438" i="1"/>
  <c r="R437" i="1"/>
  <c r="R420" i="1"/>
  <c r="R285" i="1"/>
  <c r="R344" i="1"/>
  <c r="R324" i="1"/>
  <c r="R347" i="1"/>
  <c r="R239" i="1"/>
  <c r="R240" i="1"/>
  <c r="R314" i="1"/>
  <c r="R265" i="1"/>
  <c r="R336" i="1"/>
  <c r="R270" i="1"/>
  <c r="R284" i="1"/>
  <c r="R439" i="1"/>
  <c r="R292" i="1"/>
  <c r="R297" i="1"/>
  <c r="R389" i="1"/>
  <c r="R321" i="1"/>
  <c r="R325" i="1"/>
  <c r="R434" i="1"/>
  <c r="R394" i="1"/>
  <c r="R436" i="1"/>
  <c r="R404" i="1"/>
  <c r="R435" i="1"/>
  <c r="R213" i="1"/>
  <c r="R212" i="1"/>
  <c r="R388" i="1"/>
  <c r="R333" i="1"/>
  <c r="R398" i="1"/>
  <c r="R397" i="1"/>
  <c r="R364" i="1"/>
  <c r="R330" i="1"/>
  <c r="R424" i="1"/>
  <c r="R277" i="1"/>
  <c r="R372" i="1"/>
  <c r="R406" i="1"/>
  <c r="R378" i="1"/>
  <c r="R298" i="1"/>
  <c r="R331" i="1"/>
  <c r="R244" i="1"/>
  <c r="R363" i="1"/>
  <c r="R392" i="1"/>
  <c r="R367" i="1"/>
  <c r="R278" i="1"/>
  <c r="R419" i="1"/>
  <c r="R427" i="1"/>
  <c r="R334" i="1"/>
  <c r="R252" i="1"/>
  <c r="R376" i="1"/>
  <c r="R246" i="1"/>
  <c r="R358" i="1"/>
  <c r="R416" i="1"/>
  <c r="R273" i="1"/>
  <c r="R243" i="1"/>
  <c r="R263" i="1"/>
  <c r="R386" i="1"/>
  <c r="R384" i="1"/>
  <c r="R301" i="1"/>
  <c r="R403" i="1"/>
  <c r="R338" i="1"/>
  <c r="C17" i="6"/>
  <c r="C11" i="6"/>
  <c r="B18" i="6"/>
  <c r="R342" i="1"/>
  <c r="R260" i="1"/>
  <c r="R400" i="1"/>
  <c r="R313" i="1"/>
  <c r="R327" i="1"/>
  <c r="R290" i="1"/>
  <c r="R391" i="1"/>
  <c r="R359" i="1"/>
  <c r="R348" i="1"/>
  <c r="R356" i="1"/>
  <c r="R371" i="1"/>
  <c r="R379" i="1"/>
  <c r="R251" i="1"/>
  <c r="R373" i="1"/>
  <c r="R322" i="1"/>
  <c r="R350" i="1"/>
  <c r="R329" i="1"/>
  <c r="R382" i="1"/>
  <c r="R354" i="1"/>
  <c r="R307" i="1"/>
  <c r="R357" i="1"/>
  <c r="R309" i="1"/>
  <c r="C5" i="6" l="1"/>
  <c r="C4" i="6" s="1"/>
  <c r="C6" i="6"/>
</calcChain>
</file>

<file path=xl/sharedStrings.xml><?xml version="1.0" encoding="utf-8"?>
<sst xmlns="http://schemas.openxmlformats.org/spreadsheetml/2006/main" count="3334" uniqueCount="1861">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</sst>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7" totalsRowShown="0" headerRowDxfId="18" dataDxfId="17">
  <autoFilter ref="A1:M237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table" Target="../tables/table1.xm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442" sqref="A442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1624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1624</v>
      </c>
      <c r="K18" s="23" t="s">
        <v>1662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1859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1815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1816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1817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1818</v>
      </c>
      <c r="M82" s="23" t="s">
        <v>1819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1820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1821</v>
      </c>
      <c r="K100" s="23" t="s">
        <v>1822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1823</v>
      </c>
      <c r="K101" s="23" t="s">
        <v>1747</v>
      </c>
      <c r="L101" s="23" t="s">
        <v>1824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1825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1826</v>
      </c>
      <c r="M113" s="23" t="s">
        <v>1827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1828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1829</v>
      </c>
      <c r="L138" s="23" t="s">
        <v>1652</v>
      </c>
      <c r="M138" s="23" t="s">
        <v>1830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1831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1821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1832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1833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1834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1835</v>
      </c>
      <c r="M228" s="23" t="s">
        <v>1836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1837</v>
      </c>
      <c r="M231" s="23" t="s">
        <v>1817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1838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1857</v>
      </c>
      <c r="J235" s="24"/>
      <c r="K235" s="24" t="s">
        <v>1757</v>
      </c>
      <c r="L235" s="24" t="s">
        <v>1783</v>
      </c>
      <c r="M235" s="24" t="s">
        <v>1858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1854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1855</v>
      </c>
      <c r="M236" s="24" t="s">
        <v>1856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1857</v>
      </c>
      <c r="J237" s="24" t="s">
        <v>1860</v>
      </c>
      <c r="K237" s="24"/>
      <c r="L237" s="24" t="s">
        <v>1855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8" s="24" t="s">
        <v>1698</v>
      </c>
      <c r="D238" s="23" t="s">
        <v>1699</v>
      </c>
      <c r="E238" s="23" t="s">
        <v>1700</v>
      </c>
      <c r="F238" s="3" t="s">
        <v>1701</v>
      </c>
      <c r="G238" s="23" t="s">
        <v>1697</v>
      </c>
      <c r="H238" s="23" t="s">
        <v>1606</v>
      </c>
      <c r="I238" s="23" t="s">
        <v>1616</v>
      </c>
      <c r="N238" s="1" t="s">
        <v>1569</v>
      </c>
      <c r="P238" s="24" t="str">
        <f>テーブル1[[#This Row],[リンク]]&amp;テーブル1[[#This Row],[描画状況]]</f>
        <v>https://pessieuph.wixsite.com/meusycaseuphoria</v>
      </c>
      <c r="Q238" s="17">
        <f>1-(COUNTIF(P:P,_xlfn.TEXTJOIN(",",TRUE,テーブル1[[#This Row],[リンク]],テーブル1[[#This Row],[描画状況]]))/COUNTIF(F:F,テーブル1[[#This Row],[リンク]]))</f>
        <v>0.5</v>
      </c>
      <c r="R238" s="16">
        <f ca="1">IFERROR(IF(テーブル1[[#This Row],[描画状況]]="",RAND()+(テーブル1[[#This Row],[列2]]*100),""),RAND())</f>
        <v>50.725305398930729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|&amp;image(aira.png,width=100,height=100)</v>
      </c>
      <c r="V238" s="23" t="str">
        <f>"|MIDDLE:​"&amp;テーブル1[[#This Row],[名前]]</f>
        <v>|MIDDLE:​アイラ</v>
      </c>
      <c r="W238" s="23" t="str">
        <f>"|MIDDLE:​"&amp;テーブル1[[#This Row],[なまえ]]</f>
        <v>|MIDDLE:​あいら</v>
      </c>
      <c r="X238" s="23" t="str">
        <f>"|MIDDLE:​"&amp;テーブル1[[#This Row],[Name]]</f>
        <v>|MIDDLE:​Aira</v>
      </c>
      <c r="Y238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9" s="24" t="s">
        <v>1556</v>
      </c>
      <c r="D239" s="23" t="s">
        <v>1561</v>
      </c>
      <c r="E239" s="23" t="s">
        <v>1560</v>
      </c>
      <c r="F239" s="2" t="s">
        <v>1517</v>
      </c>
      <c r="G239" s="23" t="s">
        <v>410</v>
      </c>
      <c r="H239" s="23" t="s">
        <v>1606</v>
      </c>
      <c r="I239" s="23" t="s">
        <v>1624</v>
      </c>
      <c r="M239" s="23" t="s">
        <v>1643</v>
      </c>
      <c r="N239" s="1" t="s">
        <v>1497</v>
      </c>
      <c r="P239" s="24" t="str">
        <f>テーブル1[[#This Row],[リンク]]&amp;テーブル1[[#This Row],[描画状況]]</f>
        <v>https://vividseekers.utau.sorairomarch.com</v>
      </c>
      <c r="Q239" s="17">
        <f>1-(COUNTIF(P:P,_xlfn.TEXTJOIN(",",TRUE,テーブル1[[#This Row],[リンク]],テーブル1[[#This Row],[描画状況]]))/COUNTIF(F:F,テーブル1[[#This Row],[リンク]]))</f>
        <v>0.6</v>
      </c>
      <c r="R239" s="16">
        <f ca="1">IFERROR(IF(テーブル1[[#This Row],[描画状況]]="",RAND()+(テーブル1[[#This Row],[列2]]*100),""),RAND())</f>
        <v>60.627891071477201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|&amp;image(kagetsuki-reine.png,width=100,height=100)</v>
      </c>
      <c r="V239" s="23" t="str">
        <f>"|MIDDLE:​"&amp;テーブル1[[#This Row],[名前]]</f>
        <v>|MIDDLE:​影月澪音</v>
      </c>
      <c r="W239" s="23" t="str">
        <f>"|MIDDLE:​"&amp;テーブル1[[#This Row],[なまえ]]</f>
        <v>|MIDDLE:​かげつき れいね</v>
      </c>
      <c r="X239" s="23" t="str">
        <f>"|MIDDLE:​"&amp;テーブル1[[#This Row],[Name]]</f>
        <v>|MIDDLE:​Kagetsuki Reine</v>
      </c>
      <c r="Y239" s="23" t="str">
        <f>"|MIDDLE:​&amp;link(配布所はこちら){​"&amp;テーブル1[[#This Row],[リンク]]&amp;"}|"</f>
        <v>|MIDDLE:​&amp;link(配布所はこちら){​https://vividseekers.utau.sorairomarch.com}|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40" s="24" t="s">
        <v>1557</v>
      </c>
      <c r="D240" s="23" t="s">
        <v>1563</v>
      </c>
      <c r="E240" s="23" t="s">
        <v>1562</v>
      </c>
      <c r="F240" s="2" t="s">
        <v>1517</v>
      </c>
      <c r="G240" s="23" t="s">
        <v>410</v>
      </c>
      <c r="H240" s="23" t="s">
        <v>1607</v>
      </c>
      <c r="I240" s="23" t="s">
        <v>1624</v>
      </c>
      <c r="N240" s="1" t="s">
        <v>1497</v>
      </c>
      <c r="P240" s="24" t="str">
        <f>テーブル1[[#This Row],[リンク]]&amp;テーブル1[[#This Row],[描画状況]]</f>
        <v>https://vividseekers.utau.sorairomarch.com</v>
      </c>
      <c r="Q240" s="17">
        <f>1-(COUNTIF(P:P,_xlfn.TEXTJOIN(",",TRUE,テーブル1[[#This Row],[リンク]],テーブル1[[#This Row],[描画状況]]))/COUNTIF(F:F,テーブル1[[#This Row],[リンク]]))</f>
        <v>0.6</v>
      </c>
      <c r="R240" s="16">
        <f ca="1">IFERROR(IF(テーブル1[[#This Row],[描画状況]]="",RAND()+(テーブル1[[#This Row],[列2]]*100),""),RAND())</f>
        <v>60.834002024591712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|&amp;image(akatsuki-haruki.png,width=100,height=100)</v>
      </c>
      <c r="V240" s="23" t="str">
        <f>"|MIDDLE:​"&amp;テーブル1[[#This Row],[名前]]</f>
        <v>|MIDDLE:​暁月陽輝</v>
      </c>
      <c r="W240" s="23" t="str">
        <f>"|MIDDLE:​"&amp;テーブル1[[#This Row],[なまえ]]</f>
        <v>|MIDDLE:​あかつき はるき</v>
      </c>
      <c r="X240" s="23" t="str">
        <f>"|MIDDLE:​"&amp;テーブル1[[#This Row],[Name]]</f>
        <v>|MIDDLE:​Akatsuki Haruki</v>
      </c>
      <c r="Y240" s="23" t="str">
        <f>"|MIDDLE:​&amp;link(配布所はこちら){​"&amp;テーブル1[[#This Row],[リンク]]&amp;"}|"</f>
        <v>|MIDDLE:​&amp;link(配布所はこちら){​https://vividseekers.utau.sorairomarch.com}|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1" s="24" t="s">
        <v>1035</v>
      </c>
      <c r="D241" s="23" t="s">
        <v>1036</v>
      </c>
      <c r="E241" s="23" t="s">
        <v>1037</v>
      </c>
      <c r="F241" s="2" t="s">
        <v>516</v>
      </c>
      <c r="G241" s="23" t="s">
        <v>517</v>
      </c>
      <c r="N241" s="1" t="s">
        <v>1497</v>
      </c>
      <c r="P241" s="24" t="str">
        <f>テーブル1[[#This Row],[リンク]]&amp;テーブル1[[#This Row],[描画状況]]</f>
        <v>https://coyukimachi.wixsite.com/my-site</v>
      </c>
      <c r="Q241" s="17">
        <f>1-(COUNTIF(P:P,_xlfn.TEXTJOIN(",",TRUE,テーブル1[[#This Row],[リンク]],テーブル1[[#This Row],[描画状況]]))/COUNTIF(F:F,テーブル1[[#This Row],[リンク]]))</f>
        <v>0</v>
      </c>
      <c r="R241" s="16">
        <f ca="1">IFERROR(IF(テーブル1[[#This Row],[描画状況]]="",RAND()+(テーブル1[[#This Row],[列2]]*100),""),RAND())</f>
        <v>0.60548780994781626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|&amp;image(asahibashi-nagisa.png,width=100,height=100)</v>
      </c>
      <c r="V241" s="23" t="str">
        <f>"|MIDDLE:​"&amp;テーブル1[[#This Row],[名前]]</f>
        <v>|MIDDLE:​旭橋渚</v>
      </c>
      <c r="W241" s="23" t="str">
        <f>"|MIDDLE:​"&amp;テーブル1[[#This Row],[なまえ]]</f>
        <v>|MIDDLE:​​あさひばし なぎさ</v>
      </c>
      <c r="X241" s="23" t="str">
        <f>"|MIDDLE:​"&amp;テーブル1[[#This Row],[Name]]</f>
        <v>|MIDDLE:​Asahibashi Nagisa</v>
      </c>
      <c r="Y241" s="23" t="str">
        <f>"|MIDDLE:​&amp;link(配布所はこちら){​"&amp;テーブル1[[#This Row],[リンク]]&amp;"}|"</f>
        <v>|MIDDLE:​&amp;link(配布所はこちら){​https://coyukimachi.wixsite.com/my-site}|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2" s="24" t="s">
        <v>762</v>
      </c>
      <c r="D242" s="23" t="s">
        <v>763</v>
      </c>
      <c r="E242" s="23" t="s">
        <v>764</v>
      </c>
      <c r="F242" s="15" t="s">
        <v>752</v>
      </c>
      <c r="G242" s="23" t="s">
        <v>756</v>
      </c>
      <c r="N242" s="1" t="s">
        <v>1497</v>
      </c>
      <c r="P242" s="24" t="str">
        <f>テーブル1[[#This Row],[リンク]]&amp;テーブル1[[#This Row],[描画状況]]</f>
        <v>http://shadeofgreen.web.fc2.com</v>
      </c>
      <c r="Q242" s="17">
        <f>1-(COUNTIF(P:P,_xlfn.TEXTJOIN(",",TRUE,テーブル1[[#This Row],[リンク]],テーブル1[[#This Row],[描画状況]]))/COUNTIF(F:F,テーブル1[[#This Row],[リンク]]))</f>
        <v>0.33333333333333337</v>
      </c>
      <c r="R242" s="16">
        <f ca="1">IFERROR(IF(テーブル1[[#This Row],[描画状況]]="",RAND()+(テーブル1[[#This Row],[列2]]*100),""),RAND())</f>
        <v>33.465011998729679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|&amp;image(aoba-shin.png,width=100,height=100)</v>
      </c>
      <c r="V242" s="23" t="str">
        <f>"|MIDDLE:​"&amp;テーブル1[[#This Row],[名前]]</f>
        <v>|MIDDLE:​青葉シン</v>
      </c>
      <c r="W242" s="23" t="str">
        <f>"|MIDDLE:​"&amp;テーブル1[[#This Row],[なまえ]]</f>
        <v>|MIDDLE:​あおば しん</v>
      </c>
      <c r="X242" s="23" t="str">
        <f>"|MIDDLE:​"&amp;テーブル1[[#This Row],[Name]]</f>
        <v>|MIDDLE:​Aoba Shin</v>
      </c>
      <c r="Y242" s="23" t="str">
        <f>"|MIDDLE:​&amp;link(配布所はこちら){​"&amp;テーブル1[[#This Row],[リンク]]&amp;"}|"</f>
        <v>|MIDDLE:​&amp;link(配布所はこちら){​http://shadeofgreen.web.fc2.com}|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3" s="24" t="s">
        <v>753</v>
      </c>
      <c r="D243" s="23" t="s">
        <v>754</v>
      </c>
      <c r="E243" s="23" t="s">
        <v>755</v>
      </c>
      <c r="F243" s="15" t="s">
        <v>752</v>
      </c>
      <c r="G243" s="23" t="s">
        <v>756</v>
      </c>
      <c r="N243" s="1" t="s">
        <v>1497</v>
      </c>
      <c r="P243" s="24" t="str">
        <f>テーブル1[[#This Row],[リンク]]&amp;テーブル1[[#This Row],[描画状況]]</f>
        <v>http://shadeofgreen.web.fc2.com</v>
      </c>
      <c r="Q243" s="17">
        <f>1-(COUNTIF(P:P,_xlfn.TEXTJOIN(",",TRUE,テーブル1[[#This Row],[リンク]],テーブル1[[#This Row],[描画状況]]))/COUNTIF(F:F,テーブル1[[#This Row],[リンク]]))</f>
        <v>0.33333333333333337</v>
      </c>
      <c r="R243" s="16">
        <f ca="1">IFERROR(IF(テーブル1[[#This Row],[描画状況]]="",RAND()+(テーブル1[[#This Row],[列2]]*100),""),RAND())</f>
        <v>34.087367155233629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|&amp;image(aoba-ryoku.png,width=100,height=100)</v>
      </c>
      <c r="V243" s="23" t="str">
        <f>"|MIDDLE:​"&amp;テーブル1[[#This Row],[名前]]</f>
        <v>|MIDDLE:​青葉リョク</v>
      </c>
      <c r="W243" s="23" t="str">
        <f>"|MIDDLE:​"&amp;テーブル1[[#This Row],[なまえ]]</f>
        <v>|MIDDLE:​あおば りょく</v>
      </c>
      <c r="X243" s="23" t="str">
        <f>"|MIDDLE:​"&amp;テーブル1[[#This Row],[Name]]</f>
        <v>|MIDDLE:​Aoba Ryoku</v>
      </c>
      <c r="Y243" s="23" t="str">
        <f>"|MIDDLE:​&amp;link(配布所はこちら){​"&amp;テーブル1[[#This Row],[リンク]]&amp;"}|"</f>
        <v>|MIDDLE:​&amp;link(配布所はこちら){​http://shadeofgreen.web.fc2.com}|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4" s="24" t="s">
        <v>1360</v>
      </c>
      <c r="D244" s="23" t="s">
        <v>1362</v>
      </c>
      <c r="E244" s="23" t="s">
        <v>1361</v>
      </c>
      <c r="F244" s="2" t="s">
        <v>1343</v>
      </c>
      <c r="G244" s="23" t="s">
        <v>1344</v>
      </c>
      <c r="P244" s="24" t="str">
        <f>テーブル1[[#This Row],[リンク]]&amp;テーブル1[[#This Row],[描画状況]]</f>
        <v>https://maybeanglo0mochi.wixsite.com/mochiyanosouko</v>
      </c>
      <c r="Q244" s="17">
        <f>1-(COUNTIF(P:P,_xlfn.TEXTJOIN(",",TRUE,テーブル1[[#This Row],[リンク]],テーブル1[[#This Row],[描画状況]]))/COUNTIF(F:F,テーブル1[[#This Row],[リンク]]))</f>
        <v>0.125</v>
      </c>
      <c r="R244" s="16">
        <f ca="1">IFERROR(IF(テーブル1[[#This Row],[描画状況]]="",RAND()+(テーブル1[[#This Row],[列2]]*100),""),RAND())</f>
        <v>13.069760762646359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|&amp;image(akasha＝sophia.png,width=100,height=100)</v>
      </c>
      <c r="V244" s="23" t="str">
        <f>"|MIDDLE:​"&amp;テーブル1[[#This Row],[名前]]</f>
        <v>|MIDDLE:​アカシャ＝ソフィア</v>
      </c>
      <c r="W244" s="23" t="str">
        <f>"|MIDDLE:​"&amp;テーブル1[[#This Row],[なまえ]]</f>
        <v>|MIDDLE:​あかしゃ＝そふぃあ</v>
      </c>
      <c r="X244" s="23" t="str">
        <f>"|MIDDLE:​"&amp;テーブル1[[#This Row],[Name]]</f>
        <v>|MIDDLE:​Akasha＝Sophia</v>
      </c>
      <c r="Y24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5" s="24" t="s">
        <v>980</v>
      </c>
      <c r="D245" s="23" t="s">
        <v>981</v>
      </c>
      <c r="E245" s="23" t="s">
        <v>982</v>
      </c>
      <c r="F245" s="2" t="s">
        <v>568</v>
      </c>
      <c r="G245" s="23" t="s">
        <v>569</v>
      </c>
      <c r="N245" s="1" t="s">
        <v>1497</v>
      </c>
      <c r="P245" s="24" t="str">
        <f>テーブル1[[#This Row],[リンク]]&amp;テーブル1[[#This Row],[描画状況]]</f>
        <v>https://askdance.wixsite.com/monitor-room/monitor-room</v>
      </c>
      <c r="Q245" s="17">
        <f>1-(COUNTIF(P:P,_xlfn.TEXTJOIN(",",TRUE,テーブル1[[#This Row],[リンク]],テーブル1[[#This Row],[描画状況]]))/COUNTIF(F:F,テーブル1[[#This Row],[リンク]]))</f>
        <v>9.9999999999999978E-2</v>
      </c>
      <c r="R245" s="16">
        <f ca="1">IFERROR(IF(テーブル1[[#This Row],[描画状況]]="",RAND()+(テーブル1[[#This Row],[列2]]*100),""),RAND())</f>
        <v>10.037635371603331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|&amp;image(akaruiji-satsu.png,width=100,height=100)</v>
      </c>
      <c r="V245" s="23" t="str">
        <f>"|MIDDLE:​"&amp;テーブル1[[#This Row],[名前]]</f>
        <v>|MIDDLE:​明泪寺早津</v>
      </c>
      <c r="W245" s="23" t="str">
        <f>"|MIDDLE:​"&amp;テーブル1[[#This Row],[なまえ]]</f>
        <v>|MIDDLE:​あかるいじ さつ</v>
      </c>
      <c r="X245" s="23" t="str">
        <f>"|MIDDLE:​"&amp;テーブル1[[#This Row],[Name]]</f>
        <v>|MIDDLE:​Akaruiji Satsu</v>
      </c>
      <c r="Y2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6" s="24" t="s">
        <v>615</v>
      </c>
      <c r="D246" s="23" t="s">
        <v>616</v>
      </c>
      <c r="E246" s="23" t="s">
        <v>617</v>
      </c>
      <c r="F246" s="2" t="s">
        <v>211</v>
      </c>
      <c r="G246" s="23" t="s">
        <v>212</v>
      </c>
      <c r="N246" s="1" t="s">
        <v>1497</v>
      </c>
      <c r="P246" s="24" t="str">
        <f>テーブル1[[#This Row],[リンク]]&amp;テーブル1[[#This Row],[描画状況]]</f>
        <v>https://mitoristu.wixsite.com/kousaibako</v>
      </c>
      <c r="Q246" s="17">
        <f>1-(COUNTIF(P:P,_xlfn.TEXTJOIN(",",TRUE,テーブル1[[#This Row],[リンク]],テーブル1[[#This Row],[描画状況]]))/COUNTIF(F:F,テーブル1[[#This Row],[リンク]]))</f>
        <v>0.19999999999999996</v>
      </c>
      <c r="R246" s="16">
        <f ca="1">IFERROR(IF(テーブル1[[#This Row],[描画状況]]="",RAND()+(テーブル1[[#This Row],[列2]]*100),""),RAND())</f>
        <v>20.834294951194103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|&amp;image(amatsuka-yuki.png,width=100,height=100)</v>
      </c>
      <c r="V246" s="23" t="str">
        <f>"|MIDDLE:​"&amp;テーブル1[[#This Row],[名前]]</f>
        <v>|MIDDLE:​天使雪</v>
      </c>
      <c r="W246" s="23" t="str">
        <f>"|MIDDLE:​"&amp;テーブル1[[#This Row],[なまえ]]</f>
        <v>|MIDDLE:​あまつか ゆき</v>
      </c>
      <c r="X246" s="23" t="str">
        <f>"|MIDDLE:​"&amp;テーブル1[[#This Row],[Name]]</f>
        <v>|MIDDLE:​Amatsuka Yuki</v>
      </c>
      <c r="Y246" s="23" t="str">
        <f>"|MIDDLE:​&amp;link(配布所はこちら){​"&amp;テーブル1[[#This Row],[リンク]]&amp;"}|"</f>
        <v>|MIDDLE:​&amp;link(配布所はこちら){​https://mitoristu.wixsite.com/kousaibako}|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7" s="24" t="s">
        <v>846</v>
      </c>
      <c r="D247" s="23" t="s">
        <v>847</v>
      </c>
      <c r="E247" s="23" t="s">
        <v>848</v>
      </c>
      <c r="F247" s="2" t="s">
        <v>829</v>
      </c>
      <c r="G247" s="23" t="s">
        <v>830</v>
      </c>
      <c r="P247" s="24" t="str">
        <f>テーブル1[[#This Row],[リンク]]&amp;テーブル1[[#This Row],[描画状況]]</f>
        <v>https://kaedekatusaki.wixsite.com/yanagiroutyou</v>
      </c>
      <c r="Q247" s="17">
        <f>1-(COUNTIF(P:P,_xlfn.TEXTJOIN(",",TRUE,テーブル1[[#This Row],[リンク]],テーブル1[[#This Row],[描画状況]]))/COUNTIF(F:F,テーブル1[[#This Row],[リンク]]))</f>
        <v>0.125</v>
      </c>
      <c r="R247" s="16">
        <f ca="1">IFERROR(IF(テーブル1[[#This Row],[描画状況]]="",RAND()+(テーブル1[[#This Row],[列2]]*100),""),RAND())</f>
        <v>13.43979758418617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|&amp;image(amatsuroid.png,width=100,height=100)</v>
      </c>
      <c r="V247" s="23" t="str">
        <f>"|MIDDLE:​"&amp;テーブル1[[#This Row],[名前]]</f>
        <v>|MIDDLE:​アマツロイド</v>
      </c>
      <c r="W247" s="23" t="str">
        <f>"|MIDDLE:​"&amp;テーブル1[[#This Row],[なまえ]]</f>
        <v>|MIDDLE:​あまつろいど</v>
      </c>
      <c r="X247" s="23" t="str">
        <f>"|MIDDLE:​"&amp;テーブル1[[#This Row],[Name]]</f>
        <v>|MIDDLE:​Amatsuroid</v>
      </c>
      <c r="Y24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8" s="24" t="s">
        <v>990</v>
      </c>
      <c r="D248" s="23" t="s">
        <v>991</v>
      </c>
      <c r="E248" s="23" t="s">
        <v>992</v>
      </c>
      <c r="F248" s="2" t="s">
        <v>568</v>
      </c>
      <c r="G248" s="23" t="s">
        <v>569</v>
      </c>
      <c r="N248" s="1" t="s">
        <v>1497</v>
      </c>
      <c r="P248" s="24" t="str">
        <f>テーブル1[[#This Row],[リンク]]&amp;テーブル1[[#This Row],[描画状況]]</f>
        <v>https://askdance.wixsite.com/monitor-room/monitor-room</v>
      </c>
      <c r="Q248" s="17">
        <f>1-(COUNTIF(P:P,_xlfn.TEXTJOIN(",",TRUE,テーブル1[[#This Row],[リンク]],テーブル1[[#This Row],[描画状況]]))/COUNTIF(F:F,テーブル1[[#This Row],[リンク]]))</f>
        <v>9.9999999999999978E-2</v>
      </c>
      <c r="R248" s="16">
        <f ca="1">IFERROR(IF(テーブル1[[#This Row],[描画状況]]="",RAND()+(テーブル1[[#This Row],[列2]]*100),""),RAND())</f>
        <v>10.629368002746402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|&amp;image(ameaya-nano.png,width=100,height=100)</v>
      </c>
      <c r="V248" s="23" t="str">
        <f>"|MIDDLE:​"&amp;テーブル1[[#This Row],[名前]]</f>
        <v>|MIDDLE:​天彩渚乃</v>
      </c>
      <c r="W248" s="23" t="str">
        <f>"|MIDDLE:​"&amp;テーブル1[[#This Row],[なまえ]]</f>
        <v>|MIDDLE:​あめあや なの</v>
      </c>
      <c r="X248" s="23" t="str">
        <f>"|MIDDLE:​"&amp;テーブル1[[#This Row],[Name]]</f>
        <v>|MIDDLE:​Ameaya Nano</v>
      </c>
      <c r="Y24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9" s="24" t="s">
        <v>1776</v>
      </c>
      <c r="D249" s="23" t="s">
        <v>1777</v>
      </c>
      <c r="E249" s="23" t="s">
        <v>1778</v>
      </c>
      <c r="F249" s="2" t="s">
        <v>97</v>
      </c>
      <c r="G249" s="23" t="s">
        <v>98</v>
      </c>
      <c r="H249" s="23" t="s">
        <v>1606</v>
      </c>
      <c r="I249" s="23" t="s">
        <v>1839</v>
      </c>
      <c r="L249" s="23" t="s">
        <v>1840</v>
      </c>
      <c r="M249" s="23" t="s">
        <v>1630</v>
      </c>
      <c r="N249" s="1" t="s">
        <v>1497</v>
      </c>
      <c r="P249" s="24" t="str">
        <f>テーブル1[[#This Row],[リンク]]&amp;テーブル1[[#This Row],[描画状況]]</f>
        <v>https://hinagitsune-utau.wixsite.com/utaukokorone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20.789482620909236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|&amp;image(amaze-maze-noisette.png,width=100,height=100)</v>
      </c>
      <c r="V249" s="23" t="str">
        <f>"|MIDDLE:​"&amp;テーブル1[[#This Row],[名前]]</f>
        <v>|MIDDLE:​アメイズ・メイズ・ノワゼット</v>
      </c>
      <c r="W249" s="23" t="str">
        <f>"|MIDDLE:​"&amp;テーブル1[[#This Row],[なまえ]]</f>
        <v>|MIDDLE:​あめいず めいず のわぜっと</v>
      </c>
      <c r="X249" s="23" t="str">
        <f>"|MIDDLE:​"&amp;テーブル1[[#This Row],[Name]]</f>
        <v>|MIDDLE:​Amaze Maze Noisette</v>
      </c>
      <c r="Y24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0" s="24" t="s">
        <v>948</v>
      </c>
      <c r="D250" s="23" t="s">
        <v>949</v>
      </c>
      <c r="E250" s="23" t="s">
        <v>950</v>
      </c>
      <c r="F250" s="2" t="s">
        <v>672</v>
      </c>
      <c r="G250" s="23" t="s">
        <v>673</v>
      </c>
      <c r="N250" s="1" t="s">
        <v>1497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20.945050208194907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|&amp;image(ameuta-nives.png,width=100,height=100)</v>
      </c>
      <c r="V250" s="23" t="str">
        <f>"|MIDDLE:​"&amp;テーブル1[[#This Row],[名前]]</f>
        <v>|MIDDLE:​飴唄ニーヴェス</v>
      </c>
      <c r="W250" s="23" t="str">
        <f>"|MIDDLE:​"&amp;テーブル1[[#This Row],[なまえ]]</f>
        <v>|MIDDLE:​あめうた にーゔぇす</v>
      </c>
      <c r="X250" s="23" t="str">
        <f>"|MIDDLE:​"&amp;テーブル1[[#This Row],[Name]]</f>
        <v>|MIDDLE:​Ameuta Nives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1" s="24" t="s">
        <v>927</v>
      </c>
      <c r="D251" s="23" t="s">
        <v>928</v>
      </c>
      <c r="E251" s="23" t="s">
        <v>929</v>
      </c>
      <c r="F251" s="2" t="s">
        <v>672</v>
      </c>
      <c r="G251" s="23" t="s">
        <v>673</v>
      </c>
      <c r="N251" s="1" t="s">
        <v>1497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20.620828157883114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|&amp;image(ameuta-niko.png,width=100,height=100)</v>
      </c>
      <c r="V251" s="23" t="str">
        <f>"|MIDDLE:​"&amp;テーブル1[[#This Row],[名前]]</f>
        <v>|MIDDLE:​飴唄仁胡</v>
      </c>
      <c r="W251" s="23" t="str">
        <f>"|MIDDLE:​"&amp;テーブル1[[#This Row],[なまえ]]</f>
        <v>|MIDDLE:​あめうた にこ</v>
      </c>
      <c r="X251" s="23" t="str">
        <f>"|MIDDLE:​"&amp;テーブル1[[#This Row],[Name]]</f>
        <v>|MIDDLE:​Ameuta Niko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2" s="24" t="s">
        <v>933</v>
      </c>
      <c r="D252" s="23" t="s">
        <v>934</v>
      </c>
      <c r="E252" s="23" t="s">
        <v>935</v>
      </c>
      <c r="F252" s="2" t="s">
        <v>672</v>
      </c>
      <c r="G252" s="23" t="s">
        <v>673</v>
      </c>
      <c r="N252" s="1" t="s">
        <v>1497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20.190319493064298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|&amp;image(ameuta-nije.png,width=100,height=100)</v>
      </c>
      <c r="V252" s="23" t="str">
        <f>"|MIDDLE:​"&amp;テーブル1[[#This Row],[名前]]</f>
        <v>|MIDDLE:​飴唄ニジェ</v>
      </c>
      <c r="W252" s="23" t="str">
        <f>"|MIDDLE:​"&amp;テーブル1[[#This Row],[なまえ]]</f>
        <v>|MIDDLE:​あめうた にじぇ</v>
      </c>
      <c r="X252" s="23" t="str">
        <f>"|MIDDLE:​"&amp;テーブル1[[#This Row],[Name]]</f>
        <v>|MIDDLE:​Ameuta Nije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3" s="24" t="s">
        <v>951</v>
      </c>
      <c r="D253" s="23" t="s">
        <v>952</v>
      </c>
      <c r="E253" s="23" t="s">
        <v>953</v>
      </c>
      <c r="F253" s="2" t="s">
        <v>672</v>
      </c>
      <c r="G253" s="23" t="s">
        <v>673</v>
      </c>
      <c r="N253" s="1" t="s">
        <v>1497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20.846865414964377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|&amp;image(ameuta-nisen.png,width=100,height=100)</v>
      </c>
      <c r="V253" s="23" t="str">
        <f>"|MIDDLE:​"&amp;テーブル1[[#This Row],[名前]]</f>
        <v>|MIDDLE:​飴唄2000</v>
      </c>
      <c r="W253" s="23" t="str">
        <f>"|MIDDLE:​"&amp;テーブル1[[#This Row],[なまえ]]</f>
        <v>|MIDDLE:​あめうた にせん</v>
      </c>
      <c r="X253" s="23" t="str">
        <f>"|MIDDLE:​"&amp;テーブル1[[#This Row],[Name]]</f>
        <v>|MIDDLE:​Ameuta Nisen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4" s="24" t="s">
        <v>936</v>
      </c>
      <c r="D254" s="23" t="s">
        <v>937</v>
      </c>
      <c r="E254" s="23" t="s">
        <v>938</v>
      </c>
      <c r="F254" s="2" t="s">
        <v>672</v>
      </c>
      <c r="G254" s="23" t="s">
        <v>673</v>
      </c>
      <c r="N254" s="1" t="s">
        <v>1497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20.677198566823371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|&amp;image(ameuta-nina.png,width=100,height=100)</v>
      </c>
      <c r="V254" s="23" t="str">
        <f>"|MIDDLE:​"&amp;テーブル1[[#This Row],[名前]]</f>
        <v>|MIDDLE:​飴唄ニナ</v>
      </c>
      <c r="W254" s="23" t="str">
        <f>"|MIDDLE:​"&amp;テーブル1[[#This Row],[なまえ]]</f>
        <v>|MIDDLE:​あめうた にな</v>
      </c>
      <c r="X254" s="23" t="str">
        <f>"|MIDDLE:​"&amp;テーブル1[[#This Row],[Name]]</f>
        <v>|MIDDLE:​Ameuta Nina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5" s="24" t="s">
        <v>945</v>
      </c>
      <c r="D255" s="23" t="s">
        <v>946</v>
      </c>
      <c r="E255" s="23" t="s">
        <v>947</v>
      </c>
      <c r="F255" s="2" t="s">
        <v>672</v>
      </c>
      <c r="G255" s="23" t="s">
        <v>673</v>
      </c>
      <c r="N255" s="1" t="s">
        <v>1497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20.882523685969645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|&amp;image(ameuta-ninon.png,width=100,height=100)</v>
      </c>
      <c r="V255" s="23" t="str">
        <f>"|MIDDLE:​"&amp;テーブル1[[#This Row],[名前]]</f>
        <v>|MIDDLE:​飴唄ニノン</v>
      </c>
      <c r="W255" s="23" t="str">
        <f>"|MIDDLE:​"&amp;テーブル1[[#This Row],[なまえ]]</f>
        <v>|MIDDLE:​あめうた にのん</v>
      </c>
      <c r="X255" s="23" t="str">
        <f>"|MIDDLE:​"&amp;テーブル1[[#This Row],[Name]]</f>
        <v>|MIDDLE:​Ameuta Ninon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6" s="24" t="s">
        <v>765</v>
      </c>
      <c r="D256" s="23" t="s">
        <v>766</v>
      </c>
      <c r="E256" s="23" t="s">
        <v>767</v>
      </c>
      <c r="F256" s="2" t="s">
        <v>672</v>
      </c>
      <c r="G256" s="23" t="s">
        <v>673</v>
      </c>
      <c r="N256" s="1" t="s">
        <v>1497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20.491642762798399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|&amp;image(ameuta-nihito.png,width=100,height=100)</v>
      </c>
      <c r="V256" s="23" t="str">
        <f>"|MIDDLE:​"&amp;テーブル1[[#This Row],[名前]]</f>
        <v>|MIDDLE:​飴唄ニヒト</v>
      </c>
      <c r="W256" s="23" t="str">
        <f>"|MIDDLE:​"&amp;テーブル1[[#This Row],[なまえ]]</f>
        <v>|MIDDLE:​あめうた にひと</v>
      </c>
      <c r="X256" s="23" t="str">
        <f>"|MIDDLE:​"&amp;テーブル1[[#This Row],[Name]]</f>
        <v>|MIDDLE:​Ameuta Nihito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7" s="24" t="s">
        <v>918</v>
      </c>
      <c r="D257" s="23" t="s">
        <v>919</v>
      </c>
      <c r="E257" s="23" t="s">
        <v>920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20.172559025841021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|&amp;image(ameuta-nipo.png,width=100,height=100)</v>
      </c>
      <c r="V257" s="23" t="str">
        <f>"|MIDDLE:​"&amp;テーブル1[[#This Row],[名前]]</f>
        <v>|MIDDLE:​飴唄にぽ</v>
      </c>
      <c r="W257" s="23" t="str">
        <f>"|MIDDLE:​"&amp;テーブル1[[#This Row],[なまえ]]</f>
        <v>|MIDDLE:​あめうた にぽ</v>
      </c>
      <c r="X257" s="23" t="str">
        <f>"|MIDDLE:​"&amp;テーブル1[[#This Row],[Name]]</f>
        <v>|MIDDLE:​Ameuta Nipo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8" s="24" t="s">
        <v>942</v>
      </c>
      <c r="D258" s="23" t="s">
        <v>943</v>
      </c>
      <c r="E258" s="23" t="s">
        <v>944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20.149263928780353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|&amp;image(ameuta-niyusu.png,width=100,height=100)</v>
      </c>
      <c r="V258" s="23" t="str">
        <f>"|MIDDLE:​"&amp;テーブル1[[#This Row],[名前]]</f>
        <v>|MIDDLE:​飴唄ニユス</v>
      </c>
      <c r="W258" s="23" t="str">
        <f>"|MIDDLE:​"&amp;テーブル1[[#This Row],[なまえ]]</f>
        <v>|MIDDLE:​あめうた にゆす</v>
      </c>
      <c r="X258" s="23" t="str">
        <f>"|MIDDLE:​"&amp;テーブル1[[#This Row],[Name]]</f>
        <v>|MIDDLE:​Ameuta Niyusu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9" s="24" t="s">
        <v>939</v>
      </c>
      <c r="D259" s="23" t="s">
        <v>940</v>
      </c>
      <c r="E259" s="23" t="s">
        <v>941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20.287130168762985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|&amp;image(ameuta-niriya.png,width=100,height=100)</v>
      </c>
      <c r="V259" s="23" t="str">
        <f>"|MIDDLE:​"&amp;テーブル1[[#This Row],[名前]]</f>
        <v>|MIDDLE:​飴唄ニリヤ</v>
      </c>
      <c r="W259" s="23" t="str">
        <f>"|MIDDLE:​"&amp;テーブル1[[#This Row],[なまえ]]</f>
        <v>|MIDDLE:​あめうた にりや</v>
      </c>
      <c r="X259" s="23" t="str">
        <f>"|MIDDLE:​"&amp;テーブル1[[#This Row],[Name]]</f>
        <v>|MIDDLE:​Ameuta Niriya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0" s="24" t="s">
        <v>930</v>
      </c>
      <c r="D260" s="23" t="s">
        <v>931</v>
      </c>
      <c r="E260" s="23" t="s">
        <v>932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20.273930523701456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|&amp;image(ameuta-niru.png,width=100,height=100)</v>
      </c>
      <c r="V260" s="23" t="str">
        <f>"|MIDDLE:​"&amp;テーブル1[[#This Row],[名前]]</f>
        <v>|MIDDLE:​飴唄ニル</v>
      </c>
      <c r="W260" s="23" t="str">
        <f>"|MIDDLE:​"&amp;テーブル1[[#This Row],[なまえ]]</f>
        <v>|MIDDLE:​あめうた にる</v>
      </c>
      <c r="X260" s="23" t="str">
        <f>"|MIDDLE:​"&amp;テーブル1[[#This Row],[Name]]</f>
        <v>|MIDDLE:​Ameuta Niru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1" s="24" t="s">
        <v>1120</v>
      </c>
      <c r="D261" s="23" t="s">
        <v>1122</v>
      </c>
      <c r="E261" s="23" t="s">
        <v>1121</v>
      </c>
      <c r="F261" s="15" t="s">
        <v>1138</v>
      </c>
      <c r="G261" s="23" t="str">
        <f>テーブル1[[#This Row],[名前]]&amp;"(UTAU)"</f>
        <v>斐音ハチカ(UTAU)</v>
      </c>
      <c r="P261" s="24" t="str">
        <f>テーブル1[[#This Row],[リンク]]&amp;テーブル1[[#This Row],[描画状況]]</f>
        <v>https://yautau.wixsite.com/0909</v>
      </c>
      <c r="Q261" s="17">
        <f>1-(COUNTIF(P:P,_xlfn.TEXTJOIN(",",TRUE,テーブル1[[#This Row],[リンク]],テーブル1[[#This Row],[描画状況]]))/COUNTIF(F:F,テーブル1[[#This Row],[リンク]]))</f>
        <v>0.125</v>
      </c>
      <c r="R261" s="16">
        <f ca="1">IFERROR(IF(テーブル1[[#This Row],[描画状況]]="",RAND()+(テーブル1[[#This Row],[列2]]*100),""),RAND())</f>
        <v>12.626537744781714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|&amp;image(ayarune-hachika.png,width=100,height=100)</v>
      </c>
      <c r="V261" s="23" t="str">
        <f>"|MIDDLE:​"&amp;テーブル1[[#This Row],[名前]]</f>
        <v>|MIDDLE:​斐音ハチカ</v>
      </c>
      <c r="W261" s="23" t="str">
        <f>"|MIDDLE:​"&amp;テーブル1[[#This Row],[なまえ]]</f>
        <v>|MIDDLE:​あやるね はちか</v>
      </c>
      <c r="X261" s="23" t="str">
        <f>"|MIDDLE:​"&amp;テーブル1[[#This Row],[Name]]</f>
        <v>|MIDDLE:​Ayarune Hachika</v>
      </c>
      <c r="Y261" s="23" t="str">
        <f>"|MIDDLE:​&amp;link(配布所はこちら){​"&amp;テーブル1[[#This Row],[リンク]]&amp;"}|"</f>
        <v>|MIDDLE:​&amp;link(配布所はこちら){​https://yautau.wixsite.com/0909}|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2" s="24" t="s">
        <v>818</v>
      </c>
      <c r="D262" s="23" t="s">
        <v>819</v>
      </c>
      <c r="E262" s="23" t="s">
        <v>820</v>
      </c>
      <c r="F262" s="2" t="s">
        <v>810</v>
      </c>
      <c r="G262" s="23" t="s">
        <v>811</v>
      </c>
      <c r="P262" s="24" t="str">
        <f>テーブル1[[#This Row],[リンク]]&amp;テーブル1[[#This Row],[描画状況]]</f>
        <v>https://makurakue.wixsite.com/kemononokemono</v>
      </c>
      <c r="Q262" s="17">
        <f>1-(COUNTIF(P:P,_xlfn.TEXTJOIN(",",TRUE,テーブル1[[#This Row],[リンク]],テーブル1[[#This Row],[描画状況]]))/COUNTIF(F:F,テーブル1[[#This Row],[リンク]]))</f>
        <v>0.4</v>
      </c>
      <c r="R262" s="16">
        <f ca="1">IFERROR(IF(テーブル1[[#This Row],[描画状況]]="",RAND()+(テーブル1[[#This Row],[列2]]*100),""),RAND())</f>
        <v>40.976626276856479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|&amp;image(alia.png,width=100,height=100)</v>
      </c>
      <c r="V262" s="23" t="str">
        <f>"|MIDDLE:​"&amp;テーブル1[[#This Row],[名前]]</f>
        <v>|MIDDLE:​アリア</v>
      </c>
      <c r="W262" s="23" t="str">
        <f>"|MIDDLE:​"&amp;テーブル1[[#This Row],[なまえ]]</f>
        <v>|MIDDLE:​ありあ</v>
      </c>
      <c r="X262" s="23" t="str">
        <f>"|MIDDLE:​"&amp;テーブル1[[#This Row],[Name]]</f>
        <v>|MIDDLE:​Alia</v>
      </c>
      <c r="Y262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3" s="24" t="s">
        <v>1075</v>
      </c>
      <c r="D263" s="23" t="s">
        <v>1076</v>
      </c>
      <c r="E263" s="23" t="s">
        <v>1077</v>
      </c>
      <c r="F263" s="15" t="s">
        <v>1061</v>
      </c>
      <c r="G263" s="23" t="s">
        <v>1062</v>
      </c>
      <c r="P263" s="24" t="str">
        <f>テーブル1[[#This Row],[リンク]]&amp;テーブル1[[#This Row],[描画状況]]</f>
        <v>https://yukimiyashimusho.jimdofree.com</v>
      </c>
      <c r="Q263" s="17">
        <f>1-(COUNTIF(P:P,_xlfn.TEXTJOIN(",",TRUE,テーブル1[[#This Row],[リンク]],テーブル1[[#This Row],[描画状況]]))/COUNTIF(F:F,テーブル1[[#This Row],[リンク]]))</f>
        <v>7.1428571428571397E-2</v>
      </c>
      <c r="R263" s="16">
        <f ca="1">IFERROR(IF(テーブル1[[#This Row],[描画状況]]="",RAND()+(テーブル1[[#This Row],[列2]]*100),""),RAND())</f>
        <v>7.3893427895089934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|&amp;image(awaawa-chan.png,width=100,height=100)</v>
      </c>
      <c r="V263" s="23" t="str">
        <f>"|MIDDLE:​"&amp;テーブル1[[#This Row],[名前]]</f>
        <v>|MIDDLE:​粟沫ちゃん</v>
      </c>
      <c r="W263" s="23" t="str">
        <f>"|MIDDLE:​"&amp;テーブル1[[#This Row],[なまえ]]</f>
        <v>|MIDDLE:​あわあわちゃん</v>
      </c>
      <c r="X263" s="23" t="str">
        <f>"|MIDDLE:​"&amp;テーブル1[[#This Row],[Name]]</f>
        <v>|MIDDLE:​Awaawa-chan</v>
      </c>
      <c r="Y263" s="23" t="str">
        <f>"|MIDDLE:​&amp;link(配布所はこちら){​"&amp;テーブル1[[#This Row],[リンク]]&amp;"}|"</f>
        <v>|MIDDLE:​&amp;link(配布所はこちら){​https://yukimiyashimusho.jimdofree.com}|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4" s="24" t="s">
        <v>655</v>
      </c>
      <c r="D264" s="23" t="s">
        <v>656</v>
      </c>
      <c r="E264" s="23" t="s">
        <v>657</v>
      </c>
      <c r="F264" s="2" t="s">
        <v>654</v>
      </c>
      <c r="G264" s="23" t="s">
        <v>658</v>
      </c>
      <c r="P264" s="24" t="str">
        <f>テーブル1[[#This Row],[リンク]]&amp;テーブル1[[#This Row],[描画状況]]</f>
        <v>https://mashimo0330.wixsite.com/awaka-utau</v>
      </c>
      <c r="Q264" s="17">
        <f>1-(COUNTIF(P:P,_xlfn.TEXTJOIN(",",TRUE,テーブル1[[#This Row],[リンク]],テーブル1[[#This Row],[描画状況]]))/COUNTIF(F:F,テーブル1[[#This Row],[リンク]]))</f>
        <v>0.5</v>
      </c>
      <c r="R264" s="16">
        <f ca="1">IFERROR(IF(テーブル1[[#This Row],[描画状況]]="",RAND()+(テーブル1[[#This Row],[列2]]*100),""),RAND())</f>
        <v>50.832214305701399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|&amp;image(awaka-mizuha.png,width=100,height=100)</v>
      </c>
      <c r="V264" s="23" t="str">
        <f>"|MIDDLE:​"&amp;テーブル1[[#This Row],[名前]]</f>
        <v>|MIDDLE:​泡歌ミズハ</v>
      </c>
      <c r="W264" s="23" t="str">
        <f>"|MIDDLE:​"&amp;テーブル1[[#This Row],[なまえ]]</f>
        <v>|MIDDLE:​あわか みずは</v>
      </c>
      <c r="X264" s="23" t="str">
        <f>"|MIDDLE:​"&amp;テーブル1[[#This Row],[Name]]</f>
        <v>|MIDDLE:​Awaka Mizuha</v>
      </c>
      <c r="Y264" s="23" t="str">
        <f>"|MIDDLE:​&amp;link(配布所はこちら){​"&amp;テーブル1[[#This Row],[リンク]]&amp;"}|"</f>
        <v>|MIDDLE:​&amp;link(配布所はこちら){​https://mashimo0330.wixsite.com/awaka-utau}|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5" s="24" t="s">
        <v>1146</v>
      </c>
      <c r="D265" s="23" t="s">
        <v>1147</v>
      </c>
      <c r="E265" s="23" t="s">
        <v>1148</v>
      </c>
      <c r="F265" s="15" t="s">
        <v>1139</v>
      </c>
      <c r="G265" s="23" t="s">
        <v>1152</v>
      </c>
      <c r="P265" s="24" t="str">
        <f>テーブル1[[#This Row],[リンク]]&amp;テーブル1[[#This Row],[描画状況]]</f>
        <v>https://sites.google.com/view/report1023</v>
      </c>
      <c r="Q265" s="17">
        <f>1-(COUNTIF(P:P,_xlfn.TEXTJOIN(",",TRUE,テーブル1[[#This Row],[リンク]],テーブル1[[#This Row],[描画状況]]))/COUNTIF(F:F,テーブル1[[#This Row],[リンク]]))</f>
        <v>0</v>
      </c>
      <c r="R265" s="16">
        <f ca="1">IFERROR(IF(テーブル1[[#This Row],[描画状況]]="",RAND()+(テーブル1[[#This Row],[列2]]*100),""),RAND())</f>
        <v>0.20561013866034261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|&amp;image(ion-moka.png,width=100,height=100)</v>
      </c>
      <c r="V265" s="23" t="str">
        <f>"|MIDDLE:​"&amp;テーブル1[[#This Row],[名前]]</f>
        <v>|MIDDLE:​唯音文歌</v>
      </c>
      <c r="W265" s="23" t="str">
        <f>"|MIDDLE:​"&amp;テーブル1[[#This Row],[なまえ]]</f>
        <v>|MIDDLE:​いおん もか</v>
      </c>
      <c r="X265" s="23" t="str">
        <f>"|MIDDLE:​"&amp;テーブル1[[#This Row],[Name]]</f>
        <v>|MIDDLE:​Ion Moka</v>
      </c>
      <c r="Y265" s="23" t="str">
        <f>"|MIDDLE:​&amp;link(配布所はこちら){​"&amp;テーブル1[[#This Row],[リンク]]&amp;"}|"</f>
        <v>|MIDDLE:​&amp;link(配布所はこちら){​https://sites.google.com/view/report1023}|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6" s="24" t="s">
        <v>1140</v>
      </c>
      <c r="D266" s="23" t="s">
        <v>1141</v>
      </c>
      <c r="E266" s="23" t="s">
        <v>1142</v>
      </c>
      <c r="F266" s="15" t="s">
        <v>1139</v>
      </c>
      <c r="G266" s="23" t="s">
        <v>1152</v>
      </c>
      <c r="P266" s="24" t="str">
        <f>テーブル1[[#This Row],[リンク]]&amp;テーブル1[[#This Row],[描画状況]]</f>
        <v>https://sites.google.com/view/report1023</v>
      </c>
      <c r="Q266" s="17">
        <f>1-(COUNTIF(P:P,_xlfn.TEXTJOIN(",",TRUE,テーブル1[[#This Row],[リンク]],テーブル1[[#This Row],[描画状況]]))/COUNTIF(F:F,テーブル1[[#This Row],[リンク]]))</f>
        <v>0</v>
      </c>
      <c r="R266" s="16">
        <f ca="1">IFERROR(IF(テーブル1[[#This Row],[描画状況]]="",RAND()+(テーブル1[[#This Row],[列2]]*100),""),RAND())</f>
        <v>0.1978207913460367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|&amp;image(ion-rika.png,width=100,height=100)</v>
      </c>
      <c r="V266" s="23" t="str">
        <f>"|MIDDLE:​"&amp;テーブル1[[#This Row],[名前]]</f>
        <v>|MIDDLE:​唯音理歌</v>
      </c>
      <c r="W266" s="23" t="str">
        <f>"|MIDDLE:​"&amp;テーブル1[[#This Row],[なまえ]]</f>
        <v>|MIDDLE:​いおん りか</v>
      </c>
      <c r="X266" s="23" t="str">
        <f>"|MIDDLE:​"&amp;テーブル1[[#This Row],[Name]]</f>
        <v>|MIDDLE:​Ion Rika</v>
      </c>
      <c r="Y266" s="23" t="str">
        <f>"|MIDDLE:​&amp;link(配布所はこちら){​"&amp;テーブル1[[#This Row],[リンク]]&amp;"}|"</f>
        <v>|MIDDLE:​&amp;link(配布所はこちら){​https://sites.google.com/view/report1023}|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7" s="24" t="s">
        <v>1096</v>
      </c>
      <c r="D267" s="23" t="s">
        <v>1097</v>
      </c>
      <c r="E267" s="23" t="s">
        <v>1098</v>
      </c>
      <c r="F267" s="15" t="s">
        <v>1061</v>
      </c>
      <c r="G267" s="23" t="s">
        <v>1062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7.3497244484449533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|&amp;image(ikuuta-sein.png,width=100,height=100)</v>
      </c>
      <c r="V267" s="23" t="str">
        <f>"|MIDDLE:​"&amp;テーブル1[[#This Row],[名前]]</f>
        <v>|MIDDLE:​郁歌セイン</v>
      </c>
      <c r="W267" s="23" t="str">
        <f>"|MIDDLE:​"&amp;テーブル1[[#This Row],[なまえ]]</f>
        <v>|MIDDLE:​いくうた せいん</v>
      </c>
      <c r="X267" s="23" t="str">
        <f>"|MIDDLE:​"&amp;テーブル1[[#This Row],[Name]]</f>
        <v>|MIDDLE:​Ikuuta Sein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8" s="24" t="s">
        <v>552</v>
      </c>
      <c r="D268" s="23" t="s">
        <v>553</v>
      </c>
      <c r="E268" s="23" t="s">
        <v>554</v>
      </c>
      <c r="F268" s="2" t="s">
        <v>555</v>
      </c>
      <c r="G268" s="23" t="str">
        <f>テーブル1[[#This Row],[名前]]&amp;"(UTAU)"</f>
        <v>悪戯セト(UTAU)</v>
      </c>
      <c r="N268" s="1" t="s">
        <v>1497</v>
      </c>
      <c r="P268" s="24" t="str">
        <f>テーブル1[[#This Row],[リンク]]&amp;テーブル1[[#This Row],[描画状況]]</f>
        <v>https://bowlroll.net/user/700434</v>
      </c>
      <c r="Q268" s="17">
        <f>1-(COUNTIF(P:P,_xlfn.TEXTJOIN(",",TRUE,テーブル1[[#This Row],[リンク]],テーブル1[[#This Row],[描画状況]]))/COUNTIF(F:F,テーブル1[[#This Row],[リンク]]))</f>
        <v>0.5</v>
      </c>
      <c r="R268" s="16">
        <f ca="1">IFERROR(IF(テーブル1[[#This Row],[描画状況]]="",RAND()+(テーブル1[[#This Row],[列2]]*100),""),RAND())</f>
        <v>50.177123605900306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|&amp;image(itazura-seto.png,width=100,height=100)</v>
      </c>
      <c r="V268" s="23" t="str">
        <f>"|MIDDLE:​"&amp;テーブル1[[#This Row],[名前]]</f>
        <v>|MIDDLE:​悪戯セト</v>
      </c>
      <c r="W268" s="23" t="str">
        <f>"|MIDDLE:​"&amp;テーブル1[[#This Row],[なまえ]]</f>
        <v>|MIDDLE:​いたずら せと</v>
      </c>
      <c r="X268" s="23" t="str">
        <f>"|MIDDLE:​"&amp;テーブル1[[#This Row],[Name]]</f>
        <v>|MIDDLE:​Itazura Seto</v>
      </c>
      <c r="Y268" s="23" t="str">
        <f>"|MIDDLE:​&amp;link(配布所はこちら){​"&amp;テーブル1[[#This Row],[リンク]]&amp;"}|"</f>
        <v>|MIDDLE:​&amp;link(配布所はこちら){​https://bowlroll.net/user/700434}|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9" s="24" t="s">
        <v>914</v>
      </c>
      <c r="D269" s="23" t="s">
        <v>916</v>
      </c>
      <c r="E269" s="23" t="s">
        <v>917</v>
      </c>
      <c r="F269" s="23" t="s">
        <v>417</v>
      </c>
      <c r="G269" s="23" t="s">
        <v>915</v>
      </c>
      <c r="P269" s="24" t="str">
        <f>テーブル1[[#This Row],[リンク]]&amp;テーブル1[[#This Row],[描画状況]]</f>
        <v>-</v>
      </c>
      <c r="Q269" s="17">
        <f>1-(COUNTIF(P:P,_xlfn.TEXTJOIN(",",TRUE,テーブル1[[#This Row],[リンク]],テーブル1[[#This Row],[描画状況]]))/COUNTIF(F:F,テーブル1[[#This Row],[リンク]]))</f>
        <v>0.33333333333333337</v>
      </c>
      <c r="R269" s="16">
        <f ca="1">IFERROR(IF(テーブル1[[#This Row],[描画状況]]="",RAND()+(テーブル1[[#This Row],[列2]]*100),""),RAND())</f>
        <v>34.253697804396104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|&amp;image(itokuri-samayu.png,width=100,height=100)</v>
      </c>
      <c r="V269" s="23" t="str">
        <f>"|MIDDLE:​"&amp;テーブル1[[#This Row],[名前]]</f>
        <v>|MIDDLE:​糸來さまゆ</v>
      </c>
      <c r="W269" s="23" t="str">
        <f>"|MIDDLE:​"&amp;テーブル1[[#This Row],[なまえ]]</f>
        <v>|MIDDLE:​いとくり さまゆ</v>
      </c>
      <c r="X269" s="23" t="str">
        <f>"|MIDDLE:​"&amp;テーブル1[[#This Row],[Name]]</f>
        <v>|MIDDLE:​Itokuri Samayu</v>
      </c>
      <c r="Y269" s="23" t="str">
        <f>"|MIDDLE:​&amp;link(配布所はこちら){​"&amp;テーブル1[[#This Row],[リンク]]&amp;"}|"</f>
        <v>|MIDDLE:​&amp;link(配布所はこちら){​-}|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0" s="24" t="s">
        <v>1058</v>
      </c>
      <c r="D270" s="23" t="s">
        <v>1059</v>
      </c>
      <c r="E270" s="23" t="s">
        <v>1060</v>
      </c>
      <c r="F270" s="15" t="s">
        <v>1061</v>
      </c>
      <c r="G270" s="23" t="s">
        <v>1062</v>
      </c>
      <c r="P270" s="24" t="str">
        <f>テーブル1[[#This Row],[リンク]]&amp;テーブル1[[#This Row],[描画状況]]</f>
        <v>https://yukimiyashimusho.jimdofree.com</v>
      </c>
      <c r="Q270" s="17">
        <f>1-(COUNTIF(P:P,_xlfn.TEXTJOIN(",",TRUE,テーブル1[[#This Row],[リンク]],テーブル1[[#This Row],[描画状況]]))/COUNTIF(F:F,テーブル1[[#This Row],[リンク]]))</f>
        <v>7.1428571428571397E-2</v>
      </c>
      <c r="R270" s="16">
        <f ca="1">IFERROR(IF(テーブル1[[#This Row],[描画状況]]="",RAND()+(テーブル1[[#This Row],[列2]]*100),""),RAND())</f>
        <v>7.8999349301273538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|&amp;image(usone-kuro.png,width=100,height=100)</v>
      </c>
      <c r="V270" s="23" t="str">
        <f>"|MIDDLE:​"&amp;テーブル1[[#This Row],[名前]]</f>
        <v>|MIDDLE:​噓音クロ</v>
      </c>
      <c r="W270" s="23" t="str">
        <f>"|MIDDLE:​"&amp;テーブル1[[#This Row],[なまえ]]</f>
        <v>|MIDDLE:​うそね くろ</v>
      </c>
      <c r="X270" s="23" t="str">
        <f>"|MIDDLE:​"&amp;テーブル1[[#This Row],[Name]]</f>
        <v>|MIDDLE:​Usone Kuro</v>
      </c>
      <c r="Y270" s="23" t="str">
        <f>"|MIDDLE:​&amp;link(配布所はこちら){​"&amp;テーブル1[[#This Row],[リンク]]&amp;"}|"</f>
        <v>|MIDDLE:​&amp;link(配布所はこちら){​https://yukimiyashimusho.jimdofree.com}|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1" s="24" t="s">
        <v>1203</v>
      </c>
      <c r="D271" s="23" t="s">
        <v>1219</v>
      </c>
      <c r="E271" s="23" t="s">
        <v>1218</v>
      </c>
      <c r="F271" s="15" t="s">
        <v>335</v>
      </c>
      <c r="G271" s="23" t="s">
        <v>336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13.298277535655403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|&amp;image(uta-senshi.png,width=100,height=100)</v>
      </c>
      <c r="V271" s="23" t="str">
        <f>"|MIDDLE:​"&amp;テーブル1[[#This Row],[名前]]</f>
        <v>|MIDDLE:​UTA戦死</v>
      </c>
      <c r="W271" s="23" t="str">
        <f>"|MIDDLE:​"&amp;テーブル1[[#This Row],[なまえ]]</f>
        <v>|MIDDLE:​うた せんし</v>
      </c>
      <c r="X271" s="23" t="str">
        <f>"|MIDDLE:​"&amp;テーブル1[[#This Row],[Name]]</f>
        <v>|MIDDLE:​Uta Senshi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2" s="24" t="s">
        <v>1202</v>
      </c>
      <c r="D272" s="23" t="s">
        <v>1217</v>
      </c>
      <c r="E272" s="23" t="s">
        <v>1216</v>
      </c>
      <c r="F272" s="15" t="s">
        <v>335</v>
      </c>
      <c r="G272" s="23" t="s">
        <v>336</v>
      </c>
      <c r="P272" s="24" t="str">
        <f>テーブル1[[#This Row],[リンク]]&amp;テーブル1[[#This Row],[描画状況]]</f>
        <v>https://torinosu-hikikomori.jimdofree.com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13.459742378666107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|&amp;image(uta-tuufuu.png,width=100,height=100)</v>
      </c>
      <c r="V272" s="23" t="str">
        <f>"|MIDDLE:​"&amp;テーブル1[[#This Row],[名前]]</f>
        <v>|MIDDLE:​UTA痛風</v>
      </c>
      <c r="W272" s="23" t="str">
        <f>"|MIDDLE:​"&amp;テーブル1[[#This Row],[なまえ]]</f>
        <v>|MIDDLE:​うた つうふう</v>
      </c>
      <c r="X272" s="23" t="str">
        <f>"|MIDDLE:​"&amp;テーブル1[[#This Row],[Name]]</f>
        <v>|MIDDLE:​Uta Tuufuu</v>
      </c>
      <c r="Y272" s="23" t="str">
        <f>"|MIDDLE:​&amp;link(配布所はこちら){​"&amp;テーブル1[[#This Row],[リンク]]&amp;"}|"</f>
        <v>|MIDDLE:​&amp;link(配布所はこちら){​https://torinosu-hikikomori.jimdofree.com}|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3" s="24" t="s">
        <v>1201</v>
      </c>
      <c r="D273" s="23" t="s">
        <v>1214</v>
      </c>
      <c r="E273" s="23" t="s">
        <v>1213</v>
      </c>
      <c r="F273" s="15" t="s">
        <v>335</v>
      </c>
      <c r="G273" s="23" t="s">
        <v>336</v>
      </c>
      <c r="P273" s="24" t="str">
        <f>テーブル1[[#This Row],[リンク]]&amp;テーブル1[[#This Row],[描画状況]]</f>
        <v>https://torinosu-hikikomori.jimdofree.com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13.497752832304126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|&amp;image(uta-naitou.png,width=100,height=100)</v>
      </c>
      <c r="V273" s="23" t="str">
        <f>"|MIDDLE:​"&amp;テーブル1[[#This Row],[名前]]</f>
        <v>|MIDDLE:​UTA内藤</v>
      </c>
      <c r="W273" s="23" t="str">
        <f>"|MIDDLE:​"&amp;テーブル1[[#This Row],[なまえ]]</f>
        <v>|MIDDLE:​うた ないとう</v>
      </c>
      <c r="X273" s="23" t="str">
        <f>"|MIDDLE:​"&amp;テーブル1[[#This Row],[Name]]</f>
        <v>|MIDDLE:​Uta Naitou</v>
      </c>
      <c r="Y273" s="23" t="str">
        <f>"|MIDDLE:​&amp;link(配布所はこちら){​"&amp;テーブル1[[#This Row],[リンク]]&amp;"}|"</f>
        <v>|MIDDLE:​&amp;link(配布所はこちら){​https://torinosu-hikikomori.jimdofree.com}|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4" s="24" t="s">
        <v>524</v>
      </c>
      <c r="D274" s="23" t="s">
        <v>525</v>
      </c>
      <c r="E274" s="28" t="s">
        <v>526</v>
      </c>
      <c r="F274" s="2" t="s">
        <v>215</v>
      </c>
      <c r="G274" s="23" t="s">
        <v>216</v>
      </c>
      <c r="H274" s="23" t="s">
        <v>1607</v>
      </c>
      <c r="I274" s="23" t="s">
        <v>1624</v>
      </c>
      <c r="K274" s="23" t="s">
        <v>1735</v>
      </c>
      <c r="L274" s="23" t="s">
        <v>1617</v>
      </c>
      <c r="M274" s="23" t="s">
        <v>1632</v>
      </c>
      <c r="N274" s="1" t="s">
        <v>1569</v>
      </c>
      <c r="P274" s="24" t="str">
        <f>テーブル1[[#This Row],[リンク]]&amp;テーブル1[[#This Row],[描画状況]]</f>
        <v>https://moqujc.wixsite.com/mqtop</v>
      </c>
      <c r="Q274" s="17">
        <f>1-(COUNTIF(P:P,_xlfn.TEXTJOIN(",",TRUE,テーブル1[[#This Row],[リンク]],テーブル1[[#This Row],[描画状況]]))/COUNTIF(F:F,テーブル1[[#This Row],[リンク]]))</f>
        <v>0.75</v>
      </c>
      <c r="R274" s="16">
        <f ca="1">IFERROR(IF(テーブル1[[#This Row],[描画状況]]="",RAND()+(テーブル1[[#This Row],[列2]]*100),""),RAND())</f>
        <v>75.009802253347345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|&amp;image(eke.png,width=100,height=100)</v>
      </c>
      <c r="V274" s="23" t="str">
        <f>"|MIDDLE:​"&amp;テーブル1[[#This Row],[名前]]</f>
        <v>|MIDDLE:​Akerr</v>
      </c>
      <c r="W274" s="23" t="str">
        <f>"|MIDDLE:​"&amp;テーブル1[[#This Row],[なまえ]]</f>
        <v>|MIDDLE:​えーけー</v>
      </c>
      <c r="X274" s="23" t="str">
        <f>"|MIDDLE:​"&amp;テーブル1[[#This Row],[Name]]</f>
        <v>|MIDDLE:​eke</v>
      </c>
      <c r="Y274" s="23" t="str">
        <f>"|MIDDLE:​&amp;link(配布所はこちら){​"&amp;テーブル1[[#This Row],[リンク]]&amp;"}|"</f>
        <v>|MIDDLE:​&amp;link(配布所はこちら){​https://moqujc.wixsite.com/mqtop}|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5" s="24" t="s">
        <v>849</v>
      </c>
      <c r="D275" s="23" t="s">
        <v>850</v>
      </c>
      <c r="E275" s="23" t="s">
        <v>853</v>
      </c>
      <c r="F275" s="2" t="s">
        <v>829</v>
      </c>
      <c r="G275" s="23" t="s">
        <v>830</v>
      </c>
      <c r="P275" s="24" t="str">
        <f>テーブル1[[#This Row],[リンク]]&amp;テーブル1[[#This Row],[描画状況]]</f>
        <v>https://kaedekatusaki.wixsite.com/yanagiroutyou</v>
      </c>
      <c r="Q275" s="17">
        <f>1-(COUNTIF(P:P,_xlfn.TEXTJOIN(",",TRUE,テーブル1[[#This Row],[リンク]],テーブル1[[#This Row],[描画状況]]))/COUNTIF(F:F,テーブル1[[#This Row],[リンク]]))</f>
        <v>0.125</v>
      </c>
      <c r="R275" s="16">
        <f ca="1">IFERROR(IF(テーブル1[[#This Row],[描画状況]]="",RAND()+(テーブル1[[#This Row],[列2]]*100),""),RAND())</f>
        <v>12.67370444093183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|&amp;image(ekida-mari.png,width=100,height=100)</v>
      </c>
      <c r="V275" s="23" t="str">
        <f>"|MIDDLE:​"&amp;テーブル1[[#This Row],[名前]]</f>
        <v>|MIDDLE:​柄木田真理</v>
      </c>
      <c r="W275" s="23" t="str">
        <f>"|MIDDLE:​"&amp;テーブル1[[#This Row],[なまえ]]</f>
        <v>|MIDDLE:​えきだ まり</v>
      </c>
      <c r="X275" s="23" t="str">
        <f>"|MIDDLE:​"&amp;テーブル1[[#This Row],[Name]]</f>
        <v>|MIDDLE:​Ekida Mari</v>
      </c>
      <c r="Y27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6" s="24" t="s">
        <v>851</v>
      </c>
      <c r="D276" s="23" t="s">
        <v>852</v>
      </c>
      <c r="E276" s="23" t="s">
        <v>854</v>
      </c>
      <c r="F276" s="2" t="s">
        <v>829</v>
      </c>
      <c r="G276" s="23" t="s">
        <v>830</v>
      </c>
      <c r="P276" s="24" t="str">
        <f>テーブル1[[#This Row],[リンク]]&amp;テーブル1[[#This Row],[描画状況]]</f>
        <v>https://kaedekatusaki.wixsite.com/yanagiroutyou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13.236039332477697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|&amp;image(ekida-rima.png,width=100,height=100)</v>
      </c>
      <c r="V276" s="23" t="str">
        <f>"|MIDDLE:​"&amp;テーブル1[[#This Row],[名前]]</f>
        <v>|MIDDLE:​柄木田理真</v>
      </c>
      <c r="W276" s="23" t="str">
        <f>"|MIDDLE:​"&amp;テーブル1[[#This Row],[なまえ]]</f>
        <v>|MIDDLE:​えきだ りま</v>
      </c>
      <c r="X276" s="23" t="str">
        <f>"|MIDDLE:​"&amp;テーブル1[[#This Row],[Name]]</f>
        <v>|MIDDLE:​Ekida Rima</v>
      </c>
      <c r="Y27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7" s="24" t="s">
        <v>1432</v>
      </c>
      <c r="D277" s="23" t="s">
        <v>1432</v>
      </c>
      <c r="E277" s="23" t="s">
        <v>1433</v>
      </c>
      <c r="F277" s="15" t="s">
        <v>1427</v>
      </c>
      <c r="G277" s="23" t="s">
        <v>1428</v>
      </c>
      <c r="P277" s="24" t="str">
        <f>テーブル1[[#This Row],[リンク]]&amp;テーブル1[[#This Row],[描画状況]]</f>
        <v>https://bowlroll.net/user/992955</v>
      </c>
      <c r="Q277" s="17">
        <f>1-(COUNTIF(P:P,_xlfn.TEXTJOIN(",",TRUE,テーブル1[[#This Row],[リンク]],テーブル1[[#This Row],[描画状況]]))/COUNTIF(F:F,テーブル1[[#This Row],[リンク]]))</f>
        <v>0</v>
      </c>
      <c r="R277" s="16">
        <f ca="1">IFERROR(IF(テーブル1[[#This Row],[描画状況]]="",RAND()+(テーブル1[[#This Row],[列2]]*100),""),RAND())</f>
        <v>0.109523125628191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|&amp;image(elmarie.png,width=100,height=100)</v>
      </c>
      <c r="V277" s="23" t="str">
        <f>"|MIDDLE:​"&amp;テーブル1[[#This Row],[名前]]</f>
        <v>|MIDDLE:​えるまりー</v>
      </c>
      <c r="W277" s="23" t="str">
        <f>"|MIDDLE:​"&amp;テーブル1[[#This Row],[なまえ]]</f>
        <v>|MIDDLE:​えるまりー</v>
      </c>
      <c r="X277" s="23" t="str">
        <f>"|MIDDLE:​"&amp;テーブル1[[#This Row],[Name]]</f>
        <v>|MIDDLE:​Elmarie</v>
      </c>
      <c r="Y277" s="23" t="str">
        <f>"|MIDDLE:​&amp;link(配布所はこちら){​"&amp;テーブル1[[#This Row],[リンク]]&amp;"}|"</f>
        <v>|MIDDLE:​&amp;link(配布所はこちら){​https://bowlroll.net/user/992955}|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8" s="24" t="s">
        <v>1327</v>
      </c>
      <c r="D278" s="23" t="s">
        <v>1328</v>
      </c>
      <c r="E278" s="23" t="s">
        <v>1329</v>
      </c>
      <c r="F278" s="23" t="s">
        <v>417</v>
      </c>
      <c r="G278" s="23" t="s">
        <v>1330</v>
      </c>
      <c r="P278" s="24" t="str">
        <f>テーブル1[[#This Row],[リンク]]&amp;テーブル1[[#This Row],[描画状況]]</f>
        <v>-</v>
      </c>
      <c r="Q278" s="17">
        <f>1-(COUNTIF(P:P,_xlfn.TEXTJOIN(",",TRUE,テーブル1[[#This Row],[リンク]],テーブル1[[#This Row],[描画状況]]))/COUNTIF(F:F,テーブル1[[#This Row],[リンク]]))</f>
        <v>0.33333333333333337</v>
      </c>
      <c r="R278" s="16">
        <f ca="1">IFERROR(IF(テーブル1[[#This Row],[描画状況]]="",RAND()+(テーブル1[[#This Row],[列2]]*100),""),RAND())</f>
        <v>33.662446110175026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|&amp;image(ouka-arisu.png,width=100,height=100)</v>
      </c>
      <c r="V278" s="23" t="str">
        <f>"|MIDDLE:​"&amp;テーブル1[[#This Row],[名前]]</f>
        <v>|MIDDLE:​櫻花アリス</v>
      </c>
      <c r="W278" s="23" t="str">
        <f>"|MIDDLE:​"&amp;テーブル1[[#This Row],[なまえ]]</f>
        <v>|MIDDLE:​おうか ありす</v>
      </c>
      <c r="X278" s="23" t="str">
        <f>"|MIDDLE:​"&amp;テーブル1[[#This Row],[Name]]</f>
        <v>|MIDDLE:​Ouka Arisu</v>
      </c>
      <c r="Y278" s="23" t="str">
        <f>"|MIDDLE:​&amp;link(配布所はこちら){​"&amp;テーブル1[[#This Row],[リンク]]&amp;"}|"</f>
        <v>|MIDDLE:​&amp;link(配布所はこちら){​-}|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9" s="24" t="s">
        <v>843</v>
      </c>
      <c r="D279" s="23" t="s">
        <v>844</v>
      </c>
      <c r="E279" s="23" t="s">
        <v>845</v>
      </c>
      <c r="F279" s="2" t="s">
        <v>829</v>
      </c>
      <c r="G279" s="23" t="s">
        <v>830</v>
      </c>
      <c r="P279" s="24" t="str">
        <f>テーブル1[[#This Row],[リンク]]&amp;テーブル1[[#This Row],[描画状況]]</f>
        <v>https://kaedekatusaki.wixsite.com/yanagiroutyou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13.215368194966352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|&amp;image(okashiikun.png,width=100,height=100)</v>
      </c>
      <c r="V279" s="23" t="str">
        <f>"|MIDDLE:​"&amp;テーブル1[[#This Row],[名前]]</f>
        <v>|MIDDLE:​おｋしいくん</v>
      </c>
      <c r="W279" s="23" t="str">
        <f>"|MIDDLE:​"&amp;テーブル1[[#This Row],[なまえ]]</f>
        <v>|MIDDLE:​おかしいくん</v>
      </c>
      <c r="X279" s="23" t="str">
        <f>"|MIDDLE:​"&amp;テーブル1[[#This Row],[Name]]</f>
        <v>|MIDDLE:​Okashiikun</v>
      </c>
      <c r="Y27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0" s="24" t="s">
        <v>1208</v>
      </c>
      <c r="D280" s="23" t="s">
        <v>1229</v>
      </c>
      <c r="E280" s="23" t="s">
        <v>1228</v>
      </c>
      <c r="F280" s="15" t="s">
        <v>335</v>
      </c>
      <c r="G280" s="23" t="s">
        <v>336</v>
      </c>
      <c r="P280" s="24" t="str">
        <f>テーブル1[[#This Row],[リンク]]&amp;テーブル1[[#This Row],[描画状況]]</f>
        <v>https://torinosu-hikikomori.jimdofree.com</v>
      </c>
      <c r="Q280" s="17">
        <f>1-(COUNTIF(P:P,_xlfn.TEXTJOIN(",",TRUE,テーブル1[[#This Row],[リンク]],テーブル1[[#This Row],[描画状況]]))/COUNTIF(F:F,テーブル1[[#This Row],[リンク]]))</f>
        <v>0.125</v>
      </c>
      <c r="R280" s="16">
        <f ca="1">IFERROR(IF(テーブル1[[#This Row],[描画状況]]="",RAND()+(テーブル1[[#This Row],[列2]]*100),""),RAND())</f>
        <v>13.25600361153454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|&amp;image(ohgi-fuki.png,width=100,height=100)</v>
      </c>
      <c r="V280" s="23" t="str">
        <f>"|MIDDLE:​"&amp;テーブル1[[#This Row],[名前]]</f>
        <v>|MIDDLE:​オーギ・フーキ</v>
      </c>
      <c r="W280" s="23" t="str">
        <f>"|MIDDLE:​"&amp;テーブル1[[#This Row],[なまえ]]</f>
        <v>|MIDDLE:​おぎ ふき</v>
      </c>
      <c r="X280" s="23" t="str">
        <f>"|MIDDLE:​"&amp;テーブル1[[#This Row],[Name]]</f>
        <v>|MIDDLE:​Ohgi Fuki</v>
      </c>
      <c r="Y280" s="23" t="str">
        <f>"|MIDDLE:​&amp;link(配布所はこちら){​"&amp;テーブル1[[#This Row],[リンク]]&amp;"}|"</f>
        <v>|MIDDLE:​&amp;link(配布所はこちら){​https://torinosu-hikikomori.jimdofree.com}|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1" s="24" t="s">
        <v>507</v>
      </c>
      <c r="D281" s="23" t="s">
        <v>508</v>
      </c>
      <c r="E281" s="23" t="s">
        <v>509</v>
      </c>
      <c r="F281" s="2" t="s">
        <v>36</v>
      </c>
      <c r="G281" s="23" t="s">
        <v>510</v>
      </c>
      <c r="N281" s="1" t="s">
        <v>1497</v>
      </c>
      <c r="P281" s="24" t="str">
        <f>テーブル1[[#This Row],[リンク]]&amp;テーブル1[[#This Row],[描画状況]]</f>
        <v>https://666not.wixsite.com/partition-voyage</v>
      </c>
      <c r="Q281" s="17">
        <f>1-(COUNTIF(P:P,_xlfn.TEXTJOIN(",",TRUE,テーブル1[[#This Row],[リンク]],テーブル1[[#This Row],[描画状況]]))/COUNTIF(F:F,テーブル1[[#This Row],[リンク]]))</f>
        <v>0.5</v>
      </c>
      <c r="R281" s="16">
        <f ca="1">IFERROR(IF(テーブル1[[#This Row],[描画状況]]="",RAND()+(テーブル1[[#This Row],[列2]]*100),""),RAND())</f>
        <v>50.122411718008152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|&amp;image(oshiro-tabi.png,width=100,height=100)</v>
      </c>
      <c r="V281" s="23" t="str">
        <f>"|MIDDLE:​"&amp;テーブル1[[#This Row],[名前]]</f>
        <v>|MIDDLE:​嗚代タビ</v>
      </c>
      <c r="W281" s="23" t="str">
        <f>"|MIDDLE:​"&amp;テーブル1[[#This Row],[なまえ]]</f>
        <v>|MIDDLE:​おしろ たび</v>
      </c>
      <c r="X281" s="23" t="str">
        <f>"|MIDDLE:​"&amp;テーブル1[[#This Row],[Name]]</f>
        <v>|MIDDLE:​Oshiro Tabi</v>
      </c>
      <c r="Y281" s="23" t="str">
        <f>"|MIDDLE:​&amp;link(配布所はこちら){​"&amp;テーブル1[[#This Row],[リンク]]&amp;"}|"</f>
        <v>|MIDDLE:​&amp;link(配布所はこちら){​https://666not.wixsite.com/partition-voyage}|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2" s="24" t="s">
        <v>757</v>
      </c>
      <c r="D282" s="23" t="s">
        <v>758</v>
      </c>
      <c r="E282" s="23" t="s">
        <v>759</v>
      </c>
      <c r="F282" s="15" t="s">
        <v>760</v>
      </c>
      <c r="G282" s="23" t="s">
        <v>761</v>
      </c>
      <c r="P282" s="24" t="str">
        <f>テーブル1[[#This Row],[リンク]]&amp;テーブル1[[#This Row],[描画状況]]</f>
        <v>https://bowlroll.net/user/634941</v>
      </c>
      <c r="Q282" s="17">
        <f>1-(COUNTIF(P:P,_xlfn.TEXTJOIN(",",TRUE,テーブル1[[#This Row],[リンク]],テーブル1[[#This Row],[描画状況]]))/COUNTIF(F:F,テーブル1[[#This Row],[リンク]]))</f>
        <v>0</v>
      </c>
      <c r="R282" s="16">
        <f ca="1">IFERROR(IF(テーブル1[[#This Row],[描画状況]]="",RAND()+(テーブル1[[#This Row],[列2]]*100),""),RAND())</f>
        <v>0.6937179996960734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|&amp;image(oda-maki.png,width=100,height=100)</v>
      </c>
      <c r="V282" s="23" t="str">
        <f>"|MIDDLE:​"&amp;テーブル1[[#This Row],[名前]]</f>
        <v>|MIDDLE:​苧田マキ</v>
      </c>
      <c r="W282" s="23" t="str">
        <f>"|MIDDLE:​"&amp;テーブル1[[#This Row],[なまえ]]</f>
        <v>|MIDDLE:​おだ まき</v>
      </c>
      <c r="X282" s="23" t="str">
        <f>"|MIDDLE:​"&amp;テーブル1[[#This Row],[Name]]</f>
        <v>|MIDDLE:​Oda Maki</v>
      </c>
      <c r="Y282" s="23" t="str">
        <f>"|MIDDLE:​&amp;link(配布所はこちら){​"&amp;テーブル1[[#This Row],[リンク]]&amp;"}|"</f>
        <v>|MIDDLE:​&amp;link(配布所はこちら){​https://bowlroll.net/user/634941}|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3" s="24" t="s">
        <v>594</v>
      </c>
      <c r="D283" s="23" t="s">
        <v>595</v>
      </c>
      <c r="E283" s="23" t="s">
        <v>596</v>
      </c>
      <c r="F283" s="2" t="s">
        <v>597</v>
      </c>
      <c r="G283" s="23" t="s">
        <v>598</v>
      </c>
      <c r="P283" s="24" t="str">
        <f>テーブル1[[#This Row],[リンク]]&amp;テーブル1[[#This Row],[描画状況]]</f>
        <v>https://bowlroll.net/user/253605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7.3499229809789512E-2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|&amp;image(otoori-kouji.png,width=100,height=100)</v>
      </c>
      <c r="V283" s="23" t="str">
        <f>"|MIDDLE:​"&amp;テーブル1[[#This Row],[名前]]</f>
        <v>|MIDDLE:​音通コウジ</v>
      </c>
      <c r="W283" s="23" t="str">
        <f>"|MIDDLE:​"&amp;テーブル1[[#This Row],[なまえ]]</f>
        <v>|MIDDLE:​おとおり こうじ</v>
      </c>
      <c r="X283" s="23" t="str">
        <f>"|MIDDLE:​"&amp;テーブル1[[#This Row],[Name]]</f>
        <v>|MIDDLE:​Otoori Kouji</v>
      </c>
      <c r="Y283" s="23" t="str">
        <f>"|MIDDLE:​&amp;link(配布所はこちら){​"&amp;テーブル1[[#This Row],[リンク]]&amp;"}|"</f>
        <v>|MIDDLE:​&amp;link(配布所はこちら){​https://bowlroll.net/user/253605}|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4" s="24" t="s">
        <v>801</v>
      </c>
      <c r="D284" s="23" t="s">
        <v>803</v>
      </c>
      <c r="E284" s="23" t="s">
        <v>802</v>
      </c>
      <c r="F284" s="15" t="s">
        <v>774</v>
      </c>
      <c r="G284" s="23" t="str">
        <f>テーブル1[[#This Row],[名前]]&amp;"(UTAU)"</f>
        <v>音偽ユウ(UTAU)</v>
      </c>
      <c r="N284" s="1" t="s">
        <v>1497</v>
      </c>
      <c r="P284" s="24" t="str">
        <f>テーブル1[[#This Row],[リンク]]&amp;テーブル1[[#This Row],[描画状況]]</f>
        <v>https://cmamizki.wixsite.com/edelstein</v>
      </c>
      <c r="Q284" s="17">
        <f>1-(COUNTIF(P:P,_xlfn.TEXTJOIN(",",TRUE,テーブル1[[#This Row],[リンク]],テーブル1[[#This Row],[描画状況]]))/COUNTIF(F:F,テーブル1[[#This Row],[リンク]]))</f>
        <v>9.0909090909090939E-2</v>
      </c>
      <c r="R284" s="16">
        <f ca="1">IFERROR(IF(テーブル1[[#This Row],[描画状況]]="",RAND()+(テーブル1[[#This Row],[列2]]*100),""),RAND())</f>
        <v>9.9338975289520519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|&amp;image(otogi-yu.png,width=100,height=100)</v>
      </c>
      <c r="V284" s="23" t="str">
        <f>"|MIDDLE:​"&amp;テーブル1[[#This Row],[名前]]</f>
        <v>|MIDDLE:​音偽ユウ</v>
      </c>
      <c r="W284" s="23" t="str">
        <f>"|MIDDLE:​"&amp;テーブル1[[#This Row],[なまえ]]</f>
        <v>|MIDDLE:​おとぎ ゆう</v>
      </c>
      <c r="X284" s="23" t="str">
        <f>"|MIDDLE:​"&amp;テーブル1[[#This Row],[Name]]</f>
        <v>|MIDDLE:​Otogi Yu</v>
      </c>
      <c r="Y284" s="23" t="str">
        <f>"|MIDDLE:​&amp;link(配布所はこちら){​"&amp;テーブル1[[#This Row],[リンク]]&amp;"}|"</f>
        <v>|MIDDLE:​&amp;link(配布所はこちら){​https://cmamizki.wixsite.com/edelstein}|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5" s="24" t="s">
        <v>1012</v>
      </c>
      <c r="D285" s="23" t="s">
        <v>1015</v>
      </c>
      <c r="E285" s="23" t="s">
        <v>1016</v>
      </c>
      <c r="F285" s="2" t="s">
        <v>536</v>
      </c>
      <c r="G285" s="23" t="s">
        <v>1008</v>
      </c>
      <c r="H285" s="23" t="s">
        <v>1606</v>
      </c>
      <c r="I285" s="23" t="s">
        <v>1627</v>
      </c>
      <c r="K285" s="23" t="s">
        <v>1670</v>
      </c>
      <c r="L285" s="23" t="s">
        <v>1654</v>
      </c>
      <c r="P285" s="24" t="str">
        <f>テーブル1[[#This Row],[リンク]]&amp;テーブル1[[#This Row],[描画状況]]</f>
        <v>https://bowlroll.net/user/980255</v>
      </c>
      <c r="Q285" s="17">
        <f>1-(COUNTIF(P:P,_xlfn.TEXTJOIN(",",TRUE,テーブル1[[#This Row],[リンク]],テーブル1[[#This Row],[描画状況]]))/COUNTIF(F:F,テーブル1[[#This Row],[リンク]]))</f>
        <v>0.5714285714285714</v>
      </c>
      <c r="R285" s="16">
        <f ca="1">IFERROR(IF(テーブル1[[#This Row],[描画状況]]="",RAND()+(テーブル1[[#This Row],[列2]]*100),""),RAND())</f>
        <v>58.079492881929724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|&amp;image(otonashi-kae.png,width=100,height=100)</v>
      </c>
      <c r="V285" s="23" t="str">
        <f>"|MIDDLE:​"&amp;テーブル1[[#This Row],[名前]]</f>
        <v>|MIDDLE:​於菟無カエ</v>
      </c>
      <c r="W285" s="23" t="str">
        <f>"|MIDDLE:​"&amp;テーブル1[[#This Row],[なまえ]]</f>
        <v>|MIDDLE:​おとなし かえ</v>
      </c>
      <c r="X285" s="23" t="str">
        <f>"|MIDDLE:​"&amp;テーブル1[[#This Row],[Name]]</f>
        <v>|MIDDLE:​Otonashi Kae</v>
      </c>
      <c r="Y285" s="23" t="str">
        <f>"|MIDDLE:​&amp;link(配布所はこちら){​"&amp;テーブル1[[#This Row],[リンク]]&amp;"}|"</f>
        <v>|MIDDLE:​&amp;link(配布所はこちら){​https://bowlroll.net/user/980255}|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6" s="24" t="s">
        <v>1313</v>
      </c>
      <c r="D286" s="23" t="s">
        <v>1315</v>
      </c>
      <c r="E286" s="23" t="s">
        <v>1314</v>
      </c>
      <c r="F286" s="15" t="s">
        <v>1301</v>
      </c>
      <c r="G286" s="23" t="str">
        <f>テーブル1[[#This Row],[名前]]&amp;"(UTAU)"</f>
        <v>オトワシグレ(UTAU)</v>
      </c>
      <c r="P286" s="24" t="str">
        <f>テーブル1[[#This Row],[リンク]]&amp;テーブル1[[#This Row],[描画状況]]</f>
        <v>https://jiwajiwakirinn.wixsite.com/sakurada</v>
      </c>
      <c r="Q286" s="17">
        <f>1-(COUNTIF(P:P,_xlfn.TEXTJOIN(",",TRUE,テーブル1[[#This Row],[リンク]],テーブル1[[#This Row],[描画状況]]))/COUNTIF(F:F,テーブル1[[#This Row],[リンク]]))</f>
        <v>0.19999999999999996</v>
      </c>
      <c r="R286" s="16">
        <f ca="1">IFERROR(IF(テーブル1[[#This Row],[描画状況]]="",RAND()+(テーブル1[[#This Row],[列2]]*100),""),RAND())</f>
        <v>20.228420632853975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|&amp;image(otowa-shigure.png,width=100,height=100)</v>
      </c>
      <c r="V286" s="23" t="str">
        <f>"|MIDDLE:​"&amp;テーブル1[[#This Row],[名前]]</f>
        <v>|MIDDLE:​オトワシグレ</v>
      </c>
      <c r="W286" s="23" t="str">
        <f>"|MIDDLE:​"&amp;テーブル1[[#This Row],[なまえ]]</f>
        <v>|MIDDLE:​おとわ しぐれ</v>
      </c>
      <c r="X286" s="23" t="str">
        <f>"|MIDDLE:​"&amp;テーブル1[[#This Row],[Name]]</f>
        <v>|MIDDLE:​Otowa Shigure</v>
      </c>
      <c r="Y286" s="23" t="str">
        <f>"|MIDDLE:​&amp;link(配布所はこちら){​"&amp;テーブル1[[#This Row],[リンク]]&amp;"}|"</f>
        <v>|MIDDLE:​&amp;link(配布所はこちら){​https://jiwajiwakirinn.wixsite.com/sakurada}|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7" s="24" t="s">
        <v>907</v>
      </c>
      <c r="D287" s="23" t="s">
        <v>909</v>
      </c>
      <c r="E287" s="23" t="s">
        <v>908</v>
      </c>
      <c r="F287" s="15" t="s">
        <v>900</v>
      </c>
      <c r="G287" s="23" t="s">
        <v>913</v>
      </c>
      <c r="P287" s="24" t="str">
        <f>テーブル1[[#This Row],[リンク]]&amp;テーブル1[[#This Row],[描画状況]]</f>
        <v>https://suukedayo.wixsite.com/shiawasefairu</v>
      </c>
      <c r="Q287" s="17">
        <f>1-(COUNTIF(P:P,_xlfn.TEXTJOIN(",",TRUE,テーブル1[[#This Row],[リンク]],テーブル1[[#This Row],[描画状況]]))/COUNTIF(F:F,テーブル1[[#This Row],[リンク]]))</f>
        <v>0</v>
      </c>
      <c r="R287" s="16">
        <f ca="1">IFERROR(IF(テーブル1[[#This Row],[描画状況]]="",RAND()+(テーブル1[[#This Row],[列2]]*100),""),RAND())</f>
        <v>0.41826485743738273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|&amp;image(kaiko-rito.png,width=100,height=100)</v>
      </c>
      <c r="V287" s="23" t="str">
        <f>"|MIDDLE:​"&amp;テーブル1[[#This Row],[名前]]</f>
        <v>|MIDDLE:​开狐リト</v>
      </c>
      <c r="W287" s="23" t="str">
        <f>"|MIDDLE:​"&amp;テーブル1[[#This Row],[なまえ]]</f>
        <v>|MIDDLE:​かいこ りと</v>
      </c>
      <c r="X287" s="23" t="str">
        <f>"|MIDDLE:​"&amp;テーブル1[[#This Row],[Name]]</f>
        <v>|MIDDLE:​Kaiko Rito</v>
      </c>
      <c r="Y287" s="23" t="str">
        <f>"|MIDDLE:​&amp;link(配布所はこちら){​"&amp;テーブル1[[#This Row],[リンク]]&amp;"}|"</f>
        <v>|MIDDLE:​&amp;link(配布所はこちら){​https://suukedayo.wixsite.com/shiawasefairu}|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8" s="24" t="s">
        <v>986</v>
      </c>
      <c r="D288" s="23" t="s">
        <v>989</v>
      </c>
      <c r="E288" s="23" t="s">
        <v>987</v>
      </c>
      <c r="F288" s="2" t="s">
        <v>568</v>
      </c>
      <c r="G288" s="23" t="s">
        <v>569</v>
      </c>
      <c r="N288" s="1" t="s">
        <v>1497</v>
      </c>
      <c r="P288" s="24" t="str">
        <f>テーブル1[[#This Row],[リンク]]&amp;テーブル1[[#This Row],[描画状況]]</f>
        <v>https://askdance.wixsite.com/monitor-room/monitor-room</v>
      </c>
      <c r="Q288" s="17">
        <f>1-(COUNTIF(P:P,_xlfn.TEXTJOIN(",",TRUE,テーブル1[[#This Row],[リンク]],テーブル1[[#This Row],[描画状況]]))/COUNTIF(F:F,テーブル1[[#This Row],[リンク]]))</f>
        <v>9.9999999999999978E-2</v>
      </c>
      <c r="R288" s="16">
        <f ca="1">IFERROR(IF(テーブル1[[#This Row],[描画状況]]="",RAND()+(テーブル1[[#This Row],[列2]]*100),""),RAND())</f>
        <v>10.242584333199451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|&amp;image(gaitou-nashi.png,width=100,height=100)</v>
      </c>
      <c r="V288" s="23" t="str">
        <f>"|MIDDLE:​"&amp;テーブル1[[#This Row],[名前]]</f>
        <v>|MIDDLE:​該当ナシ</v>
      </c>
      <c r="W288" s="23" t="str">
        <f>"|MIDDLE:​"&amp;テーブル1[[#This Row],[なまえ]]</f>
        <v>|MIDDLE:​がいとう なし</v>
      </c>
      <c r="X288" s="23" t="str">
        <f>"|MIDDLE:​"&amp;テーブル1[[#This Row],[Name]]</f>
        <v>|MIDDLE:​Gaitou Nashi</v>
      </c>
      <c r="Y28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9" s="24" t="s">
        <v>1029</v>
      </c>
      <c r="D289" s="23" t="s">
        <v>1031</v>
      </c>
      <c r="E289" s="23" t="s">
        <v>1030</v>
      </c>
      <c r="F289" s="2" t="s">
        <v>90</v>
      </c>
      <c r="G289" s="23" t="s">
        <v>91</v>
      </c>
      <c r="H289" s="23" t="s">
        <v>1606</v>
      </c>
      <c r="I289" s="23" t="s">
        <v>1625</v>
      </c>
      <c r="L289" s="23" t="s">
        <v>1841</v>
      </c>
      <c r="N289" s="1" t="s">
        <v>1498</v>
      </c>
      <c r="P289" s="24" t="str">
        <f>テーブル1[[#This Row],[リンク]]&amp;テーブル1[[#This Row],[描画状況]]</f>
        <v>https://cloudcatch1224.wixsite.com/godsfoot</v>
      </c>
      <c r="Q289" s="17">
        <f>1-(COUNTIF(P:P,_xlfn.TEXTJOIN(",",TRUE,テーブル1[[#This Row],[リンク]],テーブル1[[#This Row],[描画状況]]))/COUNTIF(F:F,テーブル1[[#This Row],[リンク]]))</f>
        <v>0.8</v>
      </c>
      <c r="R289" s="16">
        <f ca="1">IFERROR(IF(テーブル1[[#This Row],[描画状況]]="",RAND()+(テーブル1[[#This Row],[列2]]*100),""),RAND())</f>
        <v>80.182225978027503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|&amp;image(kagibako-moka.png,width=100,height=100)</v>
      </c>
      <c r="V289" s="23" t="str">
        <f>"|MIDDLE:​"&amp;テーブル1[[#This Row],[名前]]</f>
        <v>|MIDDLE:​鍵箱モカ</v>
      </c>
      <c r="W289" s="23" t="str">
        <f>"|MIDDLE:​"&amp;テーブル1[[#This Row],[なまえ]]</f>
        <v>|MIDDLE:​かぎばこ もか</v>
      </c>
      <c r="X289" s="23" t="str">
        <f>"|MIDDLE:​"&amp;テーブル1[[#This Row],[Name]]</f>
        <v>|MIDDLE:​Kagibako Moka</v>
      </c>
      <c r="Y289" s="23" t="str">
        <f>"|MIDDLE:​&amp;link(配布所はこちら){​"&amp;テーブル1[[#This Row],[リンク]]&amp;"}|"</f>
        <v>|MIDDLE:​&amp;link(配布所はこちら){​https://cloudcatch1224.wixsite.com/godsfoot}|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90" s="24" t="s">
        <v>1069</v>
      </c>
      <c r="D290" s="23" t="s">
        <v>1070</v>
      </c>
      <c r="E290" s="23" t="s">
        <v>1071</v>
      </c>
      <c r="F290" s="15" t="s">
        <v>1061</v>
      </c>
      <c r="G290" s="23" t="s">
        <v>1062</v>
      </c>
      <c r="P290" s="24" t="str">
        <f>テーブル1[[#This Row],[リンク]]&amp;テーブル1[[#This Row],[描画状況]]</f>
        <v>https://yukimiyashimusho.jimdofree.com</v>
      </c>
      <c r="Q290" s="17">
        <f>1-(COUNTIF(P:P,_xlfn.TEXTJOIN(",",TRUE,テーブル1[[#This Row],[リンク]],テーブル1[[#This Row],[描画状況]]))/COUNTIF(F:F,テーブル1[[#This Row],[リンク]]))</f>
        <v>7.1428571428571397E-2</v>
      </c>
      <c r="R290" s="16">
        <f ca="1">IFERROR(IF(テーブル1[[#This Row],[描画状況]]="",RAND()+(テーブル1[[#This Row],[列2]]*100),""),RAND())</f>
        <v>7.6461299536628955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|&amp;image(kashihara-xavier.png,width=100,height=100)</v>
      </c>
      <c r="V290" s="23" t="str">
        <f>"|MIDDLE:​"&amp;テーブル1[[#This Row],[名前]]</f>
        <v>|MIDDLE:​橿原ザビエル</v>
      </c>
      <c r="W290" s="23" t="str">
        <f>"|MIDDLE:​"&amp;テーブル1[[#This Row],[なまえ]]</f>
        <v>|MIDDLE:​かしはら ざびえる</v>
      </c>
      <c r="X290" s="23" t="str">
        <f>"|MIDDLE:​"&amp;テーブル1[[#This Row],[Name]]</f>
        <v>|MIDDLE:​Kashihara Xavier</v>
      </c>
      <c r="Y290" s="23" t="str">
        <f>"|MIDDLE:​&amp;link(配布所はこちら){​"&amp;テーブル1[[#This Row],[リンク]]&amp;"}|"</f>
        <v>|MIDDLE:​&amp;link(配布所はこちら){​https://yukimiyashimusho.jimdofree.com}|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91" s="24" t="s">
        <v>1204</v>
      </c>
      <c r="D291" s="23" t="s">
        <v>1221</v>
      </c>
      <c r="E291" s="23" t="s">
        <v>1220</v>
      </c>
      <c r="F291" s="15" t="s">
        <v>335</v>
      </c>
      <c r="G291" s="23" t="s">
        <v>336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12.555167521869498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|&amp;image(cutter-knife-girl-in-love.png,width=100,height=100)</v>
      </c>
      <c r="V291" s="23" t="str">
        <f>"|MIDDLE:​"&amp;テーブル1[[#This Row],[名前]]</f>
        <v>|MIDDLE:​カッターナイフと恋する少女</v>
      </c>
      <c r="W291" s="23" t="str">
        <f>"|MIDDLE:​"&amp;テーブル1[[#This Row],[なまえ]]</f>
        <v>|MIDDLE:​かったーないふとこいするしょうじょ</v>
      </c>
      <c r="X291" s="23" t="str">
        <f>"|MIDDLE:​"&amp;テーブル1[[#This Row],[Name]]</f>
        <v>|MIDDLE:​Cutter Knife &amp; Girl in Love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2" s="24" t="s">
        <v>778</v>
      </c>
      <c r="D292" s="23" t="s">
        <v>779</v>
      </c>
      <c r="E292" s="23" t="s">
        <v>781</v>
      </c>
      <c r="F292" s="15" t="s">
        <v>774</v>
      </c>
      <c r="G292" s="23" t="s">
        <v>780</v>
      </c>
      <c r="N292" s="1" t="s">
        <v>1497</v>
      </c>
      <c r="P292" s="24" t="str">
        <f>テーブル1[[#This Row],[リンク]]&amp;テーブル1[[#This Row],[描画状況]]</f>
        <v>https://cmamizki.wixsite.com/edelstein</v>
      </c>
      <c r="Q292" s="17">
        <f>1-(COUNTIF(P:P,_xlfn.TEXTJOIN(",",TRUE,テーブル1[[#This Row],[リンク]],テーブル1[[#This Row],[描画状況]]))/COUNTIF(F:F,テーブル1[[#This Row],[リンク]]))</f>
        <v>9.0909090909090939E-2</v>
      </c>
      <c r="R292" s="16">
        <f ca="1">IFERROR(IF(テーブル1[[#This Row],[描画状況]]="",RAND()+(テーブル1[[#This Row],[列2]]*100),""),RAND())</f>
        <v>9.5974024330164394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|&amp;image(caffin.png,width=100,height=100)</v>
      </c>
      <c r="V292" s="23" t="str">
        <f>"|MIDDLE:​"&amp;テーブル1[[#This Row],[名前]]</f>
        <v>|MIDDLE:​カフィン</v>
      </c>
      <c r="W292" s="23" t="str">
        <f>"|MIDDLE:​"&amp;テーブル1[[#This Row],[なまえ]]</f>
        <v>|MIDDLE:​かふぃん</v>
      </c>
      <c r="X292" s="23" t="str">
        <f>"|MIDDLE:​"&amp;テーブル1[[#This Row],[Name]]</f>
        <v>|MIDDLE:​Caffin</v>
      </c>
      <c r="Y292" s="23" t="str">
        <f>"|MIDDLE:​&amp;link(配布所はこちら){​"&amp;テーブル1[[#This Row],[リンク]]&amp;"}|"</f>
        <v>|MIDDLE:​&amp;link(配布所はこちら){​https://cmamizki.wixsite.com/edelstein}|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3" s="24" t="s">
        <v>1171</v>
      </c>
      <c r="D293" s="23" t="s">
        <v>1172</v>
      </c>
      <c r="E293" s="23" t="s">
        <v>1173</v>
      </c>
      <c r="F293" s="15" t="s">
        <v>1170</v>
      </c>
      <c r="G293" s="23" t="s">
        <v>1174</v>
      </c>
      <c r="P293" s="24" t="str">
        <f>テーブル1[[#This Row],[リンク]]&amp;テーブル1[[#This Row],[描画状況]]</f>
        <v>http://lunacalan.com</v>
      </c>
      <c r="Q293" s="17">
        <f>1-(COUNTIF(P:P,_xlfn.TEXTJOIN(",",TRUE,テーブル1[[#This Row],[リンク]],テーブル1[[#This Row],[描画状況]]))/COUNTIF(F:F,テーブル1[[#This Row],[リンク]]))</f>
        <v>0</v>
      </c>
      <c r="R293" s="16">
        <f ca="1">IFERROR(IF(テーブル1[[#This Row],[描画状況]]="",RAND()+(テーブル1[[#This Row],[列2]]*100),""),RAND())</f>
        <v>0.89656396341923583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|&amp;image(karan-runa.png,width=100,height=100)</v>
      </c>
      <c r="V293" s="23" t="str">
        <f>"|MIDDLE:​"&amp;テーブル1[[#This Row],[名前]]</f>
        <v>|MIDDLE:​花蘭るな</v>
      </c>
      <c r="W293" s="23" t="str">
        <f>"|MIDDLE:​"&amp;テーブル1[[#This Row],[なまえ]]</f>
        <v>|MIDDLE:​からん るな</v>
      </c>
      <c r="X293" s="23" t="str">
        <f>"|MIDDLE:​"&amp;テーブル1[[#This Row],[Name]]</f>
        <v>|MIDDLE:​Karan Runa</v>
      </c>
      <c r="Y293" s="23" t="str">
        <f>"|MIDDLE:​&amp;link(配布所はこちら){​"&amp;テーブル1[[#This Row],[リンク]]&amp;"}|"</f>
        <v>|MIDDLE:​&amp;link(配布所はこちら){​http://lunacalan.com}|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4" s="24" t="s">
        <v>1011</v>
      </c>
      <c r="D294" s="23" t="s">
        <v>1013</v>
      </c>
      <c r="E294" s="23" t="s">
        <v>1014</v>
      </c>
      <c r="F294" s="2" t="s">
        <v>536</v>
      </c>
      <c r="G294" s="23" t="s">
        <v>1008</v>
      </c>
      <c r="H294" s="23" t="s">
        <v>1607</v>
      </c>
      <c r="I294" s="23" t="s">
        <v>1616</v>
      </c>
      <c r="K294" s="23" t="s">
        <v>1670</v>
      </c>
      <c r="L294" s="23" t="s">
        <v>1617</v>
      </c>
      <c r="P294" s="24" t="str">
        <f>テーブル1[[#This Row],[リンク]]&amp;テーブル1[[#This Row],[描画状況]]</f>
        <v>https://bowlroll.net/user/980255</v>
      </c>
      <c r="Q294" s="17">
        <f>1-(COUNTIF(P:P,_xlfn.TEXTJOIN(",",TRUE,テーブル1[[#This Row],[リンク]],テーブル1[[#This Row],[描画状況]]))/COUNTIF(F:F,テーブル1[[#This Row],[リンク]]))</f>
        <v>0.5714285714285714</v>
      </c>
      <c r="R294" s="16">
        <f ca="1">IFERROR(IF(テーブル1[[#This Row],[描画状況]]="",RAND()+(テーブル1[[#This Row],[列2]]*100),""),RAND())</f>
        <v>57.344859098505154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|&amp;image(karuta-koya.png,width=100,height=100)</v>
      </c>
      <c r="V294" s="23" t="str">
        <f>"|MIDDLE:​"&amp;テーブル1[[#This Row],[名前]]</f>
        <v>|MIDDLE:​歌留多耕也</v>
      </c>
      <c r="W294" s="23" t="str">
        <f>"|MIDDLE:​"&amp;テーブル1[[#This Row],[なまえ]]</f>
        <v>|MIDDLE:​かるた こうや</v>
      </c>
      <c r="X294" s="23" t="str">
        <f>"|MIDDLE:​"&amp;テーブル1[[#This Row],[Name]]</f>
        <v>|MIDDLE:​Karuta Koya</v>
      </c>
      <c r="Y294" s="23" t="str">
        <f>"|MIDDLE:​&amp;link(配布所はこちら){​"&amp;テーブル1[[#This Row],[リンク]]&amp;"}|"</f>
        <v>|MIDDLE:​&amp;link(配布所はこちら){​https://bowlroll.net/user/980255}|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5" s="24" t="s">
        <v>840</v>
      </c>
      <c r="D295" s="23" t="s">
        <v>841</v>
      </c>
      <c r="E295" s="23" t="s">
        <v>842</v>
      </c>
      <c r="F295" s="2" t="s">
        <v>829</v>
      </c>
      <c r="G295" s="23" t="s">
        <v>830</v>
      </c>
      <c r="P295" s="24" t="str">
        <f>テーブル1[[#This Row],[リンク]]&amp;テーブル1[[#This Row],[描画状況]]</f>
        <v>https://kaedekatusaki.wixsite.com/yanagiroutyou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12.655986430394218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|&amp;image(kido-on.png,width=100,height=100)</v>
      </c>
      <c r="V295" s="23" t="str">
        <f>"|MIDDLE:​"&amp;テーブル1[[#This Row],[名前]]</f>
        <v>|MIDDLE:​​機動穏</v>
      </c>
      <c r="W295" s="23" t="str">
        <f>"|MIDDLE:​"&amp;テーブル1[[#This Row],[なまえ]]</f>
        <v>|MIDDLE:​きどう おん</v>
      </c>
      <c r="X295" s="23" t="str">
        <f>"|MIDDLE:​"&amp;テーブル1[[#This Row],[Name]]</f>
        <v>|MIDDLE:​Kido On</v>
      </c>
      <c r="Y29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6" s="24" t="s">
        <v>1055</v>
      </c>
      <c r="D296" s="23" t="s">
        <v>1056</v>
      </c>
      <c r="E296" s="23" t="s">
        <v>1057</v>
      </c>
      <c r="F296" s="15" t="s">
        <v>667</v>
      </c>
      <c r="G296" s="23" t="s">
        <v>668</v>
      </c>
      <c r="N296" s="1" t="s">
        <v>1497</v>
      </c>
      <c r="P296" s="24" t="str">
        <f>テーブル1[[#This Row],[リンク]]&amp;テーブル1[[#This Row],[描画状況]]</f>
        <v>https://flowerrocklove.wixsite.com/twilight-crisis</v>
      </c>
      <c r="Q296" s="17">
        <f>1-(COUNTIF(P:P,_xlfn.TEXTJOIN(",",TRUE,テーブル1[[#This Row],[リンク]],テーブル1[[#This Row],[描画状況]]))/COUNTIF(F:F,テーブル1[[#This Row],[リンク]]))</f>
        <v>0.22222222222222221</v>
      </c>
      <c r="R296" s="16">
        <f ca="1">IFERROR(IF(テーブル1[[#This Row],[描画状況]]="",RAND()+(テーブル1[[#This Row],[列2]]*100),""),RAND())</f>
        <v>23.192710929834977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|&amp;image(gitorasan.png,width=100,height=100)</v>
      </c>
      <c r="V296" s="23" t="str">
        <f>"|MIDDLE:​"&amp;テーブル1[[#This Row],[名前]]</f>
        <v>|MIDDLE:​ギトラさん</v>
      </c>
      <c r="W296" s="23" t="str">
        <f>"|MIDDLE:​"&amp;テーブル1[[#This Row],[なまえ]]</f>
        <v>|MIDDLE:​ぎとらさん</v>
      </c>
      <c r="X296" s="23" t="str">
        <f>"|MIDDLE:​"&amp;テーブル1[[#This Row],[Name]]</f>
        <v>|MIDDLE:​Gitorasan</v>
      </c>
      <c r="Y29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7" s="24" t="s">
        <v>999</v>
      </c>
      <c r="D297" s="23" t="s">
        <v>1002</v>
      </c>
      <c r="E297" s="23" t="s">
        <v>1003</v>
      </c>
      <c r="F297" s="2" t="s">
        <v>1740</v>
      </c>
      <c r="G297" s="23" t="s">
        <v>63</v>
      </c>
      <c r="H297" s="23" t="s">
        <v>1634</v>
      </c>
      <c r="I297" s="23" t="s">
        <v>1616</v>
      </c>
      <c r="J297" s="23" t="s">
        <v>1748</v>
      </c>
      <c r="M297" s="23" t="s">
        <v>1749</v>
      </c>
      <c r="N297" s="1" t="s">
        <v>1497</v>
      </c>
      <c r="P297" s="24" t="str">
        <f>テーブル1[[#This Row],[リンク]]&amp;テーブル1[[#This Row],[描画状況]]</f>
        <v>https://kinomihautaimas.wixsite.com/dongurihiroba</v>
      </c>
      <c r="Q297" s="17">
        <f>1-(COUNTIF(P:P,_xlfn.TEXTJOIN(",",TRUE,テーブル1[[#This Row],[リンク]],テーブル1[[#This Row],[描画状況]]))/COUNTIF(F:F,テーブル1[[#This Row],[リンク]]))</f>
        <v>0.6</v>
      </c>
      <c r="R297" s="16">
        <f ca="1">IFERROR(IF(テーブル1[[#This Row],[描画状況]]="",RAND()+(テーブル1[[#This Row],[列2]]*100),""),RAND())</f>
        <v>60.39180750060747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|&amp;image(kinone-moto.png,width=100,height=100)</v>
      </c>
      <c r="V297" s="23" t="str">
        <f>"|MIDDLE:​"&amp;テーブル1[[#This Row],[名前]]</f>
        <v>|MIDDLE:​きの音もと</v>
      </c>
      <c r="W297" s="23" t="str">
        <f>"|MIDDLE:​"&amp;テーブル1[[#This Row],[なまえ]]</f>
        <v>|MIDDLE:​きのね もと</v>
      </c>
      <c r="X297" s="23" t="str">
        <f>"|MIDDLE:​"&amp;テーブル1[[#This Row],[Name]]</f>
        <v>|MIDDLE:​Kinone Moto</v>
      </c>
      <c r="Y297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8" s="24" t="s">
        <v>1424</v>
      </c>
      <c r="D298" s="23" t="s">
        <v>1425</v>
      </c>
      <c r="E298" s="23" t="s">
        <v>1426</v>
      </c>
      <c r="F298" s="15" t="s">
        <v>1427</v>
      </c>
      <c r="G298" s="23" t="s">
        <v>1428</v>
      </c>
      <c r="P298" s="24" t="str">
        <f>テーブル1[[#This Row],[リンク]]&amp;テーブル1[[#This Row],[描画状況]]</f>
        <v>https://bowlroll.net/user/992955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0.23768628788301649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|&amp;image(giba-yorika.png,width=100,height=100)</v>
      </c>
      <c r="V298" s="23" t="str">
        <f>"|MIDDLE:​"&amp;テーブル1[[#This Row],[名前]]</f>
        <v>|MIDDLE:​義羽よりか</v>
      </c>
      <c r="W298" s="23" t="str">
        <f>"|MIDDLE:​"&amp;テーブル1[[#This Row],[なまえ]]</f>
        <v>|MIDDLE:​ぎば よりか</v>
      </c>
      <c r="X298" s="23" t="str">
        <f>"|MIDDLE:​"&amp;テーブル1[[#This Row],[Name]]</f>
        <v>|MIDDLE:​Giba Yorika</v>
      </c>
      <c r="Y298" s="23" t="str">
        <f>"|MIDDLE:​&amp;link(配布所はこちら){​"&amp;テーブル1[[#This Row],[リンク]]&amp;"}|"</f>
        <v>|MIDDLE:​&amp;link(配布所はこちら){​https://bowlroll.net/user/992955}|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9" s="24" t="s">
        <v>726</v>
      </c>
      <c r="D299" s="23" t="s">
        <v>728</v>
      </c>
      <c r="E299" s="23" t="s">
        <v>727</v>
      </c>
      <c r="F299" s="2" t="s">
        <v>725</v>
      </c>
      <c r="G299" s="23" t="s">
        <v>724</v>
      </c>
      <c r="P299" s="24" t="str">
        <f>テーブル1[[#This Row],[リンク]]&amp;テーブル1[[#This Row],[描画状況]]</f>
        <v>https://shiromeneko162.wixsite.com/shiromean-official</v>
      </c>
      <c r="Q299" s="17">
        <f>1-(COUNTIF(P:P,_xlfn.TEXTJOIN(",",TRUE,テーブル1[[#This Row],[リンク]],テーブル1[[#This Row],[描画状況]]))/COUNTIF(F:F,テーブル1[[#This Row],[リンク]]))</f>
        <v>0.5</v>
      </c>
      <c r="R299" s="16">
        <f ca="1">IFERROR(IF(テーブル1[[#This Row],[描画状況]]="",RAND()+(テーブル1[[#This Row],[列2]]*100),""),RAND())</f>
        <v>50.964684890371132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|&amp;image(gyokuto.png,width=100,height=100)</v>
      </c>
      <c r="V299" s="23" t="str">
        <f>"|MIDDLE:​"&amp;テーブル1[[#This Row],[名前]]</f>
        <v>|MIDDLE:​​玉兎</v>
      </c>
      <c r="W299" s="23" t="str">
        <f>"|MIDDLE:​"&amp;テーブル1[[#This Row],[なまえ]]</f>
        <v>|MIDDLE:​ぎょくと</v>
      </c>
      <c r="X299" s="23" t="str">
        <f>"|MIDDLE:​"&amp;テーブル1[[#This Row],[Name]]</f>
        <v>|MIDDLE:​Gyokuto</v>
      </c>
      <c r="Y299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00" s="24" t="s">
        <v>977</v>
      </c>
      <c r="D300" s="23" t="s">
        <v>979</v>
      </c>
      <c r="E300" s="23" t="s">
        <v>978</v>
      </c>
      <c r="F300" s="2" t="s">
        <v>568</v>
      </c>
      <c r="G300" s="23" t="s">
        <v>569</v>
      </c>
      <c r="N300" s="1" t="s">
        <v>1497</v>
      </c>
      <c r="P300" s="24" t="str">
        <f>テーブル1[[#This Row],[リンク]]&amp;テーブル1[[#This Row],[描画状況]]</f>
        <v>https://askdance.wixsite.com/monitor-room/monitor-room</v>
      </c>
      <c r="Q300" s="17">
        <f>1-(COUNTIF(P:P,_xlfn.TEXTJOIN(",",TRUE,テーブル1[[#This Row],[リンク]],テーブル1[[#This Row],[描画状況]]))/COUNTIF(F:F,テーブル1[[#This Row],[リンク]]))</f>
        <v>9.9999999999999978E-2</v>
      </c>
      <c r="R300" s="16">
        <f ca="1">IFERROR(IF(テーブル1[[#This Row],[描画状況]]="",RAND()+(テーブル1[[#This Row],[列2]]*100),""),RAND())</f>
        <v>10.356632162959519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|&amp;image(kusuzato-kimeru.png,width=100,height=100)</v>
      </c>
      <c r="V300" s="23" t="str">
        <f>"|MIDDLE:​"&amp;テーブル1[[#This Row],[名前]]</f>
        <v xml:space="preserve">|MIDDLE:​楠里極 </v>
      </c>
      <c r="W300" s="23" t="str">
        <f>"|MIDDLE:​"&amp;テーブル1[[#This Row],[なまえ]]</f>
        <v>|MIDDLE:​くすざと きめる</v>
      </c>
      <c r="X300" s="23" t="str">
        <f>"|MIDDLE:​"&amp;テーブル1[[#This Row],[Name]]</f>
        <v>|MIDDLE:​Kusuzato Kimeru</v>
      </c>
      <c r="Y30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01" s="24" t="s">
        <v>1251</v>
      </c>
      <c r="D301" s="23" t="s">
        <v>1252</v>
      </c>
      <c r="E301" s="23" t="s">
        <v>1253</v>
      </c>
      <c r="F301" s="15" t="s">
        <v>1254</v>
      </c>
      <c r="G301" s="23" t="s">
        <v>1255</v>
      </c>
      <c r="P301" s="24" t="str">
        <f>テーブル1[[#This Row],[リンク]]&amp;テーブル1[[#This Row],[描画状況]]</f>
        <v>https://bowlroll.net/user/934800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0.716515060756305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|&amp;image(kuzuhira-tsumari.png,width=100,height=100)</v>
      </c>
      <c r="V301" s="23" t="str">
        <f>"|MIDDLE:​"&amp;テーブル1[[#This Row],[名前]]</f>
        <v>|MIDDLE:​葛平ツマリ</v>
      </c>
      <c r="W301" s="23" t="str">
        <f>"|MIDDLE:​"&amp;テーブル1[[#This Row],[なまえ]]</f>
        <v>|MIDDLE:​くずひら つまり</v>
      </c>
      <c r="X301" s="23" t="str">
        <f>"|MIDDLE:​"&amp;テーブル1[[#This Row],[Name]]</f>
        <v>|MIDDLE:​Kuzuhira tsumari</v>
      </c>
      <c r="Y301" s="23" t="str">
        <f>"|MIDDLE:​&amp;link(配布所はこちら){​"&amp;テーブル1[[#This Row],[リンク]]&amp;"}|"</f>
        <v>|MIDDLE:​&amp;link(配布所はこちら){​https://bowlroll.net/user/934800}|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2" s="24" t="s">
        <v>518</v>
      </c>
      <c r="D302" s="23" t="s">
        <v>519</v>
      </c>
      <c r="E302" s="23" t="s">
        <v>520</v>
      </c>
      <c r="F302" s="2" t="s">
        <v>516</v>
      </c>
      <c r="G302" s="23" t="s">
        <v>517</v>
      </c>
      <c r="N302" s="1" t="s">
        <v>1497</v>
      </c>
      <c r="P302" s="24" t="str">
        <f>テーブル1[[#This Row],[リンク]]&amp;テーブル1[[#This Row],[描画状況]]</f>
        <v>https://coyukimachi.wixsite.com/my-site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0.91944689520859901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|&amp;image(kunisue-kiyomasa.png,width=100,height=100)</v>
      </c>
      <c r="V302" s="23" t="str">
        <f>"|MIDDLE:​"&amp;テーブル1[[#This Row],[名前]]</f>
        <v>|MIDDLE:​​國居清正</v>
      </c>
      <c r="W302" s="23" t="str">
        <f>"|MIDDLE:​"&amp;テーブル1[[#This Row],[なまえ]]</f>
        <v>|MIDDLE:​くにすえ きよまさ</v>
      </c>
      <c r="X302" s="23" t="str">
        <f>"|MIDDLE:​"&amp;テーブル1[[#This Row],[Name]]</f>
        <v>|MIDDLE:​Kunisue Kiyomasa</v>
      </c>
      <c r="Y302" s="23" t="str">
        <f>"|MIDDLE:​&amp;link(配布所はこちら){​"&amp;テーブル1[[#This Row],[リンク]]&amp;"}|"</f>
        <v>|MIDDLE:​&amp;link(配布所はこちら){​https://coyukimachi.wixsite.com/my-site}|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3" s="24" t="s">
        <v>1007</v>
      </c>
      <c r="D303" s="23" t="s">
        <v>1009</v>
      </c>
      <c r="E303" s="23" t="s">
        <v>1010</v>
      </c>
      <c r="F303" s="2" t="s">
        <v>536</v>
      </c>
      <c r="G303" s="23" t="s">
        <v>68</v>
      </c>
      <c r="H303" s="23" t="s">
        <v>1635</v>
      </c>
      <c r="I303" s="23" t="s">
        <v>1729</v>
      </c>
      <c r="J303" s="23" t="s">
        <v>1728</v>
      </c>
      <c r="P303" s="24" t="str">
        <f>テーブル1[[#This Row],[リンク]]&amp;テーブル1[[#This Row],[描画状況]]</f>
        <v>https://bowlroll.net/user/980255</v>
      </c>
      <c r="Q303" s="17">
        <f>1-(COUNTIF(P:P,_xlfn.TEXTJOIN(",",TRUE,テーブル1[[#This Row],[リンク]],テーブル1[[#This Row],[描画状況]]))/COUNTIF(F:F,テーブル1[[#This Row],[リンク]]))</f>
        <v>0.5714285714285714</v>
      </c>
      <c r="R303" s="16">
        <f ca="1">IFERROR(IF(テーブル1[[#This Row],[描画状況]]="",RAND()+(テーブル1[[#This Row],[列2]]*100),""),RAND())</f>
        <v>58.122954593116809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|&amp;image(kurene-shito.png,width=100,height=100)</v>
      </c>
      <c r="V303" s="23" t="str">
        <f>"|MIDDLE:​"&amp;テーブル1[[#This Row],[名前]]</f>
        <v>|MIDDLE:​暮音シト</v>
      </c>
      <c r="W303" s="23" t="str">
        <f>"|MIDDLE:​"&amp;テーブル1[[#This Row],[なまえ]]</f>
        <v>|MIDDLE:​くれね しと</v>
      </c>
      <c r="X303" s="23" t="str">
        <f>"|MIDDLE:​"&amp;テーブル1[[#This Row],[Name]]</f>
        <v>|MIDDLE:​Kurene Shito</v>
      </c>
      <c r="Y303" s="23" t="str">
        <f>"|MIDDLE:​&amp;link(配布所はこちら){​"&amp;テーブル1[[#This Row],[リンク]]&amp;"}|"</f>
        <v>|MIDDLE:​&amp;link(配布所はこちら){​https://bowlroll.net/user/980255}|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4" s="24" t="s">
        <v>734</v>
      </c>
      <c r="D304" s="23" t="s">
        <v>735</v>
      </c>
      <c r="E304" s="23" t="s">
        <v>736</v>
      </c>
      <c r="F304" s="15" t="s">
        <v>732</v>
      </c>
      <c r="G304" s="23" t="s">
        <v>733</v>
      </c>
      <c r="P304" s="24" t="str">
        <f>テーブル1[[#This Row],[リンク]]&amp;テーブル1[[#This Row],[描画状況]]</f>
        <v>https://t7ttttttt.wixsite.com/t7-re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0.98478516688757833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|&amp;image(kurobai-pafia.png,width=100,height=100)</v>
      </c>
      <c r="V304" s="23" t="str">
        <f>"|MIDDLE:​"&amp;テーブル1[[#This Row],[名前]]</f>
        <v>|MIDDLE:​黒這パフィア</v>
      </c>
      <c r="W304" s="23" t="str">
        <f>"|MIDDLE:​"&amp;テーブル1[[#This Row],[なまえ]]</f>
        <v>|MIDDLE:​くろばい ぱふぃあ</v>
      </c>
      <c r="X304" s="23" t="str">
        <f>"|MIDDLE:​"&amp;テーブル1[[#This Row],[Name]]</f>
        <v>|MIDDLE:​Kurobai Pafia</v>
      </c>
      <c r="Y304" s="23" t="str">
        <f>"|MIDDLE:​&amp;link(配布所はこちら){​"&amp;テーブル1[[#This Row],[リンク]]&amp;"}|"</f>
        <v>|MIDDLE:​&amp;link(配布所はこちら){​https://t7ttttttt.wixsite.com/t7-re}|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5" s="24" t="s">
        <v>1284</v>
      </c>
      <c r="D305" s="23" t="s">
        <v>1286</v>
      </c>
      <c r="E305" s="23" t="s">
        <v>1285</v>
      </c>
      <c r="F305" s="15" t="s">
        <v>1290</v>
      </c>
      <c r="G305" s="23" t="s">
        <v>1291</v>
      </c>
      <c r="P305" s="24" t="str">
        <f>テーブル1[[#This Row],[リンク]]&amp;テーブル1[[#This Row],[描画状況]]</f>
        <v>https://keitaiware.com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0.25982318270505278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|&amp;image(keitai-hakken.png,width=100,height=100)</v>
      </c>
      <c r="V305" s="23" t="str">
        <f>"|MIDDLE:​"&amp;テーブル1[[#This Row],[名前]]</f>
        <v>|MIDDLE:​携帯ハッケン</v>
      </c>
      <c r="W305" s="23" t="str">
        <f>"|MIDDLE:​"&amp;テーブル1[[#This Row],[なまえ]]</f>
        <v>|MIDDLE:​けいたい はっけん</v>
      </c>
      <c r="X305" s="23" t="str">
        <f>"|MIDDLE:​"&amp;テーブル1[[#This Row],[Name]]</f>
        <v>|MIDDLE:​Keitai Hakken</v>
      </c>
      <c r="Y305" s="23" t="str">
        <f>"|MIDDLE:​&amp;link(配布所はこちら){​"&amp;テーブル1[[#This Row],[リンク]]&amp;"}|"</f>
        <v>|MIDDLE:​&amp;link(配布所はこちら){​https://keitaiware.com}|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6" s="24" t="s">
        <v>1288</v>
      </c>
      <c r="D306" s="23" t="s">
        <v>1289</v>
      </c>
      <c r="E306" s="23" t="s">
        <v>1287</v>
      </c>
      <c r="F306" s="15" t="s">
        <v>1290</v>
      </c>
      <c r="G306" s="23" t="s">
        <v>1292</v>
      </c>
      <c r="P306" s="24" t="str">
        <f>テーブル1[[#This Row],[リンク]]&amp;テーブル1[[#This Row],[描画状況]]</f>
        <v>https://keitaiware.com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0.64614891224558035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|&amp;image(keitai-ron.png,width=100,height=100)</v>
      </c>
      <c r="V306" s="23" t="str">
        <f>"|MIDDLE:​"&amp;テーブル1[[#This Row],[名前]]</f>
        <v>|MIDDLE:​携帯ロン</v>
      </c>
      <c r="W306" s="23" t="str">
        <f>"|MIDDLE:​"&amp;テーブル1[[#This Row],[なまえ]]</f>
        <v>|MIDDLE:​けいたい ろん</v>
      </c>
      <c r="X306" s="23" t="str">
        <f>"|MIDDLE:​"&amp;テーブル1[[#This Row],[Name]]</f>
        <v>|MIDDLE:​Keitai Ron</v>
      </c>
      <c r="Y306" s="23" t="str">
        <f>"|MIDDLE:​&amp;link(配布所はこちら){​"&amp;テーブル1[[#This Row],[リンク]]&amp;"}|"</f>
        <v>|MIDDLE:​&amp;link(配布所はこちら){​https://keitaiware.com}|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7" s="24" t="s">
        <v>868</v>
      </c>
      <c r="D307" s="23" t="s">
        <v>869</v>
      </c>
      <c r="E307" s="23" t="s">
        <v>870</v>
      </c>
      <c r="F307" s="15" t="s">
        <v>867</v>
      </c>
      <c r="G307" s="23" t="s">
        <v>871</v>
      </c>
      <c r="P307" s="24" t="str">
        <f>テーブル1[[#This Row],[リンク]]&amp;テーブル1[[#This Row],[描画状況]]</f>
        <v>https://bindumechan.wixsite.com/koinearuutau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0.1196366732454619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|&amp;image(koine-aru.png,width=100,height=100)</v>
      </c>
      <c r="V307" s="23" t="str">
        <f>"|MIDDLE:​"&amp;テーブル1[[#This Row],[名前]]</f>
        <v>|MIDDLE:​恋音アル</v>
      </c>
      <c r="W307" s="23" t="str">
        <f>"|MIDDLE:​"&amp;テーブル1[[#This Row],[なまえ]]</f>
        <v>|MIDDLE:​こいね ある</v>
      </c>
      <c r="X307" s="23" t="str">
        <f>"|MIDDLE:​"&amp;テーブル1[[#This Row],[Name]]</f>
        <v>|MIDDLE:​Koine Aru</v>
      </c>
      <c r="Y307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8" s="24" t="s">
        <v>1023</v>
      </c>
      <c r="D308" s="23" t="s">
        <v>1024</v>
      </c>
      <c r="E308" s="23" t="s">
        <v>1025</v>
      </c>
      <c r="F308" s="27" t="s">
        <v>84</v>
      </c>
      <c r="G308" s="23" t="s">
        <v>85</v>
      </c>
      <c r="H308" s="23" t="s">
        <v>1606</v>
      </c>
      <c r="I308" s="23" t="s">
        <v>1842</v>
      </c>
      <c r="J308" s="23" t="s">
        <v>1769</v>
      </c>
      <c r="L308" s="23" t="s">
        <v>1770</v>
      </c>
      <c r="M308" s="23" t="s">
        <v>1843</v>
      </c>
      <c r="N308" s="1" t="s">
        <v>1498</v>
      </c>
      <c r="P308" s="24" t="str">
        <f>テーブル1[[#This Row],[リンク]]&amp;テーブル1[[#This Row],[描画状況]]</f>
        <v>https://chunyinhui021.wixsite.com/mutyuusaisei</v>
      </c>
      <c r="Q308" s="17">
        <f>1-(COUNTIF(P:P,_xlfn.TEXTJOIN(",",TRUE,テーブル1[[#This Row],[リンク]],テーブル1[[#This Row],[描画状況]]))/COUNTIF(F:F,テーブル1[[#This Row],[リンク]]))</f>
        <v>0.33333333333333337</v>
      </c>
      <c r="R308" s="16">
        <f ca="1">IFERROR(IF(テーブル1[[#This Row],[描画状況]]="",RAND()+(テーブル1[[#This Row],[列2]]*100),""),RAND())</f>
        <v>33.668584322751975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|&amp;image(kon-suishi.png,width=100,height=100)</v>
      </c>
      <c r="V308" s="23" t="str">
        <f>"|MIDDLE:​"&amp;テーブル1[[#This Row],[名前]]</f>
        <v>|MIDDLE:​​狐隠祟紫</v>
      </c>
      <c r="W308" s="23" t="str">
        <f>"|MIDDLE:​"&amp;テーブル1[[#This Row],[なまえ]]</f>
        <v>|MIDDLE:​こおん すいし</v>
      </c>
      <c r="X308" s="23" t="str">
        <f>"|MIDDLE:​"&amp;テーブル1[[#This Row],[Name]]</f>
        <v>|MIDDLE:​Kon Suishi</v>
      </c>
      <c r="Y30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9" s="24" t="s">
        <v>1164</v>
      </c>
      <c r="D309" s="23" t="s">
        <v>1165</v>
      </c>
      <c r="E309" s="23" t="s">
        <v>1166</v>
      </c>
      <c r="F309" s="2" t="s">
        <v>97</v>
      </c>
      <c r="G309" s="23" t="s">
        <v>98</v>
      </c>
      <c r="H309" s="23" t="s">
        <v>1606</v>
      </c>
      <c r="I309" s="23" t="s">
        <v>1616</v>
      </c>
      <c r="N309" s="1" t="s">
        <v>1497</v>
      </c>
      <c r="P309" s="24" t="str">
        <f>テーブル1[[#This Row],[リンク]]&amp;テーブル1[[#This Row],[描画状況]]</f>
        <v>https://hinagitsune-utau.wixsite.com/utaukokorone</v>
      </c>
      <c r="Q309" s="17">
        <f>1-(COUNTIF(P:P,_xlfn.TEXTJOIN(",",TRUE,テーブル1[[#This Row],[リンク]],テーブル1[[#This Row],[描画状況]]))/COUNTIF(F:F,テーブル1[[#This Row],[リンク]]))</f>
        <v>0.19999999999999996</v>
      </c>
      <c r="R309" s="16">
        <f ca="1">IFERROR(IF(テーブル1[[#This Row],[描画状況]]="",RAND()+(テーブル1[[#This Row],[列2]]*100),""),RAND())</f>
        <v>20.250931479233916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|&amp;image(kokorone-aoba.png,width=100,height=100)</v>
      </c>
      <c r="V309" s="23" t="str">
        <f>"|MIDDLE:​"&amp;テーブル1[[#This Row],[名前]]</f>
        <v>|MIDDLE:​​心音アオバ</v>
      </c>
      <c r="W309" s="23" t="str">
        <f>"|MIDDLE:​"&amp;テーブル1[[#This Row],[なまえ]]</f>
        <v>|MIDDLE:​こころね あおば</v>
      </c>
      <c r="X309" s="23" t="str">
        <f>"|MIDDLE:​"&amp;テーブル1[[#This Row],[Name]]</f>
        <v>|MIDDLE:​Kokorone Aoba</v>
      </c>
      <c r="Y30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10" s="24" t="s">
        <v>1176</v>
      </c>
      <c r="D310" s="23" t="s">
        <v>1176</v>
      </c>
      <c r="E310" s="23" t="s">
        <v>1177</v>
      </c>
      <c r="F310" s="15" t="s">
        <v>1175</v>
      </c>
      <c r="G310" s="23" t="s">
        <v>1178</v>
      </c>
      <c r="P310" s="24" t="str">
        <f>テーブル1[[#This Row],[リンク]]&amp;テーブル1[[#This Row],[描画状況]]</f>
        <v>https://bowlroll.net/user/367777</v>
      </c>
      <c r="Q310" s="17">
        <f>1-(COUNTIF(P:P,_xlfn.TEXTJOIN(",",TRUE,テーブル1[[#This Row],[リンク]],テーブル1[[#This Row],[描画状況]]))/COUNTIF(F:F,テーブル1[[#This Row],[リンク]]))</f>
        <v>0</v>
      </c>
      <c r="R310" s="16">
        <f ca="1">IFERROR(IF(テーブル1[[#This Row],[描画状況]]="",RAND()+(テーブル1[[#This Row],[列2]]*100),""),RAND())</f>
        <v>0.54196238287396037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|&amp;image(kochie.png,width=100,height=100)</v>
      </c>
      <c r="V310" s="23" t="str">
        <f>"|MIDDLE:​"&amp;テーブル1[[#This Row],[名前]]</f>
        <v>|MIDDLE:​こちぇ</v>
      </c>
      <c r="W310" s="23" t="str">
        <f>"|MIDDLE:​"&amp;テーブル1[[#This Row],[なまえ]]</f>
        <v>|MIDDLE:​こちぇ</v>
      </c>
      <c r="X310" s="23" t="str">
        <f>"|MIDDLE:​"&amp;テーブル1[[#This Row],[Name]]</f>
        <v>|MIDDLE:​Kochie</v>
      </c>
      <c r="Y310" s="23" t="str">
        <f>"|MIDDLE:​&amp;link(配布所はこちら){​"&amp;テーブル1[[#This Row],[リンク]]&amp;"}|"</f>
        <v>|MIDDLE:​&amp;link(配布所はこちら){​https://bowlroll.net/user/367777}|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11" s="24" t="s">
        <v>1154</v>
      </c>
      <c r="D311" s="23" t="s">
        <v>1155</v>
      </c>
      <c r="E311" s="23" t="s">
        <v>1156</v>
      </c>
      <c r="F311" s="2" t="s">
        <v>1153</v>
      </c>
      <c r="G311" s="23" t="s">
        <v>1163</v>
      </c>
      <c r="P311" s="24" t="str">
        <f>テーブル1[[#This Row],[リンク]]&amp;テーブル1[[#This Row],[描画状況]]</f>
        <v>https://osomatsu-poid.wixsite.com/konari-san-chi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33.620402315251084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|&amp;image(konari-haruta.png,width=100,height=100)</v>
      </c>
      <c r="V311" s="23" t="str">
        <f>"|MIDDLE:​"&amp;テーブル1[[#This Row],[名前]]</f>
        <v>|MIDDLE:​狐鳴陽夛</v>
      </c>
      <c r="W311" s="23" t="str">
        <f>"|MIDDLE:​"&amp;テーブル1[[#This Row],[なまえ]]</f>
        <v>|MIDDLE:​こなり はるた</v>
      </c>
      <c r="X311" s="23" t="str">
        <f>"|MIDDLE:​"&amp;テーブル1[[#This Row],[Name]]</f>
        <v>|MIDDLE:​Konari Haruta</v>
      </c>
      <c r="Y311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2" s="24" t="s">
        <v>1157</v>
      </c>
      <c r="D312" s="23" t="s">
        <v>1158</v>
      </c>
      <c r="E312" s="23" t="s">
        <v>1159</v>
      </c>
      <c r="F312" s="2" t="s">
        <v>1153</v>
      </c>
      <c r="G312" s="23" t="s">
        <v>1163</v>
      </c>
      <c r="P312" s="24" t="str">
        <f>テーブル1[[#This Row],[リンク]]&amp;テーブル1[[#This Row],[描画状況]]</f>
        <v>https://osomatsu-poid.wixsite.com/konari-san-chi</v>
      </c>
      <c r="Q312" s="17">
        <f>1-(COUNTIF(P:P,_xlfn.TEXTJOIN(",",TRUE,テーブル1[[#This Row],[リンク]],テーブル1[[#This Row],[描画状況]]))/COUNTIF(F:F,テーブル1[[#This Row],[リンク]]))</f>
        <v>0.33333333333333337</v>
      </c>
      <c r="R312" s="16">
        <f ca="1">IFERROR(IF(テーブル1[[#This Row],[描画状況]]="",RAND()+(テーブル1[[#This Row],[列2]]*100),""),RAND())</f>
        <v>33.550968566222281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|&amp;image(konari-hina.png,width=100,height=100)</v>
      </c>
      <c r="V312" s="23" t="str">
        <f>"|MIDDLE:​"&amp;テーブル1[[#This Row],[名前]]</f>
        <v>|MIDDLE:​狐鳴陽</v>
      </c>
      <c r="W312" s="23" t="str">
        <f>"|MIDDLE:​"&amp;テーブル1[[#This Row],[なまえ]]</f>
        <v>|MIDDLE:​こなり ひな</v>
      </c>
      <c r="X312" s="23" t="str">
        <f>"|MIDDLE:​"&amp;テーブル1[[#This Row],[Name]]</f>
        <v>|MIDDLE:​Konari Hina</v>
      </c>
      <c r="Y312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3" s="24" t="s">
        <v>804</v>
      </c>
      <c r="D313" s="23" t="s">
        <v>806</v>
      </c>
      <c r="E313" s="23" t="s">
        <v>805</v>
      </c>
      <c r="F313" s="15" t="s">
        <v>774</v>
      </c>
      <c r="G313" s="23" t="str">
        <f>テーブル1[[#This Row],[名前]]&amp;"(UTAU)"</f>
        <v>狐者異カゴメ(UTAU)</v>
      </c>
      <c r="N313" s="1" t="s">
        <v>1497</v>
      </c>
      <c r="P313" s="24" t="str">
        <f>テーブル1[[#This Row],[リンク]]&amp;テーブル1[[#This Row],[描画状況]]</f>
        <v>https://cmamizki.wixsite.com/edelstein</v>
      </c>
      <c r="Q313" s="17">
        <f>1-(COUNTIF(P:P,_xlfn.TEXTJOIN(",",TRUE,テーブル1[[#This Row],[リンク]],テーブル1[[#This Row],[描画状況]]))/COUNTIF(F:F,テーブル1[[#This Row],[リンク]]))</f>
        <v>9.0909090909090939E-2</v>
      </c>
      <c r="R313" s="16">
        <f ca="1">IFERROR(IF(テーブル1[[#This Row],[描画状況]]="",RAND()+(テーブル1[[#This Row],[列2]]*100),""),RAND())</f>
        <v>9.830661082018187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|&amp;image(kowai-kagome.png,width=100,height=100)</v>
      </c>
      <c r="V313" s="23" t="str">
        <f>"|MIDDLE:​"&amp;テーブル1[[#This Row],[名前]]</f>
        <v>|MIDDLE:​狐者異カゴメ</v>
      </c>
      <c r="W313" s="23" t="str">
        <f>"|MIDDLE:​"&amp;テーブル1[[#This Row],[なまえ]]</f>
        <v>|MIDDLE:​こわい かごめ</v>
      </c>
      <c r="X313" s="23" t="str">
        <f>"|MIDDLE:​"&amp;テーブル1[[#This Row],[Name]]</f>
        <v>|MIDDLE:​Kowai Kagome</v>
      </c>
      <c r="Y313" s="23" t="str">
        <f>"|MIDDLE:​&amp;link(配布所はこちら){​"&amp;テーブル1[[#This Row],[リンク]]&amp;"}|"</f>
        <v>|MIDDLE:​&amp;link(配布所はこちら){​https://cmamizki.wixsite.com/edelstein}|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4" s="24" t="s">
        <v>1112</v>
      </c>
      <c r="D314" s="23" t="s">
        <v>1114</v>
      </c>
      <c r="E314" s="23" t="s">
        <v>1113</v>
      </c>
      <c r="F314" s="15" t="s">
        <v>1099</v>
      </c>
      <c r="G314" s="23" t="str">
        <f>テーブル1[[#This Row],[名前]]&amp;"(UTAU)"</f>
        <v>XI -sai-(UTAU)</v>
      </c>
      <c r="P314" s="24" t="str">
        <f>テーブル1[[#This Row],[リンク]]&amp;テーブル1[[#This Row],[描画状況]]</f>
        <v>https://harujpg.wixsite.com/sanshoku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0.3776514006942997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|&amp;image(sai.png,width=100,height=100)</v>
      </c>
      <c r="V314" s="23" t="str">
        <f>"|MIDDLE:​"&amp;テーブル1[[#This Row],[名前]]</f>
        <v>|MIDDLE:​XI -sai-</v>
      </c>
      <c r="W314" s="23" t="str">
        <f>"|MIDDLE:​"&amp;テーブル1[[#This Row],[なまえ]]</f>
        <v>|MIDDLE:​さい</v>
      </c>
      <c r="X314" s="23" t="str">
        <f>"|MIDDLE:​"&amp;テーブル1[[#This Row],[Name]]</f>
        <v>|MIDDLE:​sai</v>
      </c>
      <c r="Y314" s="23" t="str">
        <f>"|MIDDLE:​&amp;link(配布所はこちら){​"&amp;テーブル1[[#This Row],[リンク]]&amp;"}|"</f>
        <v>|MIDDLE:​&amp;link(配布所はこちら){​https://harujpg.wixsite.com/sanshoku}|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5" s="24" t="s">
        <v>1243</v>
      </c>
      <c r="D315" s="23" t="s">
        <v>1245</v>
      </c>
      <c r="E315" s="23" t="s">
        <v>1248</v>
      </c>
      <c r="F315" s="15" t="s">
        <v>1246</v>
      </c>
      <c r="G315" s="23" t="s">
        <v>1250</v>
      </c>
      <c r="P315" s="24" t="str">
        <f>テーブル1[[#This Row],[リンク]]&amp;テーブル1[[#This Row],[描画状況]]</f>
        <v>https://sites.google.com/view/fullmoon-ruro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0.67508000682364733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|&amp;image(sakune-shino.png,width=100,height=100)</v>
      </c>
      <c r="V315" s="23" t="str">
        <f>"|MIDDLE:​"&amp;テーブル1[[#This Row],[名前]]</f>
        <v>|MIDDLE:​錯音シノ</v>
      </c>
      <c r="W315" s="23" t="str">
        <f>"|MIDDLE:​"&amp;テーブル1[[#This Row],[なまえ]]</f>
        <v>|MIDDLE:​さくね しの</v>
      </c>
      <c r="X315" s="23" t="str">
        <f>"|MIDDLE:​"&amp;テーブル1[[#This Row],[Name]]</f>
        <v>|MIDDLE:​Sakune Shino</v>
      </c>
      <c r="Y315" s="23" t="str">
        <f>"|MIDDLE:​&amp;link(配布所はこちら){​"&amp;テーブル1[[#This Row],[リンク]]&amp;"}|"</f>
        <v>|MIDDLE:​&amp;link(配布所はこちら){​https://sites.google.com/view/fullmoon-ruro}|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6" s="24" t="s">
        <v>1242</v>
      </c>
      <c r="D316" s="23" t="s">
        <v>1244</v>
      </c>
      <c r="E316" s="23" t="s">
        <v>1247</v>
      </c>
      <c r="F316" s="15" t="s">
        <v>1246</v>
      </c>
      <c r="G316" s="23" t="s">
        <v>1249</v>
      </c>
      <c r="P316" s="24" t="str">
        <f>テーブル1[[#This Row],[リンク]]&amp;テーブル1[[#This Row],[描画状況]]</f>
        <v>https://sites.google.com/view/fullmoon-ruro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0.44277127336620636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|&amp;image(sakune-jiba.png,width=100,height=100)</v>
      </c>
      <c r="V316" s="23" t="str">
        <f>"|MIDDLE:​"&amp;テーブル1[[#This Row],[名前]]</f>
        <v>|MIDDLE:​錯音ジバ</v>
      </c>
      <c r="W316" s="23" t="str">
        <f>"|MIDDLE:​"&amp;テーブル1[[#This Row],[なまえ]]</f>
        <v>|MIDDLE:​さくね じば</v>
      </c>
      <c r="X316" s="23" t="str">
        <f>"|MIDDLE:​"&amp;テーブル1[[#This Row],[Name]]</f>
        <v>|MIDDLE:​Sakune Jiba</v>
      </c>
      <c r="Y316" s="23" t="str">
        <f>"|MIDDLE:​&amp;link(配布所はこちら){​"&amp;テーブル1[[#This Row],[リンク]]&amp;"}|"</f>
        <v>|MIDDLE:​&amp;link(配布所はこちら){​https://sites.google.com/view/fullmoon-ruro}|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7" s="24" t="s">
        <v>1207</v>
      </c>
      <c r="D317" s="23" t="s">
        <v>1227</v>
      </c>
      <c r="E317" s="23" t="s">
        <v>1226</v>
      </c>
      <c r="F317" s="15" t="s">
        <v>335</v>
      </c>
      <c r="G317" s="23" t="s">
        <v>336</v>
      </c>
      <c r="P317" s="24" t="str">
        <f>テーブル1[[#This Row],[リンク]]&amp;テーブル1[[#This Row],[描画状況]]</f>
        <v>https://torinosu-hikikomori.jimdofree.com</v>
      </c>
      <c r="Q317" s="17">
        <f>1-(COUNTIF(P:P,_xlfn.TEXTJOIN(",",TRUE,テーブル1[[#This Row],[リンク]],テーブル1[[#This Row],[描画状況]]))/COUNTIF(F:F,テーブル1[[#This Row],[リンク]]))</f>
        <v>0.125</v>
      </c>
      <c r="R317" s="16">
        <f ca="1">IFERROR(IF(テーブル1[[#This Row],[描画状況]]="",RAND()+(テーブル1[[#This Row],[列2]]*100),""),RAND())</f>
        <v>13.160388007985553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|&amp;image(sara-shedy.png,width=100,height=100)</v>
      </c>
      <c r="V317" s="23" t="str">
        <f>"|MIDDLE:​"&amp;テーブル1[[#This Row],[名前]]</f>
        <v>|MIDDLE:​サラ・シェーディ</v>
      </c>
      <c r="W317" s="23" t="str">
        <f>"|MIDDLE:​"&amp;テーブル1[[#This Row],[なまえ]]</f>
        <v>|MIDDLE:​さら しぇーでぃ</v>
      </c>
      <c r="X317" s="23" t="str">
        <f>"|MIDDLE:​"&amp;テーブル1[[#This Row],[Name]]</f>
        <v>|MIDDLE:​Sara Shedy</v>
      </c>
      <c r="Y317" s="23" t="str">
        <f>"|MIDDLE:​&amp;link(配布所はこちら){​"&amp;テーブル1[[#This Row],[リンク]]&amp;"}|"</f>
        <v>|MIDDLE:​&amp;link(配布所はこちら){​https://torinosu-hikikomori.jimdofree.com}|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8" s="24" t="s">
        <v>1180</v>
      </c>
      <c r="D318" s="23" t="s">
        <v>1180</v>
      </c>
      <c r="E318" s="23" t="s">
        <v>1181</v>
      </c>
      <c r="F318" s="15" t="s">
        <v>1179</v>
      </c>
      <c r="G318" s="23" t="str">
        <f>テーブル1[[#This Row],[名前]]&amp;"(UTAU)"</f>
        <v>ざんしゅ(UTAU)</v>
      </c>
      <c r="P318" s="24" t="str">
        <f>テーブル1[[#This Row],[リンク]]&amp;テーブル1[[#This Row],[描画状況]]</f>
        <v>https://ahogepucyi.wixsite.com/zannsyuutau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0.29024751277949012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|&amp;image(zanshu.png,width=100,height=100)</v>
      </c>
      <c r="V318" s="23" t="str">
        <f>"|MIDDLE:​"&amp;テーブル1[[#This Row],[名前]]</f>
        <v>|MIDDLE:​ざんしゅ</v>
      </c>
      <c r="W318" s="23" t="str">
        <f>"|MIDDLE:​"&amp;テーブル1[[#This Row],[なまえ]]</f>
        <v>|MIDDLE:​ざんしゅ</v>
      </c>
      <c r="X318" s="23" t="str">
        <f>"|MIDDLE:​"&amp;テーブル1[[#This Row],[Name]]</f>
        <v>|MIDDLE:​Zanshu</v>
      </c>
      <c r="Y318" s="23" t="str">
        <f>"|MIDDLE:​&amp;link(配布所はこちら){​"&amp;テーブル1[[#This Row],[リンク]]&amp;"}|"</f>
        <v>|MIDDLE:​&amp;link(配布所はこちら){​https://ahogepucyi.wixsite.com/zannsyuutau}|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9" s="24" t="s">
        <v>1100</v>
      </c>
      <c r="D319" s="23" t="s">
        <v>1101</v>
      </c>
      <c r="E319" s="23" t="s">
        <v>1102</v>
      </c>
      <c r="F319" s="15" t="s">
        <v>1099</v>
      </c>
      <c r="G319" s="23" t="str">
        <f>テーブル1[[#This Row],[名前]]&amp;"(UTAU)"</f>
        <v>三色あやか(UTAU)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0.42728500862895058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|&amp;image(sanshoku-ayaka.png,width=100,height=100)</v>
      </c>
      <c r="V319" s="23" t="str">
        <f>"|MIDDLE:​"&amp;テーブル1[[#This Row],[名前]]</f>
        <v>|MIDDLE:​三色あやか</v>
      </c>
      <c r="W319" s="23" t="str">
        <f>"|MIDDLE:​"&amp;テーブル1[[#This Row],[なまえ]]</f>
        <v>|MIDDLE:​さんしょく あやか</v>
      </c>
      <c r="X319" s="23" t="str">
        <f>"|MIDDLE:​"&amp;テーブル1[[#This Row],[Name]]</f>
        <v>|MIDDLE:​Sanshoku Ayaka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20" s="24" t="s">
        <v>1103</v>
      </c>
      <c r="D320" s="23" t="s">
        <v>1104</v>
      </c>
      <c r="E320" s="23" t="s">
        <v>1105</v>
      </c>
      <c r="F320" s="15" t="s">
        <v>1099</v>
      </c>
      <c r="G320" s="23" t="str">
        <f>テーブル1[[#This Row],[名前]]&amp;"(UTAU)"</f>
        <v>三色れいか(UTAU)</v>
      </c>
      <c r="P320" s="24" t="str">
        <f>テーブル1[[#This Row],[リンク]]&amp;テーブル1[[#This Row],[描画状況]]</f>
        <v>https://harujpg.wixsite.com/sanshoku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0.66088948787057156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|&amp;image(sanshoku-reika.png,width=100,height=100)</v>
      </c>
      <c r="V320" s="23" t="str">
        <f>"|MIDDLE:​"&amp;テーブル1[[#This Row],[名前]]</f>
        <v>|MIDDLE:​三色れいか</v>
      </c>
      <c r="W320" s="23" t="str">
        <f>"|MIDDLE:​"&amp;テーブル1[[#This Row],[なまえ]]</f>
        <v>|MIDDLE:​さんしょく れいか</v>
      </c>
      <c r="X320" s="23" t="str">
        <f>"|MIDDLE:​"&amp;テーブル1[[#This Row],[Name]]</f>
        <v>|MIDDLE:​Sanshoku Reika</v>
      </c>
      <c r="Y320" s="23" t="str">
        <f>"|MIDDLE:​&amp;link(配布所はこちら){​"&amp;テーブル1[[#This Row],[リンク]]&amp;"}|"</f>
        <v>|MIDDLE:​&amp;link(配布所はこちら){​https://harujpg.wixsite.com/sanshoku}|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21" s="24" t="s">
        <v>1109</v>
      </c>
      <c r="D321" s="23" t="s">
        <v>1110</v>
      </c>
      <c r="E321" s="23" t="s">
        <v>1111</v>
      </c>
      <c r="F321" s="15" t="s">
        <v>1099</v>
      </c>
      <c r="G321" s="23" t="str">
        <f>テーブル1[[#This Row],[名前]]&amp;"(UTAU)"</f>
        <v>三色家のぼうしさん(UTAU)</v>
      </c>
      <c r="P321" s="24" t="str">
        <f>テーブル1[[#This Row],[リンク]]&amp;テーブル1[[#This Row],[描画状況]]</f>
        <v>https://harujpg.wixsite.com/sanshoku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0.67666167575787028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|&amp;image(sanshokukenoboshisan.png,width=100,height=100)</v>
      </c>
      <c r="V321" s="23" t="str">
        <f>"|MIDDLE:​"&amp;テーブル1[[#This Row],[名前]]</f>
        <v>|MIDDLE:​三色家のぼうしさん</v>
      </c>
      <c r="W321" s="23" t="str">
        <f>"|MIDDLE:​"&amp;テーブル1[[#This Row],[なまえ]]</f>
        <v>|MIDDLE:​さんしょくけのぼうしさん</v>
      </c>
      <c r="X321" s="23" t="str">
        <f>"|MIDDLE:​"&amp;テーブル1[[#This Row],[Name]]</f>
        <v>|MIDDLE:​Sanshokukenoboshisan</v>
      </c>
      <c r="Y321" s="23" t="str">
        <f>"|MIDDLE:​&amp;link(配布所はこちら){​"&amp;テーブル1[[#This Row],[リンク]]&amp;"}|"</f>
        <v>|MIDDLE:​&amp;link(配布所はこちら){​https://harujpg.wixsite.com/sanshoku}|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2" s="24" t="s">
        <v>587</v>
      </c>
      <c r="D322" s="23" t="s">
        <v>588</v>
      </c>
      <c r="E322" s="23" t="s">
        <v>589</v>
      </c>
      <c r="F322" s="2" t="s">
        <v>590</v>
      </c>
      <c r="G322" s="23" t="str">
        <f>テーブル1[[#This Row],[名前]]&amp;"(UTAU)"</f>
        <v>残音ンダ(UTAU)</v>
      </c>
      <c r="P322" s="24" t="str">
        <f>テーブル1[[#This Row],[リンク]]&amp;テーブル1[[#This Row],[描画状況]]</f>
        <v>https://tomatoshop.studio.site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0.14358716354595213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|&amp;image(zanne-uda.png,width=100,height=100)</v>
      </c>
      <c r="V322" s="23" t="str">
        <f>"|MIDDLE:​"&amp;テーブル1[[#This Row],[名前]]</f>
        <v>|MIDDLE:​残音ンダ</v>
      </c>
      <c r="W322" s="23" t="str">
        <f>"|MIDDLE:​"&amp;テーブル1[[#This Row],[なまえ]]</f>
        <v>|MIDDLE:​ざんね うだ</v>
      </c>
      <c r="X322" s="23" t="str">
        <f>"|MIDDLE:​"&amp;テーブル1[[#This Row],[Name]]</f>
        <v>|MIDDLE:​Zanne Uda</v>
      </c>
      <c r="Y322" s="23" t="str">
        <f>"|MIDDLE:​&amp;link(配布所はこちら){​"&amp;テーブル1[[#This Row],[リンク]]&amp;"}|"</f>
        <v>|MIDDLE:​&amp;link(配布所はこちら){​https://tomatoshop.studio.site}|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3" s="24" t="s">
        <v>741</v>
      </c>
      <c r="D323" s="23" t="s">
        <v>742</v>
      </c>
      <c r="E323" s="23" t="s">
        <v>743</v>
      </c>
      <c r="F323" s="23" t="s">
        <v>417</v>
      </c>
      <c r="G323" s="23" t="str">
        <f>テーブル1[[#This Row],[名前]]&amp;"(UTAU)"</f>
        <v>シェリーロイド(UTAU)</v>
      </c>
      <c r="P323" s="24" t="str">
        <f>テーブル1[[#This Row],[リンク]]&amp;テーブル1[[#This Row],[描画状況]]</f>
        <v>-</v>
      </c>
      <c r="Q323" s="17">
        <f>1-(COUNTIF(P:P,_xlfn.TEXTJOIN(",",TRUE,テーブル1[[#This Row],[リンク]],テーブル1[[#This Row],[描画状況]]))/COUNTIF(F:F,テーブル1[[#This Row],[リンク]]))</f>
        <v>0.33333333333333337</v>
      </c>
      <c r="R323" s="16">
        <f ca="1">IFERROR(IF(テーブル1[[#This Row],[描画状況]]="",RAND()+(テーブル1[[#This Row],[列2]]*100),""),RAND())</f>
        <v>34.296744744893232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|&amp;image(cherri-loid.png,width=100,height=100)</v>
      </c>
      <c r="V323" s="23" t="str">
        <f>"|MIDDLE:​"&amp;テーブル1[[#This Row],[名前]]</f>
        <v>|MIDDLE:​シェリーロイド</v>
      </c>
      <c r="W323" s="23" t="str">
        <f>"|MIDDLE:​"&amp;テーブル1[[#This Row],[なまえ]]</f>
        <v>|MIDDLE:​しぇりーろいど</v>
      </c>
      <c r="X323" s="23" t="str">
        <f>"|MIDDLE:​"&amp;テーブル1[[#This Row],[Name]]</f>
        <v>|MIDDLE:​CHERRI-LOID</v>
      </c>
      <c r="Y323" s="23" t="str">
        <f>"|MIDDLE:​&amp;link(配布所はこちら){​"&amp;テーブル1[[#This Row],[リンク]]&amp;"}|"</f>
        <v>|MIDDLE:​&amp;link(配布所はこちら){​-}|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4" s="24" t="s">
        <v>1038</v>
      </c>
      <c r="D324" s="23" t="s">
        <v>1039</v>
      </c>
      <c r="E324" s="23" t="s">
        <v>1040</v>
      </c>
      <c r="F324" s="15" t="s">
        <v>667</v>
      </c>
      <c r="G324" s="23" t="s">
        <v>668</v>
      </c>
      <c r="N324" s="1" t="s">
        <v>1497</v>
      </c>
      <c r="P324" s="24" t="str">
        <f>テーブル1[[#This Row],[リンク]]&amp;テーブル1[[#This Row],[描画状況]]</f>
        <v>https://flowerrocklove.wixsite.com/twilight-crisis</v>
      </c>
      <c r="Q324" s="17">
        <f>1-(COUNTIF(P:P,_xlfn.TEXTJOIN(",",TRUE,テーブル1[[#This Row],[リンク]],テーブル1[[#This Row],[描画状況]]))/COUNTIF(F:F,テーブル1[[#This Row],[リンク]]))</f>
        <v>0.22222222222222221</v>
      </c>
      <c r="R324" s="16">
        <f ca="1">IFERROR(IF(テーブル1[[#This Row],[描画状況]]="",RAND()+(テーブル1[[#This Row],[列2]]*100),""),RAND())</f>
        <v>22.441161105210679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|&amp;image(jigokudani-kaku.png,width=100,height=100)</v>
      </c>
      <c r="V324" s="23" t="str">
        <f>"|MIDDLE:​"&amp;テーブル1[[#This Row],[名前]]</f>
        <v>|MIDDLE:​地獄谷覚</v>
      </c>
      <c r="W324" s="23" t="str">
        <f>"|MIDDLE:​"&amp;テーブル1[[#This Row],[なまえ]]</f>
        <v>|MIDDLE:​じごくだに かく</v>
      </c>
      <c r="X324" s="23" t="str">
        <f>"|MIDDLE:​"&amp;テーブル1[[#This Row],[Name]]</f>
        <v>|MIDDLE:​Jigokudani Kaku</v>
      </c>
      <c r="Y32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5" s="24" t="s">
        <v>1041</v>
      </c>
      <c r="D325" s="23" t="s">
        <v>1042</v>
      </c>
      <c r="E325" s="23" t="s">
        <v>1043</v>
      </c>
      <c r="F325" s="15" t="s">
        <v>667</v>
      </c>
      <c r="G325" s="23" t="s">
        <v>668</v>
      </c>
      <c r="N325" s="1" t="s">
        <v>1497</v>
      </c>
      <c r="P325" s="24" t="str">
        <f>テーブル1[[#This Row],[リンク]]&amp;テーブル1[[#This Row],[描画状況]]</f>
        <v>https://flowerrocklove.wixsite.com/twilight-crisis</v>
      </c>
      <c r="Q325" s="17">
        <f>1-(COUNTIF(P:P,_xlfn.TEXTJOIN(",",TRUE,テーブル1[[#This Row],[リンク]],テーブル1[[#This Row],[描画状況]]))/COUNTIF(F:F,テーブル1[[#This Row],[リンク]]))</f>
        <v>0.22222222222222221</v>
      </c>
      <c r="R325" s="16">
        <f ca="1">IFERROR(IF(テーブル1[[#This Row],[描画状況]]="",RAND()+(テーブル1[[#This Row],[列2]]*100),""),RAND())</f>
        <v>22.264842034914569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|&amp;image(jigokudani-lin.png,width=100,height=100)</v>
      </c>
      <c r="V325" s="23" t="str">
        <f>"|MIDDLE:​"&amp;テーブル1[[#This Row],[名前]]</f>
        <v>|MIDDLE:​地獄谷燐</v>
      </c>
      <c r="W325" s="23" t="str">
        <f>"|MIDDLE:​"&amp;テーブル1[[#This Row],[なまえ]]</f>
        <v>|MIDDLE:​じごくだに りん</v>
      </c>
      <c r="X325" s="23" t="str">
        <f>"|MIDDLE:​"&amp;テーブル1[[#This Row],[Name]]</f>
        <v>|MIDDLE:​Jigokudani Lin</v>
      </c>
      <c r="Y32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6" s="24" t="s">
        <v>511</v>
      </c>
      <c r="D326" s="23" t="s">
        <v>512</v>
      </c>
      <c r="E326" s="23" t="s">
        <v>513</v>
      </c>
      <c r="F326" s="2" t="s">
        <v>514</v>
      </c>
      <c r="G326" s="23" t="s">
        <v>515</v>
      </c>
      <c r="P326" s="24" t="str">
        <f>テーブル1[[#This Row],[リンク]]&amp;テーブル1[[#This Row],[描画状況]]</f>
        <v>https://bowlroll.net/user/966729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0.69175169606457843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|&amp;image(shijii-kyoka.png,width=100,height=100)</v>
      </c>
      <c r="V326" s="23" t="str">
        <f>"|MIDDLE:​"&amp;テーブル1[[#This Row],[名前]]</f>
        <v>|MIDDLE:​四々井杏花</v>
      </c>
      <c r="W326" s="23" t="str">
        <f>"|MIDDLE:​"&amp;テーブル1[[#This Row],[なまえ]]</f>
        <v>|MIDDLE:​しじい きょうか</v>
      </c>
      <c r="X326" s="23" t="str">
        <f>"|MIDDLE:​"&amp;テーブル1[[#This Row],[Name]]</f>
        <v>|MIDDLE:​Shijii Kyoka</v>
      </c>
      <c r="Y326" s="23" t="str">
        <f>"|MIDDLE:​&amp;link(配布所はこちら){​"&amp;テーブル1[[#This Row],[リンク]]&amp;"}|"</f>
        <v>|MIDDLE:​&amp;link(配布所はこちら){​https://bowlroll.net/user/966729}|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7" s="24" t="s">
        <v>1293</v>
      </c>
      <c r="D327" s="23" t="s">
        <v>1295</v>
      </c>
      <c r="E327" s="23" t="s">
        <v>1296</v>
      </c>
      <c r="F327" s="15" t="s">
        <v>1297</v>
      </c>
      <c r="G327" s="23" t="s">
        <v>1294</v>
      </c>
      <c r="P327" s="24" t="str">
        <f>テーブル1[[#This Row],[リンク]]&amp;テーブル1[[#This Row],[描画状況]]</f>
        <v>https://bowlroll.net/user/896336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0.6938739329252922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|&amp;image(shippo.png,width=100,height=100)</v>
      </c>
      <c r="V327" s="23" t="str">
        <f>"|MIDDLE:​"&amp;テーブル1[[#This Row],[名前]]</f>
        <v>|MIDDLE:​尻尾</v>
      </c>
      <c r="W327" s="23" t="str">
        <f>"|MIDDLE:​"&amp;テーブル1[[#This Row],[なまえ]]</f>
        <v>|MIDDLE:​しっぽ</v>
      </c>
      <c r="X327" s="23" t="str">
        <f>"|MIDDLE:​"&amp;テーブル1[[#This Row],[Name]]</f>
        <v>|MIDDLE:​Shippo</v>
      </c>
      <c r="Y327" s="23" t="str">
        <f>"|MIDDLE:​&amp;link(配布所はこちら){​"&amp;テーブル1[[#This Row],[リンク]]&amp;"}|"</f>
        <v>|MIDDLE:​&amp;link(配布所はこちら){​https://bowlroll.net/user/896336}|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8" s="24" t="s">
        <v>966</v>
      </c>
      <c r="D328" s="23" t="s">
        <v>967</v>
      </c>
      <c r="E328" s="23" t="s">
        <v>968</v>
      </c>
      <c r="F328" s="2" t="s">
        <v>1663</v>
      </c>
      <c r="G328" s="23" t="str">
        <f>テーブル1[[#This Row],[名前]]&amp;"(UTAU)"</f>
        <v>死nu音サン(UTAU)</v>
      </c>
      <c r="H328" s="23" t="s">
        <v>1634</v>
      </c>
      <c r="I328" s="23" t="s">
        <v>1627</v>
      </c>
      <c r="N328" s="1" t="s">
        <v>1498</v>
      </c>
      <c r="P328" s="24" t="str">
        <f>テーブル1[[#This Row],[リンク]]&amp;テーブル1[[#This Row],[描画状況]]</f>
        <v>https://ameutaulii.wixsite.com/telepathycapsule</v>
      </c>
      <c r="Q328" s="17">
        <f>1-(COUNTIF(P:P,_xlfn.TEXTJOIN(",",TRUE,テーブル1[[#This Row],[リンク]],テーブル1[[#This Row],[描画状況]]))/COUNTIF(F:F,テーブル1[[#This Row],[リンク]]))</f>
        <v>0.16666666666666663</v>
      </c>
      <c r="R328" s="16">
        <f ca="1">IFERROR(IF(テーブル1[[#This Row],[描画状況]]="",RAND()+(テーブル1[[#This Row],[列2]]*100),""),RAND())</f>
        <v>16.806225252917944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|&amp;image(shinunesan.png,width=100,height=100)</v>
      </c>
      <c r="V328" s="23" t="str">
        <f>"|MIDDLE:​"&amp;テーブル1[[#This Row],[名前]]</f>
        <v>|MIDDLE:​死nu音サン</v>
      </c>
      <c r="W328" s="23" t="str">
        <f>"|MIDDLE:​"&amp;テーブル1[[#This Row],[なまえ]]</f>
        <v>|MIDDLE:​しぬねさん</v>
      </c>
      <c r="X328" s="23" t="str">
        <f>"|MIDDLE:​"&amp;テーブル1[[#This Row],[Name]]</f>
        <v>|MIDDLE:​Shinunesan</v>
      </c>
      <c r="Y3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9" s="24" t="s">
        <v>972</v>
      </c>
      <c r="D329" s="23" t="s">
        <v>973</v>
      </c>
      <c r="E329" s="23" t="s">
        <v>974</v>
      </c>
      <c r="F329" s="2" t="s">
        <v>50</v>
      </c>
      <c r="G329" s="23" t="str">
        <f>テーブル1[[#This Row],[名前]]&amp;"(UTAU)"</f>
        <v>シャレーナ(UTAU)</v>
      </c>
      <c r="P329" s="24" t="str">
        <f>テーブル1[[#This Row],[リンク]]&amp;テーブル1[[#This Row],[描画状況]]</f>
        <v>https://amiseniamnu.wixsite.com/amisenia</v>
      </c>
      <c r="Q329" s="17">
        <f>1-(COUNTIF(P:P,_xlfn.TEXTJOIN(",",TRUE,テーブル1[[#This Row],[リンク]],テーブル1[[#This Row],[描画状況]]))/COUNTIF(F:F,テーブル1[[#This Row],[リンク]]))</f>
        <v>0.5</v>
      </c>
      <c r="R329" s="16">
        <f ca="1">IFERROR(IF(テーブル1[[#This Row],[描画状況]]="",RAND()+(テーブル1[[#This Row],[列2]]*100),""),RAND())</f>
        <v>50.866151394825664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|&amp;image(sharena.png,width=100,height=100)</v>
      </c>
      <c r="V329" s="23" t="str">
        <f>"|MIDDLE:​"&amp;テーブル1[[#This Row],[名前]]</f>
        <v>|MIDDLE:​シャレーナ</v>
      </c>
      <c r="W329" s="23" t="str">
        <f>"|MIDDLE:​"&amp;テーブル1[[#This Row],[なまえ]]</f>
        <v>|MIDDLE:​しゃれーな</v>
      </c>
      <c r="X329" s="23" t="str">
        <f>"|MIDDLE:​"&amp;テーブル1[[#This Row],[Name]]</f>
        <v>|MIDDLE:​Sharena</v>
      </c>
      <c r="Y329" s="23" t="str">
        <f>"|MIDDLE:​&amp;link(配布所はこちら){​"&amp;テーブル1[[#This Row],[リンク]]&amp;"}|"</f>
        <v>|MIDDLE:​&amp;link(配布所はこちら){​https://amiseniamnu.wixsite.com/amisenia}|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30" s="24" t="s">
        <v>1348</v>
      </c>
      <c r="D330" s="23" t="s">
        <v>1350</v>
      </c>
      <c r="E330" s="23" t="s">
        <v>1349</v>
      </c>
      <c r="F330" s="2" t="s">
        <v>1343</v>
      </c>
      <c r="G330" s="23" t="s">
        <v>1344</v>
      </c>
      <c r="P330" s="24" t="str">
        <f>テーブル1[[#This Row],[リンク]]&amp;テーブル1[[#This Row],[描画状況]]</f>
        <v>https://maybeanglo0mochi.wixsite.com/mochiyanosouko</v>
      </c>
      <c r="Q330" s="17">
        <f>1-(COUNTIF(P:P,_xlfn.TEXTJOIN(",",TRUE,テーブル1[[#This Row],[リンク]],テーブル1[[#This Row],[描画状況]]))/COUNTIF(F:F,テーブル1[[#This Row],[リンク]]))</f>
        <v>0.125</v>
      </c>
      <c r="R330" s="16">
        <f ca="1">IFERROR(IF(テーブル1[[#This Row],[描画状況]]="",RAND()+(テーブル1[[#This Row],[列2]]*100),""),RAND())</f>
        <v>12.905377435598893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|&amp;image(syokuhei-saku.png,width=100,height=100)</v>
      </c>
      <c r="V330" s="23" t="str">
        <f>"|MIDDLE:​"&amp;テーブル1[[#This Row],[名前]]</f>
        <v>|MIDDLE:​食并さく</v>
      </c>
      <c r="W330" s="23" t="str">
        <f>"|MIDDLE:​"&amp;テーブル1[[#This Row],[なまえ]]</f>
        <v>|MIDDLE:​しょくへい さく</v>
      </c>
      <c r="X330" s="23" t="str">
        <f>"|MIDDLE:​"&amp;テーブル1[[#This Row],[Name]]</f>
        <v>|MIDDLE:​Syokuhei Saku</v>
      </c>
      <c r="Y33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31" s="24" t="s">
        <v>1345</v>
      </c>
      <c r="D331" s="23" t="s">
        <v>1347</v>
      </c>
      <c r="E331" s="23" t="s">
        <v>1346</v>
      </c>
      <c r="F331" s="2" t="s">
        <v>1343</v>
      </c>
      <c r="G331" s="23" t="s">
        <v>1344</v>
      </c>
      <c r="P331" s="24" t="str">
        <f>テーブル1[[#This Row],[リンク]]&amp;テーブル1[[#This Row],[描画状況]]</f>
        <v>https://maybeanglo0mochi.wixsite.com/mochiyanosouko</v>
      </c>
      <c r="Q331" s="17">
        <f>1-(COUNTIF(P:P,_xlfn.TEXTJOIN(",",TRUE,テーブル1[[#This Row],[リンク]],テーブル1[[#This Row],[描画状況]]))/COUNTIF(F:F,テーブル1[[#This Row],[リンク]]))</f>
        <v>0.125</v>
      </c>
      <c r="R331" s="16">
        <f ca="1">IFERROR(IF(テーブル1[[#This Row],[描画状況]]="",RAND()+(テーブル1[[#This Row],[列2]]*100),""),RAND())</f>
        <v>12.68155508071237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|&amp;image(syokuhei-fuwa.png,width=100,height=100)</v>
      </c>
      <c r="V331" s="23" t="str">
        <f>"|MIDDLE:​"&amp;テーブル1[[#This Row],[名前]]</f>
        <v>|MIDDLE:​食并ふうわ</v>
      </c>
      <c r="W331" s="23" t="str">
        <f>"|MIDDLE:​"&amp;テーブル1[[#This Row],[なまえ]]</f>
        <v>|MIDDLE:​しょくへい ふうわ</v>
      </c>
      <c r="X331" s="23" t="str">
        <f>"|MIDDLE:​"&amp;テーブル1[[#This Row],[Name]]</f>
        <v>|MIDDLE:​Syokuhei Fuwa</v>
      </c>
      <c r="Y33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2" s="24" t="s">
        <v>612</v>
      </c>
      <c r="D332" s="23" t="s">
        <v>613</v>
      </c>
      <c r="E332" s="23" t="s">
        <v>614</v>
      </c>
      <c r="F332" s="2" t="s">
        <v>211</v>
      </c>
      <c r="G332" s="23" t="s">
        <v>212</v>
      </c>
      <c r="N332" s="1" t="s">
        <v>1497</v>
      </c>
      <c r="P332" s="24" t="str">
        <f>テーブル1[[#This Row],[リンク]]&amp;テーブル1[[#This Row],[描画状況]]</f>
        <v>https://mitoristu.wixsite.com/kousaibako</v>
      </c>
      <c r="Q332" s="17">
        <f>1-(COUNTIF(P:P,_xlfn.TEXTJOIN(",",TRUE,テーブル1[[#This Row],[リンク]],テーブル1[[#This Row],[描画状況]]))/COUNTIF(F:F,テーブル1[[#This Row],[リンク]]))</f>
        <v>0.19999999999999996</v>
      </c>
      <c r="R332" s="16">
        <f ca="1">IFERROR(IF(テーブル1[[#This Row],[描画状況]]="",RAND()+(テーブル1[[#This Row],[列2]]*100),""),RAND())</f>
        <v>20.285927243899216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|&amp;image(shirahari-akane.png,width=100,height=100)</v>
      </c>
      <c r="V332" s="23" t="str">
        <f>"|MIDDLE:​"&amp;テーブル1[[#This Row],[名前]]</f>
        <v>|MIDDLE:​白播茜</v>
      </c>
      <c r="W332" s="23" t="str">
        <f>"|MIDDLE:​"&amp;テーブル1[[#This Row],[なまえ]]</f>
        <v>|MIDDLE:​しらはり あかね</v>
      </c>
      <c r="X332" s="23" t="str">
        <f>"|MIDDLE:​"&amp;テーブル1[[#This Row],[Name]]</f>
        <v>|MIDDLE:​Shirahari Akane</v>
      </c>
      <c r="Y332" s="23" t="str">
        <f>"|MIDDLE:​&amp;link(配布所はこちら){​"&amp;テーブル1[[#This Row],[リンク]]&amp;"}|"</f>
        <v>|MIDDLE:​&amp;link(配布所はこちら){​https://mitoristu.wixsite.com/kousaibako}|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3" s="24" t="s">
        <v>1167</v>
      </c>
      <c r="D333" s="23" t="s">
        <v>1168</v>
      </c>
      <c r="E333" s="23" t="s">
        <v>1169</v>
      </c>
      <c r="F333" s="2" t="s">
        <v>97</v>
      </c>
      <c r="G333" s="23" t="s">
        <v>98</v>
      </c>
      <c r="H333" s="23" t="s">
        <v>1606</v>
      </c>
      <c r="I333" s="23" t="s">
        <v>1844</v>
      </c>
      <c r="M333" s="23" t="s">
        <v>1845</v>
      </c>
      <c r="N333" s="1" t="s">
        <v>1497</v>
      </c>
      <c r="P333" s="24" t="str">
        <f>テーブル1[[#This Row],[リンク]]&amp;テーブル1[[#This Row],[描画状況]]</f>
        <v>https://hinagitsune-utau.wixsite.com/utaukokorone</v>
      </c>
      <c r="Q333" s="17">
        <f>1-(COUNTIF(P:P,_xlfn.TEXTJOIN(",",TRUE,テーブル1[[#This Row],[リンク]],テーブル1[[#This Row],[描画状況]]))/COUNTIF(F:F,テーブル1[[#This Row],[リンク]]))</f>
        <v>0.19999999999999996</v>
      </c>
      <c r="R333" s="16">
        <f ca="1">IFERROR(IF(テーブル1[[#This Row],[描画状況]]="",RAND()+(テーブル1[[#This Row],[列2]]*100),""),RAND())</f>
        <v>20.884351295565345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|&amp;image(shirayuki.png,width=100,height=100)</v>
      </c>
      <c r="V333" s="23" t="str">
        <f>"|MIDDLE:​"&amp;テーブル1[[#This Row],[名前]]</f>
        <v>|MIDDLE:​シラユキ</v>
      </c>
      <c r="W333" s="23" t="str">
        <f>"|MIDDLE:​"&amp;テーブル1[[#This Row],[なまえ]]</f>
        <v>|MIDDLE:​しらゆき</v>
      </c>
      <c r="X333" s="23" t="str">
        <f>"|MIDDLE:​"&amp;テーブル1[[#This Row],[Name]]</f>
        <v>|MIDDLE:​Shirayuki</v>
      </c>
      <c r="Y33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4" s="24" t="s">
        <v>1051</v>
      </c>
      <c r="D334" s="23" t="s">
        <v>1051</v>
      </c>
      <c r="E334" s="23" t="s">
        <v>1052</v>
      </c>
      <c r="F334" s="15" t="s">
        <v>667</v>
      </c>
      <c r="G334" s="23" t="s">
        <v>668</v>
      </c>
      <c r="N334" s="1" t="s">
        <v>1497</v>
      </c>
      <c r="P334" s="24" t="str">
        <f>テーブル1[[#This Row],[リンク]]&amp;テーブル1[[#This Row],[描画状況]]</f>
        <v>https://flowerrocklove.wixsite.com/twilight-crisis</v>
      </c>
      <c r="Q334" s="17">
        <f>1-(COUNTIF(P:P,_xlfn.TEXTJOIN(",",TRUE,テーブル1[[#This Row],[リンク]],テーブル1[[#This Row],[描画状況]]))/COUNTIF(F:F,テーブル1[[#This Row],[リンク]]))</f>
        <v>0.22222222222222221</v>
      </c>
      <c r="R334" s="16">
        <f ca="1">IFERROR(IF(テーブル1[[#This Row],[描画状況]]="",RAND()+(テーブル1[[#This Row],[列2]]*100),""),RAND())</f>
        <v>22.658469912110458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|&amp;image(jinrui.png,width=100,height=100)</v>
      </c>
      <c r="V334" s="23" t="str">
        <f>"|MIDDLE:​"&amp;テーブル1[[#This Row],[名前]]</f>
        <v>|MIDDLE:​じんるい</v>
      </c>
      <c r="W334" s="23" t="str">
        <f>"|MIDDLE:​"&amp;テーブル1[[#This Row],[なまえ]]</f>
        <v>|MIDDLE:​じんるい</v>
      </c>
      <c r="X334" s="23" t="str">
        <f>"|MIDDLE:​"&amp;テーブル1[[#This Row],[Name]]</f>
        <v>|MIDDLE:​Jinrui</v>
      </c>
      <c r="Y33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5" s="24" t="s">
        <v>1026</v>
      </c>
      <c r="D335" s="23" t="s">
        <v>1027</v>
      </c>
      <c r="E335" s="23" t="s">
        <v>1028</v>
      </c>
      <c r="F335" s="27" t="s">
        <v>84</v>
      </c>
      <c r="G335" s="23" t="s">
        <v>85</v>
      </c>
      <c r="H335" s="23" t="s">
        <v>1634</v>
      </c>
      <c r="I335" s="23" t="s">
        <v>1846</v>
      </c>
      <c r="N335" s="1" t="s">
        <v>1498</v>
      </c>
      <c r="P335" s="24" t="str">
        <f>テーブル1[[#This Row],[リンク]]&amp;テーブル1[[#This Row],[描画状況]]</f>
        <v>https://chunyinhui021.wixsite.com/mutyuusaisei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33.340258700440621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|&amp;image(suimei.png,width=100,height=100)</v>
      </c>
      <c r="V335" s="23" t="str">
        <f>"|MIDDLE:​"&amp;テーブル1[[#This Row],[名前]]</f>
        <v>|MIDDLE:​水明</v>
      </c>
      <c r="W335" s="23" t="str">
        <f>"|MIDDLE:​"&amp;テーブル1[[#This Row],[なまえ]]</f>
        <v>|MIDDLE:​すいめい</v>
      </c>
      <c r="X335" s="23" t="str">
        <f>"|MIDDLE:​"&amp;テーブル1[[#This Row],[Name]]</f>
        <v>|MIDDLE:​Suimei</v>
      </c>
      <c r="Y33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6" s="24" t="s">
        <v>885</v>
      </c>
      <c r="D336" s="23" t="s">
        <v>886</v>
      </c>
      <c r="E336" s="23" t="s">
        <v>887</v>
      </c>
      <c r="F336" s="15" t="s">
        <v>888</v>
      </c>
      <c r="G336" s="23" t="str">
        <f>テーブル1[[#This Row],[名前]]&amp;"(UTAU)"</f>
        <v>救井イド(UTAU)</v>
      </c>
      <c r="P336" s="24" t="str">
        <f>テーブル1[[#This Row],[リンク]]&amp;テーブル1[[#This Row],[描画状況]]</f>
        <v>https://bowlroll.net/user/999132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0.37534156927825757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|&amp;image(sukii-ido.png,width=100,height=100)</v>
      </c>
      <c r="V336" s="23" t="str">
        <f>"|MIDDLE:​"&amp;テーブル1[[#This Row],[名前]]</f>
        <v>|MIDDLE:​救井イド</v>
      </c>
      <c r="W336" s="23" t="str">
        <f>"|MIDDLE:​"&amp;テーブル1[[#This Row],[なまえ]]</f>
        <v>|MIDDLE:​すくい いど</v>
      </c>
      <c r="X336" s="23" t="str">
        <f>"|MIDDLE:​"&amp;テーブル1[[#This Row],[Name]]</f>
        <v>|MIDDLE:​Sukii Ido</v>
      </c>
      <c r="Y336" s="23" t="str">
        <f>"|MIDDLE:​&amp;link(配布所はこちら){​"&amp;テーブル1[[#This Row],[リンク]]&amp;"}|"</f>
        <v>|MIDDLE:​&amp;link(配布所はこちら){​https://bowlroll.net/user/999132}|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7" s="24" t="s">
        <v>1186</v>
      </c>
      <c r="D337" s="23" t="s">
        <v>1187</v>
      </c>
      <c r="E337" s="23" t="s">
        <v>1188</v>
      </c>
      <c r="F337" s="15" t="s">
        <v>721</v>
      </c>
      <c r="G337" s="23" t="s">
        <v>1189</v>
      </c>
      <c r="N337" s="1" t="s">
        <v>1498</v>
      </c>
      <c r="P337" s="24" t="str">
        <f>テーブル1[[#This Row],[リンク]]&amp;テーブル1[[#This Row],[描画状況]]</f>
        <v>https://grskmot8.wixsite.com/kdarock</v>
      </c>
      <c r="Q337" s="17">
        <f>1-(COUNTIF(P:P,_xlfn.TEXTJOIN(",",TRUE,テーブル1[[#This Row],[リンク]],テーブル1[[#This Row],[描画状況]]))/COUNTIF(F:F,テーブル1[[#This Row],[リンク]]))</f>
        <v>0.33333333333333337</v>
      </c>
      <c r="R337" s="16">
        <f ca="1">IFERROR(IF(テーブル1[[#This Row],[描画状況]]="",RAND()+(テーブル1[[#This Row],[列2]]*100),""),RAND())</f>
        <v>33.857814343957926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|&amp;image(suzukaze-netsuko.png,width=100,height=100)</v>
      </c>
      <c r="V337" s="23" t="str">
        <f>"|MIDDLE:​"&amp;テーブル1[[#This Row],[名前]]</f>
        <v>|MIDDLE:​涼風熱子</v>
      </c>
      <c r="W337" s="23" t="str">
        <f>"|MIDDLE:​"&amp;テーブル1[[#This Row],[なまえ]]</f>
        <v>|MIDDLE:​すずかぜ ねつこ</v>
      </c>
      <c r="X337" s="23" t="str">
        <f>"|MIDDLE:​"&amp;テーブル1[[#This Row],[Name]]</f>
        <v>|MIDDLE:​Suzukaze Netsuko</v>
      </c>
      <c r="Y337" s="23" t="str">
        <f>"|MIDDLE:​&amp;link(配布所はこちら){​"&amp;テーブル1[[#This Row],[リンク]]&amp;"}|"</f>
        <v>|MIDDLE:​&amp;link(配布所はこちら){​https://grskmot8.wixsite.com/kdarock}|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8" s="24" t="s">
        <v>627</v>
      </c>
      <c r="D338" s="23" t="s">
        <v>628</v>
      </c>
      <c r="E338" s="24" t="s">
        <v>627</v>
      </c>
      <c r="F338" s="2" t="s">
        <v>162</v>
      </c>
      <c r="G338" s="23" t="s">
        <v>163</v>
      </c>
      <c r="H338" s="23" t="s">
        <v>1606</v>
      </c>
      <c r="I338" s="23" t="s">
        <v>1616</v>
      </c>
      <c r="P338" s="24" t="str">
        <f>テーブル1[[#This Row],[リンク]]&amp;テーブル1[[#This Row],[描画状況]]</f>
        <v>https://kuroi9603.wixsite.com/delu-lab-south</v>
      </c>
      <c r="Q338" s="17">
        <f>1-(COUNTIF(P:P,_xlfn.TEXTJOIN(",",TRUE,テーブル1[[#This Row],[リンク]],テーブル1[[#This Row],[描画状況]]))/COUNTIF(F:F,テーブル1[[#This Row],[リンク]]))</f>
        <v>0.66666666666666674</v>
      </c>
      <c r="R338" s="16">
        <f ca="1">IFERROR(IF(テーブル1[[#This Row],[描画状況]]="",RAND()+(テーブル1[[#This Row],[列2]]*100),""),RAND())</f>
        <v>66.704502460584678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|&amp;image(stella.png,width=100,height=100)</v>
      </c>
      <c r="V338" s="23" t="str">
        <f>"|MIDDLE:​"&amp;テーブル1[[#This Row],[名前]]</f>
        <v>|MIDDLE:​Stella</v>
      </c>
      <c r="W338" s="23" t="str">
        <f>"|MIDDLE:​"&amp;テーブル1[[#This Row],[なまえ]]</f>
        <v>|MIDDLE:​すてら</v>
      </c>
      <c r="X338" s="23" t="str">
        <f>"|MIDDLE:​"&amp;テーブル1[[#This Row],[Name]]</f>
        <v>|MIDDLE:​Stella</v>
      </c>
      <c r="Y338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9" s="24" t="s">
        <v>897</v>
      </c>
      <c r="D339" s="23" t="s">
        <v>899</v>
      </c>
      <c r="E339" s="23" t="s">
        <v>898</v>
      </c>
      <c r="F339" s="15" t="s">
        <v>900</v>
      </c>
      <c r="G339" s="23" t="s">
        <v>913</v>
      </c>
      <c r="P339" s="24" t="str">
        <f>テーブル1[[#This Row],[リンク]]&amp;テーブル1[[#This Row],[描画状況]]</f>
        <v>https://suukedayo.wixsite.com/shiawasefairu</v>
      </c>
      <c r="Q339" s="17">
        <f>1-(COUNTIF(P:P,_xlfn.TEXTJOIN(",",TRUE,テーブル1[[#This Row],[リンク]],テーブル1[[#This Row],[描画状況]]))/COUNTIF(F:F,テーブル1[[#This Row],[リンク]]))</f>
        <v>0</v>
      </c>
      <c r="R339" s="16">
        <f ca="1">IFERROR(IF(テーブル1[[#This Row],[描画状況]]="",RAND()+(テーブル1[[#This Row],[列2]]*100),""),RAND())</f>
        <v>0.54093623134019686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|&amp;image(sumomone-fueru.png,width=100,height=100)</v>
      </c>
      <c r="V339" s="23" t="str">
        <f>"|MIDDLE:​"&amp;テーブル1[[#This Row],[名前]]</f>
        <v>|MIDDLE:​李音フヱル</v>
      </c>
      <c r="W339" s="23" t="str">
        <f>"|MIDDLE:​"&amp;テーブル1[[#This Row],[なまえ]]</f>
        <v>|MIDDLE:​すももね ふえる</v>
      </c>
      <c r="X339" s="23" t="str">
        <f>"|MIDDLE:​"&amp;テーブル1[[#This Row],[Name]]</f>
        <v>|MIDDLE:​Sumomone Fueru</v>
      </c>
      <c r="Y339" s="23" t="str">
        <f>"|MIDDLE:​&amp;link(配布所はこちら){​"&amp;テーブル1[[#This Row],[リンク]]&amp;"}|"</f>
        <v>|MIDDLE:​&amp;link(配布所はこちら){​https://suukedayo.wixsite.com/shiawasefairu}|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40" s="24" t="s">
        <v>1084</v>
      </c>
      <c r="D340" s="23" t="s">
        <v>1085</v>
      </c>
      <c r="E340" s="23" t="s">
        <v>1086</v>
      </c>
      <c r="F340" s="15" t="s">
        <v>1061</v>
      </c>
      <c r="G340" s="23" t="s">
        <v>1062</v>
      </c>
      <c r="P340" s="24" t="str">
        <f>テーブル1[[#This Row],[リンク]]&amp;テーブル1[[#This Row],[描画状況]]</f>
        <v>https://yukimiyashimusho.jimdofree.com</v>
      </c>
      <c r="Q340" s="17">
        <f>1-(COUNTIF(P:P,_xlfn.TEXTJOIN(",",TRUE,テーブル1[[#This Row],[リンク]],テーブル1[[#This Row],[描画状況]]))/COUNTIF(F:F,テーブル1[[#This Row],[リンク]]))</f>
        <v>7.1428571428571397E-2</v>
      </c>
      <c r="R340" s="16">
        <f ca="1">IFERROR(IF(テーブル1[[#This Row],[描画状況]]="",RAND()+(テーブル1[[#This Row],[列2]]*100),""),RAND())</f>
        <v>7.958544567683453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|&amp;image(sekise-lunami.png,width=100,height=100)</v>
      </c>
      <c r="V340" s="23" t="str">
        <f>"|MIDDLE:​"&amp;テーブル1[[#This Row],[名前]]</f>
        <v>|MIDDLE:​汐声月海</v>
      </c>
      <c r="W340" s="23" t="str">
        <f>"|MIDDLE:​"&amp;テーブル1[[#This Row],[なまえ]]</f>
        <v>|MIDDLE:​せきせ るなみ</v>
      </c>
      <c r="X340" s="23" t="str">
        <f>"|MIDDLE:​"&amp;テーブル1[[#This Row],[Name]]</f>
        <v>|MIDDLE:​Sekise Lunami</v>
      </c>
      <c r="Y340" s="23" t="str">
        <f>"|MIDDLE:​&amp;link(配布所はこちら){​"&amp;テーブル1[[#This Row],[リンク]]&amp;"}|"</f>
        <v>|MIDDLE:​&amp;link(配布所はこちら){​https://yukimiyashimusho.jimdofree.com}|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41" s="24" t="s">
        <v>834</v>
      </c>
      <c r="D341" s="23" t="s">
        <v>835</v>
      </c>
      <c r="E341" s="23" t="s">
        <v>836</v>
      </c>
      <c r="F341" s="2" t="s">
        <v>829</v>
      </c>
      <c r="G341" s="23" t="s">
        <v>830</v>
      </c>
      <c r="P341" s="24" t="str">
        <f>テーブル1[[#This Row],[リンク]]&amp;テーブル1[[#This Row],[描画状況]]</f>
        <v>https://kaedekatusaki.wixsite.com/yanagiroutyou</v>
      </c>
      <c r="Q341" s="17">
        <f>1-(COUNTIF(P:P,_xlfn.TEXTJOIN(",",TRUE,テーブル1[[#This Row],[リンク]],テーブル1[[#This Row],[描画状況]]))/COUNTIF(F:F,テーブル1[[#This Row],[リンク]]))</f>
        <v>0.125</v>
      </c>
      <c r="R341" s="16">
        <f ca="1">IFERROR(IF(テーブル1[[#This Row],[描画状況]]="",RAND()+(テーブル1[[#This Row],[列2]]*100),""),RAND())</f>
        <v>13.048521849696218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|&amp;image(setsuka-toku.png,width=100,height=100)</v>
      </c>
      <c r="V341" s="23" t="str">
        <f>"|MIDDLE:​"&amp;テーブル1[[#This Row],[名前]]</f>
        <v>|MIDDLE:​折歌トク</v>
      </c>
      <c r="W341" s="23" t="str">
        <f>"|MIDDLE:​"&amp;テーブル1[[#This Row],[なまえ]]</f>
        <v>|MIDDLE:​せつか とく</v>
      </c>
      <c r="X341" s="23" t="str">
        <f>"|MIDDLE:​"&amp;テーブル1[[#This Row],[Name]]</f>
        <v>|MIDDLE:​Setsuka Toku</v>
      </c>
      <c r="Y34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2" s="24" t="s">
        <v>792</v>
      </c>
      <c r="D342" s="23" t="s">
        <v>793</v>
      </c>
      <c r="E342" s="23" t="s">
        <v>797</v>
      </c>
      <c r="F342" s="15" t="s">
        <v>774</v>
      </c>
      <c r="G342" s="23" t="str">
        <f>テーブル1[[#This Row],[名前]]&amp;"(UTAU)"</f>
        <v>セレスタイト(UTAU)</v>
      </c>
      <c r="N342" s="1" t="s">
        <v>1497</v>
      </c>
      <c r="P342" s="24" t="str">
        <f>テーブル1[[#This Row],[リンク]]&amp;テーブル1[[#This Row],[描画状況]]</f>
        <v>https://cmamizki.wixsite.com/edelstein</v>
      </c>
      <c r="Q342" s="17">
        <f>1-(COUNTIF(P:P,_xlfn.TEXTJOIN(",",TRUE,テーブル1[[#This Row],[リンク]],テーブル1[[#This Row],[描画状況]]))/COUNTIF(F:F,テーブル1[[#This Row],[リンク]]))</f>
        <v>9.0909090909090939E-2</v>
      </c>
      <c r="R342" s="16">
        <f ca="1">IFERROR(IF(テーブル1[[#This Row],[描画状況]]="",RAND()+(テーブル1[[#This Row],[列2]]*100),""),RAND())</f>
        <v>10.03515971754825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|&amp;image(celestite.png,width=100,height=100)</v>
      </c>
      <c r="V342" s="23" t="str">
        <f>"|MIDDLE:​"&amp;テーブル1[[#This Row],[名前]]</f>
        <v>|MIDDLE:​セレスタイト</v>
      </c>
      <c r="W342" s="23" t="str">
        <f>"|MIDDLE:​"&amp;テーブル1[[#This Row],[なまえ]]</f>
        <v>|MIDDLE:​せれすたいと</v>
      </c>
      <c r="X342" s="23" t="str">
        <f>"|MIDDLE:​"&amp;テーブル1[[#This Row],[Name]]</f>
        <v>|MIDDLE:​Celestite</v>
      </c>
      <c r="Y342" s="23" t="str">
        <f>"|MIDDLE:​&amp;link(配布所はこちら){​"&amp;テーブル1[[#This Row],[リンク]]&amp;"}|"</f>
        <v>|MIDDLE:​&amp;link(配布所はこちら){​https://cmamizki.wixsite.com/edelstein}|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3" s="24" t="s">
        <v>718</v>
      </c>
      <c r="D343" s="23" t="s">
        <v>719</v>
      </c>
      <c r="E343" s="23" t="s">
        <v>720</v>
      </c>
      <c r="F343" s="15" t="s">
        <v>721</v>
      </c>
      <c r="G343" s="23" t="s">
        <v>1189</v>
      </c>
      <c r="N343" s="1" t="s">
        <v>1498</v>
      </c>
      <c r="P343" s="24" t="str">
        <f>テーブル1[[#This Row],[リンク]]&amp;テーブル1[[#This Row],[描画状況]]</f>
        <v>https://grskmot8.wixsite.com/kdarock</v>
      </c>
      <c r="Q343" s="17">
        <f>1-(COUNTIF(P:P,_xlfn.TEXTJOIN(",",TRUE,テーブル1[[#This Row],[リンク]],テーブル1[[#This Row],[描画状況]]))/COUNTIF(F:F,テーブル1[[#This Row],[リンク]]))</f>
        <v>0.33333333333333337</v>
      </c>
      <c r="R343" s="16">
        <f ca="1">IFERROR(IF(テーブル1[[#This Row],[描画状況]]="",RAND()+(テーブル1[[#This Row],[列2]]*100),""),RAND())</f>
        <v>34.081765590644231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|&amp;image(senjo-tsurugi.png,width=100,height=100)</v>
      </c>
      <c r="V343" s="23" t="str">
        <f>"|MIDDLE:​"&amp;テーブル1[[#This Row],[名前]]</f>
        <v>|MIDDLE:​剪除鶴偽</v>
      </c>
      <c r="W343" s="23" t="str">
        <f>"|MIDDLE:​"&amp;テーブル1[[#This Row],[なまえ]]</f>
        <v>|MIDDLE:​せんじょ つるぎ</v>
      </c>
      <c r="X343" s="23" t="str">
        <f>"|MIDDLE:​"&amp;テーブル1[[#This Row],[Name]]</f>
        <v>|MIDDLE:​Senjo Tsurugi</v>
      </c>
      <c r="Y343" s="23" t="str">
        <f>"|MIDDLE:​&amp;link(配布所はこちら){​"&amp;テーブル1[[#This Row],[リンク]]&amp;"}|"</f>
        <v>|MIDDLE:​&amp;link(配布所はこちら){​https://grskmot8.wixsite.com/kdarock}|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4" s="24" t="s">
        <v>729</v>
      </c>
      <c r="D344" s="23" t="s">
        <v>730</v>
      </c>
      <c r="E344" s="23" t="s">
        <v>731</v>
      </c>
      <c r="F344" s="15" t="s">
        <v>732</v>
      </c>
      <c r="G344" s="23" t="s">
        <v>733</v>
      </c>
      <c r="P344" s="24" t="str">
        <f>テーブル1[[#This Row],[リンク]]&amp;テーブル1[[#This Row],[描画状況]]</f>
        <v>https://t7ttttttt.wixsite.com/t7-re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0.23626510998918371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|&amp;image(senden-raika.png,width=100,height=100)</v>
      </c>
      <c r="V344" s="23" t="str">
        <f>"|MIDDLE:​"&amp;テーブル1[[#This Row],[名前]]</f>
        <v>|MIDDLE:​閃電ライカ</v>
      </c>
      <c r="W344" s="23" t="str">
        <f>"|MIDDLE:​"&amp;テーブル1[[#This Row],[なまえ]]</f>
        <v>|MIDDLE:​せんでん らいか</v>
      </c>
      <c r="X344" s="23" t="str">
        <f>"|MIDDLE:​"&amp;テーブル1[[#This Row],[Name]]</f>
        <v>|MIDDLE:​Senden Raika</v>
      </c>
      <c r="Y344" s="23" t="str">
        <f>"|MIDDLE:​&amp;link(配布所はこちら){​"&amp;テーブル1[[#This Row],[リンク]]&amp;"}|"</f>
        <v>|MIDDLE:​&amp;link(配布所はこちら){​https://t7ttttttt.wixsite.com/t7-re}|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5" s="24" t="s">
        <v>1210</v>
      </c>
      <c r="D345" s="23" t="s">
        <v>1233</v>
      </c>
      <c r="E345" s="23" t="s">
        <v>1232</v>
      </c>
      <c r="F345" s="15" t="s">
        <v>335</v>
      </c>
      <c r="G345" s="23" t="s">
        <v>336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13.43564740599928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|&amp;image(soboroppoino.png,width=100,height=100)</v>
      </c>
      <c r="V345" s="23" t="str">
        <f>"|MIDDLE:​"&amp;テーブル1[[#This Row],[名前]]</f>
        <v>|MIDDLE:​ソボロっぽいの</v>
      </c>
      <c r="W345" s="23" t="str">
        <f>"|MIDDLE:​"&amp;テーブル1[[#This Row],[なまえ]]</f>
        <v>|MIDDLE:​そぼろっぽいの</v>
      </c>
      <c r="X345" s="23" t="str">
        <f>"|MIDDLE:​"&amp;テーブル1[[#This Row],[Name]]</f>
        <v>|MIDDLE:​Soboroppoino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6" s="24" t="s">
        <v>954</v>
      </c>
      <c r="D346" s="23" t="s">
        <v>955</v>
      </c>
      <c r="E346" s="23" t="s">
        <v>956</v>
      </c>
      <c r="F346" s="2" t="s">
        <v>672</v>
      </c>
      <c r="G346" s="23" t="s">
        <v>673</v>
      </c>
      <c r="N346" s="1" t="s">
        <v>1497</v>
      </c>
      <c r="P346" s="24" t="str">
        <f>テーブル1[[#This Row],[リンク]]&amp;テーブル1[[#This Row],[描画状況]]</f>
        <v>https://ametro.jimdofree.com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20.919637229879267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|&amp;image(zonbisen.png,width=100,height=100)</v>
      </c>
      <c r="V346" s="23" t="str">
        <f>"|MIDDLE:​"&amp;テーブル1[[#This Row],[名前]]</f>
        <v>|MIDDLE:​ぞんび線</v>
      </c>
      <c r="W346" s="23" t="str">
        <f>"|MIDDLE:​"&amp;テーブル1[[#This Row],[なまえ]]</f>
        <v>|MIDDLE:​ぞんびせん</v>
      </c>
      <c r="X346" s="23" t="str">
        <f>"|MIDDLE:​"&amp;テーブル1[[#This Row],[Name]]</f>
        <v>|MIDDLE:​Zonbisen</v>
      </c>
      <c r="Y346" s="23" t="str">
        <f>"|MIDDLE:​&amp;link(配布所はこちら){​"&amp;テーブル1[[#This Row],[リンク]]&amp;"}|"</f>
        <v>|MIDDLE:​&amp;link(配布所はこちら){​https://ametro.jimdofree.com}|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7" s="24" t="s">
        <v>1211</v>
      </c>
      <c r="D347" s="23" t="s">
        <v>1235</v>
      </c>
      <c r="E347" s="23" t="s">
        <v>1234</v>
      </c>
      <c r="F347" s="15" t="s">
        <v>335</v>
      </c>
      <c r="G347" s="23" t="s">
        <v>336</v>
      </c>
      <c r="P347" s="24" t="str">
        <f>テーブル1[[#This Row],[リンク]]&amp;テーブル1[[#This Row],[描画状況]]</f>
        <v>https://torinosu-hikikomori.jimdofree.com</v>
      </c>
      <c r="Q347" s="17">
        <f>1-(COUNTIF(P:P,_xlfn.TEXTJOIN(",",TRUE,テーブル1[[#This Row],[リンク]],テーブル1[[#This Row],[描画状況]]))/COUNTIF(F:F,テーブル1[[#This Row],[リンク]]))</f>
        <v>0.125</v>
      </c>
      <c r="R347" s="16">
        <f ca="1">IFERROR(IF(テーブル1[[#This Row],[描画状況]]="",RAND()+(テーブル1[[#This Row],[列2]]*100),""),RAND())</f>
        <v>12.671345673745806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|&amp;image(tamabami-zakuro.png,width=100,height=100)</v>
      </c>
      <c r="V347" s="23" t="str">
        <f>"|MIDDLE:​"&amp;テーブル1[[#This Row],[名前]]</f>
        <v>|MIDDLE:​霊喰ざくろ</v>
      </c>
      <c r="W347" s="23" t="str">
        <f>"|MIDDLE:​"&amp;テーブル1[[#This Row],[なまえ]]</f>
        <v>|MIDDLE:​たまばみ ざくろ</v>
      </c>
      <c r="X347" s="23" t="str">
        <f>"|MIDDLE:​"&amp;テーブル1[[#This Row],[Name]]</f>
        <v>|MIDDLE:​Tamabami Zakuro</v>
      </c>
      <c r="Y347" s="23" t="str">
        <f>"|MIDDLE:​&amp;link(配布所はこちら){​"&amp;テーブル1[[#This Row],[リンク]]&amp;"}|"</f>
        <v>|MIDDLE:​&amp;link(配布所はこちら){​https://torinosu-hikikomori.jimdofree.com}|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8" s="24" t="s">
        <v>1303</v>
      </c>
      <c r="D348" s="23" t="s">
        <v>1305</v>
      </c>
      <c r="E348" s="23" t="s">
        <v>1304</v>
      </c>
      <c r="F348" s="15" t="s">
        <v>1301</v>
      </c>
      <c r="G348" s="23" t="s">
        <v>1306</v>
      </c>
      <c r="P348" s="24" t="str">
        <f>テーブル1[[#This Row],[リンク]]&amp;テーブル1[[#This Row],[描画状況]]</f>
        <v>https://jiwajiwakirinn.wixsite.com/sakurada</v>
      </c>
      <c r="Q348" s="17">
        <f>1-(COUNTIF(P:P,_xlfn.TEXTJOIN(",",TRUE,テーブル1[[#This Row],[リンク]],テーブル1[[#This Row],[描画状況]]))/COUNTIF(F:F,テーブル1[[#This Row],[リンク]]))</f>
        <v>0.19999999999999996</v>
      </c>
      <c r="R348" s="16">
        <f ca="1">IFERROR(IF(テーブル1[[#This Row],[描画状況]]="",RAND()+(テーブル1[[#This Row],[列2]]*100),""),RAND())</f>
        <v>20.633015348197603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|&amp;image(dante.png,width=100,height=100)</v>
      </c>
      <c r="V348" s="23" t="str">
        <f>"|MIDDLE:​"&amp;テーブル1[[#This Row],[名前]]</f>
        <v>|MIDDLE:​ダンテ</v>
      </c>
      <c r="W348" s="23" t="str">
        <f>"|MIDDLE:​"&amp;テーブル1[[#This Row],[なまえ]]</f>
        <v>|MIDDLE:​だんて</v>
      </c>
      <c r="X348" s="23" t="str">
        <f>"|MIDDLE:​"&amp;テーブル1[[#This Row],[Name]]</f>
        <v>|MIDDLE:​Dante</v>
      </c>
      <c r="Y348" s="23" t="str">
        <f>"|MIDDLE:​&amp;link(配布所はこちら){​"&amp;テーブル1[[#This Row],[リンク]]&amp;"}|"</f>
        <v>|MIDDLE:​&amp;link(配布所はこちら){​https://jiwajiwakirinn.wixsite.com/sakurada}|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9" s="24" t="s">
        <v>1020</v>
      </c>
      <c r="D349" s="23" t="s">
        <v>1021</v>
      </c>
      <c r="E349" s="23" t="s">
        <v>1022</v>
      </c>
      <c r="F349" s="27" t="s">
        <v>84</v>
      </c>
      <c r="G349" s="23" t="s">
        <v>85</v>
      </c>
      <c r="H349" s="23" t="s">
        <v>1607</v>
      </c>
      <c r="I349" s="23" t="s">
        <v>1847</v>
      </c>
      <c r="J349" s="23" t="s">
        <v>1771</v>
      </c>
      <c r="L349" s="23" t="s">
        <v>1772</v>
      </c>
      <c r="M349" s="23" t="s">
        <v>1848</v>
      </c>
      <c r="N349" s="1" t="s">
        <v>1498</v>
      </c>
      <c r="P349" s="24" t="str">
        <f>テーブル1[[#This Row],[リンク]]&amp;テーブル1[[#This Row],[描画状況]]</f>
        <v>https://chunyinhui021.wixsite.com/mutyuusaisei</v>
      </c>
      <c r="Q349" s="17">
        <f>1-(COUNTIF(P:P,_xlfn.TEXTJOIN(",",TRUE,テーブル1[[#This Row],[リンク]],テーブル1[[#This Row],[描画状況]]))/COUNTIF(F:F,テーブル1[[#This Row],[リンク]]))</f>
        <v>0.33333333333333337</v>
      </c>
      <c r="R349" s="16">
        <f ca="1">IFERROR(IF(テーブル1[[#This Row],[描画状況]]="",RAND()+(テーブル1[[#This Row],[列2]]*100),""),RAND())</f>
        <v>33.550897259864946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|&amp;image(chunne-shiroku.png,width=100,height=100)</v>
      </c>
      <c r="V349" s="23" t="str">
        <f>"|MIDDLE:​"&amp;テーブル1[[#This Row],[名前]]</f>
        <v>|MIDDLE:​椿音屍緑</v>
      </c>
      <c r="W349" s="23" t="str">
        <f>"|MIDDLE:​"&amp;テーブル1[[#This Row],[なまえ]]</f>
        <v>|MIDDLE:​ちゅんね しろく</v>
      </c>
      <c r="X349" s="23" t="str">
        <f>"|MIDDLE:​"&amp;テーブル1[[#This Row],[Name]]</f>
        <v>|MIDDLE:​Chunne Shiroku</v>
      </c>
      <c r="Y34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50" s="24" t="s">
        <v>1049</v>
      </c>
      <c r="D350" s="23" t="s">
        <v>1049</v>
      </c>
      <c r="E350" s="23" t="s">
        <v>1050</v>
      </c>
      <c r="F350" s="15" t="s">
        <v>667</v>
      </c>
      <c r="G350" s="23" t="s">
        <v>668</v>
      </c>
      <c r="N350" s="1" t="s">
        <v>1497</v>
      </c>
      <c r="P350" s="24" t="str">
        <f>テーブル1[[#This Row],[リンク]]&amp;テーブル1[[#This Row],[描画状況]]</f>
        <v>https://flowerrocklove.wixsite.com/twilight-crisis</v>
      </c>
      <c r="Q350" s="17">
        <f>1-(COUNTIF(P:P,_xlfn.TEXTJOIN(",",TRUE,テーブル1[[#This Row],[リンク]],テーブル1[[#This Row],[描画状況]]))/COUNTIF(F:F,テーブル1[[#This Row],[リンク]]))</f>
        <v>0.22222222222222221</v>
      </c>
      <c r="R350" s="16">
        <f ca="1">IFERROR(IF(テーブル1[[#This Row],[描画状況]]="",RAND()+(テーブル1[[#This Row],[列2]]*100),""),RAND())</f>
        <v>22.895728906409374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|&amp;image(chorui.png,width=100,height=100)</v>
      </c>
      <c r="V350" s="23" t="str">
        <f>"|MIDDLE:​"&amp;テーブル1[[#This Row],[名前]]</f>
        <v>|MIDDLE:​ちょうるい</v>
      </c>
      <c r="W350" s="23" t="str">
        <f>"|MIDDLE:​"&amp;テーブル1[[#This Row],[なまえ]]</f>
        <v>|MIDDLE:​ちょうるい</v>
      </c>
      <c r="X350" s="23" t="str">
        <f>"|MIDDLE:​"&amp;テーブル1[[#This Row],[Name]]</f>
        <v>|MIDDLE:​Chorui</v>
      </c>
      <c r="Y35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51" s="24" t="s">
        <v>901</v>
      </c>
      <c r="D351" s="23" t="s">
        <v>903</v>
      </c>
      <c r="E351" s="23" t="s">
        <v>902</v>
      </c>
      <c r="F351" s="15" t="s">
        <v>900</v>
      </c>
      <c r="G351" s="23" t="s">
        <v>913</v>
      </c>
      <c r="P351" s="24" t="str">
        <f>テーブル1[[#This Row],[リンク]]&amp;テーブル1[[#This Row],[描画状況]]</f>
        <v>https://suukedayo.wixsite.com/shiawasefairu</v>
      </c>
      <c r="Q351" s="17">
        <f>1-(COUNTIF(P:P,_xlfn.TEXTJOIN(",",TRUE,テーブル1[[#This Row],[リンク]],テーブル1[[#This Row],[描画状況]]))/COUNTIF(F:F,テーブル1[[#This Row],[リンク]]))</f>
        <v>0</v>
      </c>
      <c r="R351" s="16">
        <f ca="1">IFERROR(IF(テーブル1[[#This Row],[描画状況]]="",RAND()+(テーブル1[[#This Row],[列2]]*100),""),RAND())</f>
        <v>0.74228573925769092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|&amp;image(tsugunane-rui.png,width=100,height=100)</v>
      </c>
      <c r="V351" s="23" t="str">
        <f>"|MIDDLE:​"&amp;テーブル1[[#This Row],[名前]]</f>
        <v>|MIDDLE:​亞永音ルヰ</v>
      </c>
      <c r="W351" s="23" t="str">
        <f>"|MIDDLE:​"&amp;テーブル1[[#This Row],[なまえ]]</f>
        <v>|MIDDLE:​つぐなね るい</v>
      </c>
      <c r="X351" s="23" t="str">
        <f>"|MIDDLE:​"&amp;テーブル1[[#This Row],[Name]]</f>
        <v>|MIDDLE:​Tsugunane Rui</v>
      </c>
      <c r="Y351" s="23" t="str">
        <f>"|MIDDLE:​&amp;link(配布所はこちら){​"&amp;テーブル1[[#This Row],[リンク]]&amp;"}|"</f>
        <v>|MIDDLE:​&amp;link(配布所はこちら){​https://suukedayo.wixsite.com/shiawasefairu}|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2" s="24" t="s">
        <v>859</v>
      </c>
      <c r="D352" s="23" t="s">
        <v>861</v>
      </c>
      <c r="E352" s="23" t="s">
        <v>862</v>
      </c>
      <c r="F352" s="15" t="s">
        <v>860</v>
      </c>
      <c r="G352" s="23" t="s">
        <v>863</v>
      </c>
      <c r="P352" s="24" t="str">
        <f>テーブル1[[#This Row],[リンク]]&amp;テーブル1[[#This Row],[描画状況]]</f>
        <v>https://bowlroll.net/user/374679</v>
      </c>
      <c r="Q352" s="17">
        <f>1-(COUNTIF(P:P,_xlfn.TEXTJOIN(",",TRUE,テーブル1[[#This Row],[リンク]],テーブル1[[#This Row],[描画状況]]))/COUNTIF(F:F,テーブル1[[#This Row],[リンク]]))</f>
        <v>0</v>
      </c>
      <c r="R352" s="16">
        <f ca="1">IFERROR(IF(テーブル1[[#This Row],[描画状況]]="",RAND()+(テーブル1[[#This Row],[列2]]*100),""),RAND())</f>
        <v>0.6991315684019288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|&amp;image(tsumugine-yato.png,width=100,height=100)</v>
      </c>
      <c r="V352" s="23" t="str">
        <f>"|MIDDLE:​"&amp;テーブル1[[#This Row],[名前]]</f>
        <v>|MIDDLE:​紡音ヤト</v>
      </c>
      <c r="W352" s="23" t="str">
        <f>"|MIDDLE:​"&amp;テーブル1[[#This Row],[なまえ]]</f>
        <v>|MIDDLE:​つむぎね やと</v>
      </c>
      <c r="X352" s="23" t="str">
        <f>"|MIDDLE:​"&amp;テーブル1[[#This Row],[Name]]</f>
        <v>|MIDDLE:​Tsumugine Yato</v>
      </c>
      <c r="Y352" s="23" t="str">
        <f>"|MIDDLE:​&amp;link(配布所はこちら){​"&amp;テーブル1[[#This Row],[リンク]]&amp;"}|"</f>
        <v>|MIDDLE:​&amp;link(配布所はこちら){​https://bowlroll.net/user/374679}|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3" s="24" t="s">
        <v>1129</v>
      </c>
      <c r="D353" s="23" t="s">
        <v>1131</v>
      </c>
      <c r="E353" s="23" t="s">
        <v>1130</v>
      </c>
      <c r="F353" s="15" t="s">
        <v>1138</v>
      </c>
      <c r="G353" s="23" t="str">
        <f>テーブル1[[#This Row],[名前]]&amp;"(UTAU)"</f>
        <v>弦弓ゲン(UTAU)</v>
      </c>
      <c r="P353" s="24" t="str">
        <f>テーブル1[[#This Row],[リンク]]&amp;テーブル1[[#This Row],[描画状況]]</f>
        <v>https://yautau.wixsite.com/0909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12.949778827781978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|&amp;image(tsuruyumi-gen.png,width=100,height=100)</v>
      </c>
      <c r="V353" s="23" t="str">
        <f>"|MIDDLE:​"&amp;テーブル1[[#This Row],[名前]]</f>
        <v>|MIDDLE:​弦弓ゲン</v>
      </c>
      <c r="W353" s="23" t="str">
        <f>"|MIDDLE:​"&amp;テーブル1[[#This Row],[なまえ]]</f>
        <v>|MIDDLE:​つるゆみ げん</v>
      </c>
      <c r="X353" s="23" t="str">
        <f>"|MIDDLE:​"&amp;テーブル1[[#This Row],[Name]]</f>
        <v>|MIDDLE:​Tsuruyumi Gen</v>
      </c>
      <c r="Y353" s="23" t="str">
        <f>"|MIDDLE:​&amp;link(配布所はこちら){​"&amp;テーブル1[[#This Row],[リンク]]&amp;"}|"</f>
        <v>|MIDDLE:​&amp;link(配布所はこちら){​https://yautau.wixsite.com/0909}|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4" s="24" t="s">
        <v>1046</v>
      </c>
      <c r="D354" s="23" t="s">
        <v>1047</v>
      </c>
      <c r="E354" s="23" t="s">
        <v>1048</v>
      </c>
      <c r="F354" s="15" t="s">
        <v>667</v>
      </c>
      <c r="G354" s="23" t="s">
        <v>668</v>
      </c>
      <c r="N354" s="1" t="s">
        <v>1497</v>
      </c>
      <c r="P354" s="24" t="str">
        <f>テーブル1[[#This Row],[リンク]]&amp;テーブル1[[#This Row],[描画状況]]</f>
        <v>https://flowerrocklove.wixsite.com/twilight-crisis</v>
      </c>
      <c r="Q354" s="17">
        <f>1-(COUNTIF(P:P,_xlfn.TEXTJOIN(",",TRUE,テーブル1[[#This Row],[リンク]],テーブル1[[#This Row],[描画状況]]))/COUNTIF(F:F,テーブル1[[#This Row],[リンク]]))</f>
        <v>0.22222222222222221</v>
      </c>
      <c r="R354" s="16">
        <f ca="1">IFERROR(IF(テーブル1[[#This Row],[描画状況]]="",RAND()+(テーブル1[[#This Row],[列2]]*100),""),RAND())</f>
        <v>22.525843114177452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|&amp;image(toyteki-kazuichi.png,width=100,height=100)</v>
      </c>
      <c r="V354" s="23" t="str">
        <f>"|MIDDLE:​"&amp;テーブル1[[#This Row],[名前]]</f>
        <v>|MIDDLE:​問笛数一</v>
      </c>
      <c r="W354" s="23" t="str">
        <f>"|MIDDLE:​"&amp;テーブル1[[#This Row],[なまえ]]</f>
        <v>|MIDDLE:​といてき かずいち</v>
      </c>
      <c r="X354" s="23" t="str">
        <f>"|MIDDLE:​"&amp;テーブル1[[#This Row],[Name]]</f>
        <v>|MIDDLE:​Toyteki Kazuichi</v>
      </c>
      <c r="Y35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5" s="24" t="s">
        <v>893</v>
      </c>
      <c r="D355" s="23" t="s">
        <v>895</v>
      </c>
      <c r="E355" s="23" t="s">
        <v>894</v>
      </c>
      <c r="F355" s="23" t="s">
        <v>417</v>
      </c>
      <c r="G355" s="23" t="s">
        <v>896</v>
      </c>
      <c r="P355" s="24" t="str">
        <f>テーブル1[[#This Row],[リンク]]&amp;テーブル1[[#This Row],[描画状況]]</f>
        <v>-</v>
      </c>
      <c r="Q355" s="17">
        <f>1-(COUNTIF(P:P,_xlfn.TEXTJOIN(",",TRUE,テーブル1[[#This Row],[リンク]],テーブル1[[#This Row],[描画状況]]))/COUNTIF(F:F,テーブル1[[#This Row],[リンク]]))</f>
        <v>0.33333333333333337</v>
      </c>
      <c r="R355" s="16">
        <f ca="1">IFERROR(IF(テーブル1[[#This Row],[描画状況]]="",RAND()+(テーブル1[[#This Row],[列2]]*100),""),RAND())</f>
        <v>34.205249670525674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|&amp;image(togano-kozue.png,width=100,height=100)</v>
      </c>
      <c r="V355" s="23" t="str">
        <f>"|MIDDLE:​"&amp;テーブル1[[#This Row],[名前]]</f>
        <v>|MIDDLE:​戸叶こずえ</v>
      </c>
      <c r="W355" s="23" t="str">
        <f>"|MIDDLE:​"&amp;テーブル1[[#This Row],[なまえ]]</f>
        <v>|MIDDLE:​とがの こずえ</v>
      </c>
      <c r="X355" s="23" t="str">
        <f>"|MIDDLE:​"&amp;テーブル1[[#This Row],[Name]]</f>
        <v>|MIDDLE:​Togano Kozue</v>
      </c>
      <c r="Y355" s="23" t="str">
        <f>"|MIDDLE:​&amp;link(配布所はこちら){​"&amp;テーブル1[[#This Row],[リンク]]&amp;"}|"</f>
        <v>|MIDDLE:​&amp;link(配布所はこちら){​-}|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6" s="24" t="s">
        <v>856</v>
      </c>
      <c r="D356" s="23" t="s">
        <v>857</v>
      </c>
      <c r="E356" s="23" t="s">
        <v>858</v>
      </c>
      <c r="F356" s="15" t="s">
        <v>855</v>
      </c>
      <c r="G356" s="23" t="s">
        <v>863</v>
      </c>
      <c r="P356" s="24" t="str">
        <f>テーブル1[[#This Row],[リンク]]&amp;テーブル1[[#This Row],[描画状況]]</f>
        <v>https://bindumechan.wixsite.com/shigure222</v>
      </c>
      <c r="Q356" s="17">
        <f>1-(COUNTIF(P:P,_xlfn.TEXTJOIN(",",TRUE,テーブル1[[#This Row],[リンク]],テーブル1[[#This Row],[描画状況]]))/COUNTIF(F:F,テーブル1[[#This Row],[リンク]]))</f>
        <v>0</v>
      </c>
      <c r="R356" s="16">
        <f ca="1">IFERROR(IF(テーブル1[[#This Row],[描画状況]]="",RAND()+(テーブル1[[#This Row],[列2]]*100),""),RAND())</f>
        <v>9.4774041038926837E-2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|&amp;image(tokina-shigure.png,width=100,height=100)</v>
      </c>
      <c r="V356" s="23" t="str">
        <f>"|MIDDLE:​"&amp;テーブル1[[#This Row],[名前]]</f>
        <v>|MIDDLE:​刻鳴時雨</v>
      </c>
      <c r="W356" s="23" t="str">
        <f>"|MIDDLE:​"&amp;テーブル1[[#This Row],[なまえ]]</f>
        <v>|MIDDLE:​ときな しぐれ</v>
      </c>
      <c r="X356" s="23" t="str">
        <f>"|MIDDLE:​"&amp;テーブル1[[#This Row],[Name]]</f>
        <v>|MIDDLE:​Tokina Shigure</v>
      </c>
      <c r="Y356" s="23" t="str">
        <f>"|MIDDLE:​&amp;link(配布所はこちら){​"&amp;テーブル1[[#This Row],[リンク]]&amp;"}|"</f>
        <v>|MIDDLE:​&amp;link(配布所はこちら){​https://bindumechan.wixsite.com/shigure222}|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7" s="24" t="s">
        <v>1001</v>
      </c>
      <c r="D357" s="23" t="s">
        <v>1005</v>
      </c>
      <c r="E357" s="23" t="s">
        <v>1006</v>
      </c>
      <c r="F357" s="2" t="s">
        <v>1740</v>
      </c>
      <c r="G357" s="23" t="s">
        <v>63</v>
      </c>
      <c r="H357" s="23" t="s">
        <v>1607</v>
      </c>
      <c r="I357" s="23" t="s">
        <v>1849</v>
      </c>
      <c r="L357" s="23" t="s">
        <v>1850</v>
      </c>
      <c r="N357" s="1" t="s">
        <v>1497</v>
      </c>
      <c r="P357" s="24" t="str">
        <f>テーブル1[[#This Row],[リンク]]&amp;テーブル1[[#This Row],[描画状況]]</f>
        <v>https://kinomihautaimas.wixsite.com/dongurihiroba</v>
      </c>
      <c r="Q357" s="17">
        <f>1-(COUNTIF(P:P,_xlfn.TEXTJOIN(",",TRUE,テーブル1[[#This Row],[リンク]],テーブル1[[#This Row],[描画状況]]))/COUNTIF(F:F,テーブル1[[#This Row],[リンク]]))</f>
        <v>0.6</v>
      </c>
      <c r="R357" s="16">
        <f ca="1">IFERROR(IF(テーブル1[[#This Row],[描画状況]]="",RAND()+(テーブル1[[#This Row],[列2]]*100),""),RAND())</f>
        <v>60.015781443657119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|&amp;image(tokima-souna.png,width=100,height=100)</v>
      </c>
      <c r="V357" s="23" t="str">
        <f>"|MIDDLE:​"&amp;テーブル1[[#This Row],[名前]]</f>
        <v>|MIDDLE:​時間そうな</v>
      </c>
      <c r="W357" s="23" t="str">
        <f>"|MIDDLE:​"&amp;テーブル1[[#This Row],[なまえ]]</f>
        <v>|MIDDLE:​ときま そうな</v>
      </c>
      <c r="X357" s="23" t="str">
        <f>"|MIDDLE:​"&amp;テーブル1[[#This Row],[Name]]</f>
        <v>|MIDDLE:​Tokima Souna</v>
      </c>
      <c r="Y357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8" s="24" t="s">
        <v>794</v>
      </c>
      <c r="D358" s="23" t="s">
        <v>795</v>
      </c>
      <c r="E358" s="23" t="s">
        <v>796</v>
      </c>
      <c r="F358" s="15" t="s">
        <v>774</v>
      </c>
      <c r="G358" s="23" t="str">
        <f>テーブル1[[#This Row],[名前]]&amp;"(UTAU)"</f>
        <v>ドルシェ(UTAU)</v>
      </c>
      <c r="N358" s="1" t="s">
        <v>1497</v>
      </c>
      <c r="P358" s="24" t="str">
        <f>テーブル1[[#This Row],[リンク]]&amp;テーブル1[[#This Row],[描画状況]]</f>
        <v>https://cmamizki.wixsite.com/edelstein</v>
      </c>
      <c r="Q358" s="17">
        <f>1-(COUNTIF(P:P,_xlfn.TEXTJOIN(",",TRUE,テーブル1[[#This Row],[リンク]],テーブル1[[#This Row],[描画状況]]))/COUNTIF(F:F,テーブル1[[#This Row],[リンク]]))</f>
        <v>9.0909090909090939E-2</v>
      </c>
      <c r="R358" s="16">
        <f ca="1">IFERROR(IF(テーブル1[[#This Row],[描画状況]]="",RAND()+(テーブル1[[#This Row],[列2]]*100),""),RAND())</f>
        <v>9.9437647674123291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|&amp;image(dollce.png,width=100,height=100)</v>
      </c>
      <c r="V358" s="23" t="str">
        <f>"|MIDDLE:​"&amp;テーブル1[[#This Row],[名前]]</f>
        <v>|MIDDLE:​ドルシェ</v>
      </c>
      <c r="W358" s="23" t="str">
        <f>"|MIDDLE:​"&amp;テーブル1[[#This Row],[なまえ]]</f>
        <v>|MIDDLE:​どるしぇ</v>
      </c>
      <c r="X358" s="23" t="str">
        <f>"|MIDDLE:​"&amp;テーブル1[[#This Row],[Name]]</f>
        <v>|MIDDLE:​Dollce</v>
      </c>
      <c r="Y358" s="23" t="str">
        <f>"|MIDDLE:​&amp;link(配布所はこちら){​"&amp;テーブル1[[#This Row],[リンク]]&amp;"}|"</f>
        <v>|MIDDLE:​&amp;link(配布所はこちら){​https://cmamizki.wixsite.com/edelstein}|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9" s="24" t="s">
        <v>1190</v>
      </c>
      <c r="D359" s="23" t="s">
        <v>1191</v>
      </c>
      <c r="E359" s="23" t="s">
        <v>1192</v>
      </c>
      <c r="F359" s="15" t="s">
        <v>680</v>
      </c>
      <c r="G359" s="23" t="str">
        <f>テーブル1[[#This Row],[名前]]&amp;"(UTAU)"</f>
        <v>トロネ(UTAU)</v>
      </c>
      <c r="P359" s="24" t="str">
        <f>テーブル1[[#This Row],[リンク]]&amp;テーブル1[[#This Row],[描画状況]]</f>
        <v>https://okome32500.wixsite.com/onekomochi</v>
      </c>
      <c r="Q359" s="17">
        <f>1-(COUNTIF(P:P,_xlfn.TEXTJOIN(",",TRUE,テーブル1[[#This Row],[リンク]],テーブル1[[#This Row],[描画状況]]))/COUNTIF(F:F,テーブル1[[#This Row],[リンク]]))</f>
        <v>0.33333333333333337</v>
      </c>
      <c r="R359" s="16">
        <f ca="1">IFERROR(IF(テーブル1[[#This Row],[描画状況]]="",RAND()+(テーブル1[[#This Row],[列2]]*100),""),RAND())</f>
        <v>33.787983149408497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|&amp;image(torone.png,width=100,height=100)</v>
      </c>
      <c r="V359" s="23" t="str">
        <f>"|MIDDLE:​"&amp;テーブル1[[#This Row],[名前]]</f>
        <v>|MIDDLE:​トロネ</v>
      </c>
      <c r="W359" s="23" t="str">
        <f>"|MIDDLE:​"&amp;テーブル1[[#This Row],[なまえ]]</f>
        <v>|MIDDLE:​とろね</v>
      </c>
      <c r="X359" s="23" t="str">
        <f>"|MIDDLE:​"&amp;テーブル1[[#This Row],[Name]]</f>
        <v>|MIDDLE:​Torone</v>
      </c>
      <c r="Y359" s="23" t="str">
        <f>"|MIDDLE:​&amp;link(配布所はこちら){​"&amp;テーブル1[[#This Row],[リンク]]&amp;"}|"</f>
        <v>|MIDDLE:​&amp;link(配布所はこちら){​https://okome32500.wixsite.com/onekomochi}|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60" s="24" t="s">
        <v>1206</v>
      </c>
      <c r="D360" s="23" t="s">
        <v>1225</v>
      </c>
      <c r="E360" s="23" t="s">
        <v>1224</v>
      </c>
      <c r="F360" s="15" t="s">
        <v>335</v>
      </c>
      <c r="G360" s="23" t="s">
        <v>336</v>
      </c>
      <c r="P360" s="24" t="str">
        <f>テーブル1[[#This Row],[リンク]]&amp;テーブル1[[#This Row],[描画状況]]</f>
        <v>https://torinosu-hikikomori.jimdofree.com</v>
      </c>
      <c r="Q360" s="17">
        <f>1-(COUNTIF(P:P,_xlfn.TEXTJOIN(",",TRUE,テーブル1[[#This Row],[リンク]],テーブル1[[#This Row],[描画状況]]))/COUNTIF(F:F,テーブル1[[#This Row],[リンク]]))</f>
        <v>0.125</v>
      </c>
      <c r="R360" s="16">
        <f ca="1">IFERROR(IF(テーブル1[[#This Row],[描画状況]]="",RAND()+(テーブル1[[#This Row],[列2]]*100),""),RAND())</f>
        <v>12.501981764465325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|&amp;image(nasora-angle.png,width=100,height=100)</v>
      </c>
      <c r="V360" s="23" t="str">
        <f>"|MIDDLE:​"&amp;テーブル1[[#This Row],[名前]]</f>
        <v>|MIDDLE:​ナソラ・アングル</v>
      </c>
      <c r="W360" s="23" t="str">
        <f>"|MIDDLE:​"&amp;テーブル1[[#This Row],[なまえ]]</f>
        <v>|MIDDLE:​なそら あんぐる</v>
      </c>
      <c r="X360" s="23" t="str">
        <f>"|MIDDLE:​"&amp;テーブル1[[#This Row],[Name]]</f>
        <v>|MIDDLE:​Nasora Angle</v>
      </c>
      <c r="Y360" s="23" t="str">
        <f>"|MIDDLE:​&amp;link(配布所はこちら){​"&amp;テーブル1[[#This Row],[リンク]]&amp;"}|"</f>
        <v>|MIDDLE:​&amp;link(配布所はこちら){​https://torinosu-hikikomori.jimdofree.com}|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61" s="24" t="s">
        <v>815</v>
      </c>
      <c r="D361" s="23" t="s">
        <v>817</v>
      </c>
      <c r="E361" s="23" t="s">
        <v>816</v>
      </c>
      <c r="F361" s="2" t="s">
        <v>810</v>
      </c>
      <c r="G361" s="23" t="s">
        <v>811</v>
      </c>
      <c r="P361" s="24" t="str">
        <f>テーブル1[[#This Row],[リンク]]&amp;テーブル1[[#This Row],[描画状況]]</f>
        <v>https://makurakue.wixsite.com/kemononokemono</v>
      </c>
      <c r="Q361" s="17">
        <f>1-(COUNTIF(P:P,_xlfn.TEXTJOIN(",",TRUE,テーブル1[[#This Row],[リンク]],テーブル1[[#This Row],[描画状況]]))/COUNTIF(F:F,テーブル1[[#This Row],[リンク]]))</f>
        <v>0.4</v>
      </c>
      <c r="R361" s="16">
        <f ca="1">IFERROR(IF(テーブル1[[#This Row],[描画状況]]="",RAND()+(テーブル1[[#This Row],[列2]]*100),""),RAND())</f>
        <v>40.995207047693931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|&amp;image(natsuki-ama.png,width=100,height=100)</v>
      </c>
      <c r="V361" s="23" t="str">
        <f>"|MIDDLE:​"&amp;テーブル1[[#This Row],[名前]]</f>
        <v>|MIDDLE:​鳴月アマ</v>
      </c>
      <c r="W361" s="23" t="str">
        <f>"|MIDDLE:​"&amp;テーブル1[[#This Row],[なまえ]]</f>
        <v>|MIDDLE:​なつき あま</v>
      </c>
      <c r="X361" s="23" t="str">
        <f>"|MIDDLE:​"&amp;テーブル1[[#This Row],[Name]]</f>
        <v>|MIDDLE:​Natsuki Ama</v>
      </c>
      <c r="Y361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2" s="24" t="s">
        <v>1106</v>
      </c>
      <c r="D362" s="23" t="s">
        <v>1107</v>
      </c>
      <c r="E362" s="23" t="s">
        <v>1108</v>
      </c>
      <c r="F362" s="15" t="s">
        <v>1099</v>
      </c>
      <c r="G362" s="23" t="str">
        <f>テーブル1[[#This Row],[名前]]&amp;"(UTAU)"</f>
        <v>夏霜(UTAU)</v>
      </c>
      <c r="P362" s="24" t="str">
        <f>テーブル1[[#This Row],[リンク]]&amp;テーブル1[[#This Row],[描画状況]]</f>
        <v>https://harujpg.wixsite.com/sanshoku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0.81936704944315109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|&amp;image(natsushimo.png,width=100,height=100)</v>
      </c>
      <c r="V362" s="23" t="str">
        <f>"|MIDDLE:​"&amp;テーブル1[[#This Row],[名前]]</f>
        <v>|MIDDLE:​夏霜</v>
      </c>
      <c r="W362" s="23" t="str">
        <f>"|MIDDLE:​"&amp;テーブル1[[#This Row],[なまえ]]</f>
        <v>|MIDDLE:​なつしも</v>
      </c>
      <c r="X362" s="23" t="str">
        <f>"|MIDDLE:​"&amp;テーブル1[[#This Row],[Name]]</f>
        <v>|MIDDLE:​Natsushimo</v>
      </c>
      <c r="Y362" s="23" t="str">
        <f>"|MIDDLE:​&amp;link(配布所はこちら){​"&amp;テーブル1[[#This Row],[リンク]]&amp;"}|"</f>
        <v>|MIDDLE:​&amp;link(配布所はこちら){​https://harujpg.wixsite.com/sanshoku}|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3" s="24" t="s">
        <v>1434</v>
      </c>
      <c r="D363" s="23" t="s">
        <v>1434</v>
      </c>
      <c r="E363" s="23" t="s">
        <v>1435</v>
      </c>
      <c r="F363" s="15" t="s">
        <v>1427</v>
      </c>
      <c r="G363" s="23" t="s">
        <v>1428</v>
      </c>
      <c r="P363" s="24" t="str">
        <f>テーブル1[[#This Row],[リンク]]&amp;テーブル1[[#This Row],[描画状況]]</f>
        <v>https://bowlroll.net/user/992955</v>
      </c>
      <c r="Q363" s="17">
        <f>1-(COUNTIF(P:P,_xlfn.TEXTJOIN(",",TRUE,テーブル1[[#This Row],[リンク]],テーブル1[[#This Row],[描画状況]]))/COUNTIF(F:F,テーブル1[[#This Row],[リンク]]))</f>
        <v>0</v>
      </c>
      <c r="R363" s="16">
        <f ca="1">IFERROR(IF(テーブル1[[#This Row],[描画状況]]="",RAND()+(テーブル1[[#This Row],[列2]]*100),""),RAND())</f>
        <v>0.19366570337379629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|&amp;image(natsudoke.png,width=100,height=100)</v>
      </c>
      <c r="V363" s="23" t="str">
        <f>"|MIDDLE:​"&amp;テーブル1[[#This Row],[名前]]</f>
        <v>|MIDDLE:​なつどけ</v>
      </c>
      <c r="W363" s="23" t="str">
        <f>"|MIDDLE:​"&amp;テーブル1[[#This Row],[なまえ]]</f>
        <v>|MIDDLE:​なつどけ</v>
      </c>
      <c r="X363" s="23" t="str">
        <f>"|MIDDLE:​"&amp;テーブル1[[#This Row],[Name]]</f>
        <v>|MIDDLE:​Natsudoke</v>
      </c>
      <c r="Y363" s="23" t="str">
        <f>"|MIDDLE:​&amp;link(配布所はこちら){​"&amp;テーブル1[[#This Row],[リンク]]&amp;"}|"</f>
        <v>|MIDDLE:​&amp;link(配布所はこちら){​https://bowlroll.net/user/992955}|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4" s="24" t="s">
        <v>1363</v>
      </c>
      <c r="D364" s="23" t="s">
        <v>1365</v>
      </c>
      <c r="E364" s="23" t="s">
        <v>1364</v>
      </c>
      <c r="F364" s="2" t="s">
        <v>1343</v>
      </c>
      <c r="G364" s="23" t="s">
        <v>1344</v>
      </c>
      <c r="P364" s="24" t="str">
        <f>テーブル1[[#This Row],[リンク]]&amp;テーブル1[[#This Row],[描画状況]]</f>
        <v>https://maybeanglo0mochi.wixsite.com/mochiyanosouko</v>
      </c>
      <c r="Q364" s="17">
        <f>1-(COUNTIF(P:P,_xlfn.TEXTJOIN(",",TRUE,テーブル1[[#This Row],[リンク]],テーブル1[[#This Row],[描画状況]]))/COUNTIF(F:F,テーブル1[[#This Row],[リンク]]))</f>
        <v>0.125</v>
      </c>
      <c r="R364" s="16">
        <f ca="1">IFERROR(IF(テーブル1[[#This Row],[描画状況]]="",RAND()+(テーブル1[[#This Row],[列2]]*100),""),RAND())</f>
        <v>12.907002446795561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|&amp;image(nanakiri-louis.png,width=100,height=100)</v>
      </c>
      <c r="V364" s="23" t="str">
        <f>"|MIDDLE:​"&amp;テーブル1[[#This Row],[名前]]</f>
        <v>|MIDDLE:​七霧ルイ</v>
      </c>
      <c r="W364" s="23" t="str">
        <f>"|MIDDLE:​"&amp;テーブル1[[#This Row],[なまえ]]</f>
        <v>|MIDDLE:​ななきり るい</v>
      </c>
      <c r="X364" s="23" t="str">
        <f>"|MIDDLE:​"&amp;テーブル1[[#This Row],[Name]]</f>
        <v>|MIDDLE:​Nanakiri Louis</v>
      </c>
      <c r="Y36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5" s="24" t="s">
        <v>993</v>
      </c>
      <c r="D365" s="23" t="s">
        <v>994</v>
      </c>
      <c r="E365" s="23" t="s">
        <v>995</v>
      </c>
      <c r="F365" s="2" t="s">
        <v>568</v>
      </c>
      <c r="G365" s="23" t="s">
        <v>569</v>
      </c>
      <c r="N365" s="1" t="s">
        <v>1497</v>
      </c>
      <c r="P365" s="24" t="str">
        <f>テーブル1[[#This Row],[リンク]]&amp;テーブル1[[#This Row],[描画状況]]</f>
        <v>https://askdance.wixsite.com/monitor-room/monitor-room</v>
      </c>
      <c r="Q365" s="17">
        <f>1-(COUNTIF(P:P,_xlfn.TEXTJOIN(",",TRUE,テーブル1[[#This Row],[リンク]],テーブル1[[#This Row],[描画状況]]))/COUNTIF(F:F,テーブル1[[#This Row],[リンク]]))</f>
        <v>9.9999999999999978E-2</v>
      </c>
      <c r="R365" s="16">
        <f ca="1">IFERROR(IF(テーブル1[[#This Row],[描画状況]]="",RAND()+(テーブル1[[#This Row],[列2]]*100),""),RAND())</f>
        <v>10.119715881671002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|&amp;image(namitsu-baku.png,width=100,height=100)</v>
      </c>
      <c r="V365" s="23" t="str">
        <f>"|MIDDLE:​"&amp;テーブル1[[#This Row],[名前]]</f>
        <v>|MIDDLE:​波津獏</v>
      </c>
      <c r="W365" s="23" t="str">
        <f>"|MIDDLE:​"&amp;テーブル1[[#This Row],[なまえ]]</f>
        <v>|MIDDLE:​なみつ ばく</v>
      </c>
      <c r="X365" s="23" t="str">
        <f>"|MIDDLE:​"&amp;テーブル1[[#This Row],[Name]]</f>
        <v>|MIDDLE:​Namitsu Baku</v>
      </c>
      <c r="Y36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6" s="24" t="s">
        <v>1276</v>
      </c>
      <c r="D366" s="23" t="s">
        <v>1277</v>
      </c>
      <c r="E366" s="23" t="s">
        <v>1278</v>
      </c>
      <c r="F366" s="15" t="s">
        <v>1279</v>
      </c>
      <c r="G366" s="23" t="s">
        <v>1280</v>
      </c>
      <c r="P366" s="24" t="str">
        <f>テーブル1[[#This Row],[リンク]]&amp;テーブル1[[#This Row],[描画状況]]</f>
        <v>https://gardanana.neocities.org</v>
      </c>
      <c r="Q366" s="17">
        <f>1-(COUNTIF(P:P,_xlfn.TEXTJOIN(",",TRUE,テーブル1[[#This Row],[リンク]],テーブル1[[#This Row],[描画状況]]))/COUNTIF(F:F,テーブル1[[#This Row],[リンク]]))</f>
        <v>0</v>
      </c>
      <c r="R366" s="16">
        <f ca="1">IFERROR(IF(テーブル1[[#This Row],[描画状況]]="",RAND()+(テーブル1[[#This Row],[列2]]*100),""),RAND())</f>
        <v>0.77306332026020474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|&amp;image(nishiren-gard.png,width=100,height=100)</v>
      </c>
      <c r="V366" s="23" t="str">
        <f>"|MIDDLE:​"&amp;テーブル1[[#This Row],[名前]]</f>
        <v>|MIDDLE:​西蓮ガルド</v>
      </c>
      <c r="W366" s="23" t="str">
        <f>"|MIDDLE:​"&amp;テーブル1[[#This Row],[なまえ]]</f>
        <v>|MIDDLE:​にしれん がるど</v>
      </c>
      <c r="X366" s="23" t="str">
        <f>"|MIDDLE:​"&amp;テーブル1[[#This Row],[Name]]</f>
        <v>|MIDDLE:​Nishiren Gard</v>
      </c>
      <c r="Y366" s="23" t="str">
        <f>"|MIDDLE:​&amp;link(配布所はこちら){​"&amp;テーブル1[[#This Row],[リンク]]&amp;"}|"</f>
        <v>|MIDDLE:​&amp;link(配布所はこちら){​https://gardanana.neocities.org}|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7" s="24" t="s">
        <v>1351</v>
      </c>
      <c r="D367" s="23" t="s">
        <v>1353</v>
      </c>
      <c r="E367" s="23" t="s">
        <v>1352</v>
      </c>
      <c r="F367" s="2" t="s">
        <v>1343</v>
      </c>
      <c r="G367" s="23" t="s">
        <v>1344</v>
      </c>
      <c r="P367" s="24" t="str">
        <f>テーブル1[[#This Row],[リンク]]&amp;テーブル1[[#This Row],[描画状況]]</f>
        <v>https://maybeanglo0mochi.wixsite.com/mochiyanosouko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12.787252542364159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|&amp;image(ninomae-madoka.png,width=100,height=100)</v>
      </c>
      <c r="V367" s="23" t="str">
        <f>"|MIDDLE:​"&amp;テーブル1[[#This Row],[名前]]</f>
        <v>|MIDDLE:​一円</v>
      </c>
      <c r="W367" s="23" t="str">
        <f>"|MIDDLE:​"&amp;テーブル1[[#This Row],[なまえ]]</f>
        <v>|MIDDLE:​にのまえ まどか</v>
      </c>
      <c r="X367" s="23" t="str">
        <f>"|MIDDLE:​"&amp;テーブル1[[#This Row],[Name]]</f>
        <v>|MIDDLE:​Ninomae Madoka</v>
      </c>
      <c r="Y36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8" s="24" t="s">
        <v>618</v>
      </c>
      <c r="D368" s="23" t="s">
        <v>619</v>
      </c>
      <c r="E368" s="23" t="s">
        <v>620</v>
      </c>
      <c r="F368" s="2" t="s">
        <v>107</v>
      </c>
      <c r="G368" s="23" t="s">
        <v>621</v>
      </c>
      <c r="H368" s="23" t="s">
        <v>1606</v>
      </c>
      <c r="I368" s="23" t="s">
        <v>1616</v>
      </c>
      <c r="K368" s="23" t="s">
        <v>1736</v>
      </c>
      <c r="M368" s="23" t="s">
        <v>1761</v>
      </c>
      <c r="N368" s="1" t="s">
        <v>1497</v>
      </c>
      <c r="P368" s="24" t="str">
        <f>テーブル1[[#This Row],[リンク]]&amp;テーブル1[[#This Row],[描画状況]]</f>
        <v>https://hznonoka.wixsite.com/utau</v>
      </c>
      <c r="Q368" s="17">
        <f>1-(COUNTIF(P:P,_xlfn.TEXTJOIN(",",TRUE,テーブル1[[#This Row],[リンク]],テーブル1[[#This Row],[描画状況]]))/COUNTIF(F:F,テーブル1[[#This Row],[リンク]]))</f>
        <v>0.33333333333333337</v>
      </c>
      <c r="R368" s="16">
        <f ca="1">IFERROR(IF(テーブル1[[#This Row],[描画状況]]="",RAND()+(テーブル1[[#This Row],[列2]]*100),""),RAND())</f>
        <v>33.938850361681745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|&amp;image(nono-nonon.png,width=100,height=100)</v>
      </c>
      <c r="V368" s="23" t="str">
        <f>"|MIDDLE:​"&amp;テーブル1[[#This Row],[名前]]</f>
        <v>|MIDDLE:​音暖ののん</v>
      </c>
      <c r="W368" s="23" t="str">
        <f>"|MIDDLE:​"&amp;テーブル1[[#This Row],[なまえ]]</f>
        <v>|MIDDLE:​のの ののん</v>
      </c>
      <c r="X368" s="23" t="str">
        <f>"|MIDDLE:​"&amp;テーブル1[[#This Row],[Name]]</f>
        <v>|MIDDLE:​Nono Nonon</v>
      </c>
      <c r="Y368" s="23" t="str">
        <f>"|MIDDLE:​&amp;link(配布所はこちら){​"&amp;テーブル1[[#This Row],[リンク]]&amp;"}|"</f>
        <v>|MIDDLE:​&amp;link(配布所はこちら){​https://hznonoka.wixsite.com/utau}|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9" s="24" t="s">
        <v>1267</v>
      </c>
      <c r="D369" s="23" t="s">
        <v>1269</v>
      </c>
      <c r="E369" s="23" t="s">
        <v>1268</v>
      </c>
      <c r="F369" s="15" t="s">
        <v>174</v>
      </c>
      <c r="G369" s="24" t="s">
        <v>1787</v>
      </c>
      <c r="H369" s="24"/>
      <c r="I369" s="24"/>
      <c r="J369" s="24"/>
      <c r="K369" s="24"/>
      <c r="L369" s="24"/>
      <c r="M369" s="24"/>
      <c r="N369" s="1" t="s">
        <v>1569</v>
      </c>
      <c r="P369" s="24" t="str">
        <f>テーブル1[[#This Row],[リンク]]&amp;テーブル1[[#This Row],[描画状況]]</f>
        <v>https://lenskkpb.wixsite.com/len-sakaki-official</v>
      </c>
      <c r="Q369" s="17">
        <f>1-(COUNTIF(P:P,_xlfn.TEXTJOIN(",",TRUE,テーブル1[[#This Row],[リンク]],テーブル1[[#This Row],[描画状況]]))/COUNTIF(F:F,テーブル1[[#This Row],[リンク]]))</f>
        <v>0.625</v>
      </c>
      <c r="R369" s="16">
        <f ca="1">IFERROR(IF(テーブル1[[#This Row],[描画状況]]="",RAND()+(テーブル1[[#This Row],[列2]]*100),""),RAND())</f>
        <v>63.293855003883628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|&amp;image(hakuchumu.png,width=100,height=100)</v>
      </c>
      <c r="V369" s="23" t="str">
        <f>"|MIDDLE:​"&amp;テーブル1[[#This Row],[名前]]</f>
        <v>|MIDDLE:​白躊夢</v>
      </c>
      <c r="W369" s="23" t="str">
        <f>"|MIDDLE:​"&amp;テーブル1[[#This Row],[なまえ]]</f>
        <v>|MIDDLE:​はくちゅうむ</v>
      </c>
      <c r="X369" s="23" t="str">
        <f>"|MIDDLE:​"&amp;テーブル1[[#This Row],[Name]]</f>
        <v>|MIDDLE:​Hakuchumu</v>
      </c>
      <c r="Y36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70" s="24" t="s">
        <v>1017</v>
      </c>
      <c r="D370" s="23" t="s">
        <v>1018</v>
      </c>
      <c r="E370" s="23" t="s">
        <v>1019</v>
      </c>
      <c r="F370" s="27" t="s">
        <v>84</v>
      </c>
      <c r="G370" s="23" t="s">
        <v>85</v>
      </c>
      <c r="H370" s="23" t="s">
        <v>1606</v>
      </c>
      <c r="I370" s="23" t="s">
        <v>1809</v>
      </c>
      <c r="J370" s="23" t="s">
        <v>1773</v>
      </c>
      <c r="K370" s="23" t="s">
        <v>1774</v>
      </c>
      <c r="L370" s="23" t="s">
        <v>1617</v>
      </c>
      <c r="N370" s="1" t="s">
        <v>1498</v>
      </c>
      <c r="P370" s="24" t="str">
        <f>テーブル1[[#This Row],[リンク]]&amp;テーブル1[[#This Row],[描画状況]]</f>
        <v>https://chunyinhui021.wixsite.com/mutyuusaisei</v>
      </c>
      <c r="Q370" s="17">
        <f>1-(COUNTIF(P:P,_xlfn.TEXTJOIN(",",TRUE,テーブル1[[#This Row],[リンク]],テーブル1[[#This Row],[描画状況]]))/COUNTIF(F:F,テーブル1[[#This Row],[リンク]]))</f>
        <v>0.33333333333333337</v>
      </c>
      <c r="R370" s="16">
        <f ca="1">IFERROR(IF(テーブル1[[#This Row],[描画状況]]="",RAND()+(テーブル1[[#This Row],[列2]]*100),""),RAND())</f>
        <v>33.390456653835344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|&amp;image(hakuma.png,width=100,height=100)</v>
      </c>
      <c r="V370" s="23" t="str">
        <f>"|MIDDLE:​"&amp;テーブル1[[#This Row],[名前]]</f>
        <v>|MIDDLE:​白魔</v>
      </c>
      <c r="W370" s="23" t="str">
        <f>"|MIDDLE:​"&amp;テーブル1[[#This Row],[なまえ]]</f>
        <v>|MIDDLE:​はくま</v>
      </c>
      <c r="X370" s="23" t="str">
        <f>"|MIDDLE:​"&amp;テーブル1[[#This Row],[Name]]</f>
        <v>|MIDDLE:​Hakuma</v>
      </c>
      <c r="Y37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1" s="24" t="s">
        <v>1053</v>
      </c>
      <c r="D371" s="23" t="s">
        <v>1053</v>
      </c>
      <c r="E371" s="23" t="s">
        <v>1054</v>
      </c>
      <c r="F371" s="15" t="s">
        <v>667</v>
      </c>
      <c r="G371" s="23" t="s">
        <v>668</v>
      </c>
      <c r="N371" s="1" t="s">
        <v>1497</v>
      </c>
      <c r="P371" s="24" t="str">
        <f>テーブル1[[#This Row],[リンク]]&amp;テーブル1[[#This Row],[描画状況]]</f>
        <v>https://flowerrocklove.wixsite.com/twilight-crisis</v>
      </c>
      <c r="Q371" s="17">
        <f>1-(COUNTIF(P:P,_xlfn.TEXTJOIN(",",TRUE,テーブル1[[#This Row],[リンク]],テーブル1[[#This Row],[描画状況]]))/COUNTIF(F:F,テーブル1[[#This Row],[リンク]]))</f>
        <v>0.22222222222222221</v>
      </c>
      <c r="R371" s="16">
        <f ca="1">IFERROR(IF(テーブル1[[#This Row],[描画状況]]="",RAND()+(テーブル1[[#This Row],[列2]]*100),""),RAND())</f>
        <v>22.759578372383448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|&amp;image(hachurui.png,width=100,height=100)</v>
      </c>
      <c r="V371" s="23" t="str">
        <f>"|MIDDLE:​"&amp;テーブル1[[#This Row],[名前]]</f>
        <v>|MIDDLE:​はちゅうるい</v>
      </c>
      <c r="W371" s="23" t="str">
        <f>"|MIDDLE:​"&amp;テーブル1[[#This Row],[なまえ]]</f>
        <v>|MIDDLE:​はちゅうるい</v>
      </c>
      <c r="X371" s="23" t="str">
        <f>"|MIDDLE:​"&amp;テーブル1[[#This Row],[Name]]</f>
        <v>|MIDDLE:​Hachurui</v>
      </c>
      <c r="Y37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2" s="24" t="s">
        <v>1354</v>
      </c>
      <c r="D372" s="23" t="s">
        <v>1356</v>
      </c>
      <c r="E372" s="23" t="s">
        <v>1355</v>
      </c>
      <c r="F372" s="2" t="s">
        <v>1343</v>
      </c>
      <c r="G372" s="23" t="s">
        <v>1344</v>
      </c>
      <c r="P372" s="24" t="str">
        <f>テーブル1[[#This Row],[リンク]]&amp;テーブル1[[#This Row],[描画状況]]</f>
        <v>https://maybeanglo0mochi.wixsite.com/mochiyanosouko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13.382399359649234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|&amp;image(hazuki-iori.png,width=100,height=100)</v>
      </c>
      <c r="V372" s="23" t="str">
        <f>"|MIDDLE:​"&amp;テーブル1[[#This Row],[名前]]</f>
        <v>|MIDDLE:​綺月イオリ</v>
      </c>
      <c r="W372" s="23" t="str">
        <f>"|MIDDLE:​"&amp;テーブル1[[#This Row],[なまえ]]</f>
        <v>|MIDDLE:​はづき いおり</v>
      </c>
      <c r="X372" s="23" t="str">
        <f>"|MIDDLE:​"&amp;テーブル1[[#This Row],[Name]]</f>
        <v>|MIDDLE:​Hazuki Iori</v>
      </c>
      <c r="Y37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3" s="24" t="s">
        <v>1215</v>
      </c>
      <c r="D373" s="23" t="s">
        <v>1239</v>
      </c>
      <c r="E373" s="23" t="s">
        <v>1238</v>
      </c>
      <c r="F373" s="15" t="s">
        <v>335</v>
      </c>
      <c r="G373" s="23" t="s">
        <v>336</v>
      </c>
      <c r="P373" s="24" t="str">
        <f>テーブル1[[#This Row],[リンク]]&amp;テーブル1[[#This Row],[描画状況]]</f>
        <v>https://torinosu-hikikomori.jimdofree.com</v>
      </c>
      <c r="Q373" s="17">
        <f>1-(COUNTIF(P:P,_xlfn.TEXTJOIN(",",TRUE,テーブル1[[#This Row],[リンク]],テーブル1[[#This Row],[描画状況]]))/COUNTIF(F:F,テーブル1[[#This Row],[リンク]]))</f>
        <v>0.125</v>
      </c>
      <c r="R373" s="16">
        <f ca="1">IFERROR(IF(テーブル1[[#This Row],[描画状況]]="",RAND()+(テーブル1[[#This Row],[列2]]*100),""),RAND())</f>
        <v>13.082398105095278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|&amp;image(battu-roland.png,width=100,height=100)</v>
      </c>
      <c r="V373" s="23" t="str">
        <f>"|MIDDLE:​"&amp;テーブル1[[#This Row],[名前]]</f>
        <v>|MIDDLE:​バッツ・ローランド</v>
      </c>
      <c r="W373" s="23" t="str">
        <f>"|MIDDLE:​"&amp;テーブル1[[#This Row],[なまえ]]</f>
        <v>|MIDDLE:​ばっつ ろーらんど</v>
      </c>
      <c r="X373" s="23" t="str">
        <f>"|MIDDLE:​"&amp;テーブル1[[#This Row],[Name]]</f>
        <v>|MIDDLE:​Battu Roland</v>
      </c>
      <c r="Y373" s="23" t="str">
        <f>"|MIDDLE:​&amp;link(配布所はこちら){​"&amp;テーブル1[[#This Row],[リンク]]&amp;"}|"</f>
        <v>|MIDDLE:​&amp;link(配布所はこちら){​https://torinosu-hikikomori.jimdofree.com}|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4" s="24" t="s">
        <v>864</v>
      </c>
      <c r="D374" s="23" t="s">
        <v>865</v>
      </c>
      <c r="E374" s="23" t="s">
        <v>866</v>
      </c>
      <c r="F374" s="15" t="s">
        <v>860</v>
      </c>
      <c r="G374" s="23" t="s">
        <v>863</v>
      </c>
      <c r="P374" s="24" t="str">
        <f>テーブル1[[#This Row],[リンク]]&amp;テーブル1[[#This Row],[描画状況]]</f>
        <v>https://bowlroll.net/user/374679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0.78772797115638393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|&amp;image(hatene-noa.png,width=100,height=100)</v>
      </c>
      <c r="V374" s="23" t="str">
        <f>"|MIDDLE:​"&amp;テーブル1[[#This Row],[名前]]</f>
        <v>|MIDDLE:​果音ノア</v>
      </c>
      <c r="W374" s="23" t="str">
        <f>"|MIDDLE:​"&amp;テーブル1[[#This Row],[なまえ]]</f>
        <v>|MIDDLE:​はてね のあ</v>
      </c>
      <c r="X374" s="23" t="str">
        <f>"|MIDDLE:​"&amp;テーブル1[[#This Row],[Name]]</f>
        <v>|MIDDLE:​Hatene Noa</v>
      </c>
      <c r="Y374" s="23" t="str">
        <f>"|MIDDLE:​&amp;link(配布所はこちら){​"&amp;テーブル1[[#This Row],[リンク]]&amp;"}|"</f>
        <v>|MIDDLE:​&amp;link(配布所はこちら){​https://bowlroll.net/user/374679}|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5" s="24" t="s">
        <v>691</v>
      </c>
      <c r="D375" s="23" t="s">
        <v>693</v>
      </c>
      <c r="E375" s="23" t="s">
        <v>692</v>
      </c>
      <c r="F375" s="2" t="s">
        <v>694</v>
      </c>
      <c r="G375" s="23" t="s">
        <v>695</v>
      </c>
      <c r="P375" s="24" t="str">
        <f>テーブル1[[#This Row],[リンク]]&amp;テーブル1[[#This Row],[描画状況]]</f>
        <v>https://jnsea010.wixsite.com/kkamchoutau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0.222893163078829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|&amp;image(hanabata-haru.png,width=100,height=100)</v>
      </c>
      <c r="V375" s="23" t="str">
        <f>"|MIDDLE:​"&amp;テーブル1[[#This Row],[名前]]</f>
        <v>|MIDDLE:​花畑ハル</v>
      </c>
      <c r="W375" s="23" t="str">
        <f>"|MIDDLE:​"&amp;テーブル1[[#This Row],[なまえ]]</f>
        <v>|MIDDLE:​はなばた はる</v>
      </c>
      <c r="X375" s="23" t="str">
        <f>"|MIDDLE:​"&amp;テーブル1[[#This Row],[Name]]</f>
        <v>|MIDDLE:​Hanabata Haru</v>
      </c>
      <c r="Y375" s="23" t="str">
        <f>"|MIDDLE:​&amp;link(配布所はこちら){​"&amp;テーブル1[[#This Row],[リンク]]&amp;"}|"</f>
        <v>|MIDDLE:​&amp;link(配布所はこちら){​https://jnsea010.wixsite.com/kkamchoutau}|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6" s="24" t="s">
        <v>1072</v>
      </c>
      <c r="D376" s="23" t="s">
        <v>1073</v>
      </c>
      <c r="E376" s="23" t="s">
        <v>1074</v>
      </c>
      <c r="F376" s="15" t="s">
        <v>1061</v>
      </c>
      <c r="G376" s="23" t="s">
        <v>1062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7.3302992341436966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|&amp;image(hanne-taka.png,width=100,height=100)</v>
      </c>
      <c r="V376" s="23" t="str">
        <f>"|MIDDLE:​"&amp;テーブル1[[#This Row],[名前]]</f>
        <v>|MIDDLE:​半音タカ</v>
      </c>
      <c r="W376" s="23" t="str">
        <f>"|MIDDLE:​"&amp;テーブル1[[#This Row],[なまえ]]</f>
        <v>|MIDDLE:​はんね たか</v>
      </c>
      <c r="X376" s="23" t="str">
        <f>"|MIDDLE:​"&amp;テーブル1[[#This Row],[Name]]</f>
        <v>|MIDDLE:​Hanne Taka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7" s="24" t="s">
        <v>1089</v>
      </c>
      <c r="D377" s="23" t="s">
        <v>1090</v>
      </c>
      <c r="E377" s="23" t="s">
        <v>1089</v>
      </c>
      <c r="F377" s="15" t="s">
        <v>1061</v>
      </c>
      <c r="G377" s="23" t="s">
        <v>1062</v>
      </c>
      <c r="P377" s="24" t="str">
        <f>テーブル1[[#This Row],[リンク]]&amp;テーブル1[[#This Row],[描画状況]]</f>
        <v>https://yukimiyashimusho.jimdofree.com</v>
      </c>
      <c r="Q377" s="17">
        <f>1-(COUNTIF(P:P,_xlfn.TEXTJOIN(",",TRUE,テーブル1[[#This Row],[リンク]],テーブル1[[#This Row],[描画状況]]))/COUNTIF(F:F,テーブル1[[#This Row],[リンク]]))</f>
        <v>7.1428571428571397E-2</v>
      </c>
      <c r="R377" s="16">
        <f ca="1">IFERROR(IF(テーブル1[[#This Row],[描画状況]]="",RAND()+(テーブル1[[#This Row],[列2]]*100),""),RAND())</f>
        <v>7.6866042451017726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|&amp;image(hye.png,width=100,height=100)</v>
      </c>
      <c r="V377" s="23" t="str">
        <f>"|MIDDLE:​"&amp;テーブル1[[#This Row],[名前]]</f>
        <v>|MIDDLE:​Hye</v>
      </c>
      <c r="W377" s="23" t="str">
        <f>"|MIDDLE:​"&amp;テーブル1[[#This Row],[なまえ]]</f>
        <v>|MIDDLE:​ひえ</v>
      </c>
      <c r="X377" s="23" t="str">
        <f>"|MIDDLE:​"&amp;テーブル1[[#This Row],[Name]]</f>
        <v>|MIDDLE:​Hye</v>
      </c>
      <c r="Y377" s="23" t="str">
        <f>"|MIDDLE:​&amp;link(配布所はこちら){​"&amp;テーブル1[[#This Row],[リンク]]&amp;"}|"</f>
        <v>|MIDDLE:​&amp;link(配布所はこちら){​https://yukimiyashimusho.jimdofree.com}|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8" s="24" t="s">
        <v>565</v>
      </c>
      <c r="D378" s="23" t="s">
        <v>566</v>
      </c>
      <c r="E378" s="23" t="s">
        <v>567</v>
      </c>
      <c r="F378" s="2" t="s">
        <v>568</v>
      </c>
      <c r="G378" s="23" t="s">
        <v>569</v>
      </c>
      <c r="N378" s="1" t="s">
        <v>1497</v>
      </c>
      <c r="P378" s="24" t="str">
        <f>テーブル1[[#This Row],[リンク]]&amp;テーブル1[[#This Row],[描画状況]]</f>
        <v>https://askdance.wixsite.com/monitor-room/monitor-room</v>
      </c>
      <c r="Q378" s="17">
        <f>1-(COUNTIF(P:P,_xlfn.TEXTJOIN(",",TRUE,テーブル1[[#This Row],[リンク]],テーブル1[[#This Row],[描画状況]]))/COUNTIF(F:F,テーブル1[[#This Row],[リンク]]))</f>
        <v>9.9999999999999978E-2</v>
      </c>
      <c r="R378" s="16">
        <f ca="1">IFERROR(IF(テーブル1[[#This Row],[描画状況]]="",RAND()+(テーブル1[[#This Row],[列2]]*100),""),RAND())</f>
        <v>10.693534251860228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|&amp;image(higagoto-toi.png,width=100,height=100)</v>
      </c>
      <c r="V378" s="23" t="str">
        <f>"|MIDDLE:​"&amp;テーブル1[[#This Row],[名前]]</f>
        <v>|MIDDLE:​僻事問</v>
      </c>
      <c r="W378" s="23" t="str">
        <f>"|MIDDLE:​"&amp;テーブル1[[#This Row],[なまえ]]</f>
        <v>|MIDDLE:​ひがごと とい</v>
      </c>
      <c r="X378" s="23" t="str">
        <f>"|MIDDLE:​"&amp;テーブル1[[#This Row],[Name]]</f>
        <v>|MIDDLE:​Higagoto Toi</v>
      </c>
      <c r="Y37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9" s="24" t="s">
        <v>1779</v>
      </c>
      <c r="D379" s="23" t="s">
        <v>1781</v>
      </c>
      <c r="E379" s="23" t="s">
        <v>1780</v>
      </c>
      <c r="F379" s="2" t="s">
        <v>97</v>
      </c>
      <c r="G379" s="23" t="s">
        <v>98</v>
      </c>
      <c r="H379" s="23" t="s">
        <v>1607</v>
      </c>
      <c r="I379" s="23" t="s">
        <v>1616</v>
      </c>
      <c r="N379" s="1" t="s">
        <v>1497</v>
      </c>
      <c r="P379" s="24" t="str">
        <f>テーブル1[[#This Row],[リンク]]&amp;テーブル1[[#This Row],[描画状況]]</f>
        <v>https://hinagitsune-utau.wixsite.com/utaukokorone</v>
      </c>
      <c r="Q379" s="17">
        <f>1-(COUNTIF(P:P,_xlfn.TEXTJOIN(",",TRUE,テーブル1[[#This Row],[リンク]],テーブル1[[#This Row],[描画状況]]))/COUNTIF(F:F,テーブル1[[#This Row],[リンク]]))</f>
        <v>0.19999999999999996</v>
      </c>
      <c r="R379" s="16">
        <f ca="1">IFERROR(IF(テーブル1[[#This Row],[描画状況]]="",RAND()+(テーブル1[[#This Row],[列2]]*100),""),RAND())</f>
        <v>20.79443194281372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|&amp;image(hinaki-v-draginie.png,width=100,height=100)</v>
      </c>
      <c r="V379" s="23" t="str">
        <f>"|MIDDLE:​"&amp;テーブル1[[#This Row],[名前]]</f>
        <v>|MIDDLE:​ヒナキ・Ｖ・ドラギニエ</v>
      </c>
      <c r="W379" s="23" t="str">
        <f>"|MIDDLE:​"&amp;テーブル1[[#This Row],[なまえ]]</f>
        <v>|MIDDLE:​ひなき ぶい どらぎにえ</v>
      </c>
      <c r="X379" s="23" t="str">
        <f>"|MIDDLE:​"&amp;テーブル1[[#This Row],[Name]]</f>
        <v>|MIDDLE:​Hinaki V Draginie</v>
      </c>
      <c r="Y37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80" s="24" t="s">
        <v>622</v>
      </c>
      <c r="D380" s="23" t="s">
        <v>623</v>
      </c>
      <c r="E380" s="23" t="s">
        <v>624</v>
      </c>
      <c r="F380" s="2" t="s">
        <v>107</v>
      </c>
      <c r="G380" s="23" t="s">
        <v>621</v>
      </c>
      <c r="H380" s="23" t="s">
        <v>1607</v>
      </c>
      <c r="I380" s="23" t="s">
        <v>1616</v>
      </c>
      <c r="K380" s="23" t="s">
        <v>1736</v>
      </c>
      <c r="L380" s="23" t="s">
        <v>1617</v>
      </c>
      <c r="M380" s="23" t="s">
        <v>1761</v>
      </c>
      <c r="N380" s="1" t="s">
        <v>1497</v>
      </c>
      <c r="P380" s="24" t="str">
        <f>テーブル1[[#This Row],[リンク]]&amp;テーブル1[[#This Row],[描画状況]]</f>
        <v>https://hznonoka.wixsite.com/utau</v>
      </c>
      <c r="Q380" s="17">
        <f>1-(COUNTIF(P:P,_xlfn.TEXTJOIN(",",TRUE,テーブル1[[#This Row],[リンク]],テーブル1[[#This Row],[描画状況]]))/COUNTIF(F:F,テーブル1[[#This Row],[リンク]]))</f>
        <v>0.33333333333333337</v>
      </c>
      <c r="R380" s="16">
        <f ca="1">IFERROR(IF(テーブル1[[#This Row],[描画状況]]="",RAND()+(テーブル1[[#This Row],[列2]]*100),""),RAND())</f>
        <v>34.000109291493011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|&amp;image(hibiki-hiruya.png,width=100,height=100)</v>
      </c>
      <c r="V380" s="23" t="str">
        <f>"|MIDDLE:​"&amp;テーブル1[[#This Row],[名前]]</f>
        <v>|MIDDLE:​響姫ひるや</v>
      </c>
      <c r="W380" s="23" t="str">
        <f>"|MIDDLE:​"&amp;テーブル1[[#This Row],[なまえ]]</f>
        <v>|MIDDLE:​ひびき ひるや</v>
      </c>
      <c r="X380" s="23" t="str">
        <f>"|MIDDLE:​"&amp;テーブル1[[#This Row],[Name]]</f>
        <v>|MIDDLE:​Hibiki Hiruya</v>
      </c>
      <c r="Y380" s="23" t="str">
        <f>"|MIDDLE:​&amp;link(配布所はこちら){​"&amp;テーブル1[[#This Row],[リンク]]&amp;"}|"</f>
        <v>|MIDDLE:​&amp;link(配布所はこちら){​https://hznonoka.wixsite.com/utau}|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1" s="24" t="s">
        <v>1132</v>
      </c>
      <c r="D381" s="23" t="s">
        <v>1135</v>
      </c>
      <c r="E381" s="23" t="s">
        <v>1133</v>
      </c>
      <c r="F381" s="15" t="s">
        <v>1138</v>
      </c>
      <c r="G381" s="23" t="str">
        <f>テーブル1[[#This Row],[名前]]&amp;"(UTAU)"</f>
        <v>ピピ音ピオ(UTAU)</v>
      </c>
      <c r="P381" s="24" t="str">
        <f>テーブル1[[#This Row],[リンク]]&amp;テーブル1[[#This Row],[描画状況]]</f>
        <v>https://yautau.wixsite.com/0909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12.939621296962672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|&amp;image(pipine-pio.png,width=100,height=100)</v>
      </c>
      <c r="V381" s="23" t="str">
        <f>"|MIDDLE:​"&amp;テーブル1[[#This Row],[名前]]</f>
        <v>|MIDDLE:​ピピ音ピオ</v>
      </c>
      <c r="W381" s="23" t="str">
        <f>"|MIDDLE:​"&amp;テーブル1[[#This Row],[なまえ]]</f>
        <v>|MIDDLE:​ぴぴね ぴお</v>
      </c>
      <c r="X381" s="23" t="str">
        <f>"|MIDDLE:​"&amp;テーブル1[[#This Row],[Name]]</f>
        <v>|MIDDLE:​Pipine Pio</v>
      </c>
      <c r="Y381" s="23" t="str">
        <f>"|MIDDLE:​&amp;link(配布所はこちら){​"&amp;テーブル1[[#This Row],[リンク]]&amp;"}|"</f>
        <v>|MIDDLE:​&amp;link(配布所はこちら){​https://yautau.wixsite.com/0909}|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2" s="24" t="s">
        <v>1212</v>
      </c>
      <c r="D382" s="23" t="s">
        <v>1241</v>
      </c>
      <c r="E382" s="23" t="s">
        <v>1240</v>
      </c>
      <c r="F382" s="15" t="s">
        <v>335</v>
      </c>
      <c r="G382" s="23" t="s">
        <v>336</v>
      </c>
      <c r="P382" s="24" t="str">
        <f>テーブル1[[#This Row],[リンク]]&amp;テーブル1[[#This Row],[描画状況]]</f>
        <v>https://torinosu-hikikomori.jimdofree.com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13.245838174650391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|&amp;image(finalkamenppoino.png,width=100,height=100)</v>
      </c>
      <c r="V382" s="23" t="str">
        <f>"|MIDDLE:​"&amp;テーブル1[[#This Row],[名前]]</f>
        <v>|MIDDLE:​ファイナル仮面っぽいの</v>
      </c>
      <c r="W382" s="23" t="str">
        <f>"|MIDDLE:​"&amp;テーブル1[[#This Row],[なまえ]]</f>
        <v>|MIDDLE:​ふぁいなるかめんっぽいの</v>
      </c>
      <c r="X382" s="23" t="str">
        <f>"|MIDDLE:​"&amp;テーブル1[[#This Row],[Name]]</f>
        <v>|MIDDLE:​Finalkamenppoino</v>
      </c>
      <c r="Y382" s="23" t="str">
        <f>"|MIDDLE:​&amp;link(配布所はこちら){​"&amp;テーブル1[[#This Row],[リンク]]&amp;"}|"</f>
        <v>|MIDDLE:​&amp;link(配布所はこちら){​https://torinosu-hikikomori.jimdofree.com}|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3" s="24" t="s">
        <v>1270</v>
      </c>
      <c r="D383" s="23" t="s">
        <v>1272</v>
      </c>
      <c r="E383" s="23" t="s">
        <v>1271</v>
      </c>
      <c r="F383" s="15" t="s">
        <v>174</v>
      </c>
      <c r="G383" s="24" t="s">
        <v>1787</v>
      </c>
      <c r="H383" s="24"/>
      <c r="I383" s="24"/>
      <c r="J383" s="24"/>
      <c r="K383" s="24"/>
      <c r="L383" s="24"/>
      <c r="M383" s="24"/>
      <c r="N383" s="1" t="s">
        <v>1569</v>
      </c>
      <c r="P383" s="24" t="str">
        <f>テーブル1[[#This Row],[リンク]]&amp;テーブル1[[#This Row],[描画状況]]</f>
        <v>https://lenskkpb.wixsite.com/len-sakaki-official</v>
      </c>
      <c r="Q383" s="17">
        <f>1-(COUNTIF(P:P,_xlfn.TEXTJOIN(",",TRUE,テーブル1[[#This Row],[リンク]],テーブル1[[#This Row],[描画状況]]))/COUNTIF(F:F,テーブル1[[#This Row],[リンク]]))</f>
        <v>0.625</v>
      </c>
      <c r="R383" s="16">
        <f ca="1">IFERROR(IF(テーブル1[[#This Row],[描画状況]]="",RAND()+(テーブル1[[#This Row],[列2]]*100),""),RAND())</f>
        <v>62.594664470836385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|&amp;image(hukagyaku.png,width=100,height=100)</v>
      </c>
      <c r="V383" s="23" t="str">
        <f>"|MIDDLE:​"&amp;テーブル1[[#This Row],[名前]]</f>
        <v>|MIDDLE:​不彁逆</v>
      </c>
      <c r="W383" s="23" t="str">
        <f>"|MIDDLE:​"&amp;テーブル1[[#This Row],[なまえ]]</f>
        <v>|MIDDLE:​ふかぎゃく</v>
      </c>
      <c r="X383" s="23" t="str">
        <f>"|MIDDLE:​"&amp;テーブル1[[#This Row],[Name]]</f>
        <v>|MIDDLE:​Hukagyaku</v>
      </c>
      <c r="Y38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4" s="24" t="s">
        <v>1307</v>
      </c>
      <c r="D384" s="23" t="s">
        <v>1309</v>
      </c>
      <c r="E384" s="23" t="s">
        <v>1308</v>
      </c>
      <c r="F384" s="15" t="s">
        <v>1301</v>
      </c>
      <c r="G384" s="23" t="str">
        <f>テーブル1[[#This Row],[名前]]&amp;"(UTAU)"</f>
        <v>藤ヶ崎華凜(UTAU)</v>
      </c>
      <c r="P384" s="24" t="str">
        <f>テーブル1[[#This Row],[リンク]]&amp;テーブル1[[#This Row],[描画状況]]</f>
        <v>https://jiwajiwakirinn.wixsite.com/sakurada</v>
      </c>
      <c r="Q384" s="17">
        <f>1-(COUNTIF(P:P,_xlfn.TEXTJOIN(",",TRUE,テーブル1[[#This Row],[リンク]],テーブル1[[#This Row],[描画状況]]))/COUNTIF(F:F,テーブル1[[#This Row],[リンク]]))</f>
        <v>0.19999999999999996</v>
      </c>
      <c r="R384" s="16">
        <f ca="1">IFERROR(IF(テーブル1[[#This Row],[描画状況]]="",RAND()+(テーブル1[[#This Row],[列2]]*100),""),RAND())</f>
        <v>20.517014747758697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|&amp;image(fujigasaki-karin.png,width=100,height=100)</v>
      </c>
      <c r="V384" s="23" t="str">
        <f>"|MIDDLE:​"&amp;テーブル1[[#This Row],[名前]]</f>
        <v>|MIDDLE:​藤ヶ崎華凜</v>
      </c>
      <c r="W384" s="23" t="str">
        <f>"|MIDDLE:​"&amp;テーブル1[[#This Row],[なまえ]]</f>
        <v>|MIDDLE:​ふじがさき かりん</v>
      </c>
      <c r="X384" s="23" t="str">
        <f>"|MIDDLE:​"&amp;テーブル1[[#This Row],[Name]]</f>
        <v>|MIDDLE:​Fujigasaki Karin</v>
      </c>
      <c r="Y384" s="23" t="str">
        <f>"|MIDDLE:​&amp;link(配布所はこちら){​"&amp;テーブル1[[#This Row],[リンク]]&amp;"}|"</f>
        <v>|MIDDLE:​&amp;link(配布所はこちら){​https://jiwajiwakirinn.wixsite.com/sakurada}|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5" s="24" t="s">
        <v>573</v>
      </c>
      <c r="D385" s="23" t="s">
        <v>574</v>
      </c>
      <c r="E385" s="23" t="s">
        <v>575</v>
      </c>
      <c r="F385" s="2" t="s">
        <v>576</v>
      </c>
      <c r="G385" s="23" t="s">
        <v>577</v>
      </c>
      <c r="P385" s="24" t="str">
        <f>テーブル1[[#This Row],[リンク]]&amp;テーブル1[[#This Row],[描画状況]]</f>
        <v>https://lit.link/lilyHaruzion</v>
      </c>
      <c r="Q385" s="17">
        <f>1-(COUNTIF(P:P,_xlfn.TEXTJOIN(",",TRUE,テーブル1[[#This Row],[リンク]],テーブル1[[#This Row],[描画状況]]))/COUNTIF(F:F,テーブル1[[#This Row],[リンク]]))</f>
        <v>0</v>
      </c>
      <c r="R385" s="16">
        <f ca="1">IFERROR(IF(テーブル1[[#This Row],[描画状況]]="",RAND()+(テーブル1[[#This Row],[列2]]*100),""),RAND())</f>
        <v>0.49437126463149006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|&amp;image(flowery.png,width=100,height=100)</v>
      </c>
      <c r="V385" s="23" t="str">
        <f>"|MIDDLE:​"&amp;テーブル1[[#This Row],[名前]]</f>
        <v>|MIDDLE:​フローリィ</v>
      </c>
      <c r="W385" s="23" t="str">
        <f>"|MIDDLE:​"&amp;テーブル1[[#This Row],[なまえ]]</f>
        <v>|MIDDLE:​ふろーりぃ</v>
      </c>
      <c r="X385" s="23" t="str">
        <f>"|MIDDLE:​"&amp;テーブル1[[#This Row],[Name]]</f>
        <v>|MIDDLE:​Flowery</v>
      </c>
      <c r="Y385" s="23" t="str">
        <f>"|MIDDLE:​&amp;link(配布所はこちら){​"&amp;テーブル1[[#This Row],[リンク]]&amp;"}|"</f>
        <v>|MIDDLE:​&amp;link(配布所はこちら){​https://lit.link/lilyHaruzion}|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6" s="24" t="s">
        <v>1193</v>
      </c>
      <c r="D386" s="23" t="s">
        <v>1194</v>
      </c>
      <c r="E386" s="23" t="s">
        <v>1195</v>
      </c>
      <c r="F386" s="15" t="s">
        <v>680</v>
      </c>
      <c r="G386" s="23" t="s">
        <v>1196</v>
      </c>
      <c r="P386" s="24" t="str">
        <f>テーブル1[[#This Row],[リンク]]&amp;テーブル1[[#This Row],[描画状況]]</f>
        <v>https://okome32500.wixsite.com/onekomochi</v>
      </c>
      <c r="Q386" s="17">
        <f>1-(COUNTIF(P:P,_xlfn.TEXTJOIN(",",TRUE,テーブル1[[#This Row],[リンク]],テーブル1[[#This Row],[描画状況]]))/COUNTIF(F:F,テーブル1[[#This Row],[リンク]]))</f>
        <v>0.33333333333333337</v>
      </c>
      <c r="R386" s="16">
        <f ca="1">IFERROR(IF(テーブル1[[#This Row],[描画状況]]="",RAND()+(テーブル1[[#This Row],[列2]]*100),""),RAND())</f>
        <v>33.9541135322565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|&amp;image(fuwane-fasora.png,width=100,height=100)</v>
      </c>
      <c r="V386" s="23" t="str">
        <f>"|MIDDLE:​"&amp;テーブル1[[#This Row],[名前]]</f>
        <v>|MIDDLE:​不和音ファソラ</v>
      </c>
      <c r="W386" s="23" t="str">
        <f>"|MIDDLE:​"&amp;テーブル1[[#This Row],[なまえ]]</f>
        <v>|MIDDLE:​ふわね ふぁそら</v>
      </c>
      <c r="X386" s="23" t="str">
        <f>"|MIDDLE:​"&amp;テーブル1[[#This Row],[Name]]</f>
        <v>|MIDDLE:​Fuwane Fasora</v>
      </c>
      <c r="Y386" s="23" t="str">
        <f>"|MIDDLE:​&amp;link(配布所はこちら){​"&amp;テーブル1[[#This Row],[リンク]]&amp;"}|"</f>
        <v>|MIDDLE:​&amp;link(配布所はこちら){​https://okome32500.wixsite.com/onekomochi}|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7" s="24" t="s">
        <v>983</v>
      </c>
      <c r="D387" s="23" t="s">
        <v>985</v>
      </c>
      <c r="E387" s="23" t="s">
        <v>984</v>
      </c>
      <c r="F387" s="2" t="s">
        <v>568</v>
      </c>
      <c r="G387" s="23" t="s">
        <v>569</v>
      </c>
      <c r="N387" s="1" t="s">
        <v>1497</v>
      </c>
      <c r="P387" s="24" t="str">
        <f>テーブル1[[#This Row],[リンク]]&amp;テーブル1[[#This Row],[描画状況]]</f>
        <v>https://askdance.wixsite.com/monitor-room/monitor-room</v>
      </c>
      <c r="Q387" s="17">
        <f>1-(COUNTIF(P:P,_xlfn.TEXTJOIN(",",TRUE,テーブル1[[#This Row],[リンク]],テーブル1[[#This Row],[描画状況]]))/COUNTIF(F:F,テーブル1[[#This Row],[リンク]]))</f>
        <v>9.9999999999999978E-2</v>
      </c>
      <c r="R387" s="16">
        <f ca="1">IFERROR(IF(テーブル1[[#This Row],[描画状況]]="",RAND()+(テーブル1[[#This Row],[列2]]*100),""),RAND())</f>
        <v>10.67482653133785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|&amp;image(hoeura-mou.png,width=100,height=100)</v>
      </c>
      <c r="V387" s="23" t="str">
        <f>"|MIDDLE:​"&amp;テーブル1[[#This Row],[名前]]</f>
        <v>|MIDDLE:​​吠浦モウ</v>
      </c>
      <c r="W387" s="23" t="str">
        <f>"|MIDDLE:​"&amp;テーブル1[[#This Row],[なまえ]]</f>
        <v>|MIDDLE:​ほえうら もう</v>
      </c>
      <c r="X387" s="23" t="str">
        <f>"|MIDDLE:​"&amp;テーブル1[[#This Row],[Name]]</f>
        <v>|MIDDLE:​Hoeura Mou</v>
      </c>
      <c r="Y38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8" s="24" t="s">
        <v>1237</v>
      </c>
      <c r="D388" s="23" t="s">
        <v>1237</v>
      </c>
      <c r="E388" s="23" t="s">
        <v>1236</v>
      </c>
      <c r="F388" s="15" t="s">
        <v>335</v>
      </c>
      <c r="G388" s="23" t="s">
        <v>336</v>
      </c>
      <c r="P388" s="24" t="str">
        <f>テーブル1[[#This Row],[リンク]]&amp;テーブル1[[#This Row],[描画状況]]</f>
        <v>https://torinosu-hikikomori.jimdofree.com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12.72016900408069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|&amp;image(houloid.png,width=100,height=100)</v>
      </c>
      <c r="V388" s="23" t="str">
        <f>"|MIDDLE:​"&amp;テーブル1[[#This Row],[名前]]</f>
        <v>|MIDDLE:​ほーろいど</v>
      </c>
      <c r="W388" s="23" t="str">
        <f>"|MIDDLE:​"&amp;テーブル1[[#This Row],[なまえ]]</f>
        <v>|MIDDLE:​ほーろいど</v>
      </c>
      <c r="X388" s="23" t="str">
        <f>"|MIDDLE:​"&amp;テーブル1[[#This Row],[Name]]</f>
        <v>|MIDDLE:​Houloid</v>
      </c>
      <c r="Y388" s="23" t="str">
        <f>"|MIDDLE:​&amp;link(配布所はこちら){​"&amp;テーブル1[[#This Row],[リンク]]&amp;"}|"</f>
        <v>|MIDDLE:​&amp;link(配布所はこちら){​https://torinosu-hikikomori.jimdofree.com}|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9" s="24" t="s">
        <v>1310</v>
      </c>
      <c r="D389" s="23" t="s">
        <v>1312</v>
      </c>
      <c r="E389" s="23" t="s">
        <v>1311</v>
      </c>
      <c r="F389" s="15" t="s">
        <v>1301</v>
      </c>
      <c r="G389" s="23" t="str">
        <f>テーブル1[[#This Row],[名前]]&amp;"(UTAU)"</f>
        <v>火ノ叢杏実(UTAU)</v>
      </c>
      <c r="P389" s="24" t="str">
        <f>テーブル1[[#This Row],[リンク]]&amp;テーブル1[[#This Row],[描画状況]]</f>
        <v>https://jiwajiwakirinn.wixsite.com/sakurada</v>
      </c>
      <c r="Q389" s="17">
        <f>1-(COUNTIF(P:P,_xlfn.TEXTJOIN(",",TRUE,テーブル1[[#This Row],[リンク]],テーブル1[[#This Row],[描画状況]]))/COUNTIF(F:F,テーブル1[[#This Row],[リンク]]))</f>
        <v>0.19999999999999996</v>
      </c>
      <c r="R389" s="16">
        <f ca="1">IFERROR(IF(テーブル1[[#This Row],[描画状況]]="",RAND()+(テーブル1[[#This Row],[列2]]*100),""),RAND())</f>
        <v>20.398165016612246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|&amp;image(honomura-azumi.png,width=100,height=100)</v>
      </c>
      <c r="V389" s="23" t="str">
        <f>"|MIDDLE:​"&amp;テーブル1[[#This Row],[名前]]</f>
        <v>|MIDDLE:​火ノ叢杏実</v>
      </c>
      <c r="W389" s="23" t="str">
        <f>"|MIDDLE:​"&amp;テーブル1[[#This Row],[なまえ]]</f>
        <v>|MIDDLE:​ほのむら あずみ</v>
      </c>
      <c r="X389" s="23" t="str">
        <f>"|MIDDLE:​"&amp;テーブル1[[#This Row],[Name]]</f>
        <v>|MIDDLE:​Honomura Azumi</v>
      </c>
      <c r="Y389" s="23" t="str">
        <f>"|MIDDLE:​&amp;link(配布所はこちら){​"&amp;テーブル1[[#This Row],[リンク]]&amp;"}|"</f>
        <v>|MIDDLE:​&amp;link(配布所はこちら){​https://jiwajiwakirinn.wixsite.com/sakurada}|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90" s="24" t="s">
        <v>696</v>
      </c>
      <c r="D390" s="23" t="s">
        <v>698</v>
      </c>
      <c r="E390" s="23" t="s">
        <v>697</v>
      </c>
      <c r="F390" s="2" t="s">
        <v>694</v>
      </c>
      <c r="G390" s="23" t="s">
        <v>695</v>
      </c>
      <c r="P390" s="24" t="str">
        <f>テーブル1[[#This Row],[リンク]]&amp;テーブル1[[#This Row],[描画状況]]</f>
        <v>https://jnsea010.wixsite.com/kkamchoutau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0.163230732052978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|&amp;image(maetsuki-kumo.png,width=100,height=100)</v>
      </c>
      <c r="V390" s="23" t="str">
        <f>"|MIDDLE:​"&amp;テーブル1[[#This Row],[名前]]</f>
        <v>|MIDDLE:​前月クモ</v>
      </c>
      <c r="W390" s="23" t="str">
        <f>"|MIDDLE:​"&amp;テーブル1[[#This Row],[なまえ]]</f>
        <v>|MIDDLE:​まえつき くも</v>
      </c>
      <c r="X390" s="23" t="str">
        <f>"|MIDDLE:​"&amp;テーブル1[[#This Row],[Name]]</f>
        <v>|MIDDLE:​Maetsuki Kumo</v>
      </c>
      <c r="Y390" s="23" t="str">
        <f>"|MIDDLE:​&amp;link(配布所はこちら){​"&amp;テーブル1[[#This Row],[リンク]]&amp;"}|"</f>
        <v>|MIDDLE:​&amp;link(配布所はこちら){​https://jnsea010.wixsite.com/kkamchoutau}|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1" s="24" t="s">
        <v>1066</v>
      </c>
      <c r="D391" s="23" t="s">
        <v>1067</v>
      </c>
      <c r="E391" s="23" t="s">
        <v>1068</v>
      </c>
      <c r="F391" s="15" t="s">
        <v>1061</v>
      </c>
      <c r="G391" s="23" t="s">
        <v>1062</v>
      </c>
      <c r="P391" s="24" t="str">
        <f>テーブル1[[#This Row],[リンク]]&amp;テーブル1[[#This Row],[描画状況]]</f>
        <v>https://yukimiyashimusho.jimdofree.com</v>
      </c>
      <c r="Q391" s="17">
        <f>1-(COUNTIF(P:P,_xlfn.TEXTJOIN(",",TRUE,テーブル1[[#This Row],[リンク]],テーブル1[[#This Row],[描画状況]]))/COUNTIF(F:F,テーブル1[[#This Row],[リンク]]))</f>
        <v>7.1428571428571397E-2</v>
      </c>
      <c r="R391" s="16">
        <f ca="1">IFERROR(IF(テーブル1[[#This Row],[描画状況]]="",RAND()+(テーブル1[[#This Row],[列2]]*100),""),RAND())</f>
        <v>8.0262684689978734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|&amp;image(mazane-nono.png,width=100,height=100)</v>
      </c>
      <c r="V391" s="23" t="str">
        <f>"|MIDDLE:​"&amp;テーブル1[[#This Row],[名前]]</f>
        <v>|MIDDLE:​混音ノノ</v>
      </c>
      <c r="W391" s="23" t="str">
        <f>"|MIDDLE:​"&amp;テーブル1[[#This Row],[なまえ]]</f>
        <v>|MIDDLE:​まざね のの</v>
      </c>
      <c r="X391" s="23" t="str">
        <f>"|MIDDLE:​"&amp;テーブル1[[#This Row],[Name]]</f>
        <v>|MIDDLE:​Mazane Nono</v>
      </c>
      <c r="Y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2" s="24" t="s">
        <v>1429</v>
      </c>
      <c r="D392" s="23" t="s">
        <v>1430</v>
      </c>
      <c r="E392" s="23" t="s">
        <v>1431</v>
      </c>
      <c r="F392" s="15" t="s">
        <v>1427</v>
      </c>
      <c r="G392" s="23" t="s">
        <v>1428</v>
      </c>
      <c r="P392" s="24" t="str">
        <f>テーブル1[[#This Row],[リンク]]&amp;テーブル1[[#This Row],[描画状況]]</f>
        <v>https://bowlroll.net/user/992955</v>
      </c>
      <c r="Q392" s="17">
        <f>1-(COUNTIF(P:P,_xlfn.TEXTJOIN(",",TRUE,テーブル1[[#This Row],[リンク]],テーブル1[[#This Row],[描画状況]]))/COUNTIF(F:F,テーブル1[[#This Row],[リンク]]))</f>
        <v>0</v>
      </c>
      <c r="R392" s="16">
        <f ca="1">IFERROR(IF(テーブル1[[#This Row],[描画状況]]="",RAND()+(テーブル1[[#This Row],[列2]]*100),""),RAND())</f>
        <v>0.67954244439447686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|&amp;image(madowaku.png,width=100,height=100)</v>
      </c>
      <c r="V392" s="23" t="str">
        <f>"|MIDDLE:​"&amp;テーブル1[[#This Row],[名前]]</f>
        <v>|MIDDLE:​窓惑</v>
      </c>
      <c r="W392" s="23" t="str">
        <f>"|MIDDLE:​"&amp;テーブル1[[#This Row],[なまえ]]</f>
        <v>|MIDDLE:​まどわく</v>
      </c>
      <c r="X392" s="23" t="str">
        <f>"|MIDDLE:​"&amp;テーブル1[[#This Row],[Name]]</f>
        <v>|MIDDLE:​Madowaku</v>
      </c>
      <c r="Y392" s="23" t="str">
        <f>"|MIDDLE:​&amp;link(配布所はこちら){​"&amp;テーブル1[[#This Row],[リンク]]&amp;"}|"</f>
        <v>|MIDDLE:​&amp;link(配布所はこちら){​https://bowlroll.net/user/992955}|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3" s="24" t="s">
        <v>1134</v>
      </c>
      <c r="D393" s="23" t="s">
        <v>1136</v>
      </c>
      <c r="E393" s="23" t="s">
        <v>1137</v>
      </c>
      <c r="F393" s="15" t="s">
        <v>1138</v>
      </c>
      <c r="G393" s="23" t="str">
        <f>テーブル1[[#This Row],[名前]]&amp;"(UTAU)"</f>
        <v>マネナリ(UTAU)</v>
      </c>
      <c r="P393" s="24" t="str">
        <f>テーブル1[[#This Row],[リンク]]&amp;テーブル1[[#This Row],[描画状況]]</f>
        <v>https://yautau.wixsite.com/0909</v>
      </c>
      <c r="Q393" s="17">
        <f>1-(COUNTIF(P:P,_xlfn.TEXTJOIN(",",TRUE,テーブル1[[#This Row],[リンク]],テーブル1[[#This Row],[描画状況]]))/COUNTIF(F:F,テーブル1[[#This Row],[リンク]]))</f>
        <v>0.125</v>
      </c>
      <c r="R393" s="16">
        <f ca="1">IFERROR(IF(テーブル1[[#This Row],[描画状況]]="",RAND()+(テーブル1[[#This Row],[列2]]*100),""),RAND())</f>
        <v>13.334065341669458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|&amp;image(manenari.png,width=100,height=100)</v>
      </c>
      <c r="V393" s="23" t="str">
        <f>"|MIDDLE:​"&amp;テーブル1[[#This Row],[名前]]</f>
        <v>|MIDDLE:​マネナリ</v>
      </c>
      <c r="W393" s="23" t="str">
        <f>"|MIDDLE:​"&amp;テーブル1[[#This Row],[なまえ]]</f>
        <v>|MIDDLE:​まねなり</v>
      </c>
      <c r="X393" s="23" t="str">
        <f>"|MIDDLE:​"&amp;テーブル1[[#This Row],[Name]]</f>
        <v>|MIDDLE:​Manenari</v>
      </c>
      <c r="Y393" s="23" t="str">
        <f>"|MIDDLE:​&amp;link(配布所はこちら){​"&amp;テーブル1[[#This Row],[リンク]]&amp;"}|"</f>
        <v>|MIDDLE:​&amp;link(配布所はこちら){​https://yautau.wixsite.com/0909}|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4" s="24" t="s">
        <v>1063</v>
      </c>
      <c r="D394" s="23" t="s">
        <v>1064</v>
      </c>
      <c r="E394" s="23" t="s">
        <v>1065</v>
      </c>
      <c r="F394" s="15" t="s">
        <v>1061</v>
      </c>
      <c r="G394" s="23" t="s">
        <v>1062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7.4352862812345037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|&amp;image(mamine-fair.png,width=100,height=100)</v>
      </c>
      <c r="V394" s="23" t="str">
        <f>"|MIDDLE:​"&amp;テーブル1[[#This Row],[名前]]</f>
        <v>|MIDDLE:​真実音フェイア</v>
      </c>
      <c r="W394" s="23" t="str">
        <f>"|MIDDLE:​"&amp;テーブル1[[#This Row],[なまえ]]</f>
        <v>|MIDDLE:​まみね ふぇいあ</v>
      </c>
      <c r="X394" s="23" t="str">
        <f>"|MIDDLE:​"&amp;テーブル1[[#This Row],[Name]]</f>
        <v>|MIDDLE:​Mamine Fair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5" s="24" t="s">
        <v>1091</v>
      </c>
      <c r="D395" s="23" t="s">
        <v>1092</v>
      </c>
      <c r="E395" s="23" t="s">
        <v>1091</v>
      </c>
      <c r="F395" s="15" t="s">
        <v>1061</v>
      </c>
      <c r="G395" s="23" t="s">
        <v>1062</v>
      </c>
      <c r="P395" s="24" t="str">
        <f>テーブル1[[#This Row],[リンク]]&amp;テーブル1[[#This Row],[描画状況]]</f>
        <v>https://yukimiyashimusho.jimdofree.com</v>
      </c>
      <c r="Q395" s="17">
        <f>1-(COUNTIF(P:P,_xlfn.TEXTJOIN(",",TRUE,テーブル1[[#This Row],[リンク]],テーブル1[[#This Row],[描画状況]]))/COUNTIF(F:F,テーブル1[[#This Row],[リンク]]))</f>
        <v>7.1428571428571397E-2</v>
      </c>
      <c r="R395" s="16">
        <f ca="1">IFERROR(IF(テーブル1[[#This Row],[描画状況]]="",RAND()+(テーブル1[[#This Row],[列2]]*100),""),RAND())</f>
        <v>8.012595361023763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|&amp;image(myo.png,width=100,height=100)</v>
      </c>
      <c r="V395" s="23" t="str">
        <f>"|MIDDLE:​"&amp;テーブル1[[#This Row],[名前]]</f>
        <v>|MIDDLE:​Myo</v>
      </c>
      <c r="W395" s="23" t="str">
        <f>"|MIDDLE:​"&amp;テーブル1[[#This Row],[なまえ]]</f>
        <v>|MIDDLE:​みお</v>
      </c>
      <c r="X395" s="23" t="str">
        <f>"|MIDDLE:​"&amp;テーブル1[[#This Row],[Name]]</f>
        <v>|MIDDLE:​Myo</v>
      </c>
      <c r="Y395" s="23" t="str">
        <f>"|MIDDLE:​&amp;link(配布所はこちら){​"&amp;テーブル1[[#This Row],[リンク]]&amp;"}|"</f>
        <v>|MIDDLE:​&amp;link(配布所はこちら){​https://yukimiyashimusho.jimdofree.com}|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6" s="24" t="s">
        <v>1273</v>
      </c>
      <c r="D396" s="23" t="s">
        <v>1275</v>
      </c>
      <c r="E396" s="23" t="s">
        <v>1274</v>
      </c>
      <c r="F396" s="15" t="s">
        <v>174</v>
      </c>
      <c r="G396" s="24" t="s">
        <v>1787</v>
      </c>
      <c r="H396" s="24"/>
      <c r="I396" s="24"/>
      <c r="J396" s="24"/>
      <c r="K396" s="24"/>
      <c r="L396" s="24"/>
      <c r="M396" s="24"/>
      <c r="N396" s="1" t="s">
        <v>1569</v>
      </c>
      <c r="P396" s="24" t="str">
        <f>テーブル1[[#This Row],[リンク]]&amp;テーブル1[[#This Row],[描画状況]]</f>
        <v>https://lenskkpb.wixsite.com/len-sakaki-official</v>
      </c>
      <c r="Q396" s="17">
        <f>1-(COUNTIF(P:P,_xlfn.TEXTJOIN(",",TRUE,テーブル1[[#This Row],[リンク]],テーブル1[[#This Row],[描画状況]]))/COUNTIF(F:F,テーブル1[[#This Row],[リンク]]))</f>
        <v>0.625</v>
      </c>
      <c r="R396" s="16">
        <f ca="1">IFERROR(IF(テーブル1[[#This Row],[描画状況]]="",RAND()+(テーブル1[[#This Row],[列2]]*100),""),RAND())</f>
        <v>62.699154983159062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|&amp;image(mizou.png,width=100,height=100)</v>
      </c>
      <c r="V396" s="23" t="str">
        <f>"|MIDDLE:​"&amp;テーブル1[[#This Row],[名前]]</f>
        <v>|MIDDLE:​未曾鬱</v>
      </c>
      <c r="W396" s="23" t="str">
        <f>"|MIDDLE:​"&amp;テーブル1[[#This Row],[なまえ]]</f>
        <v>|MIDDLE:​みぞう</v>
      </c>
      <c r="X396" s="23" t="str">
        <f>"|MIDDLE:​"&amp;テーブル1[[#This Row],[Name]]</f>
        <v>|MIDDLE:​Mizou</v>
      </c>
      <c r="Y39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7" s="24" t="s">
        <v>1436</v>
      </c>
      <c r="D397" s="23" t="s">
        <v>1437</v>
      </c>
      <c r="E397" s="23" t="s">
        <v>1438</v>
      </c>
      <c r="F397" s="15" t="s">
        <v>1427</v>
      </c>
      <c r="G397" s="23" t="s">
        <v>1428</v>
      </c>
      <c r="P397" s="24" t="str">
        <f>テーブル1[[#This Row],[リンク]]&amp;テーブル1[[#This Row],[描画状況]]</f>
        <v>https://bowlroll.net/user/992955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0.57500569681388125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|&amp;image(mima.png,width=100,height=100)</v>
      </c>
      <c r="V397" s="23" t="str">
        <f>"|MIDDLE:​"&amp;テーブル1[[#This Row],[名前]]</f>
        <v>|MIDDLE:​深真</v>
      </c>
      <c r="W397" s="23" t="str">
        <f>"|MIDDLE:​"&amp;テーブル1[[#This Row],[なまえ]]</f>
        <v>|MIDDLE:​みま</v>
      </c>
      <c r="X397" s="23" t="str">
        <f>"|MIDDLE:​"&amp;テーブル1[[#This Row],[Name]]</f>
        <v>|MIDDLE:​Mima</v>
      </c>
      <c r="Y397" s="23" t="str">
        <f>"|MIDDLE:​&amp;link(配布所はこちら){​"&amp;テーブル1[[#This Row],[リンク]]&amp;"}|"</f>
        <v>|MIDDLE:​&amp;link(配布所はこちら){​https://bowlroll.net/user/992955}|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1357</v>
      </c>
      <c r="D398" s="23" t="s">
        <v>1359</v>
      </c>
      <c r="E398" s="23" t="s">
        <v>1358</v>
      </c>
      <c r="F398" s="2" t="s">
        <v>1343</v>
      </c>
      <c r="G398" s="23" t="s">
        <v>1344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13.216537401652602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957</v>
      </c>
      <c r="D399" s="23" t="s">
        <v>958</v>
      </c>
      <c r="E399" s="23" t="s">
        <v>959</v>
      </c>
      <c r="F399" s="2" t="s">
        <v>1663</v>
      </c>
      <c r="G399" s="23" t="str">
        <f>テーブル1[[#This Row],[名前]]&amp;"(UTAU)"</f>
        <v>メジロ・メイホァ(UTAU)</v>
      </c>
      <c r="H399" s="23" t="s">
        <v>1607</v>
      </c>
      <c r="L399" s="23" t="s">
        <v>1617</v>
      </c>
      <c r="N399" s="1" t="s">
        <v>1498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17.205166316837953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591</v>
      </c>
      <c r="D400" s="23" t="s">
        <v>592</v>
      </c>
      <c r="E400" s="23" t="s">
        <v>593</v>
      </c>
      <c r="F400" s="2" t="s">
        <v>590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0.28282142982923064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962</v>
      </c>
      <c r="D401" s="23" t="s">
        <v>963</v>
      </c>
      <c r="E401" s="23" t="s">
        <v>964</v>
      </c>
      <c r="F401" s="2" t="s">
        <v>1663</v>
      </c>
      <c r="G401" s="23" t="str">
        <f>テーブル1[[#This Row],[名前]]&amp;"(UTAU)"</f>
        <v>メタ・クアドラ(UTAU)</v>
      </c>
      <c r="H401" s="23" t="s">
        <v>1606</v>
      </c>
      <c r="I401" s="23" t="s">
        <v>1664</v>
      </c>
      <c r="M401" s="23" t="s">
        <v>1643</v>
      </c>
      <c r="N401" s="1" t="s">
        <v>1498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17.176638258195002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1205</v>
      </c>
      <c r="D402" s="23" t="s">
        <v>1223</v>
      </c>
      <c r="E402" s="23" t="s">
        <v>1222</v>
      </c>
      <c r="F402" s="15" t="s">
        <v>335</v>
      </c>
      <c r="G402" s="23" t="s">
        <v>336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12.677003858309529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969</v>
      </c>
      <c r="D403" s="23" t="s">
        <v>970</v>
      </c>
      <c r="E403" s="23" t="s">
        <v>971</v>
      </c>
      <c r="F403" s="2" t="s">
        <v>1663</v>
      </c>
      <c r="G403" s="23" t="str">
        <f>テーブル1[[#This Row],[名前]]&amp;"(UTAU)"</f>
        <v>メルジ・ハクア(UTAU)</v>
      </c>
      <c r="H403" s="23" t="s">
        <v>1607</v>
      </c>
      <c r="N403" s="1" t="s">
        <v>1498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16.667125889616997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1149</v>
      </c>
      <c r="D404" s="23" t="s">
        <v>1150</v>
      </c>
      <c r="E404" s="23" t="s">
        <v>1151</v>
      </c>
      <c r="F404" s="15" t="s">
        <v>1139</v>
      </c>
      <c r="G404" s="23" t="s">
        <v>1152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0.69946136513047774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1143</v>
      </c>
      <c r="D405" s="23" t="s">
        <v>1144</v>
      </c>
      <c r="E405" s="23" t="s">
        <v>1145</v>
      </c>
      <c r="F405" s="15" t="s">
        <v>1139</v>
      </c>
      <c r="G405" s="23" t="s">
        <v>1152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0.48517350333406006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1331</v>
      </c>
      <c r="D406" s="23" t="s">
        <v>1333</v>
      </c>
      <c r="E406" s="23" t="s">
        <v>1334</v>
      </c>
      <c r="F406" s="15" t="s">
        <v>1332</v>
      </c>
      <c r="G406" s="23" t="s">
        <v>1335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0.66635398180229355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910</v>
      </c>
      <c r="D407" s="23" t="s">
        <v>912</v>
      </c>
      <c r="E407" s="23" t="s">
        <v>911</v>
      </c>
      <c r="F407" s="15" t="s">
        <v>900</v>
      </c>
      <c r="G407" s="23" t="s">
        <v>913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0.87238160172037582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904</v>
      </c>
      <c r="D408" s="23" t="s">
        <v>906</v>
      </c>
      <c r="E408" s="23" t="s">
        <v>905</v>
      </c>
      <c r="F408" s="15" t="s">
        <v>900</v>
      </c>
      <c r="G408" s="23" t="s">
        <v>913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0.1192894003912649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1126</v>
      </c>
      <c r="D409" s="23" t="s">
        <v>1128</v>
      </c>
      <c r="E409" s="23" t="s">
        <v>1127</v>
      </c>
      <c r="F409" s="15" t="s">
        <v>1138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12.751370816857559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1032</v>
      </c>
      <c r="D410" s="23" t="s">
        <v>1033</v>
      </c>
      <c r="E410" s="23" t="s">
        <v>1034</v>
      </c>
      <c r="F410" s="2" t="s">
        <v>516</v>
      </c>
      <c r="G410" s="23" t="s">
        <v>517</v>
      </c>
      <c r="N410" s="1" t="s">
        <v>1497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0.74134361839098839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744</v>
      </c>
      <c r="D411" s="23" t="s">
        <v>746</v>
      </c>
      <c r="E411" s="23" t="s">
        <v>747</v>
      </c>
      <c r="F411" s="15" t="s">
        <v>748</v>
      </c>
      <c r="G411" s="23" t="s">
        <v>745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0.79413115773090104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812</v>
      </c>
      <c r="D412" s="23" t="s">
        <v>814</v>
      </c>
      <c r="E412" s="23" t="s">
        <v>813</v>
      </c>
      <c r="F412" s="2" t="s">
        <v>810</v>
      </c>
      <c r="G412" s="23" t="s">
        <v>811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40.562576297719055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1093</v>
      </c>
      <c r="D413" s="23" t="s">
        <v>1094</v>
      </c>
      <c r="E413" s="23" t="s">
        <v>1095</v>
      </c>
      <c r="F413" s="15" t="s">
        <v>1061</v>
      </c>
      <c r="G413" s="23" t="s">
        <v>1062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8.1041464526555131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975</v>
      </c>
      <c r="D414" s="23" t="s">
        <v>976</v>
      </c>
      <c r="E414" s="23" t="s">
        <v>988</v>
      </c>
      <c r="F414" s="2" t="s">
        <v>568</v>
      </c>
      <c r="G414" s="23" t="s">
        <v>569</v>
      </c>
      <c r="N414" s="1" t="s">
        <v>1497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10.755731638165969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629</v>
      </c>
      <c r="D415" s="23" t="s">
        <v>630</v>
      </c>
      <c r="E415" s="23" t="s">
        <v>631</v>
      </c>
      <c r="F415" s="2" t="s">
        <v>632</v>
      </c>
      <c r="G415" s="23" t="s">
        <v>633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0.13909583639824219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775</v>
      </c>
      <c r="D416" s="23" t="s">
        <v>776</v>
      </c>
      <c r="E416" s="23" t="s">
        <v>777</v>
      </c>
      <c r="F416" s="15" t="s">
        <v>774</v>
      </c>
      <c r="G416" s="23" t="str">
        <f>テーブル1[[#This Row],[名前]]&amp;"(UTAU)"</f>
        <v>螺婆(UTAU)</v>
      </c>
      <c r="N416" s="1" t="s">
        <v>1497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9.8156241443265717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787</v>
      </c>
      <c r="D417" s="23" t="s">
        <v>788</v>
      </c>
      <c r="E417" s="23" t="s">
        <v>789</v>
      </c>
      <c r="F417" s="15" t="s">
        <v>774</v>
      </c>
      <c r="G417" s="23" t="str">
        <f>テーブル1[[#This Row],[名前]]&amp;"(UTAU)"</f>
        <v>ラリマー(UTAU)</v>
      </c>
      <c r="N417" s="1" t="s">
        <v>1497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9.7010135176171683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1087</v>
      </c>
      <c r="D418" s="23" t="s">
        <v>1088</v>
      </c>
      <c r="E418" s="23" t="s">
        <v>1087</v>
      </c>
      <c r="F418" s="15" t="s">
        <v>1061</v>
      </c>
      <c r="G418" s="23" t="s">
        <v>1062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7.4220188142954919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1078</v>
      </c>
      <c r="D419" s="23" t="s">
        <v>1079</v>
      </c>
      <c r="E419" s="23" t="s">
        <v>1080</v>
      </c>
      <c r="F419" s="15" t="s">
        <v>1061</v>
      </c>
      <c r="G419" s="23" t="s">
        <v>1062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7.5546430132921705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837</v>
      </c>
      <c r="D420" s="23" t="s">
        <v>838</v>
      </c>
      <c r="E420" s="23" t="s">
        <v>839</v>
      </c>
      <c r="F420" s="2" t="s">
        <v>829</v>
      </c>
      <c r="G420" s="23" t="s">
        <v>830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12.661603130408141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606</v>
      </c>
      <c r="D421" s="23" t="s">
        <v>607</v>
      </c>
      <c r="E421" s="23" t="s">
        <v>608</v>
      </c>
      <c r="F421" s="2" t="s">
        <v>198</v>
      </c>
      <c r="G421" s="23" t="s">
        <v>199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67.4290506659936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782</v>
      </c>
      <c r="D422" s="24" t="s">
        <v>782</v>
      </c>
      <c r="E422" s="23" t="s">
        <v>783</v>
      </c>
      <c r="F422" s="15" t="s">
        <v>774</v>
      </c>
      <c r="G422" s="23" t="str">
        <f>テーブル1[[#This Row],[名前]]&amp;"(UTAU)"</f>
        <v>りせとたん(UTAU)</v>
      </c>
      <c r="N422" s="1" t="s">
        <v>1497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9.698860047951797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1118</v>
      </c>
      <c r="D423" s="24" t="s">
        <v>1118</v>
      </c>
      <c r="E423" s="23" t="s">
        <v>1119</v>
      </c>
      <c r="F423" s="15" t="s">
        <v>1138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12.607278474303341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1318</v>
      </c>
      <c r="D424" s="23" t="s">
        <v>1321</v>
      </c>
      <c r="E424" s="23" t="s">
        <v>1320</v>
      </c>
      <c r="F424" s="15" t="s">
        <v>1319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0.45767829068450694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784</v>
      </c>
      <c r="D425" s="23" t="s">
        <v>785</v>
      </c>
      <c r="E425" s="23" t="s">
        <v>786</v>
      </c>
      <c r="F425" s="15" t="s">
        <v>774</v>
      </c>
      <c r="G425" s="23" t="str">
        <f>テーブル1[[#This Row],[名前]]&amp;"(UTAU)"</f>
        <v>ルート(UTAU)</v>
      </c>
      <c r="N425" s="1" t="s">
        <v>1497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9.5447300676878921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799</v>
      </c>
      <c r="D426" s="23" t="s">
        <v>800</v>
      </c>
      <c r="E426" s="23" t="s">
        <v>799</v>
      </c>
      <c r="F426" s="15" t="s">
        <v>774</v>
      </c>
      <c r="G426" s="23" t="str">
        <f>テーブル1[[#This Row],[名前]]&amp;"(UTAU)"</f>
        <v>Wraith(UTAU)</v>
      </c>
      <c r="N426" s="1" t="s">
        <v>1497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9.1415396279448107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1115</v>
      </c>
      <c r="D427" s="23" t="s">
        <v>1116</v>
      </c>
      <c r="E427" s="23" t="s">
        <v>1117</v>
      </c>
      <c r="F427" s="15" t="s">
        <v>1138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13.098780297237653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960</v>
      </c>
      <c r="D428" s="23" t="s">
        <v>961</v>
      </c>
      <c r="E428" s="23" t="s">
        <v>965</v>
      </c>
      <c r="F428" s="2" t="s">
        <v>1663</v>
      </c>
      <c r="G428" s="23" t="str">
        <f>テーブル1[[#This Row],[名前]]&amp;"(UTAU)"</f>
        <v>レフア・アパパネ(UTAU)</v>
      </c>
      <c r="H428" s="23" t="s">
        <v>1606</v>
      </c>
      <c r="I428" s="23" t="s">
        <v>1851</v>
      </c>
      <c r="M428" s="23" t="s">
        <v>1852</v>
      </c>
      <c r="N428" s="1" t="s">
        <v>1498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17.384433257037038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996</v>
      </c>
      <c r="D429" s="23" t="s">
        <v>998</v>
      </c>
      <c r="E429" s="23" t="s">
        <v>997</v>
      </c>
      <c r="F429" s="2" t="s">
        <v>568</v>
      </c>
      <c r="G429" s="23" t="s">
        <v>569</v>
      </c>
      <c r="N429" s="1" t="s">
        <v>1497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10.255740898251645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880</v>
      </c>
      <c r="D430" s="23" t="s">
        <v>881</v>
      </c>
      <c r="E430" s="23" t="s">
        <v>882</v>
      </c>
      <c r="F430" s="2" t="s">
        <v>883</v>
      </c>
      <c r="G430" s="23" t="s">
        <v>884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7.475548040495128E-2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1209</v>
      </c>
      <c r="D431" s="23" t="s">
        <v>1231</v>
      </c>
      <c r="E431" s="23" t="s">
        <v>1230</v>
      </c>
      <c r="F431" s="15" t="s">
        <v>335</v>
      </c>
      <c r="G431" s="23" t="s">
        <v>336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12.657695444520924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872</v>
      </c>
      <c r="D432" s="23" t="s">
        <v>873</v>
      </c>
      <c r="E432" s="23" t="s">
        <v>872</v>
      </c>
      <c r="F432" s="2" t="s">
        <v>874</v>
      </c>
      <c r="G432" s="23" t="s">
        <v>875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0.77781000275378087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877</v>
      </c>
      <c r="D433" s="23" t="s">
        <v>878</v>
      </c>
      <c r="E433" s="23" t="s">
        <v>879</v>
      </c>
      <c r="F433" s="2" t="s">
        <v>876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0.72585272921707189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1535</v>
      </c>
      <c r="D434" s="23" t="s">
        <v>1536</v>
      </c>
      <c r="E434" s="23" t="s">
        <v>1537</v>
      </c>
      <c r="F434" s="2" t="s">
        <v>211</v>
      </c>
      <c r="G434" s="23" t="s">
        <v>212</v>
      </c>
      <c r="N434" s="1" t="s">
        <v>1497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20.940374333115599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1538</v>
      </c>
      <c r="D435" s="23" t="s">
        <v>1539</v>
      </c>
      <c r="E435" s="23" t="s">
        <v>1540</v>
      </c>
      <c r="F435" s="2" t="s">
        <v>211</v>
      </c>
      <c r="G435" s="23" t="s">
        <v>212</v>
      </c>
      <c r="N435" s="1" t="s">
        <v>1497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20.358168624106135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1541</v>
      </c>
      <c r="D436" s="23" t="s">
        <v>1542</v>
      </c>
      <c r="E436" s="23" t="s">
        <v>1543</v>
      </c>
      <c r="F436" s="2" t="s">
        <v>211</v>
      </c>
      <c r="G436" s="23" t="s">
        <v>212</v>
      </c>
      <c r="N436" s="1" t="s">
        <v>1497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20.589591502369764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1547</v>
      </c>
      <c r="D437" s="23" t="s">
        <v>1549</v>
      </c>
      <c r="E437" s="23" t="s">
        <v>1548</v>
      </c>
      <c r="F437" s="2" t="s">
        <v>211</v>
      </c>
      <c r="G437" s="23" t="s">
        <v>212</v>
      </c>
      <c r="N437" s="1" t="s">
        <v>1497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20.712777546441803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1550</v>
      </c>
      <c r="D438" s="23" t="s">
        <v>1550</v>
      </c>
      <c r="E438" s="23" t="s">
        <v>1551</v>
      </c>
      <c r="F438" s="2" t="s">
        <v>211</v>
      </c>
      <c r="G438" s="23" t="s">
        <v>212</v>
      </c>
      <c r="N438" s="1" t="s">
        <v>1497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20.625281410765499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1552</v>
      </c>
      <c r="D439" s="23" t="s">
        <v>1553</v>
      </c>
      <c r="E439" s="23" t="s">
        <v>1554</v>
      </c>
      <c r="F439" s="2" t="s">
        <v>211</v>
      </c>
      <c r="G439" s="23" t="s">
        <v>212</v>
      </c>
      <c r="N439" s="1" t="s">
        <v>1497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20.505047057226918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1686</v>
      </c>
      <c r="D440" s="23" t="s">
        <v>1687</v>
      </c>
      <c r="E440" s="23" t="s">
        <v>1685</v>
      </c>
      <c r="F440" s="29" t="s">
        <v>1674</v>
      </c>
      <c r="G440" s="23" t="s">
        <v>1675</v>
      </c>
      <c r="H440" s="23" t="s">
        <v>1606</v>
      </c>
      <c r="I440" s="23" t="s">
        <v>1624</v>
      </c>
      <c r="K440" s="23" t="s">
        <v>1689</v>
      </c>
      <c r="L440" s="23" t="s">
        <v>1853</v>
      </c>
      <c r="M440" s="23" t="s">
        <v>1688</v>
      </c>
      <c r="N440" s="1" t="s">
        <v>1569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34.117258405580301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1690</v>
      </c>
      <c r="D441" s="23" t="s">
        <v>1691</v>
      </c>
      <c r="E441" s="23" t="s">
        <v>1692</v>
      </c>
      <c r="F441" s="29" t="s">
        <v>1674</v>
      </c>
      <c r="G441" s="23" t="s">
        <v>1675</v>
      </c>
      <c r="H441" s="23" t="s">
        <v>1607</v>
      </c>
      <c r="I441" s="23" t="s">
        <v>1624</v>
      </c>
      <c r="M441" s="23" t="s">
        <v>1688</v>
      </c>
      <c r="N441" s="1" t="s">
        <v>1569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33.339558434244474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1 K282 I2:I441" xr:uid="{C65A1E30-8F1A-43F7-95C8-9A27EB918408}">
      <formula1>種族タグ</formula1>
    </dataValidation>
    <dataValidation type="list" allowBlank="1" showInputMessage="1" sqref="K283:K290 K2:K281 K292:K438" xr:uid="{F4C1FC31-8189-42FE-9CDF-1184FF0909B9}">
      <formula1>職業タグ</formula1>
    </dataValidation>
    <dataValidation type="list" allowBlank="1" showInputMessage="1" sqref="K144 J2:J143 J145:J441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6" r:id="rId101" xr:uid="{C3D3CF9F-E4CC-411E-8E0D-50F5DC71D508}"/>
    <hyperlink ref="F194" r:id="rId102" xr:uid="{4ACC6E24-8E89-42B4-A2EA-E0269CD0E7C9}"/>
    <hyperlink ref="F274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8" r:id="rId110" xr:uid="{116CD3FB-9C92-4A1C-BB03-E4CAEA103C0D}"/>
    <hyperlink ref="F143" r:id="rId111" xr:uid="{1196818E-3BE0-43E2-8A04-FF0579441629}"/>
    <hyperlink ref="F385" r:id="rId112" xr:uid="{58B6A580-0338-48F0-86CD-607FDFF434A0}"/>
    <hyperlink ref="F148" r:id="rId113" xr:uid="{502D1FC9-3462-4765-9E5E-E7C3C3459F33}"/>
    <hyperlink ref="F138" r:id="rId114" xr:uid="{F9367E16-C882-47BD-BA28-B6D498EBBBDF}"/>
    <hyperlink ref="F322" r:id="rId115" display="https://tomatoshop.studio.site/" xr:uid="{F1379AF2-D6D2-4C4B-AD80-E409661B1C84}"/>
    <hyperlink ref="F400" r:id="rId116" display="https://tomatoshop.studio.site/" xr:uid="{EB1ACAC4-6B55-CE4E-845F-8F63227026F4}"/>
    <hyperlink ref="F283" r:id="rId117" xr:uid="{5082E534-D3FB-4DD6-9E0B-D6202BB3C49E}"/>
    <hyperlink ref="F153" r:id="rId118" xr:uid="{5827E670-CC22-4A19-80E9-0FAD13040207}"/>
    <hyperlink ref="F332" r:id="rId119" xr:uid="{C833F371-D2A9-46F5-BC52-0475DEE4D054}"/>
    <hyperlink ref="F246" r:id="rId120" xr:uid="{39F0C1C6-4251-47C8-A393-C731597D169A}"/>
    <hyperlink ref="F368" r:id="rId121" xr:uid="{91788672-1154-4E84-8074-7613BF830DB9}"/>
    <hyperlink ref="F131" r:id="rId122" xr:uid="{7324D0C3-0788-4576-AD24-8BECB1C99D92}"/>
    <hyperlink ref="F338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4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5" r:id="rId136" xr:uid="{EB75AD4B-8DFC-46FB-97EB-7B2637DE1D0C}"/>
    <hyperlink ref="F390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9" r:id="rId142" xr:uid="{84499711-CC79-43ED-B718-6C6BE45F3FC0}"/>
    <hyperlink ref="F344" r:id="rId143" xr:uid="{61000D28-7493-42E5-BC77-02DE0D21747A}"/>
    <hyperlink ref="F304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2" r:id="rId148" xr:uid="{DE5C4406-EEF1-4B50-881F-7A6158CB1B64}"/>
    <hyperlink ref="F181" r:id="rId149" xr:uid="{135CCDDC-FF90-4368-A48D-53FD458AB884}"/>
    <hyperlink ref="F356" r:id="rId150" xr:uid="{1F52AE30-FEB0-4221-954C-C1133AEA1B7F}"/>
    <hyperlink ref="F352" r:id="rId151" xr:uid="{108FCB77-E416-4909-8A95-B10BAADC9FAE}"/>
    <hyperlink ref="F374" r:id="rId152" xr:uid="{DDF6827E-91F8-47E9-9842-8EA7B80BB8A0}"/>
    <hyperlink ref="F307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6" r:id="rId157" xr:uid="{33F982BE-0C4C-400D-BC24-2656F5276987}"/>
    <hyperlink ref="F339" r:id="rId158" xr:uid="{CC7521BB-686A-4DEA-B0DC-B3F4D780F85B}"/>
    <hyperlink ref="F315:F318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6:F319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0" r:id="rId164" xr:uid="{99E57A08-6A5C-4D9F-9191-0039542D3206}"/>
    <hyperlink ref="F394" r:id="rId165" xr:uid="{E1CEA228-8C77-486A-B910-AEFCBD795530}"/>
    <hyperlink ref="F391" r:id="rId166" xr:uid="{88ED7A05-7F75-42BC-9149-69776D433A22}"/>
    <hyperlink ref="F290" r:id="rId167" xr:uid="{F557F50A-3623-410E-AA97-12031958EF4D}"/>
    <hyperlink ref="F376" r:id="rId168" xr:uid="{2F3C3A3A-8412-4739-8A39-2CFE67FB49D2}"/>
    <hyperlink ref="F263" r:id="rId169" xr:uid="{59B88970-3D81-4B8A-8D3A-F2FB4A2B17B6}"/>
    <hyperlink ref="F419" r:id="rId170" xr:uid="{C32DD582-9190-4FA2-9F64-74F89D888D62}"/>
    <hyperlink ref="F200" r:id="rId171" xr:uid="{BF5E860E-C594-4BB0-8BF4-0E67EAE670CD}"/>
    <hyperlink ref="F340" r:id="rId172" xr:uid="{EDC56426-2ACA-4319-8408-00A066EB817D}"/>
    <hyperlink ref="F418" r:id="rId173" xr:uid="{8F435601-5AB1-4ADA-90AA-512792B42251}"/>
    <hyperlink ref="F377" r:id="rId174" xr:uid="{8517E623-20BA-4069-AD3A-84013BBBBAD1}"/>
    <hyperlink ref="F395" r:id="rId175" xr:uid="{38311A5D-2B7F-4FD7-922C-A7FD8669B754}"/>
    <hyperlink ref="F413" r:id="rId176" xr:uid="{07B25198-3B29-49D1-9427-E2AAB904B699}"/>
    <hyperlink ref="F267" r:id="rId177" xr:uid="{FACF30D1-8C5E-4592-AC56-BFE9A442CEDA}"/>
    <hyperlink ref="F314" r:id="rId178" xr:uid="{588BB4ED-975C-42FE-B3DD-0706E484E363}"/>
    <hyperlink ref="F427" r:id="rId179" xr:uid="{A224B14E-4E21-40D9-A9B2-44FAE06CED83}"/>
    <hyperlink ref="F423" r:id="rId180" xr:uid="{4BD38BD0-8329-429C-99FC-F268CFED277B}"/>
    <hyperlink ref="F261" r:id="rId181" xr:uid="{EF57E4E8-543C-48C8-AB9E-3C233C9BAB54}"/>
    <hyperlink ref="F166" r:id="rId182" xr:uid="{5084134B-5F22-463F-A65C-BF93696D01E8}"/>
    <hyperlink ref="F409" r:id="rId183" xr:uid="{EB9DE3C8-97D0-4690-9E66-01224578F796}"/>
    <hyperlink ref="F353" r:id="rId184" xr:uid="{C03CF168-3C12-4677-8D7D-D59C01692FEF}"/>
    <hyperlink ref="F381" r:id="rId185" xr:uid="{7A00AA44-57D4-410C-84F7-1385CDDA71DE}"/>
    <hyperlink ref="F393" r:id="rId186" xr:uid="{8DEE7DC5-9DB1-49C8-84FF-8A51F9DF7C3A}"/>
    <hyperlink ref="F266" r:id="rId187" xr:uid="{CE4B5F9C-D4D2-4B30-9416-9974FFDEE0C6}"/>
    <hyperlink ref="F405" r:id="rId188" xr:uid="{158728FC-10D8-4A2D-B157-C40940B593D5}"/>
    <hyperlink ref="F265" r:id="rId189" xr:uid="{713B80A6-6830-4723-86EB-485F0B14F3BE}"/>
    <hyperlink ref="F404" r:id="rId190" xr:uid="{E9FADB5C-F3CC-4A44-8E62-432C3765C720}"/>
    <hyperlink ref="F311" r:id="rId191" xr:uid="{B0E1FB6A-6A48-4A0C-A5C1-58282A83CCE5}"/>
    <hyperlink ref="F312" r:id="rId192" xr:uid="{08A2C2CD-A2B4-4404-9054-9C64105E1DF7}"/>
    <hyperlink ref="F135" r:id="rId193" xr:uid="{4E21A862-7310-4927-A746-53535E255C32}"/>
    <hyperlink ref="F249" r:id="rId194" xr:uid="{3FEE91EB-76C5-4DD7-88A7-D57FE2F9F4A1}"/>
    <hyperlink ref="F293" r:id="rId195" xr:uid="{4C693679-C540-48A7-88F4-0E6736D68F2C}"/>
    <hyperlink ref="F310" r:id="rId196" xr:uid="{54E1A8BB-5776-44B6-B3CA-D8EF1A8F2020}"/>
    <hyperlink ref="F318" r:id="rId197" xr:uid="{1B1314E4-1274-4A5E-9BE2-DB7789797D9C}"/>
    <hyperlink ref="F359" r:id="rId198" xr:uid="{2DAA7CE0-E4BA-4F19-887B-26C8B1316046}"/>
    <hyperlink ref="F386" r:id="rId199" xr:uid="{69AC5F84-890C-4FC1-870F-17CB8F3B6C2E}"/>
    <hyperlink ref="F190" r:id="rId200" xr:uid="{6289F76C-A975-44BE-A9EB-AD05A06F4776}"/>
    <hyperlink ref="F273" r:id="rId201" xr:uid="{858EA392-9022-4160-AE1B-7C9A7235CF14}"/>
    <hyperlink ref="F366:F377" r:id="rId202" display="https://torinosu-hikikomori.jimdofree.com" xr:uid="{EA72453A-7C3F-498F-A120-3DE74486B8A6}"/>
    <hyperlink ref="F316" r:id="rId203" xr:uid="{2A905E16-7603-4181-9A8A-FD5324BD1A7F}"/>
    <hyperlink ref="F315" r:id="rId204" xr:uid="{F9B728A5-15CD-4AE9-9498-C0D347404918}"/>
    <hyperlink ref="F301" r:id="rId205" xr:uid="{3AA028FB-D0FD-40D9-BC8E-D27ABCDB92DE}"/>
    <hyperlink ref="F383:F388" r:id="rId206" display="https://lenskkpb.wixsite.com/len-sakaki-official" xr:uid="{41C75B9A-AFDD-477A-8469-442C83BF1C20}"/>
    <hyperlink ref="F366" r:id="rId207" xr:uid="{E9347EA9-21EB-42D4-987F-5D163371BCA6}"/>
    <hyperlink ref="F164" r:id="rId208" xr:uid="{6709143C-EC1C-4E22-8A6B-914136721DDA}"/>
    <hyperlink ref="F305" r:id="rId209" xr:uid="{5617C910-A310-4A17-8AA4-316F310847BF}"/>
    <hyperlink ref="F306" r:id="rId210" xr:uid="{2589C453-99E6-4E36-AED1-DD20CA59EAAD}"/>
    <hyperlink ref="F327" r:id="rId211" xr:uid="{E966FEFA-2086-4F71-A220-A242A6E77068}"/>
    <hyperlink ref="F348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81" r:id="rId218" xr:uid="{AAACC18E-768A-40FC-9A76-393385BDE8AA}"/>
    <hyperlink ref="F43:F47" r:id="rId219" display="https://ameutaulii.wixsite.com/telepathycapsule" xr:uid="{9D76E74C-8DF7-4F45-8589-E0807CE20677}"/>
    <hyperlink ref="F329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4:F255" r:id="rId229" display="https://mareffys.wixsite.com/lalo" xr:uid="{8C282279-8B31-4071-A77D-D009CFC236C3}"/>
    <hyperlink ref="F259:F265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8" r:id="rId237" xr:uid="{BFCF7012-69F3-45C3-AFE9-F0277A62BBD8}"/>
    <hyperlink ref="F392" r:id="rId238" xr:uid="{BE1C263B-30C3-4388-A077-E2B849D62EEC}"/>
    <hyperlink ref="F277" r:id="rId239" xr:uid="{448506F7-A154-4559-9940-71967815FB44}"/>
    <hyperlink ref="F363" r:id="rId240" xr:uid="{9618126B-6DF1-426D-B0BA-26AFDCA9177D}"/>
    <hyperlink ref="F397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8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5" r:id="rId291" xr:uid="{1A5935A5-F197-4EB4-98D4-7456DD9263CB}"/>
    <hyperlink ref="F294" r:id="rId292" xr:uid="{1FDC25C5-4137-4D42-AD91-0378F9F9E3CB}"/>
    <hyperlink ref="F303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8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7" r:id="rId306" xr:uid="{DC16D278-CEBD-45DF-8AE7-ACAF6E2B9F6F}"/>
    <hyperlink ref="F357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</hyperlinks>
  <pageMargins left="0.7" right="0.7" top="0.75" bottom="0.75" header="0.3" footer="0.3"/>
  <tableParts count="1">
    <tablePart r:id="rId3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283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音通コウジ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https://bowlroll.net/user/253605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 t="e">
        <f ca="1">MATCH(C12,キャラ情報!C:C,0)</f>
        <v>#N/A</v>
      </c>
    </row>
    <row r="12" spans="2:3" ht="30" customHeight="1" x14ac:dyDescent="0.35">
      <c r="B12" s="4" t="s">
        <v>711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No.237｜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7"/>
  <sheetViews>
    <sheetView topLeftCell="A223" workbookViewId="0">
      <selection activeCell="M234" sqref="M234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/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/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32">
        <f>テーブル1[[#This Row],[番号]]</f>
        <v>236</v>
      </c>
      <c r="B237" s="32" t="str">
        <f>テーブル1[[#This Row],[名前]]</f>
        <v>六弦エレキ</v>
      </c>
      <c r="C237" s="32" t="str">
        <f>テーブル1[[#This Row],[なまえ]]</f>
        <v>むげん えれき</v>
      </c>
      <c r="D237" s="32" t="str">
        <f>テーブル1[[#This Row],[Name]]</f>
        <v>Mugen Elec</v>
      </c>
      <c r="E237" s="32" t="str">
        <f>"image/"&amp;テーブル1[[#This Row],[画像]]&amp;".png"</f>
        <v>image/mugen-elec.png</v>
      </c>
      <c r="F237" s="32" t="str">
        <f>テーブル1[[#This Row],[リンク]]</f>
        <v>https://lenskkpb.wixsite.com/len-sakaki-official</v>
      </c>
      <c r="G237" s="32" t="str">
        <f>SUBSTITUTE(テーブル1[[#This Row],[作品タグ]]," ","|")</f>
        <v>#廻音怪譚</v>
      </c>
      <c r="H237" s="32" t="str">
        <f>テーブル1[[#This Row],[性別]]&amp;""</f>
        <v>無性別</v>
      </c>
      <c r="I237" s="32" t="str">
        <f>SUBSTITUTE(テーブル1[[#This Row],[種族タグ]],"、","|")</f>
        <v>神</v>
      </c>
      <c r="J237" s="32" t="str">
        <f>SUBSTITUTE(テーブル1[[#This Row],[モチーフタグ]],"、","|")</f>
        <v>ギター</v>
      </c>
      <c r="K237" s="32" t="str">
        <f>SUBSTITUTE(テーブル1[[#This Row],[職業タグ]],"、","|")</f>
        <v/>
      </c>
      <c r="L237" s="32" t="str">
        <f>SUBSTITUTE(テーブル1[[#This Row],[小物タグ]],"、","|")</f>
        <v>耳標</v>
      </c>
      <c r="M237" s="32" t="str">
        <f>SUBSTITUTE(テーブル1[[#This Row],[ワンポイントタグ]],"、","|")</f>
        <v>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2026-06-20T14:32:50Z</dcterms:modified>
  <cp:category/>
  <cp:contentStatus/>
</cp:coreProperties>
</file>