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58124499-156D-4097-9196-84535C4F6DF0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9" i="9" l="1"/>
  <c r="A231" i="9"/>
  <c r="B231" i="9"/>
  <c r="C231" i="9"/>
  <c r="D231" i="9"/>
  <c r="F231" i="9"/>
  <c r="H231" i="9"/>
  <c r="I231" i="9"/>
  <c r="J231" i="9"/>
  <c r="K231" i="9"/>
  <c r="L231" i="9"/>
  <c r="B231" i="1"/>
  <c r="O231" i="1"/>
  <c r="S231" i="1"/>
  <c r="T231" i="1"/>
  <c r="U231" i="1"/>
  <c r="V231" i="1"/>
  <c r="W231" i="1"/>
  <c r="X231" i="1"/>
  <c r="A230" i="9"/>
  <c r="B230" i="9"/>
  <c r="C230" i="9"/>
  <c r="D230" i="9"/>
  <c r="F230" i="9"/>
  <c r="G230" i="9"/>
  <c r="H230" i="9"/>
  <c r="I230" i="9"/>
  <c r="J230" i="9"/>
  <c r="K230" i="9"/>
  <c r="L230" i="9"/>
  <c r="B232" i="1"/>
  <c r="O232" i="1"/>
  <c r="S232" i="1"/>
  <c r="U232" i="1"/>
  <c r="V232" i="1"/>
  <c r="W232" i="1"/>
  <c r="X232" i="1"/>
  <c r="B230" i="1"/>
  <c r="O230" i="1"/>
  <c r="S230" i="1"/>
  <c r="U230" i="1"/>
  <c r="V230" i="1"/>
  <c r="W230" i="1"/>
  <c r="X230" i="1"/>
  <c r="B439" i="1"/>
  <c r="O439" i="1"/>
  <c r="S439" i="1"/>
  <c r="U439" i="1"/>
  <c r="V439" i="1"/>
  <c r="W439" i="1"/>
  <c r="X439" i="1"/>
  <c r="B438" i="1"/>
  <c r="O438" i="1"/>
  <c r="S438" i="1"/>
  <c r="U438" i="1"/>
  <c r="V438" i="1"/>
  <c r="W438" i="1"/>
  <c r="X438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J228" i="9"/>
  <c r="J229" i="9"/>
  <c r="K228" i="9"/>
  <c r="K229" i="9"/>
  <c r="L228" i="9"/>
  <c r="L229" i="9"/>
  <c r="B229" i="1"/>
  <c r="O229" i="1"/>
  <c r="S229" i="1"/>
  <c r="U229" i="1"/>
  <c r="V229" i="1"/>
  <c r="W229" i="1"/>
  <c r="X229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G2" i="9"/>
  <c r="B228" i="1"/>
  <c r="O228" i="1"/>
  <c r="S228" i="1"/>
  <c r="U228" i="1"/>
  <c r="V228" i="1"/>
  <c r="W228" i="1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7" i="9"/>
  <c r="G28" i="9"/>
  <c r="G29" i="9"/>
  <c r="G30" i="9"/>
  <c r="G31" i="9"/>
  <c r="G32" i="9"/>
  <c r="G33" i="9"/>
  <c r="G36" i="9"/>
  <c r="G37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3" i="9"/>
  <c r="G74" i="9"/>
  <c r="G75" i="9"/>
  <c r="G78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O227" i="1"/>
  <c r="S227" i="1"/>
  <c r="U227" i="1"/>
  <c r="V227" i="1"/>
  <c r="W227" i="1"/>
  <c r="G431" i="1"/>
  <c r="G426" i="1"/>
  <c r="G425" i="1"/>
  <c r="G424" i="1"/>
  <c r="G423" i="1"/>
  <c r="G422" i="1"/>
  <c r="G421" i="1"/>
  <c r="G420" i="1"/>
  <c r="G415" i="1"/>
  <c r="G414" i="1"/>
  <c r="G407" i="1"/>
  <c r="G401" i="1"/>
  <c r="G399" i="1"/>
  <c r="G398" i="1"/>
  <c r="G397" i="1"/>
  <c r="G390" i="1"/>
  <c r="G386" i="1"/>
  <c r="G381" i="1"/>
  <c r="G378" i="1"/>
  <c r="G358" i="1"/>
  <c r="G355" i="1"/>
  <c r="G354" i="1"/>
  <c r="G349" i="1"/>
  <c r="G338" i="1"/>
  <c r="G332" i="1"/>
  <c r="G325" i="1"/>
  <c r="G324" i="1"/>
  <c r="G319" i="1"/>
  <c r="G318" i="1"/>
  <c r="G317" i="1"/>
  <c r="G316" i="1"/>
  <c r="G315" i="1"/>
  <c r="G314" i="1"/>
  <c r="G309" i="1"/>
  <c r="G308" i="1"/>
  <c r="G281" i="1"/>
  <c r="G279" i="1"/>
  <c r="G256" i="1"/>
  <c r="O226" i="1"/>
  <c r="S226" i="1"/>
  <c r="U226" i="1"/>
  <c r="V226" i="1"/>
  <c r="W226" i="1"/>
  <c r="O225" i="1"/>
  <c r="S225" i="1"/>
  <c r="U225" i="1"/>
  <c r="V225" i="1"/>
  <c r="W225" i="1"/>
  <c r="O224" i="1"/>
  <c r="S224" i="1"/>
  <c r="U224" i="1"/>
  <c r="V224" i="1"/>
  <c r="W224" i="1"/>
  <c r="O223" i="1"/>
  <c r="S223" i="1"/>
  <c r="U223" i="1"/>
  <c r="V223" i="1"/>
  <c r="W223" i="1"/>
  <c r="O222" i="1"/>
  <c r="S222" i="1"/>
  <c r="U222" i="1"/>
  <c r="V222" i="1"/>
  <c r="W222" i="1"/>
  <c r="O221" i="1"/>
  <c r="S221" i="1"/>
  <c r="U221" i="1"/>
  <c r="V221" i="1"/>
  <c r="W221" i="1"/>
  <c r="O233" i="1"/>
  <c r="O234" i="1"/>
  <c r="S233" i="1"/>
  <c r="S234" i="1"/>
  <c r="U233" i="1"/>
  <c r="U234" i="1"/>
  <c r="V233" i="1"/>
  <c r="V234" i="1"/>
  <c r="W233" i="1"/>
  <c r="W234" i="1"/>
  <c r="O220" i="1"/>
  <c r="S220" i="1"/>
  <c r="U220" i="1"/>
  <c r="V220" i="1"/>
  <c r="W220" i="1"/>
  <c r="O437" i="1"/>
  <c r="S437" i="1"/>
  <c r="U437" i="1"/>
  <c r="V437" i="1"/>
  <c r="W437" i="1"/>
  <c r="O436" i="1"/>
  <c r="S436" i="1"/>
  <c r="U436" i="1"/>
  <c r="V436" i="1"/>
  <c r="W436" i="1"/>
  <c r="O435" i="1"/>
  <c r="S435" i="1"/>
  <c r="U435" i="1"/>
  <c r="V435" i="1"/>
  <c r="W435" i="1"/>
  <c r="O219" i="1"/>
  <c r="S219" i="1"/>
  <c r="U219" i="1"/>
  <c r="V219" i="1"/>
  <c r="W219" i="1"/>
  <c r="O434" i="1"/>
  <c r="S434" i="1"/>
  <c r="U434" i="1"/>
  <c r="V434" i="1"/>
  <c r="W434" i="1"/>
  <c r="O433" i="1"/>
  <c r="S433" i="1"/>
  <c r="U433" i="1"/>
  <c r="V433" i="1"/>
  <c r="W433" i="1"/>
  <c r="O432" i="1"/>
  <c r="S432" i="1"/>
  <c r="U432" i="1"/>
  <c r="V432" i="1"/>
  <c r="W432" i="1"/>
  <c r="U137" i="1"/>
  <c r="U199" i="1"/>
  <c r="U2" i="1"/>
  <c r="U201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197" i="1"/>
  <c r="U115" i="1"/>
  <c r="U143" i="1"/>
  <c r="U131" i="1"/>
  <c r="U12" i="1"/>
  <c r="U13" i="1"/>
  <c r="U146" i="1"/>
  <c r="U144" i="1"/>
  <c r="U14" i="1"/>
  <c r="U15" i="1"/>
  <c r="U162" i="1"/>
  <c r="U16" i="1"/>
  <c r="U211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213" i="1"/>
  <c r="U49" i="1"/>
  <c r="U50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212" i="1"/>
  <c r="U190" i="1"/>
  <c r="U70" i="1"/>
  <c r="U71" i="1"/>
  <c r="U72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173" i="1"/>
  <c r="U87" i="1"/>
  <c r="U192" i="1"/>
  <c r="U88" i="1"/>
  <c r="U120" i="1"/>
  <c r="U214" i="1"/>
  <c r="U188" i="1"/>
  <c r="U89" i="1"/>
  <c r="U171" i="1"/>
  <c r="U121" i="1"/>
  <c r="U163" i="1"/>
  <c r="U90" i="1"/>
  <c r="U91" i="1"/>
  <c r="U92" i="1"/>
  <c r="U93" i="1"/>
  <c r="U94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101" i="1"/>
  <c r="U177" i="1"/>
  <c r="U102" i="1"/>
  <c r="U168" i="1"/>
  <c r="U180" i="1"/>
  <c r="U103" i="1"/>
  <c r="U104" i="1"/>
  <c r="U134" i="1"/>
  <c r="U105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U218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O218" i="1"/>
  <c r="S218" i="1"/>
  <c r="O217" i="1"/>
  <c r="S217" i="1"/>
  <c r="O215" i="1"/>
  <c r="S215" i="1"/>
  <c r="O214" i="1"/>
  <c r="S214" i="1"/>
  <c r="O213" i="1"/>
  <c r="S213" i="1"/>
  <c r="O212" i="1"/>
  <c r="S212" i="1"/>
  <c r="O211" i="1"/>
  <c r="S211" i="1"/>
  <c r="B17" i="6"/>
  <c r="O202" i="1"/>
  <c r="S202" i="1"/>
  <c r="O205" i="1"/>
  <c r="S205" i="1"/>
  <c r="O210" i="1"/>
  <c r="S210" i="1"/>
  <c r="O203" i="1"/>
  <c r="S203" i="1"/>
  <c r="O207" i="1"/>
  <c r="S207" i="1"/>
  <c r="O208" i="1"/>
  <c r="S208" i="1"/>
  <c r="O394" i="1"/>
  <c r="S394" i="1"/>
  <c r="O359" i="1"/>
  <c r="S359" i="1"/>
  <c r="O272" i="1"/>
  <c r="S272" i="1"/>
  <c r="O389" i="1"/>
  <c r="S389" i="1"/>
  <c r="O293" i="1"/>
  <c r="S293" i="1"/>
  <c r="O204" i="1"/>
  <c r="S204" i="1"/>
  <c r="O183" i="1"/>
  <c r="S183" i="1"/>
  <c r="O206" i="1"/>
  <c r="S206" i="1"/>
  <c r="O165" i="1"/>
  <c r="S165" i="1"/>
  <c r="O150" i="1"/>
  <c r="S150" i="1"/>
  <c r="O177" i="1"/>
  <c r="S177" i="1"/>
  <c r="O360" i="1"/>
  <c r="S360" i="1"/>
  <c r="O238" i="1"/>
  <c r="S238" i="1"/>
  <c r="O396" i="1"/>
  <c r="S396" i="1"/>
  <c r="O369" i="1"/>
  <c r="S369" i="1"/>
  <c r="O363" i="1"/>
  <c r="S363" i="1"/>
  <c r="O326" i="1"/>
  <c r="S326" i="1"/>
  <c r="O327" i="1"/>
  <c r="S327" i="1"/>
  <c r="O188" i="1"/>
  <c r="S188" i="1"/>
  <c r="O174" i="1"/>
  <c r="S174" i="1"/>
  <c r="G263" i="1"/>
  <c r="Q13" i="1"/>
  <c r="Q17" i="1"/>
  <c r="Q18" i="1"/>
  <c r="Q86" i="1"/>
  <c r="Q106" i="1"/>
  <c r="Q95" i="1"/>
  <c r="Q96" i="1"/>
  <c r="Q40" i="1"/>
  <c r="Q61" i="1"/>
  <c r="Q80" i="1"/>
  <c r="Q94" i="1"/>
  <c r="Q199" i="1"/>
  <c r="Q78" i="1"/>
  <c r="Q89" i="1"/>
  <c r="Q147" i="1"/>
  <c r="Q139" i="1"/>
  <c r="Q184" i="1"/>
  <c r="Q19" i="1"/>
  <c r="Q75" i="1"/>
  <c r="Q155" i="1"/>
  <c r="Q58" i="1"/>
  <c r="Q59" i="1"/>
  <c r="Q69" i="1"/>
  <c r="Q114" i="1"/>
  <c r="Q118" i="1"/>
  <c r="Q120" i="1"/>
  <c r="Q123" i="1"/>
  <c r="Q128" i="1"/>
  <c r="Q129" i="1"/>
  <c r="Q209" i="1"/>
  <c r="Q189" i="1"/>
  <c r="Q193" i="1"/>
  <c r="Q140" i="1"/>
  <c r="Q195" i="1"/>
  <c r="Q161" i="1"/>
  <c r="Q198" i="1"/>
  <c r="Q145" i="1"/>
  <c r="Q186" i="1"/>
  <c r="Q178" i="1"/>
  <c r="Q152" i="1"/>
  <c r="Q115" i="1"/>
  <c r="Q141" i="1"/>
  <c r="Q143" i="1"/>
  <c r="Q28" i="1"/>
  <c r="Q34" i="1"/>
  <c r="Q144" i="1"/>
  <c r="Q175" i="1"/>
  <c r="Q157" i="1"/>
  <c r="Q185" i="1"/>
  <c r="Q22" i="1"/>
  <c r="Q112" i="1"/>
  <c r="Q54" i="1"/>
  <c r="Q103" i="1"/>
  <c r="Q64" i="1"/>
  <c r="Q44" i="1"/>
  <c r="Q66" i="1"/>
  <c r="Q4" i="1"/>
  <c r="Q113" i="1"/>
  <c r="Q117" i="1"/>
  <c r="Q171" i="1"/>
  <c r="Q119" i="1"/>
  <c r="Q159" i="1"/>
  <c r="Q191" i="1"/>
  <c r="Q46" i="1"/>
  <c r="Q93" i="1"/>
  <c r="Q37" i="1"/>
  <c r="Q16" i="1"/>
  <c r="Q65" i="1"/>
  <c r="Q11" i="1"/>
  <c r="Q148" i="1"/>
  <c r="Q138" i="1"/>
  <c r="Q26" i="1"/>
  <c r="Q27" i="1"/>
  <c r="Q201" i="1"/>
  <c r="Q153" i="1"/>
  <c r="Q146" i="1"/>
  <c r="Q29" i="1"/>
  <c r="Q30" i="1"/>
  <c r="Q130" i="1"/>
  <c r="Q156" i="1"/>
  <c r="Q43" i="1"/>
  <c r="Q55" i="1"/>
  <c r="Q110" i="1"/>
  <c r="Q20" i="1"/>
  <c r="Q21" i="1"/>
  <c r="Q41" i="1"/>
  <c r="Q7" i="1"/>
  <c r="Q131" i="1"/>
  <c r="Q23" i="1"/>
  <c r="Q42" i="1"/>
  <c r="Q63" i="1"/>
  <c r="Q74" i="1"/>
  <c r="Q85" i="1"/>
  <c r="Q3" i="1"/>
  <c r="Q50" i="1"/>
  <c r="Q192" i="1"/>
  <c r="Q180" i="1"/>
  <c r="Q81" i="1"/>
  <c r="Q154" i="1"/>
  <c r="Q108" i="1"/>
  <c r="Q125" i="1"/>
  <c r="Q197" i="1"/>
  <c r="Q121" i="1"/>
  <c r="Q196" i="1"/>
  <c r="Q5" i="1"/>
  <c r="Q127" i="1"/>
  <c r="Q57" i="1"/>
  <c r="Q2" i="1"/>
  <c r="Q25" i="1"/>
  <c r="Q102" i="1"/>
  <c r="Q194" i="1"/>
  <c r="Q47" i="1"/>
  <c r="Q68" i="1"/>
  <c r="Q173" i="1"/>
  <c r="Q169" i="1"/>
  <c r="Q105" i="1"/>
  <c r="Q124" i="1"/>
  <c r="Q134" i="1"/>
  <c r="Q49" i="1"/>
  <c r="Q116" i="1"/>
  <c r="Q163" i="1"/>
  <c r="Q38" i="1"/>
  <c r="Q48" i="1"/>
  <c r="Q53" i="1"/>
  <c r="Q97" i="1"/>
  <c r="Q107" i="1"/>
  <c r="Q33" i="1"/>
  <c r="Q36" i="1"/>
  <c r="Q82" i="1"/>
  <c r="Q91" i="1"/>
  <c r="Q92" i="1"/>
  <c r="Q158" i="1"/>
  <c r="Q60" i="1"/>
  <c r="Q132" i="1"/>
  <c r="Q135" i="1"/>
  <c r="Q167" i="1"/>
  <c r="Q62" i="1"/>
  <c r="Q79" i="1"/>
  <c r="Q10" i="1"/>
  <c r="Q8" i="1"/>
  <c r="Q24" i="1"/>
  <c r="Q32" i="1"/>
  <c r="Q76" i="1"/>
  <c r="Q87" i="1"/>
  <c r="Q88" i="1"/>
  <c r="Q109" i="1"/>
  <c r="Q187" i="1"/>
  <c r="Q56" i="1"/>
  <c r="Q126" i="1"/>
  <c r="Q136" i="1"/>
  <c r="Q172" i="1"/>
  <c r="Q142" i="1"/>
  <c r="Q14" i="1"/>
  <c r="Q39" i="1"/>
  <c r="Q72" i="1"/>
  <c r="Q73" i="1"/>
  <c r="Q133" i="1"/>
  <c r="Q137" i="1"/>
  <c r="Q83" i="1"/>
  <c r="Q84" i="1"/>
  <c r="Q162" i="1"/>
  <c r="Q6" i="1"/>
  <c r="Q15" i="1"/>
  <c r="Q12" i="1"/>
  <c r="Q104" i="1"/>
  <c r="Q52" i="1"/>
  <c r="Q111" i="1"/>
  <c r="Q90" i="1"/>
  <c r="Q31" i="1"/>
  <c r="Q35" i="1"/>
  <c r="Q9" i="1"/>
  <c r="Q101" i="1"/>
  <c r="Q45" i="1"/>
  <c r="Q99" i="1"/>
  <c r="Q100" i="1"/>
  <c r="Q51" i="1"/>
  <c r="Q70" i="1"/>
  <c r="Q77" i="1"/>
  <c r="Q160" i="1"/>
  <c r="Q179" i="1"/>
  <c r="Q98" i="1"/>
  <c r="Q166" i="1"/>
  <c r="Q67" i="1"/>
  <c r="Q71" i="1"/>
  <c r="Q122" i="1"/>
  <c r="Q151" i="1"/>
  <c r="O404" i="1"/>
  <c r="S404" i="1"/>
  <c r="O273" i="1"/>
  <c r="S273" i="1"/>
  <c r="O182" i="1"/>
  <c r="S182" i="1"/>
  <c r="O422" i="1"/>
  <c r="S422" i="1"/>
  <c r="O13" i="1"/>
  <c r="O17" i="1"/>
  <c r="O18" i="1"/>
  <c r="O86" i="1"/>
  <c r="O106" i="1"/>
  <c r="O351" i="1"/>
  <c r="O264" i="1"/>
  <c r="O319" i="1"/>
  <c r="O95" i="1"/>
  <c r="O96" i="1"/>
  <c r="O288" i="1"/>
  <c r="O40" i="1"/>
  <c r="O61" i="1"/>
  <c r="O80" i="1"/>
  <c r="O94" i="1"/>
  <c r="O199" i="1"/>
  <c r="O237" i="1"/>
  <c r="O236" i="1"/>
  <c r="O430" i="1"/>
  <c r="O78" i="1"/>
  <c r="O276" i="1"/>
  <c r="O89" i="1"/>
  <c r="O314" i="1"/>
  <c r="O413" i="1"/>
  <c r="O147" i="1"/>
  <c r="O251" i="1"/>
  <c r="O252" i="1"/>
  <c r="O139" i="1"/>
  <c r="O184" i="1"/>
  <c r="O246" i="1"/>
  <c r="O255" i="1"/>
  <c r="O247" i="1"/>
  <c r="O249" i="1"/>
  <c r="O254" i="1"/>
  <c r="O253" i="1"/>
  <c r="O250" i="1"/>
  <c r="O245" i="1"/>
  <c r="O248" i="1"/>
  <c r="O342" i="1"/>
  <c r="O19" i="1"/>
  <c r="O397" i="1"/>
  <c r="O426" i="1"/>
  <c r="O399" i="1"/>
  <c r="O324" i="1"/>
  <c r="O401" i="1"/>
  <c r="O75" i="1"/>
  <c r="O325" i="1"/>
  <c r="O155" i="1"/>
  <c r="O375" i="1"/>
  <c r="O412" i="1"/>
  <c r="O295" i="1"/>
  <c r="O239" i="1"/>
  <c r="O384" i="1"/>
  <c r="O283" i="1"/>
  <c r="O243" i="1"/>
  <c r="O361" i="1"/>
  <c r="O427" i="1"/>
  <c r="O58" i="1"/>
  <c r="O59" i="1"/>
  <c r="O69" i="1"/>
  <c r="O114" i="1"/>
  <c r="O118" i="1"/>
  <c r="O120" i="1"/>
  <c r="O123" i="1"/>
  <c r="O128" i="1"/>
  <c r="O129" i="1"/>
  <c r="O209" i="1"/>
  <c r="O189" i="1"/>
  <c r="O193" i="1"/>
  <c r="O140" i="1"/>
  <c r="O195" i="1"/>
  <c r="O161" i="1"/>
  <c r="O198" i="1"/>
  <c r="O145" i="1"/>
  <c r="O186" i="1"/>
  <c r="O178" i="1"/>
  <c r="O152" i="1"/>
  <c r="O302" i="1"/>
  <c r="O352" i="1"/>
  <c r="O176" i="1"/>
  <c r="O115" i="1"/>
  <c r="O141" i="1"/>
  <c r="O278" i="1"/>
  <c r="O305" i="1"/>
  <c r="O348" i="1"/>
  <c r="O371" i="1"/>
  <c r="O277" i="1"/>
  <c r="O143" i="1"/>
  <c r="O263" i="1"/>
  <c r="O28" i="1"/>
  <c r="O34" i="1"/>
  <c r="O292" i="1"/>
  <c r="O144" i="1"/>
  <c r="O353" i="1"/>
  <c r="O323" i="1"/>
  <c r="O296" i="1"/>
  <c r="O409" i="1"/>
  <c r="O322" i="1"/>
  <c r="O175" i="1"/>
  <c r="O157" i="1"/>
  <c r="O216" i="1"/>
  <c r="O185" i="1"/>
  <c r="O22" i="1"/>
  <c r="O112" i="1"/>
  <c r="O298" i="1"/>
  <c r="O289" i="1"/>
  <c r="O280" i="1"/>
  <c r="O332" i="1"/>
  <c r="O54" i="1"/>
  <c r="O103" i="1"/>
  <c r="O64" i="1"/>
  <c r="O44" i="1"/>
  <c r="O66" i="1"/>
  <c r="O367" i="1"/>
  <c r="O345" i="1"/>
  <c r="O303" i="1"/>
  <c r="O331" i="1"/>
  <c r="O4" i="1"/>
  <c r="O113" i="1"/>
  <c r="O117" i="1"/>
  <c r="O171" i="1"/>
  <c r="O284" i="1"/>
  <c r="O279" i="1"/>
  <c r="O287" i="1"/>
  <c r="O149" i="1"/>
  <c r="O308" i="1"/>
  <c r="O338" i="1"/>
  <c r="O354" i="1"/>
  <c r="O414" i="1"/>
  <c r="O415" i="1"/>
  <c r="O420" i="1"/>
  <c r="O423" i="1"/>
  <c r="O424" i="1"/>
  <c r="O297" i="1"/>
  <c r="O408" i="1"/>
  <c r="O235" i="1"/>
  <c r="O119" i="1"/>
  <c r="O320" i="1"/>
  <c r="O321" i="1"/>
  <c r="O159" i="1"/>
  <c r="O350" i="1"/>
  <c r="O346" i="1"/>
  <c r="O330" i="1"/>
  <c r="O368" i="1"/>
  <c r="O291" i="1"/>
  <c r="O362" i="1"/>
  <c r="O191" i="1"/>
  <c r="O339" i="1"/>
  <c r="O333" i="1"/>
  <c r="O190" i="1"/>
  <c r="O315" i="1"/>
  <c r="O316" i="1"/>
  <c r="O358" i="1"/>
  <c r="O317" i="1"/>
  <c r="O309" i="1"/>
  <c r="O46" i="1"/>
  <c r="O304" i="1"/>
  <c r="O376" i="1"/>
  <c r="O329" i="1"/>
  <c r="O244" i="1"/>
  <c r="O93" i="1"/>
  <c r="O37" i="1"/>
  <c r="O364" i="1"/>
  <c r="O377" i="1"/>
  <c r="O16" i="1"/>
  <c r="O65" i="1"/>
  <c r="O11" i="1"/>
  <c r="O148" i="1"/>
  <c r="O138" i="1"/>
  <c r="O164" i="1"/>
  <c r="O26" i="1"/>
  <c r="O27" i="1"/>
  <c r="O201" i="1"/>
  <c r="O344" i="1"/>
  <c r="O381" i="1"/>
  <c r="O386" i="1"/>
  <c r="O281" i="1"/>
  <c r="O372" i="1"/>
  <c r="O387" i="1"/>
  <c r="O242" i="1"/>
  <c r="O270" i="1"/>
  <c r="O271" i="1"/>
  <c r="O274" i="1"/>
  <c r="O290" i="1"/>
  <c r="O337" i="1"/>
  <c r="O170" i="1"/>
  <c r="O418" i="1"/>
  <c r="O153" i="1"/>
  <c r="O146" i="1"/>
  <c r="O29" i="1"/>
  <c r="O30" i="1"/>
  <c r="O130" i="1"/>
  <c r="O156" i="1"/>
  <c r="O43" i="1"/>
  <c r="O55" i="1"/>
  <c r="O110" i="1"/>
  <c r="O20" i="1"/>
  <c r="O21" i="1"/>
  <c r="O41" i="1"/>
  <c r="O300" i="1"/>
  <c r="O301" i="1"/>
  <c r="O7" i="1"/>
  <c r="O131" i="1"/>
  <c r="O334" i="1"/>
  <c r="O23" i="1"/>
  <c r="O42" i="1"/>
  <c r="O63" i="1"/>
  <c r="O310" i="1"/>
  <c r="O241" i="1"/>
  <c r="O365" i="1"/>
  <c r="O395" i="1"/>
  <c r="O366" i="1"/>
  <c r="O380" i="1"/>
  <c r="O393" i="1"/>
  <c r="O382" i="1"/>
  <c r="O74" i="1"/>
  <c r="O85" i="1"/>
  <c r="O3" i="1"/>
  <c r="O50" i="1"/>
  <c r="O192" i="1"/>
  <c r="O180" i="1"/>
  <c r="O81" i="1"/>
  <c r="O181" i="1"/>
  <c r="O257" i="1"/>
  <c r="O154" i="1"/>
  <c r="O357" i="1"/>
  <c r="O168" i="1"/>
  <c r="O410" i="1"/>
  <c r="O108" i="1"/>
  <c r="O125" i="1"/>
  <c r="O419" i="1"/>
  <c r="O197" i="1"/>
  <c r="O259" i="1"/>
  <c r="O121" i="1"/>
  <c r="O196" i="1"/>
  <c r="O5" i="1"/>
  <c r="O127" i="1"/>
  <c r="O57" i="1"/>
  <c r="O2" i="1"/>
  <c r="O240" i="1"/>
  <c r="O328" i="1"/>
  <c r="O25" i="1"/>
  <c r="O102" i="1"/>
  <c r="O269" i="1"/>
  <c r="O194" i="1"/>
  <c r="O431" i="1"/>
  <c r="O47" i="1"/>
  <c r="O68" i="1"/>
  <c r="O173" i="1"/>
  <c r="O169" i="1"/>
  <c r="O105" i="1"/>
  <c r="O124" i="1"/>
  <c r="O134" i="1"/>
  <c r="O49" i="1"/>
  <c r="O116" i="1"/>
  <c r="O163" i="1"/>
  <c r="O38" i="1"/>
  <c r="O48" i="1"/>
  <c r="O53" i="1"/>
  <c r="O97" i="1"/>
  <c r="O107" i="1"/>
  <c r="O33" i="1"/>
  <c r="O36" i="1"/>
  <c r="O82" i="1"/>
  <c r="O91" i="1"/>
  <c r="O92" i="1"/>
  <c r="O158" i="1"/>
  <c r="O60" i="1"/>
  <c r="O132" i="1"/>
  <c r="O355" i="1"/>
  <c r="O383" i="1"/>
  <c r="O135" i="1"/>
  <c r="O306" i="1"/>
  <c r="O307" i="1"/>
  <c r="O167" i="1"/>
  <c r="O62" i="1"/>
  <c r="O79" i="1"/>
  <c r="O428" i="1"/>
  <c r="O10" i="1"/>
  <c r="O8" i="1"/>
  <c r="O24" i="1"/>
  <c r="O32" i="1"/>
  <c r="O76" i="1"/>
  <c r="O87" i="1"/>
  <c r="O88" i="1"/>
  <c r="O109" i="1"/>
  <c r="O187" i="1"/>
  <c r="O56" i="1"/>
  <c r="O126" i="1"/>
  <c r="O294" i="1"/>
  <c r="O136" i="1"/>
  <c r="O312" i="1"/>
  <c r="O311" i="1"/>
  <c r="O172" i="1"/>
  <c r="O142" i="1"/>
  <c r="O261" i="1"/>
  <c r="O403" i="1"/>
  <c r="O260" i="1"/>
  <c r="O402" i="1"/>
  <c r="O14" i="1"/>
  <c r="O39" i="1"/>
  <c r="O72" i="1"/>
  <c r="O73" i="1"/>
  <c r="O133" i="1"/>
  <c r="O137" i="1"/>
  <c r="O335" i="1"/>
  <c r="O347" i="1"/>
  <c r="O406" i="1"/>
  <c r="O282" i="1"/>
  <c r="O405" i="1"/>
  <c r="O83" i="1"/>
  <c r="O84" i="1"/>
  <c r="O299" i="1"/>
  <c r="O340" i="1"/>
  <c r="O162" i="1"/>
  <c r="O318" i="1"/>
  <c r="O398" i="1"/>
  <c r="O6" i="1"/>
  <c r="O15" i="1"/>
  <c r="O268" i="1"/>
  <c r="O267" i="1"/>
  <c r="O266" i="1"/>
  <c r="O286" i="1"/>
  <c r="O400" i="1"/>
  <c r="O356" i="1"/>
  <c r="O313" i="1"/>
  <c r="O275" i="1"/>
  <c r="O429" i="1"/>
  <c r="O341" i="1"/>
  <c r="O343" i="1"/>
  <c r="O385" i="1"/>
  <c r="O370" i="1"/>
  <c r="O379" i="1"/>
  <c r="O12" i="1"/>
  <c r="O104" i="1"/>
  <c r="O52" i="1"/>
  <c r="O111" i="1"/>
  <c r="O90" i="1"/>
  <c r="O31" i="1"/>
  <c r="O35" i="1"/>
  <c r="O9" i="1"/>
  <c r="O101" i="1"/>
  <c r="O45" i="1"/>
  <c r="O99" i="1"/>
  <c r="O100" i="1"/>
  <c r="O51" i="1"/>
  <c r="O70" i="1"/>
  <c r="O77" i="1"/>
  <c r="O160" i="1"/>
  <c r="O179" i="1"/>
  <c r="O98" i="1"/>
  <c r="O425" i="1"/>
  <c r="O421" i="1"/>
  <c r="O256" i="1"/>
  <c r="O166" i="1"/>
  <c r="O407" i="1"/>
  <c r="O349" i="1"/>
  <c r="O378" i="1"/>
  <c r="O390" i="1"/>
  <c r="O67" i="1"/>
  <c r="O71" i="1"/>
  <c r="O265" i="1"/>
  <c r="O391" i="1"/>
  <c r="O388" i="1"/>
  <c r="O285" i="1"/>
  <c r="O373" i="1"/>
  <c r="O258" i="1"/>
  <c r="O417" i="1"/>
  <c r="O200" i="1"/>
  <c r="O336" i="1"/>
  <c r="O416" i="1"/>
  <c r="O374" i="1"/>
  <c r="O392" i="1"/>
  <c r="O411" i="1"/>
  <c r="O262" i="1"/>
  <c r="O122" i="1"/>
  <c r="O151" i="1"/>
  <c r="S281" i="1"/>
  <c r="S386" i="1"/>
  <c r="S381" i="1"/>
  <c r="S344" i="1"/>
  <c r="S201" i="1"/>
  <c r="S323" i="1"/>
  <c r="S301" i="1"/>
  <c r="S300" i="1"/>
  <c r="S164" i="1"/>
  <c r="S362" i="1"/>
  <c r="S393" i="1"/>
  <c r="S380" i="1"/>
  <c r="S366" i="1"/>
  <c r="S395" i="1"/>
  <c r="S365" i="1"/>
  <c r="S241" i="1"/>
  <c r="S310" i="1"/>
  <c r="S296" i="1"/>
  <c r="S311" i="1"/>
  <c r="S312" i="1"/>
  <c r="S267" i="1"/>
  <c r="S266" i="1"/>
  <c r="S286" i="1"/>
  <c r="S400" i="1"/>
  <c r="S356" i="1"/>
  <c r="S313" i="1"/>
  <c r="S275" i="1"/>
  <c r="S429" i="1"/>
  <c r="S341" i="1"/>
  <c r="S343" i="1"/>
  <c r="S385" i="1"/>
  <c r="S370" i="1"/>
  <c r="S379" i="1"/>
  <c r="S268" i="1"/>
  <c r="S190" i="1"/>
  <c r="S383" i="1"/>
  <c r="S355" i="1"/>
  <c r="S333" i="1"/>
  <c r="S314" i="1"/>
  <c r="S305" i="1"/>
  <c r="S288" i="1"/>
  <c r="S244" i="1"/>
  <c r="S329" i="1"/>
  <c r="S376" i="1"/>
  <c r="S304" i="1"/>
  <c r="S135" i="1"/>
  <c r="S307" i="1"/>
  <c r="S306" i="1"/>
  <c r="S402" i="1"/>
  <c r="S260" i="1"/>
  <c r="S403" i="1"/>
  <c r="S261" i="1"/>
  <c r="S390" i="1"/>
  <c r="S378" i="1"/>
  <c r="S349" i="1"/>
  <c r="S407" i="1"/>
  <c r="S166" i="1"/>
  <c r="S256" i="1"/>
  <c r="S421" i="1"/>
  <c r="S425" i="1"/>
  <c r="S309" i="1"/>
  <c r="S317" i="1"/>
  <c r="S358" i="1"/>
  <c r="S316" i="1"/>
  <c r="S315" i="1"/>
  <c r="S262" i="1"/>
  <c r="S411" i="1"/>
  <c r="S392" i="1"/>
  <c r="S374" i="1"/>
  <c r="S416" i="1"/>
  <c r="S336" i="1"/>
  <c r="S200" i="1"/>
  <c r="S417" i="1"/>
  <c r="S258" i="1"/>
  <c r="S373" i="1"/>
  <c r="S285" i="1"/>
  <c r="S388" i="1"/>
  <c r="S391" i="1"/>
  <c r="S265" i="1"/>
  <c r="S320" i="1"/>
  <c r="S321" i="1"/>
  <c r="S159" i="1"/>
  <c r="S350" i="1"/>
  <c r="S346" i="1"/>
  <c r="S330" i="1"/>
  <c r="S368" i="1"/>
  <c r="S291" i="1"/>
  <c r="S408" i="1"/>
  <c r="S235" i="1"/>
  <c r="S284" i="1"/>
  <c r="S367" i="1"/>
  <c r="S345" i="1"/>
  <c r="S303" i="1"/>
  <c r="S331" i="1"/>
  <c r="S298" i="1"/>
  <c r="S289" i="1"/>
  <c r="S280" i="1"/>
  <c r="S144" i="1"/>
  <c r="S353" i="1"/>
  <c r="S292" i="1"/>
  <c r="S295" i="1"/>
  <c r="S239" i="1"/>
  <c r="S384" i="1"/>
  <c r="S283" i="1"/>
  <c r="S243" i="1"/>
  <c r="S361" i="1"/>
  <c r="S427" i="1"/>
  <c r="S412" i="1"/>
  <c r="S325" i="1"/>
  <c r="S399" i="1"/>
  <c r="S324" i="1"/>
  <c r="S401" i="1"/>
  <c r="S397" i="1"/>
  <c r="S426" i="1"/>
  <c r="S342" i="1"/>
  <c r="S251" i="1"/>
  <c r="S252" i="1"/>
  <c r="S139" i="1"/>
  <c r="S184" i="1"/>
  <c r="S246" i="1"/>
  <c r="S255" i="1"/>
  <c r="S247" i="1"/>
  <c r="S249" i="1"/>
  <c r="S254" i="1"/>
  <c r="S253" i="1"/>
  <c r="S250" i="1"/>
  <c r="S245" i="1"/>
  <c r="S248" i="1"/>
  <c r="S236" i="1"/>
  <c r="S264" i="1"/>
  <c r="S405" i="1"/>
  <c r="S282" i="1"/>
  <c r="S406" i="1"/>
  <c r="S347" i="1"/>
  <c r="S335" i="1"/>
  <c r="S351" i="1"/>
  <c r="S176" i="1"/>
  <c r="S332" i="1"/>
  <c r="S428" i="1"/>
  <c r="S431" i="1"/>
  <c r="S430" i="1"/>
  <c r="S302" i="1"/>
  <c r="S371" i="1"/>
  <c r="S348" i="1"/>
  <c r="S352" i="1"/>
  <c r="S337" i="1"/>
  <c r="S418" i="1"/>
  <c r="S290" i="1"/>
  <c r="S274" i="1"/>
  <c r="S242" i="1"/>
  <c r="S270" i="1"/>
  <c r="S271" i="1"/>
  <c r="S170" i="1"/>
  <c r="S181" i="1"/>
  <c r="S410" i="1"/>
  <c r="S357" i="1"/>
  <c r="S257" i="1"/>
  <c r="S154" i="1"/>
  <c r="S168" i="1"/>
  <c r="S287" i="1"/>
  <c r="S420" i="1"/>
  <c r="S423" i="1"/>
  <c r="S415" i="1"/>
  <c r="S149" i="1"/>
  <c r="S338" i="1"/>
  <c r="S354" i="1"/>
  <c r="S424" i="1"/>
  <c r="S279" i="1"/>
  <c r="S308" i="1"/>
  <c r="S414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99" i="1"/>
  <c r="S237" i="1"/>
  <c r="S276" i="1"/>
  <c r="S413" i="1"/>
  <c r="S147" i="1"/>
  <c r="S155" i="1"/>
  <c r="S375" i="1"/>
  <c r="S129" i="1"/>
  <c r="S209" i="1"/>
  <c r="S114" i="1"/>
  <c r="S189" i="1"/>
  <c r="S128" i="1"/>
  <c r="S193" i="1"/>
  <c r="S140" i="1"/>
  <c r="S195" i="1"/>
  <c r="S161" i="1"/>
  <c r="S198" i="1"/>
  <c r="S145" i="1"/>
  <c r="S186" i="1"/>
  <c r="S178" i="1"/>
  <c r="S123" i="1"/>
  <c r="S152" i="1"/>
  <c r="S120" i="1"/>
  <c r="S118" i="1"/>
  <c r="S115" i="1"/>
  <c r="S141" i="1"/>
  <c r="S278" i="1"/>
  <c r="S277" i="1"/>
  <c r="S143" i="1"/>
  <c r="S263" i="1"/>
  <c r="S409" i="1"/>
  <c r="S322" i="1"/>
  <c r="S175" i="1"/>
  <c r="S157" i="1"/>
  <c r="S216" i="1"/>
  <c r="S185" i="1"/>
  <c r="S117" i="1"/>
  <c r="S171" i="1"/>
  <c r="S297" i="1"/>
  <c r="S119" i="1"/>
  <c r="S191" i="1"/>
  <c r="S339" i="1"/>
  <c r="S364" i="1"/>
  <c r="S377" i="1"/>
  <c r="S148" i="1"/>
  <c r="S138" i="1"/>
  <c r="S372" i="1"/>
  <c r="S387" i="1"/>
  <c r="S153" i="1"/>
  <c r="S146" i="1"/>
  <c r="S156" i="1"/>
  <c r="S130" i="1"/>
  <c r="S131" i="1"/>
  <c r="S334" i="1"/>
  <c r="S382" i="1"/>
  <c r="S192" i="1"/>
  <c r="S180" i="1"/>
  <c r="S419" i="1"/>
  <c r="S125" i="1"/>
  <c r="S197" i="1"/>
  <c r="S259" i="1"/>
  <c r="S196" i="1"/>
  <c r="S121" i="1"/>
  <c r="S127" i="1"/>
  <c r="S240" i="1"/>
  <c r="S328" i="1"/>
  <c r="S269" i="1"/>
  <c r="S194" i="1"/>
  <c r="S173" i="1"/>
  <c r="S169" i="1"/>
  <c r="S124" i="1"/>
  <c r="S134" i="1"/>
  <c r="S116" i="1"/>
  <c r="S163" i="1"/>
  <c r="S158" i="1"/>
  <c r="S132" i="1"/>
  <c r="S167" i="1"/>
  <c r="S187" i="1"/>
  <c r="S126" i="1"/>
  <c r="S294" i="1"/>
  <c r="S136" i="1"/>
  <c r="S172" i="1"/>
  <c r="S142" i="1"/>
  <c r="S137" i="1"/>
  <c r="S133" i="1"/>
  <c r="S299" i="1"/>
  <c r="S340" i="1"/>
  <c r="S162" i="1"/>
  <c r="S318" i="1"/>
  <c r="S398" i="1"/>
  <c r="S160" i="1"/>
  <c r="S179" i="1"/>
  <c r="S151" i="1"/>
  <c r="S122" i="1"/>
  <c r="S319" i="1"/>
  <c r="Q227" i="1"/>
  <c r="Q226" i="1"/>
  <c r="Q225" i="1"/>
  <c r="Q224" i="1"/>
  <c r="Q223" i="1"/>
  <c r="Q222" i="1"/>
  <c r="Q221" i="1"/>
  <c r="Q220" i="1"/>
  <c r="Q219" i="1"/>
  <c r="Q218" i="1"/>
  <c r="Q217" i="1"/>
  <c r="Q215" i="1"/>
  <c r="Q214" i="1"/>
  <c r="Q211" i="1"/>
  <c r="Q202" i="1"/>
  <c r="Q205" i="1"/>
  <c r="Q210" i="1"/>
  <c r="Q203" i="1"/>
  <c r="Q207" i="1"/>
  <c r="Q208" i="1"/>
  <c r="Q204" i="1"/>
  <c r="Q206" i="1"/>
  <c r="Q183" i="1"/>
  <c r="Q165" i="1"/>
  <c r="Q150" i="1"/>
  <c r="Q177" i="1"/>
  <c r="Q174" i="1"/>
  <c r="Q188" i="1"/>
  <c r="Q182" i="1"/>
  <c r="Q200" i="1"/>
  <c r="Q181" i="1"/>
  <c r="Q176" i="1"/>
  <c r="Q149" i="1"/>
  <c r="Q170" i="1"/>
  <c r="Q164" i="1"/>
  <c r="Q190" i="1"/>
  <c r="Q216" i="1"/>
  <c r="Q168" i="1"/>
  <c r="G196" i="9" l="1"/>
  <c r="G176" i="9"/>
  <c r="G114" i="9"/>
  <c r="G231" i="9"/>
  <c r="G195" i="9"/>
  <c r="G175" i="9"/>
  <c r="P335" i="1"/>
  <c r="P253" i="1"/>
  <c r="P93" i="1"/>
  <c r="P156" i="1"/>
  <c r="P413" i="1"/>
  <c r="P172" i="1"/>
  <c r="P21" i="1"/>
  <c r="P243" i="1"/>
  <c r="P349" i="1"/>
  <c r="P107" i="1"/>
  <c r="P16" i="1"/>
  <c r="P283" i="1"/>
  <c r="P35" i="1"/>
  <c r="P410" i="1"/>
  <c r="P339" i="1"/>
  <c r="P106" i="1"/>
  <c r="P347" i="1"/>
  <c r="P55" i="1"/>
  <c r="P305" i="1"/>
  <c r="P90" i="1"/>
  <c r="P25" i="1"/>
  <c r="P362" i="1"/>
  <c r="P295" i="1"/>
  <c r="P137" i="1"/>
  <c r="P154" i="1"/>
  <c r="P322" i="1"/>
  <c r="P378" i="1"/>
  <c r="P277" i="1"/>
  <c r="P248" i="1"/>
  <c r="P384" i="1"/>
  <c r="P239" i="1"/>
  <c r="P278" i="1"/>
  <c r="P367" i="1"/>
  <c r="P101" i="1"/>
  <c r="P22" i="1"/>
  <c r="P89" i="1"/>
  <c r="P245" i="1"/>
  <c r="P336" i="1"/>
  <c r="P112" i="1"/>
  <c r="P405" i="1"/>
  <c r="P393" i="1"/>
  <c r="P195" i="1"/>
  <c r="P9" i="1"/>
  <c r="P108" i="1"/>
  <c r="P333" i="1"/>
  <c r="P374" i="1"/>
  <c r="P62" i="1"/>
  <c r="P242" i="1"/>
  <c r="P193" i="1"/>
  <c r="P286" i="1"/>
  <c r="P168" i="1"/>
  <c r="P423" i="1"/>
  <c r="P86" i="1"/>
  <c r="P307" i="1"/>
  <c r="P372" i="1"/>
  <c r="P345" i="1"/>
  <c r="P430" i="1"/>
  <c r="P126" i="1"/>
  <c r="P241" i="1"/>
  <c r="P129" i="1"/>
  <c r="P117" i="1"/>
  <c r="P125" i="1"/>
  <c r="P113" i="1"/>
  <c r="P392" i="1"/>
  <c r="P311" i="1"/>
  <c r="P20" i="1"/>
  <c r="P371" i="1"/>
  <c r="P406" i="1"/>
  <c r="P377" i="1"/>
  <c r="P276" i="1"/>
  <c r="P53" i="1"/>
  <c r="P157" i="1"/>
  <c r="P256" i="1"/>
  <c r="P365" i="1"/>
  <c r="P209" i="1"/>
  <c r="P267" i="1"/>
  <c r="P328" i="1"/>
  <c r="P141" i="1"/>
  <c r="P408" i="1"/>
  <c r="P33" i="1"/>
  <c r="P65" i="1"/>
  <c r="P342" i="1"/>
  <c r="P356" i="1"/>
  <c r="P194" i="1"/>
  <c r="P4" i="1"/>
  <c r="P249" i="1"/>
  <c r="P312" i="1"/>
  <c r="P110" i="1"/>
  <c r="P348" i="1"/>
  <c r="P31" i="1"/>
  <c r="P395" i="1"/>
  <c r="P303" i="1"/>
  <c r="P128" i="1"/>
  <c r="P48" i="1"/>
  <c r="P37" i="1"/>
  <c r="P111" i="1"/>
  <c r="P415" i="1"/>
  <c r="P236" i="1"/>
  <c r="P361" i="1"/>
  <c r="P314" i="1"/>
  <c r="P185" i="1"/>
  <c r="P97" i="1"/>
  <c r="P424" i="1"/>
  <c r="P416" i="1"/>
  <c r="P136" i="1"/>
  <c r="P387" i="1"/>
  <c r="P250" i="1"/>
  <c r="P266" i="1"/>
  <c r="P357" i="1"/>
  <c r="P420" i="1"/>
  <c r="P18" i="1"/>
  <c r="P306" i="1"/>
  <c r="P281" i="1"/>
  <c r="P412" i="1"/>
  <c r="P161" i="1"/>
  <c r="P428" i="1"/>
  <c r="P271" i="1"/>
  <c r="P244" i="1"/>
  <c r="P79" i="1"/>
  <c r="P270" i="1"/>
  <c r="P140" i="1"/>
  <c r="P407" i="1"/>
  <c r="P269" i="1"/>
  <c r="P331" i="1"/>
  <c r="P257" i="1"/>
  <c r="P102" i="1"/>
  <c r="P191" i="1"/>
  <c r="P78" i="1"/>
  <c r="P294" i="1"/>
  <c r="P43" i="1"/>
  <c r="P175" i="1"/>
  <c r="P421" i="1"/>
  <c r="P38" i="1"/>
  <c r="P291" i="1"/>
  <c r="P254" i="1"/>
  <c r="P143" i="1"/>
  <c r="P431" i="1"/>
  <c r="P190" i="1"/>
  <c r="P264" i="1"/>
  <c r="P282" i="1"/>
  <c r="P380" i="1"/>
  <c r="P297" i="1"/>
  <c r="P351" i="1"/>
  <c r="P400" i="1"/>
  <c r="P366" i="1"/>
  <c r="P216" i="1"/>
  <c r="P166" i="1"/>
  <c r="P167" i="1"/>
  <c r="P364" i="1"/>
  <c r="P189" i="1"/>
  <c r="E231" i="9"/>
  <c r="G26" i="9"/>
  <c r="G35" i="9"/>
  <c r="G39" i="9"/>
  <c r="G72" i="9"/>
  <c r="G77" i="9"/>
  <c r="G110" i="9"/>
  <c r="G113" i="9"/>
  <c r="G174" i="9"/>
  <c r="G194" i="9"/>
  <c r="P231" i="1"/>
  <c r="Q231" i="1" s="1"/>
  <c r="E230" i="9"/>
  <c r="P36" i="1"/>
  <c r="P47" i="1"/>
  <c r="P419" i="1"/>
  <c r="P382" i="1"/>
  <c r="P41" i="1"/>
  <c r="P274" i="1"/>
  <c r="P11" i="1"/>
  <c r="P315" i="1"/>
  <c r="P19" i="1"/>
  <c r="P319" i="1"/>
  <c r="P115" i="1"/>
  <c r="P411" i="1"/>
  <c r="P313" i="1"/>
  <c r="T230" i="1"/>
  <c r="T89" i="1"/>
  <c r="T90" i="1"/>
  <c r="T91" i="1"/>
  <c r="T92" i="1"/>
  <c r="T93" i="1"/>
  <c r="T94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137" i="1"/>
  <c r="T199" i="1"/>
  <c r="T2" i="1"/>
  <c r="T201" i="1"/>
  <c r="T219" i="1"/>
  <c r="T3" i="1"/>
  <c r="T4" i="1"/>
  <c r="T155" i="1"/>
  <c r="T5" i="1"/>
  <c r="T6" i="1"/>
  <c r="T7" i="1"/>
  <c r="T8" i="1"/>
  <c r="T9" i="1"/>
  <c r="T10" i="1"/>
  <c r="T148" i="1"/>
  <c r="T147" i="1"/>
  <c r="T139" i="1"/>
  <c r="T184" i="1"/>
  <c r="T11" i="1"/>
  <c r="T153" i="1"/>
  <c r="T226" i="1"/>
  <c r="T197" i="1"/>
  <c r="T115" i="1"/>
  <c r="T143" i="1"/>
  <c r="T228" i="1"/>
  <c r="T131" i="1"/>
  <c r="T12" i="1"/>
  <c r="T13" i="1"/>
  <c r="T146" i="1"/>
  <c r="T144" i="1"/>
  <c r="T14" i="1"/>
  <c r="T15" i="1"/>
  <c r="T162" i="1"/>
  <c r="T222" i="1"/>
  <c r="T16" i="1"/>
  <c r="T211" i="1"/>
  <c r="T223" i="1"/>
  <c r="T17" i="1"/>
  <c r="T18" i="1"/>
  <c r="T126" i="1"/>
  <c r="T141" i="1"/>
  <c r="T19" i="1"/>
  <c r="T20" i="1"/>
  <c r="T21" i="1"/>
  <c r="T22" i="1"/>
  <c r="T23" i="1"/>
  <c r="T138" i="1"/>
  <c r="T24" i="1"/>
  <c r="T25" i="1"/>
  <c r="T136" i="1"/>
  <c r="T26" i="1"/>
  <c r="T27" i="1"/>
  <c r="T28" i="1"/>
  <c r="T29" i="1"/>
  <c r="T156" i="1"/>
  <c r="T30" i="1"/>
  <c r="T130" i="1"/>
  <c r="T215" i="1"/>
  <c r="T221" i="1"/>
  <c r="T164" i="1"/>
  <c r="T158" i="1"/>
  <c r="T31" i="1"/>
  <c r="T32" i="1"/>
  <c r="T33" i="1"/>
  <c r="T34" i="1"/>
  <c r="T216" i="1"/>
  <c r="T172" i="1"/>
  <c r="T35" i="1"/>
  <c r="T36" i="1"/>
  <c r="T166" i="1"/>
  <c r="T204" i="1"/>
  <c r="T37" i="1"/>
  <c r="T38" i="1"/>
  <c r="T194" i="1"/>
  <c r="T149" i="1"/>
  <c r="T151" i="1"/>
  <c r="T122" i="1"/>
  <c r="T129" i="1"/>
  <c r="T39" i="1"/>
  <c r="T40" i="1"/>
  <c r="T41" i="1"/>
  <c r="T42" i="1"/>
  <c r="T43" i="1"/>
  <c r="T206" i="1"/>
  <c r="T176" i="1"/>
  <c r="T44" i="1"/>
  <c r="T45" i="1"/>
  <c r="T46" i="1"/>
  <c r="T117" i="1"/>
  <c r="T47" i="1"/>
  <c r="T209" i="1"/>
  <c r="T114" i="1"/>
  <c r="T189" i="1"/>
  <c r="T135" i="1"/>
  <c r="T128" i="1"/>
  <c r="T133" i="1"/>
  <c r="T48" i="1"/>
  <c r="T49" i="1"/>
  <c r="T50" i="1"/>
  <c r="T227" i="1"/>
  <c r="T51" i="1"/>
  <c r="T191" i="1"/>
  <c r="T52" i="1"/>
  <c r="T53" i="1"/>
  <c r="T54" i="1"/>
  <c r="T119" i="1"/>
  <c r="T208" i="1"/>
  <c r="T55" i="1"/>
  <c r="T174" i="1"/>
  <c r="T207" i="1"/>
  <c r="T175" i="1"/>
  <c r="T154" i="1"/>
  <c r="T159" i="1"/>
  <c r="T187" i="1"/>
  <c r="T205" i="1"/>
  <c r="T56" i="1"/>
  <c r="T157" i="1"/>
  <c r="T57" i="1"/>
  <c r="T193" i="1"/>
  <c r="T140" i="1"/>
  <c r="T58" i="1"/>
  <c r="T195" i="1"/>
  <c r="T59" i="1"/>
  <c r="T161" i="1"/>
  <c r="T198" i="1"/>
  <c r="T145" i="1"/>
  <c r="T186" i="1"/>
  <c r="T60" i="1"/>
  <c r="T181" i="1"/>
  <c r="T61" i="1"/>
  <c r="T200" i="1"/>
  <c r="T62" i="1"/>
  <c r="T196" i="1"/>
  <c r="T167" i="1"/>
  <c r="T202" i="1"/>
  <c r="T63" i="1"/>
  <c r="T64" i="1"/>
  <c r="T65" i="1"/>
  <c r="T66" i="1"/>
  <c r="T67" i="1"/>
  <c r="T68" i="1"/>
  <c r="T178" i="1"/>
  <c r="T123" i="1"/>
  <c r="T69" i="1"/>
  <c r="T152" i="1"/>
  <c r="T190" i="1"/>
  <c r="T70" i="1"/>
  <c r="T71" i="1"/>
  <c r="T72" i="1"/>
  <c r="T224" i="1"/>
  <c r="T185" i="1"/>
  <c r="T73" i="1"/>
  <c r="T74" i="1"/>
  <c r="T116" i="1"/>
  <c r="T75" i="1"/>
  <c r="T76" i="1"/>
  <c r="T77" i="1"/>
  <c r="T78" i="1"/>
  <c r="T79" i="1"/>
  <c r="T80" i="1"/>
  <c r="T81" i="1"/>
  <c r="T182" i="1"/>
  <c r="T203" i="1"/>
  <c r="T124" i="1"/>
  <c r="T217" i="1"/>
  <c r="T82" i="1"/>
  <c r="T150" i="1"/>
  <c r="T83" i="1"/>
  <c r="T84" i="1"/>
  <c r="T85" i="1"/>
  <c r="T86" i="1"/>
  <c r="T229" i="1"/>
  <c r="T173" i="1"/>
  <c r="T87" i="1"/>
  <c r="T192" i="1"/>
  <c r="T88" i="1"/>
  <c r="T120" i="1"/>
  <c r="T214" i="1"/>
  <c r="T188" i="1"/>
  <c r="T225" i="1"/>
  <c r="T171" i="1"/>
  <c r="T121" i="1"/>
  <c r="T163" i="1"/>
  <c r="T160" i="1"/>
  <c r="T179" i="1"/>
  <c r="T95" i="1"/>
  <c r="T96" i="1"/>
  <c r="T97" i="1"/>
  <c r="T98" i="1"/>
  <c r="T127" i="1"/>
  <c r="T99" i="1"/>
  <c r="T100" i="1"/>
  <c r="T183" i="1"/>
  <c r="T132" i="1"/>
  <c r="T142" i="1"/>
  <c r="T169" i="1"/>
  <c r="T218" i="1"/>
  <c r="T101" i="1"/>
  <c r="T177" i="1"/>
  <c r="T102" i="1"/>
  <c r="T168" i="1"/>
  <c r="T180" i="1"/>
  <c r="T103" i="1"/>
  <c r="T212" i="1"/>
  <c r="T213" i="1"/>
  <c r="T104" i="1"/>
  <c r="T134" i="1"/>
  <c r="T105" i="1"/>
  <c r="T220" i="1"/>
  <c r="T170" i="1"/>
  <c r="T106" i="1"/>
  <c r="T107" i="1"/>
  <c r="T108" i="1"/>
  <c r="T109" i="1"/>
  <c r="T110" i="1"/>
  <c r="T165" i="1"/>
  <c r="T111" i="1"/>
  <c r="T118" i="1"/>
  <c r="T125" i="1"/>
  <c r="T112" i="1"/>
  <c r="T113" i="1"/>
  <c r="T210" i="1"/>
  <c r="G109" i="9"/>
  <c r="G112" i="9"/>
  <c r="G173" i="9"/>
  <c r="G192" i="9"/>
  <c r="G193" i="9"/>
  <c r="P232" i="1"/>
  <c r="Q232" i="1" s="1"/>
  <c r="P275" i="1"/>
  <c r="P83" i="1"/>
  <c r="P142" i="1"/>
  <c r="P10" i="1"/>
  <c r="P230" i="1"/>
  <c r="Q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P439" i="1"/>
  <c r="Q439" i="1" s="1"/>
  <c r="P438" i="1"/>
  <c r="Q438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P68" i="1"/>
  <c r="P197" i="1"/>
  <c r="P74" i="1"/>
  <c r="P300" i="1"/>
  <c r="P290" i="1"/>
  <c r="P148" i="1"/>
  <c r="P316" i="1"/>
  <c r="P235" i="1"/>
  <c r="P171" i="1"/>
  <c r="P298" i="1"/>
  <c r="P263" i="1"/>
  <c r="P198" i="1"/>
  <c r="P427" i="1"/>
  <c r="P397" i="1"/>
  <c r="P147" i="1"/>
  <c r="P95" i="1"/>
  <c r="P262" i="1"/>
  <c r="P390" i="1"/>
  <c r="P45" i="1"/>
  <c r="P229" i="1"/>
  <c r="Q229" i="1" s="1"/>
  <c r="P227" i="1"/>
  <c r="P226" i="1"/>
  <c r="P225" i="1"/>
  <c r="P224" i="1"/>
  <c r="P223" i="1"/>
  <c r="P186" i="1"/>
  <c r="P59" i="1"/>
  <c r="P399" i="1"/>
  <c r="P252" i="1"/>
  <c r="P288" i="1"/>
  <c r="P409" i="1"/>
  <c r="P151" i="1"/>
  <c r="P71" i="1"/>
  <c r="P100" i="1"/>
  <c r="P341" i="1"/>
  <c r="P299" i="1"/>
  <c r="P403" i="1"/>
  <c r="P24" i="1"/>
  <c r="P91" i="1"/>
  <c r="P173" i="1"/>
  <c r="P259" i="1"/>
  <c r="P85" i="1"/>
  <c r="P301" i="1"/>
  <c r="P337" i="1"/>
  <c r="P138" i="1"/>
  <c r="P358" i="1"/>
  <c r="P119" i="1"/>
  <c r="P284" i="1"/>
  <c r="P289" i="1"/>
  <c r="P28" i="1"/>
  <c r="P145" i="1"/>
  <c r="P58" i="1"/>
  <c r="P426" i="1"/>
  <c r="P251" i="1"/>
  <c r="P96" i="1"/>
  <c r="P310" i="1"/>
  <c r="P122" i="1"/>
  <c r="P67" i="1"/>
  <c r="P99" i="1"/>
  <c r="P429" i="1"/>
  <c r="P84" i="1"/>
  <c r="P261" i="1"/>
  <c r="P8" i="1"/>
  <c r="P82" i="1"/>
  <c r="P222" i="1"/>
  <c r="P221" i="1"/>
  <c r="P233" i="1"/>
  <c r="P234" i="1"/>
  <c r="P220" i="1"/>
  <c r="P437" i="1"/>
  <c r="P436" i="1"/>
  <c r="P435" i="1"/>
  <c r="P219" i="1"/>
  <c r="P196" i="1"/>
  <c r="P50" i="1"/>
  <c r="P131" i="1"/>
  <c r="P418" i="1"/>
  <c r="P26" i="1"/>
  <c r="P309" i="1"/>
  <c r="P321" i="1"/>
  <c r="P287" i="1"/>
  <c r="P332" i="1"/>
  <c r="P292" i="1"/>
  <c r="P178" i="1"/>
  <c r="P69" i="1"/>
  <c r="P324" i="1"/>
  <c r="P139" i="1"/>
  <c r="P40" i="1"/>
  <c r="P386" i="1"/>
  <c r="P265" i="1"/>
  <c r="P51" i="1"/>
  <c r="P343" i="1"/>
  <c r="P340" i="1"/>
  <c r="P260" i="1"/>
  <c r="P32" i="1"/>
  <c r="P92" i="1"/>
  <c r="P169" i="1"/>
  <c r="P121" i="1"/>
  <c r="P3" i="1"/>
  <c r="P7" i="1"/>
  <c r="P170" i="1"/>
  <c r="P164" i="1"/>
  <c r="P317" i="1"/>
  <c r="P320" i="1"/>
  <c r="P279" i="1"/>
  <c r="P280" i="1"/>
  <c r="P34" i="1"/>
  <c r="G24" i="9"/>
  <c r="G25" i="9"/>
  <c r="G34" i="9"/>
  <c r="G38" i="9"/>
  <c r="G71" i="9"/>
  <c r="G76" i="9"/>
  <c r="G108" i="9"/>
  <c r="G111" i="9"/>
  <c r="G172" i="9"/>
  <c r="G190" i="9"/>
  <c r="G191" i="9"/>
  <c r="P228" i="1"/>
  <c r="Q228" i="1" s="1"/>
  <c r="P434" i="1"/>
  <c r="P433" i="1"/>
  <c r="P432" i="1"/>
  <c r="P213" i="1"/>
  <c r="P212" i="1"/>
  <c r="P211" i="1"/>
  <c r="P391" i="1"/>
  <c r="P70" i="1"/>
  <c r="P385" i="1"/>
  <c r="P162" i="1"/>
  <c r="P402" i="1"/>
  <c r="P76" i="1"/>
  <c r="P158" i="1"/>
  <c r="P105" i="1"/>
  <c r="E57" i="9"/>
  <c r="E65" i="9"/>
  <c r="E67" i="9"/>
  <c r="E64" i="9"/>
  <c r="E68" i="9"/>
  <c r="E4" i="9"/>
  <c r="E60" i="9"/>
  <c r="E66" i="9"/>
  <c r="E63" i="9"/>
  <c r="E69" i="9"/>
  <c r="P214" i="1"/>
  <c r="P215" i="1"/>
  <c r="P218" i="1"/>
  <c r="P217" i="1"/>
  <c r="P202" i="1"/>
  <c r="P205" i="1"/>
  <c r="P210" i="1"/>
  <c r="P203" i="1"/>
  <c r="P207" i="1"/>
  <c r="P208" i="1"/>
  <c r="P394" i="1"/>
  <c r="P272" i="1"/>
  <c r="P359" i="1"/>
  <c r="P293" i="1"/>
  <c r="P389" i="1"/>
  <c r="P204" i="1"/>
  <c r="P206" i="1"/>
  <c r="P183" i="1"/>
  <c r="P165" i="1"/>
  <c r="P150" i="1"/>
  <c r="P177" i="1"/>
  <c r="P360" i="1"/>
  <c r="P396" i="1"/>
  <c r="P238" i="1"/>
  <c r="P363" i="1"/>
  <c r="P369" i="1"/>
  <c r="P327" i="1"/>
  <c r="P326" i="1"/>
  <c r="P174" i="1"/>
  <c r="P188" i="1"/>
  <c r="P404" i="1"/>
  <c r="P182" i="1"/>
  <c r="P273" i="1"/>
  <c r="P422" i="1"/>
  <c r="P56" i="1"/>
  <c r="P133" i="1"/>
  <c r="P130" i="1"/>
  <c r="P135" i="1"/>
  <c r="P163" i="1"/>
  <c r="P375" i="1"/>
  <c r="P240" i="1"/>
  <c r="P13" i="1"/>
  <c r="P200" i="1"/>
  <c r="P17" i="1"/>
  <c r="P417" i="1"/>
  <c r="P425" i="1"/>
  <c r="P52" i="1"/>
  <c r="P268" i="1"/>
  <c r="P414" i="1"/>
  <c r="P258" i="1"/>
  <c r="P98" i="1"/>
  <c r="P104" i="1"/>
  <c r="P15" i="1"/>
  <c r="P73" i="1"/>
  <c r="P187" i="1"/>
  <c r="P383" i="1"/>
  <c r="P116" i="1"/>
  <c r="P2" i="1"/>
  <c r="P181" i="1"/>
  <c r="P63" i="1"/>
  <c r="P30" i="1"/>
  <c r="P381" i="1"/>
  <c r="P329" i="1"/>
  <c r="P330" i="1"/>
  <c r="P354" i="1"/>
  <c r="P44" i="1"/>
  <c r="P296" i="1"/>
  <c r="P176" i="1"/>
  <c r="P123" i="1"/>
  <c r="P155" i="1"/>
  <c r="P247" i="1"/>
  <c r="P199" i="1"/>
  <c r="P237" i="1"/>
  <c r="P373" i="1"/>
  <c r="P179" i="1"/>
  <c r="P87" i="1"/>
  <c r="P60" i="1"/>
  <c r="P124" i="1"/>
  <c r="P5" i="1"/>
  <c r="P192" i="1"/>
  <c r="P334" i="1"/>
  <c r="P153" i="1"/>
  <c r="P27" i="1"/>
  <c r="P46" i="1"/>
  <c r="P159" i="1"/>
  <c r="P149" i="1"/>
  <c r="P54" i="1"/>
  <c r="P144" i="1"/>
  <c r="P152" i="1"/>
  <c r="P114" i="1"/>
  <c r="P401" i="1"/>
  <c r="P184" i="1"/>
  <c r="P61" i="1"/>
  <c r="C12" i="6"/>
  <c r="P12" i="1"/>
  <c r="P6" i="1"/>
  <c r="P72" i="1"/>
  <c r="P109" i="1"/>
  <c r="P355" i="1"/>
  <c r="P49" i="1"/>
  <c r="P57" i="1"/>
  <c r="P81" i="1"/>
  <c r="P42" i="1"/>
  <c r="P29" i="1"/>
  <c r="P344" i="1"/>
  <c r="P376" i="1"/>
  <c r="P346" i="1"/>
  <c r="P338" i="1"/>
  <c r="P64" i="1"/>
  <c r="P323" i="1"/>
  <c r="P352" i="1"/>
  <c r="P120" i="1"/>
  <c r="P325" i="1"/>
  <c r="P255" i="1"/>
  <c r="P94" i="1"/>
  <c r="P368" i="1"/>
  <c r="P285" i="1"/>
  <c r="P160" i="1"/>
  <c r="P379" i="1"/>
  <c r="P398" i="1"/>
  <c r="P39" i="1"/>
  <c r="P88" i="1"/>
  <c r="P132" i="1"/>
  <c r="P118" i="1"/>
  <c r="P75" i="1"/>
  <c r="P246" i="1"/>
  <c r="P80" i="1"/>
  <c r="P66" i="1"/>
  <c r="P388" i="1"/>
  <c r="P77" i="1"/>
  <c r="P370" i="1"/>
  <c r="P318" i="1"/>
  <c r="P14" i="1"/>
  <c r="P134" i="1"/>
  <c r="P127" i="1"/>
  <c r="P180" i="1"/>
  <c r="P23" i="1"/>
  <c r="P146" i="1"/>
  <c r="P201" i="1"/>
  <c r="P304" i="1"/>
  <c r="P350" i="1"/>
  <c r="P308" i="1"/>
  <c r="P103" i="1"/>
  <c r="P353" i="1"/>
  <c r="P302" i="1"/>
  <c r="Q339" i="1"/>
  <c r="Q283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Q378" i="1" l="1"/>
  <c r="Q277" i="1"/>
  <c r="Q253" i="1"/>
  <c r="Q335" i="1"/>
  <c r="Q235" i="1"/>
  <c r="Q242" i="1"/>
  <c r="Q286" i="1"/>
  <c r="Q307" i="1"/>
  <c r="Q345" i="1"/>
  <c r="Q328" i="1"/>
  <c r="Q367" i="1"/>
  <c r="Q236" i="1"/>
  <c r="Q423" i="1"/>
  <c r="Q333" i="1"/>
  <c r="Q241" i="1"/>
  <c r="Q410" i="1"/>
  <c r="Q371" i="1"/>
  <c r="Q384" i="1"/>
  <c r="Q336" i="1"/>
  <c r="Q278" i="1"/>
  <c r="Q408" i="1"/>
  <c r="Q348" i="1"/>
  <c r="Q295" i="1"/>
  <c r="Q243" i="1"/>
  <c r="Q392" i="1"/>
  <c r="Q349" i="1"/>
  <c r="Q276" i="1"/>
  <c r="Q431" i="1"/>
  <c r="Q380" i="1"/>
  <c r="Q400" i="1"/>
  <c r="Q364" i="1"/>
  <c r="Q250" i="1"/>
  <c r="Q421" i="1"/>
  <c r="Q319" i="1"/>
  <c r="Q428" i="1"/>
  <c r="Q244" i="1"/>
  <c r="Q351" i="1"/>
  <c r="Q269" i="1"/>
  <c r="Q315" i="1"/>
  <c r="Q366" i="1"/>
  <c r="Q357" i="1"/>
  <c r="Q306" i="1"/>
  <c r="Q291" i="1"/>
  <c r="Q407" i="1"/>
  <c r="Q266" i="1"/>
  <c r="Q281" i="1"/>
  <c r="Q412" i="1"/>
  <c r="Q361" i="1"/>
  <c r="Q271" i="1"/>
  <c r="Q282" i="1"/>
  <c r="Q248" i="1"/>
  <c r="Q406" i="1"/>
  <c r="Q377" i="1"/>
  <c r="Q245" i="1"/>
  <c r="Q387" i="1"/>
  <c r="Q239" i="1"/>
  <c r="Q420" i="1"/>
  <c r="Q322" i="1"/>
  <c r="Q393" i="1"/>
  <c r="Q312" i="1"/>
  <c r="Q305" i="1"/>
  <c r="Q362" i="1"/>
  <c r="Q415" i="1"/>
  <c r="Q405" i="1"/>
  <c r="Q342" i="1"/>
  <c r="Q311" i="1"/>
  <c r="Q249" i="1"/>
  <c r="Q331" i="1"/>
  <c r="Q416" i="1"/>
  <c r="Q303" i="1"/>
  <c r="Q256" i="1"/>
  <c r="Q365" i="1"/>
  <c r="Q267" i="1"/>
  <c r="Q395" i="1"/>
  <c r="Q270" i="1"/>
  <c r="Q257" i="1"/>
  <c r="Q413" i="1"/>
  <c r="Q314" i="1"/>
  <c r="Q264" i="1"/>
  <c r="Q297" i="1"/>
  <c r="Q374" i="1"/>
  <c r="Q372" i="1"/>
  <c r="Q254" i="1"/>
  <c r="Q347" i="1"/>
  <c r="Q356" i="1"/>
  <c r="Q424" i="1"/>
  <c r="Q294" i="1"/>
  <c r="Q430" i="1"/>
  <c r="Q411" i="1"/>
  <c r="Q382" i="1"/>
  <c r="Q274" i="1"/>
  <c r="Q313" i="1"/>
  <c r="Q419" i="1"/>
  <c r="Q275" i="1"/>
  <c r="Q397" i="1"/>
  <c r="Q288" i="1"/>
  <c r="Q409" i="1"/>
  <c r="Q341" i="1"/>
  <c r="Q299" i="1"/>
  <c r="Q252" i="1"/>
  <c r="Q316" i="1"/>
  <c r="Q300" i="1"/>
  <c r="Q290" i="1"/>
  <c r="Q427" i="1"/>
  <c r="Q263" i="1"/>
  <c r="Q298" i="1"/>
  <c r="Q390" i="1"/>
  <c r="Q262" i="1"/>
  <c r="Q358" i="1"/>
  <c r="Q310" i="1"/>
  <c r="Q403" i="1"/>
  <c r="Q426" i="1"/>
  <c r="Q284" i="1"/>
  <c r="Q251" i="1"/>
  <c r="Q259" i="1"/>
  <c r="Q301" i="1"/>
  <c r="Q337" i="1"/>
  <c r="Q289" i="1"/>
  <c r="Q261" i="1"/>
  <c r="Q429" i="1"/>
  <c r="Q399" i="1"/>
  <c r="Q324" i="1"/>
  <c r="Q436" i="1"/>
  <c r="Q435" i="1"/>
  <c r="Q418" i="1"/>
  <c r="Q280" i="1"/>
  <c r="Q340" i="1"/>
  <c r="Q320" i="1"/>
  <c r="Q343" i="1"/>
  <c r="Q233" i="1"/>
  <c r="Q234" i="1"/>
  <c r="Q309" i="1"/>
  <c r="Q260" i="1"/>
  <c r="Q332" i="1"/>
  <c r="Q265" i="1"/>
  <c r="Q279" i="1"/>
  <c r="Q437" i="1"/>
  <c r="Q287" i="1"/>
  <c r="Q292" i="1"/>
  <c r="Q386" i="1"/>
  <c r="Q317" i="1"/>
  <c r="Q321" i="1"/>
  <c r="Q432" i="1"/>
  <c r="Q391" i="1"/>
  <c r="Q434" i="1"/>
  <c r="Q402" i="1"/>
  <c r="Q433" i="1"/>
  <c r="Q213" i="1"/>
  <c r="Q212" i="1"/>
  <c r="Q385" i="1"/>
  <c r="Q329" i="1"/>
  <c r="Q396" i="1"/>
  <c r="Q394" i="1"/>
  <c r="Q360" i="1"/>
  <c r="Q326" i="1"/>
  <c r="Q422" i="1"/>
  <c r="Q272" i="1"/>
  <c r="Q369" i="1"/>
  <c r="Q404" i="1"/>
  <c r="Q375" i="1"/>
  <c r="Q293" i="1"/>
  <c r="Q327" i="1"/>
  <c r="Q238" i="1"/>
  <c r="Q359" i="1"/>
  <c r="Q389" i="1"/>
  <c r="Q363" i="1"/>
  <c r="Q273" i="1"/>
  <c r="Q417" i="1"/>
  <c r="Q425" i="1"/>
  <c r="Q330" i="1"/>
  <c r="Q247" i="1"/>
  <c r="Q373" i="1"/>
  <c r="Q240" i="1"/>
  <c r="Q354" i="1"/>
  <c r="Q414" i="1"/>
  <c r="Q268" i="1"/>
  <c r="Q237" i="1"/>
  <c r="Q258" i="1"/>
  <c r="Q383" i="1"/>
  <c r="Q381" i="1"/>
  <c r="Q296" i="1"/>
  <c r="Q401" i="1"/>
  <c r="Q334" i="1"/>
  <c r="C17" i="6"/>
  <c r="C11" i="6"/>
  <c r="B18" i="6"/>
  <c r="Q338" i="1"/>
  <c r="Q255" i="1"/>
  <c r="Q398" i="1"/>
  <c r="Q308" i="1"/>
  <c r="Q323" i="1"/>
  <c r="Q285" i="1"/>
  <c r="Q388" i="1"/>
  <c r="Q355" i="1"/>
  <c r="Q344" i="1"/>
  <c r="Q352" i="1"/>
  <c r="Q368" i="1"/>
  <c r="Q376" i="1"/>
  <c r="Q246" i="1"/>
  <c r="Q370" i="1"/>
  <c r="Q318" i="1"/>
  <c r="Q346" i="1"/>
  <c r="Q325" i="1"/>
  <c r="Q379" i="1"/>
  <c r="Q350" i="1"/>
  <c r="Q302" i="1"/>
  <c r="Q353" i="1"/>
  <c r="Q304" i="1"/>
  <c r="C5" i="6" l="1"/>
  <c r="C4" i="6" s="1"/>
  <c r="C6" i="6"/>
</calcChain>
</file>

<file path=xl/sharedStrings.xml><?xml version="1.0" encoding="utf-8"?>
<sst xmlns="http://schemas.openxmlformats.org/spreadsheetml/2006/main" count="3036" uniqueCount="1762">
  <si>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</si>
  <si>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</si>
  <si>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</si>
  <si>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</si>
  <si>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</si>
  <si>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</si>
  <si>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</si>
  <si>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</si>
  <si>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</si>
  <si>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</si>
  <si>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</si>
  <si>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</si>
  <si>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</si>
  <si>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</si>
  <si>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</si>
  <si>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</si>
  <si>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</si>
  <si>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</si>
  <si>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</si>
  <si>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</si>
  <si>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</si>
  <si>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</si>
  <si>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</si>
  <si>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</si>
  <si>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</si>
  <si>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</si>
  <si>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</si>
  <si>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</si>
  <si>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</si>
  <si>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</si>
  <si>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</si>
  <si>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</si>
  <si>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</si>
  <si>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</si>
  <si>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</si>
  <si>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</si>
  <si>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</si>
  <si>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</si>
  <si>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</si>
  <si>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</si>
  <si>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</si>
  <si>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</si>
  <si>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</si>
  <si>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</si>
  <si>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</si>
  <si>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</si>
  <si>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</si>
  <si>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</si>
  <si>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</si>
  <si>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</si>
  <si>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</si>
  <si>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</si>
  <si>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</si>
  <si>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</si>
  <si>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</si>
  <si>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</si>
  <si>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</si>
  <si>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</si>
  <si>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</si>
  <si>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</si>
  <si>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</si>
  <si>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</si>
  <si>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</si>
  <si>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Kanari Niito</t>
    <phoneticPr fontId="1"/>
  </si>
  <si>
    <t>https://bowlroll.net/user/852117/files</t>
    <phoneticPr fontId="1"/>
  </si>
  <si>
    <t>#きのみあーと</t>
    <phoneticPr fontId="1"/>
  </si>
  <si>
    <t>キ音キネ</t>
    <phoneticPr fontId="1"/>
  </si>
  <si>
    <t>きね きね</t>
    <phoneticPr fontId="1"/>
  </si>
  <si>
    <t>Kine kine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</si>
  <si>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</si>
  <si>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</si>
  <si>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</si>
  <si>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</si>
  <si>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</si>
  <si>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</si>
  <si>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</si>
  <si>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</si>
  <si>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</si>
  <si>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</si>
  <si>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</si>
  <si>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</si>
  <si>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</si>
  <si>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</si>
  <si>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</si>
  <si>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</si>
  <si>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</si>
  <si>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</si>
  <si>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</si>
  <si>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</si>
  <si>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</si>
  <si>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</si>
  <si>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</si>
  <si>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</si>
  <si>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</si>
  <si>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</si>
  <si>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</si>
  <si>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</si>
  <si>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</si>
  <si>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</si>
  <si>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</si>
  <si>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</si>
  <si>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</si>
  <si>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</si>
  <si>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</si>
  <si>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</si>
  <si>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</si>
  <si>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</si>
  <si>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</si>
  <si>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</si>
  <si>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</si>
  <si>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</si>
  <si>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</si>
  <si>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</si>
  <si>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</si>
  <si>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</si>
  <si>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</si>
  <si>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</si>
  <si>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</si>
  <si>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</si>
  <si>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</si>
  <si>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</si>
  <si>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</si>
  <si>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</si>
  <si>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</si>
  <si>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</si>
  <si>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</si>
  <si>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</si>
  <si>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</si>
  <si>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</si>
  <si>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</si>
  <si>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</si>
  <si>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</si>
  <si>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</si>
  <si>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</si>
  <si>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</si>
  <si>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</si>
  <si>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</si>
  <si>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</si>
  <si>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</si>
  <si>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</si>
  <si>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</si>
  <si>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</si>
  <si>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</si>
  <si>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</si>
  <si>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</si>
  <si>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</si>
  <si>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</si>
  <si>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</si>
  <si>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</si>
  <si>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</si>
  <si>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</si>
  <si>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</si>
  <si>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</si>
  <si>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</si>
  <si>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</si>
  <si>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</si>
  <si>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</si>
  <si>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</si>
  <si>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</si>
  <si>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</si>
  <si>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</si>
  <si>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</si>
  <si>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</si>
  <si>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</si>
  <si>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</si>
  <si>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</si>
  <si>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</si>
  <si>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</si>
  <si>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</si>
  <si>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</si>
  <si>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</si>
  <si>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</si>
  <si>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</si>
  <si>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</si>
  <si>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</si>
  <si>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</si>
  <si>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</si>
  <si>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</si>
  <si>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</si>
  <si>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</si>
  <si>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</si>
  <si>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</si>
  <si>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</si>
  <si>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</si>
  <si>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</si>
  <si>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</si>
  <si>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</si>
  <si>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</si>
  <si>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</si>
  <si>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</si>
  <si>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</si>
  <si>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</si>
  <si>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</si>
  <si>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</si>
  <si>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</si>
  <si>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</si>
  <si>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</si>
  <si>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</si>
  <si>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</si>
  <si>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</si>
  <si>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</si>
  <si>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</si>
  <si>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</si>
  <si>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</si>
  <si>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</si>
  <si>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</si>
  <si>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</si>
  <si>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</si>
  <si>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</si>
  <si>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</si>
  <si>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</si>
  <si>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</si>
  <si>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</si>
  <si>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</si>
  <si>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</si>
  <si>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</si>
  <si>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</si>
  <si>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</si>
  <si>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</si>
  <si>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</si>
  <si>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</si>
  <si>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</si>
  <si>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</si>
  <si>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</si>
  <si>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</si>
  <si>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</si>
  <si>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</si>
  <si>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</si>
  <si>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</si>
  <si>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</si>
  <si>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</si>
  <si>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</si>
  <si>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</si>
  <si>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</si>
  <si>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</si>
  <si>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</si>
  <si>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</si>
  <si>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</si>
  <si>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</si>
  <si>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</si>
  <si>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</si>
  <si>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</si>
  <si>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</si>
  <si>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</si>
  <si>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</si>
  <si>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</si>
  <si>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</si>
  <si>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</si>
  <si>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</si>
  <si>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</si>
  <si>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</si>
  <si>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</si>
  <si>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</si>
  <si>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</si>
  <si>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</si>
  <si>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</si>
  <si>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</si>
  <si>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</si>
  <si>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</si>
  <si>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</si>
  <si>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</si>
  <si>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</si>
  <si>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</si>
  <si>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</si>
  <si>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</si>
  <si>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</si>
  <si>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</si>
  <si>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</si>
  <si>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</si>
  <si>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</si>
  <si>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</si>
  <si>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</si>
  <si>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</si>
  <si>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</si>
  <si>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</si>
  <si>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</si>
  <si>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</si>
  <si>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</si>
  <si>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</si>
  <si>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</si>
  <si>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</si>
  <si>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</si>
  <si>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</si>
  <si>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</si>
  <si>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</si>
  <si>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</si>
  <si>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</si>
  <si>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</si>
  <si>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</si>
  <si>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</si>
  <si>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</si>
  <si>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</si>
  <si>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</si>
  <si>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</si>
  <si>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</si>
  <si>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</si>
  <si>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</si>
  <si>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</si>
  <si>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</si>
  <si>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</si>
  <si>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</si>
  <si>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</si>
  <si>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</si>
  <si>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</si>
  <si>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</si>
  <si>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</si>
  <si>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</si>
  <si>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</si>
  <si>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</si>
  <si>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</si>
  <si>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</si>
  <si>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</si>
  <si>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</si>
  <si>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</si>
  <si>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</si>
  <si>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</si>
  <si>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</si>
  <si>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</si>
  <si>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</si>
  <si>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</si>
  <si>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</si>
  <si>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</si>
  <si>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</si>
  <si>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</si>
  <si>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</si>
  <si>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</si>
  <si>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</si>
  <si>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</si>
  <si>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</si>
  <si>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</si>
  <si>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</si>
  <si>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</si>
  <si>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</si>
  <si>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</si>
  <si>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</si>
  <si>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</si>
  <si>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</si>
  <si>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</si>
  <si>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</si>
  <si>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</si>
  <si>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</si>
  <si>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</si>
  <si>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</si>
  <si>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</si>
  <si>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</si>
  <si>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</si>
  <si>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</si>
  <si>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</si>
  <si>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</si>
  <si>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</si>
  <si>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</si>
  <si>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</si>
  <si>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</si>
  <si>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</si>
  <si>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</si>
  <si>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</si>
  <si>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</si>
  <si>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</si>
  <si>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</si>
  <si>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</si>
  <si>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</si>
  <si>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</si>
  <si>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</si>
  <si>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</si>
  <si>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</si>
  <si>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</si>
  <si>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</si>
  <si>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</si>
  <si>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</si>
  <si>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</si>
  <si>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</si>
  <si>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</si>
  <si>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</si>
  <si>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</si>
  <si>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</si>
  <si>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</si>
  <si>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</si>
  <si>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</si>
  <si>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</si>
  <si>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</si>
  <si>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</si>
  <si>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</si>
  <si>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</si>
  <si>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</si>
  <si>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</si>
  <si>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</si>
  <si>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</si>
  <si>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</si>
  <si>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</si>
  <si>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</si>
  <si>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</si>
  <si>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</si>
  <si>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</si>
  <si>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</si>
  <si>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</si>
  <si>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</si>
  <si>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</si>
  <si>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</si>
  <si>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</si>
  <si>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</si>
  <si>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</si>
  <si>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</si>
  <si>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</si>
  <si>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</si>
  <si>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</si>
  <si>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</si>
  <si>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</si>
  <si>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</si>
  <si>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</si>
  <si>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</si>
  <si>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</si>
  <si>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</si>
  <si>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</si>
  <si>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</si>
  <si>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</si>
  <si>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</si>
  <si>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</si>
  <si>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</si>
  <si>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</si>
  <si>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</si>
  <si>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</si>
  <si>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</si>
  <si>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</si>
  <si>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</si>
  <si>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</si>
  <si>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</si>
  <si>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</si>
  <si>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</si>
  <si>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</si>
  <si>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</si>
  <si>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</si>
  <si>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</si>
  <si>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</si>
  <si>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</si>
  <si>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</si>
  <si>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</si>
  <si>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</si>
  <si>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</si>
  <si>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</si>
  <si>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</si>
  <si>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</si>
  <si>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</si>
  <si>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</si>
  <si>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</si>
  <si>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</si>
  <si>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</si>
  <si>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</si>
  <si>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</si>
  <si>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</si>
  <si>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</si>
  <si>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</si>
  <si>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</si>
  <si>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</si>
  <si>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</si>
  <si>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</si>
  <si>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</si>
  <si>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</si>
  <si>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</si>
  <si>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</si>
  <si>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</si>
  <si>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</si>
  <si>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</si>
  <si>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</si>
  <si>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</si>
  <si>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</si>
  <si>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</si>
  <si>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</si>
  <si>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</si>
  <si>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</si>
  <si>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</si>
  <si>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</si>
  <si>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</si>
  <si>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</si>
  <si>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</si>
  <si>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</si>
  <si>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</si>
  <si>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</si>
  <si>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</si>
  <si>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</si>
  <si>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</si>
  <si>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</si>
  <si>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</si>
  <si>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</si>
  <si>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</si>
  <si>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</si>
  <si>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</si>
  <si>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</si>
  <si>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</si>
  <si>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</si>
  <si>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</si>
  <si>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</si>
  <si>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</si>
  <si>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</si>
  <si>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</si>
  <si>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</si>
  <si>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</si>
  <si>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</si>
  <si>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</si>
  <si>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</si>
  <si>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</si>
  <si>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</si>
  <si>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</si>
  <si>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</si>
  <si>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</si>
  <si>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</si>
  <si>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</si>
  <si>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</si>
  <si>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</si>
  <si>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</si>
  <si>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</si>
  <si>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</si>
  <si>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</si>
  <si>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</si>
  <si>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</si>
  <si>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</si>
  <si>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</si>
  <si>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</si>
  <si>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</si>
  <si>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</si>
  <si>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</si>
  <si>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</si>
  <si>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</si>
  <si>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</si>
  <si>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</si>
  <si>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</si>
  <si>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</si>
  <si>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</si>
  <si>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</si>
  <si>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</si>
  <si>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</si>
  <si>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</si>
  <si>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</si>
  <si>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</si>
  <si>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</si>
  <si>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</si>
  <si>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</si>
  <si>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</si>
  <si>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</si>
  <si>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</si>
  <si>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</si>
  <si>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</si>
  <si>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</si>
  <si>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</si>
  <si>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</si>
  <si>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</si>
  <si>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</si>
  <si>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</si>
  <si>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</si>
  <si>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</si>
  <si>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</si>
  <si>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</si>
  <si>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</si>
  <si>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</si>
  <si>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</si>
  <si>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</si>
  <si>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</si>
  <si>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</si>
  <si>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</si>
  <si>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</si>
  <si>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</si>
  <si>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</si>
  <si>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</si>
  <si>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</si>
  <si>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</si>
  <si>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</si>
  <si>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</si>
  <si>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</si>
  <si>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</si>
  <si>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</si>
  <si>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</si>
  <si>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</si>
  <si>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</si>
  <si>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</si>
  <si>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</si>
  <si>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</si>
  <si>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</si>
  <si>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</si>
  <si>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</si>
  <si>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</si>
  <si>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</si>
  <si>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</si>
  <si>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</si>
  <si>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</si>
  <si>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</si>
  <si>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</si>
  <si>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</si>
  <si>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</si>
  <si>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</si>
  <si>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</si>
  <si>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</si>
  <si>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</si>
  <si>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</si>
  <si>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</si>
  <si>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</si>
  <si>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</si>
  <si>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</si>
  <si>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</si>
  <si>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</si>
  <si>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</si>
  <si>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</si>
  <si>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</si>
  <si>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</si>
  <si>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</si>
  <si>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</si>
  <si>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</si>
  <si>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</si>
  <si>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</si>
  <si>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</si>
  <si>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</si>
  <si>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</si>
  <si>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</si>
  <si>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</si>
  <si>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</si>
  <si>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</si>
  <si>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</si>
  <si>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</si>
  <si>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</si>
  <si>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</si>
  <si>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</si>
  <si>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</si>
  <si>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</si>
  <si>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</si>
  <si>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</si>
  <si>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</si>
  <si>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</si>
  <si>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</si>
  <si>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</si>
  <si>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</si>
  <si>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</si>
  <si>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</si>
  <si>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</si>
  <si>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</si>
  <si>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</si>
  <si>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</si>
  <si>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</si>
  <si>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</si>
  <si>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</si>
  <si>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</si>
  <si>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</si>
  <si>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</si>
  <si>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</si>
  <si>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</si>
  <si>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</si>
  <si>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</si>
  <si>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</si>
  <si>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</si>
  <si>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</si>
  <si>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</si>
  <si>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</si>
  <si>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</si>
  <si>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</si>
  <si>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</si>
  <si>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</si>
  <si>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</si>
  <si>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</si>
  <si>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</si>
  <si>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</si>
  <si>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</si>
  <si>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</si>
  <si>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</si>
  <si>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</si>
  <si>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</si>
  <si>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</si>
  <si>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</si>
  <si>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</si>
  <si>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</si>
  <si>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</si>
  <si>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</si>
  <si>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</si>
  <si>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</si>
  <si>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</si>
  <si>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</si>
  <si>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</si>
  <si>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</si>
  <si>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</si>
  <si>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</si>
  <si>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</si>
  <si>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</si>
  <si>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</si>
  <si>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</si>
  <si>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</si>
  <si>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</si>
  <si>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</si>
  <si>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</si>
  <si>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</si>
  <si>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</si>
  <si>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</si>
  <si>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</si>
  <si>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</si>
  <si>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</si>
  <si>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</si>
  <si>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</si>
  <si>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</si>
  <si>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</si>
  <si>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</si>
  <si>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</si>
  <si>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</si>
  <si>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</si>
  <si>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</si>
  <si>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</si>
  <si>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</si>
  <si>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</si>
  <si>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</si>
  <si>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</si>
  <si>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</si>
  <si>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</si>
  <si>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</si>
  <si>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</si>
  <si>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</si>
  <si>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</si>
  <si>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</si>
  <si>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</si>
  <si>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</si>
  <si>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</si>
  <si>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</si>
  <si>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</si>
  <si>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</si>
  <si>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</si>
  <si>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</si>
  <si>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</si>
  <si>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</si>
  <si>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</si>
  <si>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</si>
  <si>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</si>
  <si>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</si>
  <si>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</si>
  <si>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</si>
  <si>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</si>
  <si>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</si>
  <si>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</si>
  <si>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</si>
  <si>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</si>
  <si>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</si>
  <si>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</si>
  <si>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</si>
  <si>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</si>
  <si>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</si>
  <si>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</si>
  <si>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</si>
  <si>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</si>
  <si>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</si>
  <si>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</si>
  <si>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</si>
  <si>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</si>
  <si>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</si>
  <si>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</si>
  <si>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</si>
  <si>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</si>
  <si>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</si>
  <si>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</si>
  <si>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</si>
  <si>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</si>
  <si>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</si>
  <si>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</si>
  <si>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</si>
  <si>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</si>
  <si>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</si>
  <si>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</si>
  <si>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</si>
  <si>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</si>
  <si>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</si>
  <si>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</si>
  <si>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</si>
  <si>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</si>
  <si>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</si>
  <si>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</si>
  <si>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</si>
  <si>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</si>
  <si>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</si>
  <si>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</si>
  <si>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</si>
  <si>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</si>
  <si>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</si>
  <si>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</si>
  <si>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</si>
  <si>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</si>
  <si>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</si>
  <si>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</si>
  <si>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</si>
  <si>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</si>
  <si>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</si>
  <si>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</si>
  <si>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</si>
  <si>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</si>
  <si>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</si>
  <si>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</si>
  <si>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</si>
  <si>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</si>
  <si>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</si>
  <si>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</si>
  <si>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</si>
  <si>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</si>
  <si>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</si>
  <si>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</si>
  <si>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</si>
  <si>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</si>
  <si>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</si>
  <si>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</si>
  <si>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</si>
  <si>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</si>
  <si>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</si>
  <si>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</si>
  <si>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</si>
  <si>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</si>
  <si>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</si>
  <si>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</si>
  <si>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</si>
  <si>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</si>
  <si>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</si>
  <si>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</si>
  <si>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</si>
  <si>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</si>
  <si>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</si>
  <si>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</si>
  <si>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</si>
  <si>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</si>
  <si>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</si>
  <si>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</si>
  <si>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</si>
  <si>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</si>
  <si>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</si>
  <si>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</si>
  <si>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</si>
  <si>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</si>
  <si>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</si>
  <si>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</si>
  <si>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</si>
  <si>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</si>
  <si>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</si>
  <si>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</si>
  <si>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</si>
  <si>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</si>
  <si>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</si>
  <si>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</si>
  <si>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</si>
  <si>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</si>
  <si>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</si>
  <si>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</si>
  <si>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</si>
  <si>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</si>
  <si>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</si>
  <si>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</si>
  <si>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</si>
  <si>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</si>
  <si>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</si>
  <si>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</si>
  <si>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</si>
  <si>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</si>
  <si>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</si>
  <si>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</si>
  <si>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</si>
  <si>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</si>
  <si>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</si>
  <si>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</si>
  <si>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</si>
  <si>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</si>
  <si>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</si>
  <si>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</si>
  <si>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</si>
  <si>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</si>
  <si>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</si>
  <si>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</si>
  <si>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</si>
  <si>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</si>
  <si>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</si>
  <si>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</si>
  <si>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</si>
  <si>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</si>
  <si>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</si>
  <si>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</si>
  <si>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</si>
  <si>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</si>
  <si>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</si>
  <si>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</si>
  <si>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</si>
  <si>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</si>
  <si>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</si>
  <si>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</si>
  <si>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</si>
  <si>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</si>
  <si>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</si>
  <si>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</si>
  <si>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</si>
  <si>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</si>
  <si>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</si>
  <si>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</si>
  <si>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</si>
  <si>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</si>
  <si>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</si>
  <si>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</si>
  <si>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</si>
  <si>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</si>
  <si>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</si>
  <si>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</si>
  <si>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</si>
  <si>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</si>
  <si>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</si>
  <si>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</si>
  <si>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</si>
  <si>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</si>
  <si>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</si>
  <si>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</si>
  <si>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</si>
  <si>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</si>
  <si>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</si>
  <si>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</si>
  <si>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</si>
  <si>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</si>
  <si>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</si>
  <si>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</si>
  <si>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</si>
  <si>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</si>
  <si>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</si>
  <si>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</si>
  <si>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</si>
  <si>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</si>
  <si>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</si>
  <si>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</si>
  <si>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</si>
  <si>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</si>
  <si>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</si>
  <si>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</si>
  <si>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</si>
  <si>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</si>
  <si>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</si>
  <si>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</si>
  <si>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</si>
  <si>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</si>
  <si>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</si>
  <si>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</si>
  <si>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</si>
  <si>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</si>
  <si>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</si>
  <si>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</si>
  <si>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</si>
  <si>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</si>
  <si>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</si>
  <si>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</si>
  <si>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</si>
  <si>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</si>
  <si>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</si>
  <si>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</si>
  <si>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</si>
  <si>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</si>
  <si>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</si>
  <si>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</si>
  <si>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</si>
  <si>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</si>
  <si>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</si>
  <si>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</si>
  <si>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</si>
  <si>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</si>
  <si>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</si>
  <si>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</si>
  <si>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</si>
  <si>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</si>
  <si>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</si>
  <si>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</si>
  <si>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</si>
  <si>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</si>
  <si>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</si>
  <si>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</si>
  <si>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</si>
  <si>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</si>
  <si>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</si>
  <si>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</si>
  <si>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</si>
  <si>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</si>
  <si>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</si>
  <si>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</si>
  <si>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</si>
  <si>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</si>
  <si>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</si>
  <si>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</si>
  <si>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</si>
  <si>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</si>
  <si>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</si>
  <si>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</si>
  <si>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</si>
  <si>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</si>
  <si>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</si>
  <si>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</si>
  <si>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</si>
  <si>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</si>
  <si>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</si>
  <si>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</si>
  <si>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</si>
  <si>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</si>
  <si>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</si>
  <si>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</si>
  <si>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</si>
  <si>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</si>
  <si>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</si>
  <si>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</si>
  <si>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</si>
  <si>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</si>
  <si>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</si>
  <si>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</si>
  <si>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</si>
  <si>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</si>
  <si>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</si>
  <si>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</si>
  <si>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</si>
  <si>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</si>
  <si>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</si>
  <si>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</si>
  <si>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</si>
  <si>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</si>
  <si>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Ufuro Johomau Shifusho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</si>
  <si>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</si>
  <si>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</si>
  <si>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</si>
  <si>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</si>
  <si>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</si>
  <si>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</si>
  <si>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</si>
  <si>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</si>
  <si>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</si>
  <si>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</si>
  <si>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</si>
  <si>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</si>
  <si>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</si>
  <si>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</si>
  <si>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</si>
  <si>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</si>
  <si>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</si>
  <si>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</si>
  <si>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</si>
  <si>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</si>
  <si>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</si>
  <si>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</si>
  <si>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</si>
  <si>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</si>
  <si>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</si>
  <si>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</si>
  <si>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</si>
  <si>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</si>
  <si>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</si>
  <si>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</si>
  <si>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</si>
  <si>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</si>
  <si>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</si>
  <si>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</si>
  <si>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</si>
  <si>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</si>
  <si>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</si>
  <si>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</si>
  <si>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</si>
  <si>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</si>
  <si>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</si>
  <si>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</si>
  <si>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</si>
  <si>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</si>
  <si>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</si>
  <si>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</si>
  <si>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</si>
  <si>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</si>
  <si>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</si>
  <si>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</si>
  <si>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</si>
  <si>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</si>
  <si>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</si>
  <si>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</si>
  <si>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</si>
  <si>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</si>
  <si>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</si>
  <si>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</si>
  <si>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</si>
  <si>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</si>
  <si>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</si>
  <si>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</si>
  <si>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</si>
  <si>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</si>
  <si>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</si>
  <si>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</si>
  <si>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</si>
  <si>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</si>
  <si>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</si>
  <si>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</si>
  <si>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</si>
  <si>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</si>
  <si>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</si>
  <si>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</si>
  <si>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</si>
  <si>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</si>
  <si>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</si>
  <si>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</si>
  <si>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</si>
  <si>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</si>
  <si>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</si>
  <si>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</si>
  <si>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</si>
  <si>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</si>
  <si>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</si>
  <si>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</si>
  <si>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</si>
  <si>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</si>
  <si>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</si>
  <si>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</si>
  <si>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</si>
  <si>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</si>
  <si>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</si>
  <si>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</si>
  <si>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</si>
  <si>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</si>
  <si>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</si>
  <si>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</si>
  <si>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</si>
  <si>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</si>
  <si>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</si>
  <si>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</si>
  <si>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</si>
  <si>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</si>
  <si>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</si>
  <si>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</si>
  <si>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</si>
  <si>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</si>
  <si>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</si>
  <si>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</si>
  <si>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</si>
  <si>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</si>
  <si>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</si>
  <si>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</si>
  <si>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</si>
  <si>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</si>
  <si>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</si>
  <si>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</si>
  <si>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</si>
  <si>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</si>
  <si>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</si>
  <si>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</si>
  <si>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</si>
  <si>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</si>
  <si>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</si>
  <si>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</si>
  <si>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</si>
  <si>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</si>
  <si>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</si>
  <si>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</si>
  <si>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</si>
  <si>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</si>
  <si>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</si>
  <si>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</si>
  <si>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</si>
  <si>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</si>
  <si>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</si>
  <si>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</si>
  <si>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</si>
  <si>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</si>
  <si>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</si>
  <si>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</si>
  <si>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</si>
  <si>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</si>
  <si>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</si>
  <si>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</si>
  <si>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</si>
  <si>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</si>
  <si>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</si>
  <si>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</si>
  <si>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</si>
  <si>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</si>
  <si>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</si>
  <si>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</si>
  <si>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</si>
  <si>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</si>
  <si>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</si>
  <si>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</si>
  <si>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</si>
  <si>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</si>
  <si>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</si>
  <si>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</si>
  <si>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</si>
  <si>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ヒナキ</t>
    <phoneticPr fontId="1"/>
  </si>
  <si>
    <t>ひなき</t>
    <phoneticPr fontId="1"/>
  </si>
  <si>
    <t>Hinaki</t>
    <phoneticPr fontId="1"/>
  </si>
  <si>
    <t>シラユキ</t>
    <phoneticPr fontId="1"/>
  </si>
  <si>
    <t>しらゆき</t>
    <phoneticPr fontId="1"/>
  </si>
  <si>
    <t>Shirayuki</t>
    <phoneticPr fontId="1"/>
  </si>
  <si>
    <t>アメイズ</t>
    <phoneticPr fontId="1"/>
  </si>
  <si>
    <t>Amaze</t>
    <phoneticPr fontId="1"/>
  </si>
  <si>
    <t>あめいず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</si>
  <si>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</si>
  <si>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</si>
  <si>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</si>
  <si>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</si>
  <si>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</si>
  <si>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</si>
  <si>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</si>
  <si>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</si>
  <si>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</si>
  <si>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</si>
  <si>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</si>
  <si>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</si>
  <si>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</si>
  <si>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</si>
  <si>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</si>
  <si>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</si>
  <si>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</si>
  <si>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</si>
  <si>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</si>
  <si>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</si>
  <si>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</si>
  <si>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</si>
  <si>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</si>
  <si>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</si>
  <si>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</si>
  <si>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</si>
  <si>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</si>
  <si>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</si>
  <si>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</si>
  <si>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</si>
  <si>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</si>
  <si>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</si>
  <si>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</si>
  <si>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</si>
  <si>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</si>
  <si>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</si>
  <si>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</si>
  <si>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</si>
  <si>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</si>
  <si>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</si>
  <si>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</si>
  <si>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</si>
  <si>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</si>
  <si>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</si>
  <si>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</si>
  <si>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</si>
  <si>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</si>
  <si>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</si>
  <si>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</si>
  <si>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</si>
  <si>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</si>
  <si>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</si>
  <si>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</si>
  <si>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</si>
  <si>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</si>
  <si>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</si>
  <si>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</si>
  <si>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</si>
  <si>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</si>
  <si>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</si>
  <si>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</si>
  <si>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</si>
  <si>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</si>
  <si>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</si>
  <si>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</si>
  <si>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</si>
  <si>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</si>
  <si>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</si>
  <si>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</si>
  <si>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</si>
  <si>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</si>
  <si>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</si>
  <si>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</si>
  <si>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</si>
  <si>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</si>
  <si>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</si>
  <si>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</si>
  <si>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</si>
  <si>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</si>
  <si>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</si>
  <si>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</si>
  <si>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</si>
  <si>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</si>
  <si>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</si>
  <si>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</si>
  <si>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</si>
  <si>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</si>
  <si>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</si>
  <si>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さかき れお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</si>
  <si>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</si>
  <si>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</si>
  <si>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</si>
  <si>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</si>
  <si>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</si>
  <si>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</si>
  <si>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</si>
  <si>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</si>
  <si>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</si>
  <si>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</si>
  <si>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</si>
  <si>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</si>
  <si>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</si>
  <si>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</si>
  <si>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</si>
  <si>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</si>
  <si>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</si>
  <si>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</si>
  <si>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</si>
  <si>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</si>
  <si>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</si>
  <si>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</si>
  <si>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</si>
  <si>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</si>
  <si>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</si>
  <si>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</si>
  <si>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</si>
  <si>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</si>
  <si>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</si>
  <si>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</si>
  <si>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</si>
  <si>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</si>
  <si>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</si>
  <si>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</si>
  <si>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</si>
  <si>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</si>
  <si>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</si>
  <si>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</si>
  <si>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</si>
  <si>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</si>
  <si>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</si>
  <si>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</si>
  <si>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</si>
  <si>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</si>
  <si>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</si>
  <si>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</si>
  <si>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</si>
  <si>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</si>
  <si>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</si>
  <si>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</si>
  <si>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</si>
  <si>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</si>
  <si>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</si>
  <si>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</si>
  <si>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</si>
  <si>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</si>
  <si>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</si>
  <si>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</si>
  <si>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</si>
  <si>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</si>
  <si>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</si>
  <si>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</si>
  <si>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</si>
  <si>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</si>
  <si>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</si>
  <si>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</si>
  <si>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</si>
  <si>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</si>
  <si>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</si>
  <si>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</si>
  <si>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</si>
  <si>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</si>
  <si>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</si>
  <si>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</si>
  <si>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</si>
  <si>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</si>
  <si>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</si>
  <si>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</si>
  <si>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</si>
  <si>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</si>
  <si>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</si>
  <si>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</si>
  <si>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</si>
  <si>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</si>
  <si>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</si>
  <si>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</si>
  <si>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</si>
  <si>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</si>
  <si>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</si>
  <si>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</si>
  <si>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</si>
  <si>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</si>
  <si>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</si>
  <si>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</si>
  <si>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</si>
  <si>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</si>
  <si>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</si>
  <si>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</si>
  <si>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</si>
  <si>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</si>
  <si>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</si>
  <si>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</si>
  <si>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</si>
  <si>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</si>
  <si>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</si>
  <si>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</si>
  <si>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</si>
  <si>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</si>
  <si>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</si>
  <si>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</si>
  <si>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</si>
  <si>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</si>
  <si>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</si>
  <si>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</si>
  <si>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</si>
  <si>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</si>
  <si>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</si>
  <si>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</si>
  <si>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</si>
  <si>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</si>
  <si>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</si>
  <si>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</si>
  <si>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</si>
  <si>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</si>
  <si>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</si>
  <si>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</si>
  <si>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</si>
  <si>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</si>
  <si>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</si>
  <si>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</si>
  <si>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</si>
  <si>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</si>
  <si>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</si>
  <si>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</si>
  <si>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</si>
  <si>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</si>
  <si>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</si>
  <si>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</si>
  <si>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</si>
  <si>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</si>
  <si>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</si>
  <si>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</si>
  <si>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</si>
  <si>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</si>
  <si>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</si>
  <si>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</si>
  <si>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</si>
  <si>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</si>
  <si>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</si>
  <si>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</si>
  <si>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</si>
  <si>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</si>
  <si>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</si>
  <si>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</si>
  <si>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</si>
  <si>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</si>
  <si>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</si>
  <si>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</si>
  <si>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</si>
  <si>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</si>
  <si>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</si>
  <si>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</si>
  <si>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</si>
  <si>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</si>
  <si>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</si>
  <si>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</si>
  <si>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</si>
  <si>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</si>
  <si>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</si>
  <si>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</si>
  <si>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</si>
  <si>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</si>
  <si>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</si>
  <si>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</si>
  <si>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</si>
  <si>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</si>
  <si>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</si>
  <si>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</si>
  <si>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</si>
  <si>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</si>
  <si>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</si>
  <si>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</si>
  <si>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</si>
  <si>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</si>
  <si>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</si>
  <si>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</si>
  <si>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</si>
  <si>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</si>
  <si>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</si>
  <si>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</si>
  <si>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</si>
  <si>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</si>
  <si>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</si>
  <si>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</si>
  <si>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</si>
  <si>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</si>
  <si>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</si>
  <si>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</si>
  <si>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</si>
  <si>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</si>
  <si>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</si>
  <si>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</si>
  <si>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</si>
  <si>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</si>
  <si>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</si>
  <si>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</si>
  <si>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</si>
  <si>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</si>
  <si>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</si>
  <si>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</si>
  <si>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</si>
  <si>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</si>
  <si>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</si>
  <si>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</si>
  <si>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</si>
  <si>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</si>
  <si>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</si>
  <si>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</si>
  <si>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</si>
  <si>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</si>
  <si>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</si>
  <si>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</si>
  <si>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</si>
  <si>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</si>
  <si>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</si>
  <si>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</si>
  <si>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</si>
  <si>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</si>
  <si>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</si>
  <si>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</si>
  <si>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</si>
  <si>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</si>
  <si>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</si>
  <si>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</si>
  <si>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</si>
  <si>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</si>
  <si>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</si>
  <si>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</si>
  <si>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</si>
  <si>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</si>
  <si>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</si>
  <si>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</si>
  <si>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</si>
  <si>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</si>
  <si>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</si>
  <si>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</si>
  <si>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</si>
  <si>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</si>
  <si>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</si>
  <si>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</si>
  <si>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</si>
  <si>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</si>
  <si>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</si>
  <si>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</si>
  <si>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</si>
  <si>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</si>
  <si>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</si>
  <si>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</si>
  <si>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</si>
  <si>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</si>
  <si>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</si>
  <si>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</si>
  <si>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</si>
  <si>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</si>
  <si>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</si>
  <si>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</si>
  <si>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</si>
  <si>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</si>
  <si>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</si>
  <si>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</si>
  <si>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</si>
  <si>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</si>
  <si>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</si>
  <si>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</si>
  <si>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</si>
  <si>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</si>
  <si>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</si>
  <si>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</si>
  <si>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</si>
  <si>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</si>
  <si>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</si>
  <si>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</si>
  <si>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</si>
  <si>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</si>
  <si>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</si>
  <si>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</si>
  <si>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</si>
  <si>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</si>
  <si>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</si>
  <si>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</si>
  <si>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</si>
  <si>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</si>
  <si>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</si>
  <si>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</si>
  <si>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</si>
  <si>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</si>
  <si>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</si>
  <si>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</si>
  <si>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</si>
  <si>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</si>
  <si>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</si>
  <si>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</si>
  <si>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</si>
  <si>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</si>
  <si>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</si>
  <si>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</si>
  <si>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</si>
  <si>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</si>
  <si>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</si>
  <si>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</si>
  <si>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</si>
  <si>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</si>
  <si>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</si>
  <si>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</si>
  <si>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</si>
  <si>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</si>
  <si>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</si>
  <si>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</si>
  <si>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</si>
  <si>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</si>
  <si>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</si>
  <si>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</si>
  <si>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</si>
  <si>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</si>
  <si>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</si>
  <si>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</si>
  <si>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</si>
  <si>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</si>
  <si>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</si>
  <si>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</si>
  <si>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</si>
  <si>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</si>
  <si>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</si>
  <si>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</si>
  <si>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</si>
  <si>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</si>
  <si>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</si>
  <si>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</si>
  <si>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</si>
  <si>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</si>
  <si>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</si>
  <si>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</si>
  <si>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</si>
  <si>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</si>
  <si>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</si>
  <si>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</si>
  <si>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</si>
  <si>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</si>
  <si>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</si>
  <si>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</si>
  <si>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</si>
  <si>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</si>
  <si>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</si>
  <si>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</si>
  <si>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</si>
  <si>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</si>
  <si>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</si>
  <si>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</si>
  <si>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</si>
  <si>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</si>
  <si>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</si>
  <si>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</si>
  <si>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</si>
  <si>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</si>
  <si>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</si>
  <si>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</si>
  <si>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</si>
  <si>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</si>
  <si>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</si>
  <si>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</si>
  <si>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</si>
  <si>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</si>
  <si>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</si>
  <si>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</si>
  <si>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</si>
  <si>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</si>
  <si>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</si>
  <si>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</si>
  <si>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</si>
  <si>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</si>
  <si>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</si>
  <si>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</si>
  <si>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</si>
  <si>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</si>
  <si>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</si>
  <si>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</si>
  <si>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</si>
  <si>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</si>
  <si>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</si>
  <si>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</si>
  <si>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</si>
  <si>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</si>
  <si>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</si>
  <si>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</si>
  <si>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</si>
  <si>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</si>
  <si>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</si>
  <si>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</si>
  <si>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</si>
  <si>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</si>
  <si>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</si>
  <si>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</si>
  <si>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</si>
  <si>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</si>
  <si>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</si>
  <si>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</si>
  <si>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</si>
  <si>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</si>
  <si>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</si>
  <si>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</si>
  <si>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</si>
  <si>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魔法少女</t>
  </si>
  <si>
    <t>ケモ耳</t>
  </si>
  <si>
    <t>果物</t>
  </si>
  <si>
    <t>渦巻き目、アホ毛</t>
  </si>
  <si>
    <t>動物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</si>
  <si>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</si>
  <si>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</si>
  <si>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</si>
  <si>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</si>
  <si>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</si>
  <si>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</si>
  <si>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</si>
  <si>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</si>
  <si>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</si>
  <si>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</si>
  <si>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</si>
  <si>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</si>
  <si>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</si>
  <si>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</si>
  <si>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</si>
  <si>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</si>
  <si>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</si>
  <si>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</si>
  <si>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</si>
  <si>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</si>
  <si>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</si>
  <si>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</si>
  <si>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</si>
  <si>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</si>
  <si>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</si>
  <si>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</si>
  <si>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</si>
  <si>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</si>
  <si>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</si>
  <si>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擬人化</t>
    <rPh sb="0" eb="3">
      <t>ギジンカ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</si>
  <si>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</si>
  <si>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</si>
  <si>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</si>
  <si>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</si>
  <si>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</si>
  <si>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</si>
  <si>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</si>
  <si>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</si>
  <si>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</si>
  <si>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</si>
  <si>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</si>
  <si>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</si>
  <si>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</si>
  <si>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</si>
  <si>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</si>
  <si>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</si>
  <si>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</si>
  <si>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</si>
  <si>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</si>
  <si>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</si>
  <si>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</si>
  <si>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</si>
  <si>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</si>
  <si>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</si>
  <si>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</si>
  <si>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</si>
  <si>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</si>
  <si>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</si>
  <si>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</si>
  <si>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</si>
  <si>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</si>
  <si>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</si>
  <si>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</si>
  <si>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</si>
  <si>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</si>
  <si>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</si>
  <si>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</si>
  <si>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</si>
  <si>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</si>
  <si>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</si>
  <si>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</si>
  <si>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</si>
  <si>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</si>
  <si>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アホ毛|オッドアイ|尻尾</t>
    <rPh sb="2" eb="3">
      <t>ゲ</t>
    </rPh>
    <rPh sb="10" eb="12">
      <t>シッポ</t>
    </rPh>
    <phoneticPr fontId="1"/>
  </si>
  <si>
    <t>Tくん</t>
    <phoneticPr fontId="1"/>
  </si>
  <si>
    <t>人造人間</t>
    <rPh sb="0" eb="4">
      <t>ジンゾウニンゲン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</si>
</sst>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1" applyFont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1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0"/>
      <tableStyleElement type="headerRow" dxfId="69"/>
      <tableStyleElement type="totalRow" dxfId="68"/>
      <tableStyleElement type="secondRowStripe" dxfId="67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X439" headerRowDxfId="66" dataDxfId="65" tableBorderDxfId="64">
  <autoFilter ref="A1:X439" xr:uid="{AFDEA6E0-6891-40ED-8736-87CEEF9CED2F}"/>
  <sortState xmlns:xlrd2="http://schemas.microsoft.com/office/spreadsheetml/2017/richdata2" ref="A2:X439">
    <sortCondition ref="A1:A439"/>
  </sortState>
  <tableColumns count="24">
    <tableColumn id="7" xr3:uid="{9D671CE8-205F-4EC4-AF57-C49043815D5D}" name="番号" totalsRowLabel="集計" dataDxfId="63" totalsRowDxfId="62"/>
    <tableColumn id="1" xr3:uid="{BC0E7496-4241-40F3-92D1-BFEC8E2F21B0}" name="画像" dataDxfId="61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0" totalsRowDxfId="59"/>
    <tableColumn id="3" xr3:uid="{1CD1AB40-A0B3-43E1-8992-FB5152113AF0}" name="なまえ" dataDxfId="58" totalsRowDxfId="57"/>
    <tableColumn id="4" xr3:uid="{3A18F89A-C86D-435E-8081-BFA7EDB53407}" name="Name" dataDxfId="56" totalsRowDxfId="55"/>
    <tableColumn id="5" xr3:uid="{465CE434-66FF-4581-97B6-92FB1196AA88}" name="リンク" dataDxfId="54" totalsRowDxfId="53"/>
    <tableColumn id="6" xr3:uid="{C8A231EF-CEE1-4EDF-9F79-E20B4EE26A3B}" name="作品タグ" dataDxfId="52" totalsRowDxfId="51"/>
    <tableColumn id="21" xr3:uid="{A3F04976-FEAF-4AB6-883A-CBF50885B75B}" name="性別" dataDxfId="50" totalsRowDxfId="49"/>
    <tableColumn id="20" xr3:uid="{1BC45536-DCFC-46D8-8A1D-7CA1DB3A4086}" name="種族タグ" dataDxfId="48" totalsRowDxfId="47"/>
    <tableColumn id="23" xr3:uid="{C7A460FE-A76F-44CC-BA42-F2EDCB5166B0}" name="職業タグ" dataDxfId="46" totalsRowDxfId="45"/>
    <tableColumn id="24" xr3:uid="{13CD4112-798D-4D06-B448-3A060DFAF850}" name="小物タグ" dataDxfId="44" totalsRowDxfId="43"/>
    <tableColumn id="25" xr3:uid="{BB31FC48-2C53-4F77-9754-878F1123A640}" name="ワンポイントタグ" dataDxfId="42" totalsRowDxfId="41"/>
    <tableColumn id="14" xr3:uid="{419D2296-96F6-49B6-A101-8BE8083A1FF8}" name="グッズ許可・許可" dataDxfId="40" totalsRowDxfId="39"/>
    <tableColumn id="10" xr3:uid="{A3DF9BE0-B684-4FD2-9C65-44C5CE7A0DC3}" name="描画状況" totalsRowFunction="count" dataDxfId="38" totalsRowDxfId="37"/>
    <tableColumn id="9" xr3:uid="{02AE6379-3B3C-4BB2-A47F-0A695072C3A9}" name="列1" dataDxfId="36" totalsRowDxfId="35">
      <calculatedColumnFormula>テーブル1[[#This Row],[リンク]]&amp;テーブル1[[#This Row],[描画状況]]</calculatedColumnFormula>
    </tableColumn>
    <tableColumn id="13" xr3:uid="{823DB8CC-CE55-4F0C-AE72-2EE293521925}" name="列2" dataDxfId="34" dataCellStyle="パーセント">
      <calculatedColumnFormula>1-(COUNTIF(O:O,_xlfn.TEXTJOIN(",",TRUE,テーブル1[[#This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3" totalsRowDxfId="32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1" totalsRowDxfId="30">
      <totalsRowFormula>COUNTIF(テーブル1[投稿状況],"")</totalsRowFormula>
    </tableColumn>
    <tableColumn id="11" xr3:uid="{81D4E3E6-4E02-4A2D-B6F1-0BB82B392F85}" name="乱数B" dataDxfId="29" totalsRowDxfId="28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7" totalsRowDxfId="26">
      <calculatedColumnFormula>"|&amp;image("&amp;テーブル1[[#This Row],[画像]]&amp;".png,width=100,height=100)"</calculatedColumnFormula>
    </tableColumn>
    <tableColumn id="16" xr3:uid="{AC31EEC7-EDA4-4933-B34D-6F013BAC07AB}" name="|名前" dataDxfId="25" totalsRowDxfId="24">
      <calculatedColumnFormula>"|MIDDLE:​"&amp;テーブル1[[#This Row],[名前]]</calculatedColumnFormula>
    </tableColumn>
    <tableColumn id="17" xr3:uid="{5631FE5D-E14B-45F0-9DC6-C07DDBCF063D}" name="|なまえ" dataDxfId="23" totalsRowDxfId="22">
      <calculatedColumnFormula>"|MIDDLE:​"&amp;テーブル1[[#This Row],[なまえ]]</calculatedColumnFormula>
    </tableColumn>
    <tableColumn id="18" xr3:uid="{1D34E550-311D-4181-9DE5-9513280D0029}" name="|Name" dataDxfId="21" totalsRowDxfId="20">
      <calculatedColumnFormula>"|MIDDLE:​"&amp;テーブル1[[#This Row],[Name]]</calculatedColumnFormula>
    </tableColumn>
    <tableColumn id="19" xr3:uid="{742CFAB1-9F2D-444A-A881-F762695DCCB1}" name="|キャラクター情報リンク|" dataDxfId="19" totalsRowDxfId="18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L231" totalsRowShown="0" headerRowDxfId="17" dataDxfId="16">
  <autoFilter ref="A1:L231" xr:uid="{E4C87AB3-D453-4364-A868-37CD257B126C}"/>
  <tableColumns count="12">
    <tableColumn id="1" xr3:uid="{1E92C13E-0744-4588-9D96-A833A7BD4B23}" name="id" dataDxfId="15">
      <calculatedColumnFormula>テーブル1[[#This Row],[番号]]</calculatedColumnFormula>
    </tableColumn>
    <tableColumn id="2" xr3:uid="{BFFC27FC-5A70-42B5-935F-18B299D9A450}" name="name" dataDxfId="14">
      <calculatedColumnFormula>テーブル1[[#This Row],[名前]]</calculatedColumnFormula>
    </tableColumn>
    <tableColumn id="3" xr3:uid="{376B9D63-7024-4C39-A1F3-F8A88D986D2E}" name="kana" dataDxfId="13">
      <calculatedColumnFormula>テーブル1[[#This Row],[なまえ]]</calculatedColumnFormula>
    </tableColumn>
    <tableColumn id="4" xr3:uid="{3A4FC950-495C-4C11-B6DB-96CE6A55121C}" name="romaji" dataDxfId="12">
      <calculatedColumnFormula>テーブル1[[#This Row],[Name]]</calculatedColumnFormula>
    </tableColumn>
    <tableColumn id="5" xr3:uid="{B264791E-28AE-437A-AA33-4258BDE55BAA}" name="icon" dataDxfId="11">
      <calculatedColumnFormula>"image/"&amp;テーブル1[[#This Row],[画像]]&amp;".png"</calculatedColumnFormula>
    </tableColumn>
    <tableColumn id="6" xr3:uid="{857A780E-B021-402A-872A-1CBFFEF7F813}" name="url" dataDxfId="10">
      <calculatedColumnFormula>テーブル1[[#This Row],[リンク]]</calculatedColumnFormula>
    </tableColumn>
    <tableColumn id="7" xr3:uid="{54796813-8C4A-4907-9B54-8EC5819BC55C}" name="workTags" dataDxfId="9">
      <calculatedColumnFormula>SUBSTITUTE(テーブル1[[#This Row],[作品タグ]]," ","|")</calculatedColumnFormula>
    </tableColumn>
    <tableColumn id="8" xr3:uid="{C71938D1-4F25-43A4-AC89-6B4F6A5026A2}" name="gender" dataDxfId="8">
      <calculatedColumnFormula>テーブル1[[#This Row],[性別]]&amp;""</calculatedColumnFormula>
    </tableColumn>
    <tableColumn id="9" xr3:uid="{39305227-2E4A-4CF9-88DD-B221FEC21124}" name="種族タグ" dataDxfId="7">
      <calculatedColumnFormula>テーブル1[[#This Row],[種族タグ]]&amp;""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nudanuki.wixsite.com/gottaniomotyabako" TargetMode="External"/><Relationship Id="rId299" Type="http://schemas.openxmlformats.org/officeDocument/2006/relationships/hyperlink" Target="https://bowlroll.net/user/980255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ne510channel.wixsite.com/website" TargetMode="External"/><Relationship Id="rId159" Type="http://schemas.openxmlformats.org/officeDocument/2006/relationships/hyperlink" Target="https://rokune.blogspot.com/2012/07/blog-post.html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cloudcatch1224.wixsite.com/godsfoot" TargetMode="External"/><Relationship Id="rId268" Type="http://schemas.openxmlformats.org/officeDocument/2006/relationships/hyperlink" Target="https://piku.page/@toitoitoi23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mitoristu.wixsite.com/kousaibako" TargetMode="External"/><Relationship Id="rId128" Type="http://schemas.openxmlformats.org/officeDocument/2006/relationships/hyperlink" Target="https://sites.google.com/view/qsuke-garden/home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ukimiyashimusho.jimdofree.com/" TargetMode="External"/><Relationship Id="rId237" Type="http://schemas.openxmlformats.org/officeDocument/2006/relationships/hyperlink" Target="https://tropicalsamejima.wixsite.com/oyutau" TargetMode="External"/><Relationship Id="rId279" Type="http://schemas.openxmlformats.org/officeDocument/2006/relationships/hyperlink" Target="https://magnawitch.wixsite.com/seong-ah" TargetMode="External"/><Relationship Id="rId43" Type="http://schemas.openxmlformats.org/officeDocument/2006/relationships/hyperlink" Target="https://utaunanaproplus.wixsite.com/of-web" TargetMode="External"/><Relationship Id="rId139" Type="http://schemas.openxmlformats.org/officeDocument/2006/relationships/hyperlink" Target="https://jnsea010.wixsite.com/kkamchoutau" TargetMode="External"/><Relationship Id="rId290" Type="http://schemas.openxmlformats.org/officeDocument/2006/relationships/hyperlink" Target="https://ameutaulii.wixsite.com/telepathycapsule" TargetMode="External"/><Relationship Id="rId304" Type="http://schemas.openxmlformats.org/officeDocument/2006/relationships/hyperlink" Target="https://pessieuph.wixsite.com/meusycaseuphoria" TargetMode="External"/><Relationship Id="rId85" Type="http://schemas.openxmlformats.org/officeDocument/2006/relationships/hyperlink" Target="https://www.krnr.top/" TargetMode="External"/><Relationship Id="rId150" Type="http://schemas.openxmlformats.org/officeDocument/2006/relationships/hyperlink" Target="http://shadeofgreen.web.fc2.com/" TargetMode="External"/><Relationship Id="rId192" Type="http://schemas.openxmlformats.org/officeDocument/2006/relationships/hyperlink" Target="https://sites.google.com/view/report1023" TargetMode="External"/><Relationship Id="rId206" Type="http://schemas.openxmlformats.org/officeDocument/2006/relationships/hyperlink" Target="https://torinosu-hikikomori.jimdofree.com/" TargetMode="External"/><Relationship Id="rId248" Type="http://schemas.openxmlformats.org/officeDocument/2006/relationships/hyperlink" Target="https://utau.fandom.com/wiki/Shizuruu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suihankinonaka.wixsite.com/my-site-1" TargetMode="External"/><Relationship Id="rId54" Type="http://schemas.openxmlformats.org/officeDocument/2006/relationships/hyperlink" Target="https://moqujc.wixsite.com/mqtop" TargetMode="External"/><Relationship Id="rId96" Type="http://schemas.openxmlformats.org/officeDocument/2006/relationships/hyperlink" Target="https://seirentoybox.jimdofree.com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rook-utau.jimdosite.com/" TargetMode="External"/><Relationship Id="rId259" Type="http://schemas.openxmlformats.org/officeDocument/2006/relationships/hyperlink" Target="https://flowerrocklove.wixsite.com/twilight-crisis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tomatoshop.studio.site/" TargetMode="External"/><Relationship Id="rId270" Type="http://schemas.openxmlformats.org/officeDocument/2006/relationships/hyperlink" Target="https://mitoristu.wixsite.com/kousaibako" TargetMode="External"/><Relationship Id="rId291" Type="http://schemas.openxmlformats.org/officeDocument/2006/relationships/hyperlink" Target="https://ameutaulii.wixsite.com/telepathycapsule" TargetMode="External"/><Relationship Id="rId305" Type="http://schemas.openxmlformats.org/officeDocument/2006/relationships/hyperlink" Target="https://pessieuph.wixsite.com/meusycaseuphoria" TargetMode="External"/><Relationship Id="rId44" Type="http://schemas.openxmlformats.org/officeDocument/2006/relationships/hyperlink" Target="https://utauudon.wixsite.com/origamisyokudou" TargetMode="External"/><Relationship Id="rId65" Type="http://schemas.openxmlformats.org/officeDocument/2006/relationships/hyperlink" Target="https://abschandayo.wixsite.com/abschan" TargetMode="External"/><Relationship Id="rId86" Type="http://schemas.openxmlformats.org/officeDocument/2006/relationships/hyperlink" Target="https://subarumusicstore.studio.site/" TargetMode="External"/><Relationship Id="rId130" Type="http://schemas.openxmlformats.org/officeDocument/2006/relationships/hyperlink" Target="https://mebisnori.wixsite.com/nori-mebis" TargetMode="External"/><Relationship Id="rId151" Type="http://schemas.openxmlformats.org/officeDocument/2006/relationships/hyperlink" Target="https://bowlroll.net/user/634941" TargetMode="External"/><Relationship Id="rId172" Type="http://schemas.openxmlformats.org/officeDocument/2006/relationships/hyperlink" Target="https://yukimiyashimusho.jimdofree.com/" TargetMode="External"/><Relationship Id="rId193" Type="http://schemas.openxmlformats.org/officeDocument/2006/relationships/hyperlink" Target="https://sites.google.com/view/report1023" TargetMode="External"/><Relationship Id="rId207" Type="http://schemas.openxmlformats.org/officeDocument/2006/relationships/hyperlink" Target="https://sites.google.com/view/fullmoon-ruro" TargetMode="External"/><Relationship Id="rId228" Type="http://schemas.openxmlformats.org/officeDocument/2006/relationships/hyperlink" Target="https://harujpg.wixsite.com/sanshoku" TargetMode="External"/><Relationship Id="rId249" Type="http://schemas.openxmlformats.org/officeDocument/2006/relationships/hyperlink" Target="https://sites.google.com/view/ronku99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user/980255" TargetMode="External"/><Relationship Id="rId260" Type="http://schemas.openxmlformats.org/officeDocument/2006/relationships/hyperlink" Target="https://hznonoka.wixsite.com/utau" TargetMode="External"/><Relationship Id="rId281" Type="http://schemas.openxmlformats.org/officeDocument/2006/relationships/hyperlink" Target="https://magnawitch.wixsite.com/seong-ah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moqujc.wixsite.com/mqtop" TargetMode="External"/><Relationship Id="rId76" Type="http://schemas.openxmlformats.org/officeDocument/2006/relationships/hyperlink" Target="https://uta-tsunagi.jimdofree.com/" TargetMode="External"/><Relationship Id="rId97" Type="http://schemas.openxmlformats.org/officeDocument/2006/relationships/hyperlink" Target="https://lit.link/sereinrain" TargetMode="External"/><Relationship Id="rId120" Type="http://schemas.openxmlformats.org/officeDocument/2006/relationships/hyperlink" Target="https://bowlroll.net/user/253605" TargetMode="External"/><Relationship Id="rId141" Type="http://schemas.openxmlformats.org/officeDocument/2006/relationships/hyperlink" Target="https://www.mackhouse-soft.com/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suukedayo.wixsite.com/shiawasefairu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www.canon-voice.com/" TargetMode="External"/><Relationship Id="rId239" Type="http://schemas.openxmlformats.org/officeDocument/2006/relationships/hyperlink" Target="https://zaregotohitori.wixsite.com/ritsudokishidoku" TargetMode="External"/><Relationship Id="rId250" Type="http://schemas.openxmlformats.org/officeDocument/2006/relationships/hyperlink" Target="https://abiencearray.carrd.co/" TargetMode="External"/><Relationship Id="rId271" Type="http://schemas.openxmlformats.org/officeDocument/2006/relationships/hyperlink" Target="https://mitoristu.wixsite.com/kousaibako" TargetMode="External"/><Relationship Id="rId292" Type="http://schemas.openxmlformats.org/officeDocument/2006/relationships/hyperlink" Target="https://ameutaulii.wixsite.com/telepathycapsule" TargetMode="External"/><Relationship Id="rId306" Type="http://schemas.openxmlformats.org/officeDocument/2006/relationships/hyperlink" Target="https://arujinesarasa.wixsite.com/official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utauudon.wixsite.com/origamisyokudou" TargetMode="External"/><Relationship Id="rId66" Type="http://schemas.openxmlformats.org/officeDocument/2006/relationships/hyperlink" Target="https://mareffys.wixsite.com/lalo" TargetMode="External"/><Relationship Id="rId87" Type="http://schemas.openxmlformats.org/officeDocument/2006/relationships/hyperlink" Target="https://mechanicalgirl.jp/" TargetMode="External"/><Relationship Id="rId110" Type="http://schemas.openxmlformats.org/officeDocument/2006/relationships/hyperlink" Target="https://ne510channel.wixsite.com/website" TargetMode="External"/><Relationship Id="rId131" Type="http://schemas.openxmlformats.org/officeDocument/2006/relationships/hyperlink" Target="https://mebisnori.wixsite.com/nori-mebis" TargetMode="External"/><Relationship Id="rId152" Type="http://schemas.openxmlformats.org/officeDocument/2006/relationships/hyperlink" Target="https://ma2bana7.wixsite.com/sssr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sites.google.com/view/report1023" TargetMode="External"/><Relationship Id="rId208" Type="http://schemas.openxmlformats.org/officeDocument/2006/relationships/hyperlink" Target="https://sites.google.com/view/fullmoon-ruro" TargetMode="External"/><Relationship Id="rId229" Type="http://schemas.openxmlformats.org/officeDocument/2006/relationships/hyperlink" Target="https://hinagitsune-utau.wixsite.com/utaukokorone" TargetMode="External"/><Relationship Id="rId240" Type="http://schemas.openxmlformats.org/officeDocument/2006/relationships/hyperlink" Target="https://long-sleeper.net/" TargetMode="External"/><Relationship Id="rId261" Type="http://schemas.openxmlformats.org/officeDocument/2006/relationships/hyperlink" Target="https://mackerel178.wixsite.com/yuusensuizokukan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lit.link/sereinrain" TargetMode="External"/><Relationship Id="rId77" Type="http://schemas.openxmlformats.org/officeDocument/2006/relationships/hyperlink" Target="https://kasaneteto.jp/" TargetMode="External"/><Relationship Id="rId100" Type="http://schemas.openxmlformats.org/officeDocument/2006/relationships/hyperlink" Target="https://nanarabo626.studio.site/" TargetMode="External"/><Relationship Id="rId282" Type="http://schemas.openxmlformats.org/officeDocument/2006/relationships/hyperlink" Target="https://toooru421.booth.pm/items/8151791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lit.link/sereinrain" TargetMode="External"/><Relationship Id="rId121" Type="http://schemas.openxmlformats.org/officeDocument/2006/relationships/hyperlink" Target="https://kairi0utau.wixsite.com/arugamamanouta" TargetMode="External"/><Relationship Id="rId142" Type="http://schemas.openxmlformats.org/officeDocument/2006/relationships/hyperlink" Target="https://www.mackhouse-soft.com/" TargetMode="External"/><Relationship Id="rId163" Type="http://schemas.openxmlformats.org/officeDocument/2006/relationships/hyperlink" Target="https://suukedayo.wixsite.com/shiawasefairu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renrivoice.wixsite.com/renri-voice" TargetMode="External"/><Relationship Id="rId230" Type="http://schemas.openxmlformats.org/officeDocument/2006/relationships/hyperlink" Target="https://hznonoka.wixsite.com/utau" TargetMode="External"/><Relationship Id="rId251" Type="http://schemas.openxmlformats.org/officeDocument/2006/relationships/hyperlink" Target="https://sites.google.com/view/ronku99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utauudon.wixsite.com/origamisyokudou" TargetMode="External"/><Relationship Id="rId67" Type="http://schemas.openxmlformats.org/officeDocument/2006/relationships/hyperlink" Target="https://sabaneko.amebaownd.com/" TargetMode="External"/><Relationship Id="rId272" Type="http://schemas.openxmlformats.org/officeDocument/2006/relationships/hyperlink" Target="https://mitoristu.wixsite.com/kousaibako" TargetMode="External"/><Relationship Id="rId293" Type="http://schemas.openxmlformats.org/officeDocument/2006/relationships/hyperlink" Target="https://ameutaulii.wixsite.com/telepathycapsule" TargetMode="External"/><Relationship Id="rId307" Type="http://schemas.openxmlformats.org/officeDocument/2006/relationships/table" Target="../tables/table1.xml"/><Relationship Id="rId88" Type="http://schemas.openxmlformats.org/officeDocument/2006/relationships/hyperlink" Target="https://utausuzuminnya.jimdofree.com/" TargetMode="External"/><Relationship Id="rId111" Type="http://schemas.openxmlformats.org/officeDocument/2006/relationships/hyperlink" Target="https://ne510channel.wixsite.com/website" TargetMode="External"/><Relationship Id="rId132" Type="http://schemas.openxmlformats.org/officeDocument/2006/relationships/hyperlink" Target="https://mashimo0330.wixsite.com/awaka-utau" TargetMode="External"/><Relationship Id="rId153" Type="http://schemas.openxmlformats.org/officeDocument/2006/relationships/hyperlink" Target="https://bindumechan.wixsite.com/shigure222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s://osomatsu-poid.wixsite.com/konari-san-chi" TargetMode="External"/><Relationship Id="rId209" Type="http://schemas.openxmlformats.org/officeDocument/2006/relationships/hyperlink" Target="https://bowlroll.net/user/934800" TargetMode="External"/><Relationship Id="rId220" Type="http://schemas.openxmlformats.org/officeDocument/2006/relationships/hyperlink" Target="https://makaron3264.wixsite.com/utauotoohana" TargetMode="External"/><Relationship Id="rId241" Type="http://schemas.openxmlformats.org/officeDocument/2006/relationships/hyperlink" Target="https://todosho1192.wixsite.com/my-site-3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lit.link/sereinrain" TargetMode="External"/><Relationship Id="rId262" Type="http://schemas.openxmlformats.org/officeDocument/2006/relationships/hyperlink" Target="https://mackerel178.wixsite.com/yuusensuizokukan" TargetMode="External"/><Relationship Id="rId283" Type="http://schemas.openxmlformats.org/officeDocument/2006/relationships/hyperlink" Target="https://strife-horizon.weebly.com/" TargetMode="External"/><Relationship Id="rId78" Type="http://schemas.openxmlformats.org/officeDocument/2006/relationships/hyperlink" Target="https://kasaneteto.jp/" TargetMode="External"/><Relationship Id="rId99" Type="http://schemas.openxmlformats.org/officeDocument/2006/relationships/hyperlink" Target="https://nanarabo626.studio.site/" TargetMode="External"/><Relationship Id="rId101" Type="http://schemas.openxmlformats.org/officeDocument/2006/relationships/hyperlink" Target="https://sites.google.com/view/fukuma-utau/top" TargetMode="External"/><Relationship Id="rId122" Type="http://schemas.openxmlformats.org/officeDocument/2006/relationships/hyperlink" Target="https://mitoristu.wixsite.com/kousaibako" TargetMode="External"/><Relationship Id="rId143" Type="http://schemas.openxmlformats.org/officeDocument/2006/relationships/hyperlink" Target="https://grskmot8.wixsite.com/kdarock" TargetMode="External"/><Relationship Id="rId164" Type="http://schemas.openxmlformats.org/officeDocument/2006/relationships/hyperlink" Target="https://suukedayo.wixsite.com/shiawasefairu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lenskkpb.wixsite.com/len-sakaki-official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jiwajiwakirinn.wixsite.com/sakurada" TargetMode="External"/><Relationship Id="rId252" Type="http://schemas.openxmlformats.org/officeDocument/2006/relationships/hyperlink" Target="https://twisibi.notion.site/1e947481a8ac80a59110fa6b43bf6319" TargetMode="External"/><Relationship Id="rId273" Type="http://schemas.openxmlformats.org/officeDocument/2006/relationships/hyperlink" Target="https://mitoristu.wixsite.com/kousaibako" TargetMode="External"/><Relationship Id="rId294" Type="http://schemas.openxmlformats.org/officeDocument/2006/relationships/hyperlink" Target="https://bowlroll.net/user/980255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666not.wixsite.com/partition-voyage" TargetMode="External"/><Relationship Id="rId89" Type="http://schemas.openxmlformats.org/officeDocument/2006/relationships/hyperlink" Target="https://utausuzuminnya.jimdofree.com/" TargetMode="External"/><Relationship Id="rId112" Type="http://schemas.openxmlformats.org/officeDocument/2006/relationships/hyperlink" Target="https://bowlroll.net/file/336695" TargetMode="External"/><Relationship Id="rId133" Type="http://schemas.openxmlformats.org/officeDocument/2006/relationships/hyperlink" Target="https://mashimo0330.wixsite.com/awaka-utau" TargetMode="External"/><Relationship Id="rId154" Type="http://schemas.openxmlformats.org/officeDocument/2006/relationships/hyperlink" Target="https://bowlroll.net/user/374679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osomatsu-poid.wixsite.com/konari-san-chi" TargetMode="External"/><Relationship Id="rId200" Type="http://schemas.openxmlformats.org/officeDocument/2006/relationships/hyperlink" Target="https://bowlroll.net/user/367777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maybeanglo0mochi.wixsite.com/mochiyanosouko" TargetMode="External"/><Relationship Id="rId242" Type="http://schemas.openxmlformats.org/officeDocument/2006/relationships/hyperlink" Target="https://todosho1192.wixsite.com/my-site-3" TargetMode="External"/><Relationship Id="rId263" Type="http://schemas.openxmlformats.org/officeDocument/2006/relationships/hyperlink" Target="https://cgamy40.wixsite.com/tsuraiuroyoi" TargetMode="External"/><Relationship Id="rId284" Type="http://schemas.openxmlformats.org/officeDocument/2006/relationships/hyperlink" Target="https://bowlroll.net/user/946776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chunyinhui021.wixsite.com/mutyuusaisei" TargetMode="External"/><Relationship Id="rId79" Type="http://schemas.openxmlformats.org/officeDocument/2006/relationships/hyperlink" Target="http://lllll17.web.fc2.com/index.html" TargetMode="External"/><Relationship Id="rId102" Type="http://schemas.openxmlformats.org/officeDocument/2006/relationships/hyperlink" Target="https://bowlroll.net/user/973681" TargetMode="External"/><Relationship Id="rId123" Type="http://schemas.openxmlformats.org/officeDocument/2006/relationships/hyperlink" Target="https://mitoristu.wixsite.com/kousaibako" TargetMode="External"/><Relationship Id="rId144" Type="http://schemas.openxmlformats.org/officeDocument/2006/relationships/hyperlink" Target="https://shiromeneko162.wixsite.com/shiromean-official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ameutaulii.wixsite.com/telepathycapsule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gardanana.neocities.org/" TargetMode="External"/><Relationship Id="rId232" Type="http://schemas.openxmlformats.org/officeDocument/2006/relationships/hyperlink" Target="https://kairi0utau.wixsite.com/arugamamanouta" TargetMode="External"/><Relationship Id="rId253" Type="http://schemas.openxmlformats.org/officeDocument/2006/relationships/hyperlink" Target="https://m.blog.naver.com/string_legacy/224045016399" TargetMode="External"/><Relationship Id="rId274" Type="http://schemas.openxmlformats.org/officeDocument/2006/relationships/hyperlink" Target="https://mitoristu.wixsite.com/kousaibako" TargetMode="External"/><Relationship Id="rId295" Type="http://schemas.openxmlformats.org/officeDocument/2006/relationships/hyperlink" Target="https://bowlroll.net/user/980255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inudanuki.wixsite.com/gottaniomotyabako" TargetMode="External"/><Relationship Id="rId113" Type="http://schemas.openxmlformats.org/officeDocument/2006/relationships/hyperlink" Target="https://bowlroll.net/user/700434" TargetMode="External"/><Relationship Id="rId134" Type="http://schemas.openxmlformats.org/officeDocument/2006/relationships/hyperlink" Target="https://mikawayanerutoko.jimdofree.com/" TargetMode="External"/><Relationship Id="rId80" Type="http://schemas.openxmlformats.org/officeDocument/2006/relationships/hyperlink" Target="http://lllll17.web.fc2.com/index.html" TargetMode="External"/><Relationship Id="rId155" Type="http://schemas.openxmlformats.org/officeDocument/2006/relationships/hyperlink" Target="https://bowlroll.net/user/374679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osomatsu-poid.wixsite.com/konari-san-chi" TargetMode="External"/><Relationship Id="rId201" Type="http://schemas.openxmlformats.org/officeDocument/2006/relationships/hyperlink" Target="https://ahogepucyi.wixsite.com/zannsyuutau" TargetMode="External"/><Relationship Id="rId222" Type="http://schemas.openxmlformats.org/officeDocument/2006/relationships/hyperlink" Target="https://666not.wixsite.com/partition-voyage" TargetMode="External"/><Relationship Id="rId243" Type="http://schemas.openxmlformats.org/officeDocument/2006/relationships/hyperlink" Target="https://bowlroll.net/user/992955" TargetMode="External"/><Relationship Id="rId264" Type="http://schemas.openxmlformats.org/officeDocument/2006/relationships/hyperlink" Target="https://komagatabone.fc2.page/" TargetMode="External"/><Relationship Id="rId285" Type="http://schemas.openxmlformats.org/officeDocument/2006/relationships/hyperlink" Target="https://bowlroll.net/user/946776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bowlroll.net/user/852117/files" TargetMode="External"/><Relationship Id="rId59" Type="http://schemas.openxmlformats.org/officeDocument/2006/relationships/hyperlink" Target="https://nananasyrup.wixsite.com/13kka" TargetMode="External"/><Relationship Id="rId103" Type="http://schemas.openxmlformats.org/officeDocument/2006/relationships/hyperlink" Target="https://bowlroll.net/user/973681" TargetMode="External"/><Relationship Id="rId124" Type="http://schemas.openxmlformats.org/officeDocument/2006/relationships/hyperlink" Target="https://hznonoka.wixsite.com/utau" TargetMode="External"/><Relationship Id="rId70" Type="http://schemas.openxmlformats.org/officeDocument/2006/relationships/hyperlink" Target="https://lonelyapple011.wixsite.com/nadenade" TargetMode="External"/><Relationship Id="rId91" Type="http://schemas.openxmlformats.org/officeDocument/2006/relationships/hyperlink" Target="https://bellsworks.wixsite.com/bellsworks" TargetMode="External"/><Relationship Id="rId145" Type="http://schemas.openxmlformats.org/officeDocument/2006/relationships/hyperlink" Target="https://shiromeneko162.wixsite.com/shiromean-official" TargetMode="External"/><Relationship Id="rId166" Type="http://schemas.openxmlformats.org/officeDocument/2006/relationships/hyperlink" Target="https://bowlroll.net/user/852117/files" TargetMode="External"/><Relationship Id="rId187" Type="http://schemas.openxmlformats.org/officeDocument/2006/relationships/hyperlink" Target="https://yautau.wixsite.com/0909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inumokoco.wixsite.com/sleep-church" TargetMode="External"/><Relationship Id="rId233" Type="http://schemas.openxmlformats.org/officeDocument/2006/relationships/hyperlink" Target="https://kaitoramma.chu.jp/" TargetMode="External"/><Relationship Id="rId254" Type="http://schemas.openxmlformats.org/officeDocument/2006/relationships/hyperlink" Target="https://askdance.wixsite.com/monitor-room/monitor-room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bowlroll.net/user/700434" TargetMode="External"/><Relationship Id="rId275" Type="http://schemas.openxmlformats.org/officeDocument/2006/relationships/hyperlink" Target="https://mitoristu.wixsite.com/kousaibako" TargetMode="External"/><Relationship Id="rId296" Type="http://schemas.openxmlformats.org/officeDocument/2006/relationships/hyperlink" Target="https://bowlroll.net/user/980255" TargetMode="External"/><Relationship Id="rId300" Type="http://schemas.openxmlformats.org/officeDocument/2006/relationships/hyperlink" Target="https://lclcofficial6565.wixsite.com/lclc" TargetMode="External"/><Relationship Id="rId60" Type="http://schemas.openxmlformats.org/officeDocument/2006/relationships/hyperlink" Target="https://nananasyrup.wixsite.com/13kka" TargetMode="External"/><Relationship Id="rId81" Type="http://schemas.openxmlformats.org/officeDocument/2006/relationships/hyperlink" Target="https://keineron.wixsite.com/index" TargetMode="External"/><Relationship Id="rId135" Type="http://schemas.openxmlformats.org/officeDocument/2006/relationships/hyperlink" Target="https://teapartyandmugshelf.wixsite.com/my-site-1" TargetMode="External"/><Relationship Id="rId156" Type="http://schemas.openxmlformats.org/officeDocument/2006/relationships/hyperlink" Target="https://bindumechan.wixsite.com/koinearuutau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hinagitsune-utau.wixsite.com/utaukokorone" TargetMode="External"/><Relationship Id="rId202" Type="http://schemas.openxmlformats.org/officeDocument/2006/relationships/hyperlink" Target="https://okome32500.wixsite.com/onekomochi" TargetMode="External"/><Relationship Id="rId223" Type="http://schemas.openxmlformats.org/officeDocument/2006/relationships/hyperlink" Target="https://flowerrocklove.wixsite.com/twilight-crisis" TargetMode="External"/><Relationship Id="rId244" Type="http://schemas.openxmlformats.org/officeDocument/2006/relationships/hyperlink" Target="https://bowlroll.net/user/992955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bowlroll.net/user/852117/files" TargetMode="External"/><Relationship Id="rId265" Type="http://schemas.openxmlformats.org/officeDocument/2006/relationships/hyperlink" Target="https://vividseekers.utau.sorairomarch.com/" TargetMode="External"/><Relationship Id="rId286" Type="http://schemas.openxmlformats.org/officeDocument/2006/relationships/hyperlink" Target="https://utau.kurotsuka.xyz/" TargetMode="External"/><Relationship Id="rId50" Type="http://schemas.openxmlformats.org/officeDocument/2006/relationships/hyperlink" Target="https://nichikuniku1129063.wixsite.com/website-3" TargetMode="External"/><Relationship Id="rId104" Type="http://schemas.openxmlformats.org/officeDocument/2006/relationships/hyperlink" Target="https://bowlroll.net/user/966729" TargetMode="External"/><Relationship Id="rId125" Type="http://schemas.openxmlformats.org/officeDocument/2006/relationships/hyperlink" Target="https://kuroi9603.wixsite.com/delu-lab-south" TargetMode="External"/><Relationship Id="rId146" Type="http://schemas.openxmlformats.org/officeDocument/2006/relationships/hyperlink" Target="https://t7ttttttt.wixsite.com/t7-re" TargetMode="External"/><Relationship Id="rId167" Type="http://schemas.openxmlformats.org/officeDocument/2006/relationships/hyperlink" Target="https://bowlroll.net/user/980255/files" TargetMode="External"/><Relationship Id="rId188" Type="http://schemas.openxmlformats.org/officeDocument/2006/relationships/hyperlink" Target="https://yautau.wixsite.com/0909" TargetMode="External"/><Relationship Id="rId71" Type="http://schemas.openxmlformats.org/officeDocument/2006/relationships/hyperlink" Target="https://amiseniamnu.wixsite.com/amisenia" TargetMode="External"/><Relationship Id="rId92" Type="http://schemas.openxmlformats.org/officeDocument/2006/relationships/hyperlink" Target="https://bellsworks.wixsite.com/bellsworks" TargetMode="External"/><Relationship Id="rId213" Type="http://schemas.openxmlformats.org/officeDocument/2006/relationships/hyperlink" Target="https://keitaiware.com/" TargetMode="External"/><Relationship Id="rId234" Type="http://schemas.openxmlformats.org/officeDocument/2006/relationships/hyperlink" Target="https://kakokyu102krbs.wixsite.com/greenmilky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chaka000.wixsite.com/chaka" TargetMode="External"/><Relationship Id="rId276" Type="http://schemas.openxmlformats.org/officeDocument/2006/relationships/hyperlink" Target="https://mitoristu.wixsite.com/kousaibako" TargetMode="External"/><Relationship Id="rId297" Type="http://schemas.openxmlformats.org/officeDocument/2006/relationships/hyperlink" Target="https://bowlroll.net/user/980255" TargetMode="External"/><Relationship Id="rId40" Type="http://schemas.openxmlformats.org/officeDocument/2006/relationships/hyperlink" Target="https://rinnneuta.wixsite.com/my-site-2?s=09" TargetMode="External"/><Relationship Id="rId115" Type="http://schemas.openxmlformats.org/officeDocument/2006/relationships/hyperlink" Target="https://lit.link/lilyHaruzion" TargetMode="External"/><Relationship Id="rId136" Type="http://schemas.openxmlformats.org/officeDocument/2006/relationships/hyperlink" Target="https://okome32500.wixsite.com/onekomochi" TargetMode="External"/><Relationship Id="rId157" Type="http://schemas.openxmlformats.org/officeDocument/2006/relationships/hyperlink" Target="https://1996waishatu1002.wixsite.com/y-to-r-to-w-to" TargetMode="External"/><Relationship Id="rId178" Type="http://schemas.openxmlformats.org/officeDocument/2006/relationships/hyperlink" Target="https://yukimiyashimusho.jimdofree.com/" TargetMode="External"/><Relationship Id="rId301" Type="http://schemas.openxmlformats.org/officeDocument/2006/relationships/hyperlink" Target="https://kagerou009.hatenablog.com/" TargetMode="External"/><Relationship Id="rId61" Type="http://schemas.openxmlformats.org/officeDocument/2006/relationships/hyperlink" Target="https://kuroi9603.wixsite.com/delu-lab-south" TargetMode="External"/><Relationship Id="rId82" Type="http://schemas.openxmlformats.org/officeDocument/2006/relationships/hyperlink" Target="https://nyaruru.wixsite.com/s-p-w" TargetMode="External"/><Relationship Id="rId199" Type="http://schemas.openxmlformats.org/officeDocument/2006/relationships/hyperlink" Target="http://lunacalan.com/" TargetMode="External"/><Relationship Id="rId203" Type="http://schemas.openxmlformats.org/officeDocument/2006/relationships/hyperlink" Target="https://okome32500.wixsite.com/onekomochi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ameutaulii.wixsite.com/telepathycapsule" TargetMode="External"/><Relationship Id="rId245" Type="http://schemas.openxmlformats.org/officeDocument/2006/relationships/hyperlink" Target="https://bowlroll.net/user/992955" TargetMode="External"/><Relationship Id="rId266" Type="http://schemas.openxmlformats.org/officeDocument/2006/relationships/hyperlink" Target="https://vividseekers.utau.sorairomarch.com/" TargetMode="External"/><Relationship Id="rId287" Type="http://schemas.openxmlformats.org/officeDocument/2006/relationships/hyperlink" Target="https://utau.kurotsuka.xyz/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moqujc.wixsite.com/mqtop" TargetMode="External"/><Relationship Id="rId126" Type="http://schemas.openxmlformats.org/officeDocument/2006/relationships/hyperlink" Target="https://kuroi9603.wixsite.com/delu-lab-south" TargetMode="External"/><Relationship Id="rId147" Type="http://schemas.openxmlformats.org/officeDocument/2006/relationships/hyperlink" Target="https://t7ttttttt.wixsite.com/t7-re" TargetMode="External"/><Relationship Id="rId168" Type="http://schemas.openxmlformats.org/officeDocument/2006/relationships/hyperlink" Target="https://yukimiyashimusho.jimdofree.com/" TargetMode="External"/><Relationship Id="rId51" Type="http://schemas.openxmlformats.org/officeDocument/2006/relationships/hyperlink" Target="https://nichikuniku1129063.wixsite.com/website-3" TargetMode="External"/><Relationship Id="rId72" Type="http://schemas.openxmlformats.org/officeDocument/2006/relationships/hyperlink" Target="https://shinri517.wixsite.com/shinri0517" TargetMode="External"/><Relationship Id="rId93" Type="http://schemas.openxmlformats.org/officeDocument/2006/relationships/hyperlink" Target="https://bellsworks.wixsite.com/bellsworks" TargetMode="External"/><Relationship Id="rId189" Type="http://schemas.openxmlformats.org/officeDocument/2006/relationships/hyperlink" Target="https://yautau.wixsite.com/0909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keitaiware.com/" TargetMode="External"/><Relationship Id="rId235" Type="http://schemas.openxmlformats.org/officeDocument/2006/relationships/hyperlink" Target="https://mareffys.wixsite.com/lalo" TargetMode="External"/><Relationship Id="rId256" Type="http://schemas.openxmlformats.org/officeDocument/2006/relationships/hyperlink" Target="https://chunyinhui021.wixsite.com/mutyuusaisei" TargetMode="External"/><Relationship Id="rId277" Type="http://schemas.openxmlformats.org/officeDocument/2006/relationships/hyperlink" Target="https://vividseekers.utau.sorairomarch.com/" TargetMode="External"/><Relationship Id="rId298" Type="http://schemas.openxmlformats.org/officeDocument/2006/relationships/hyperlink" Target="https://bowlroll.net/user/980255" TargetMode="External"/><Relationship Id="rId116" Type="http://schemas.openxmlformats.org/officeDocument/2006/relationships/hyperlink" Target="https://inudanuki.wixsite.com/gottaniomotyabako" TargetMode="External"/><Relationship Id="rId137" Type="http://schemas.openxmlformats.org/officeDocument/2006/relationships/hyperlink" Target="https://zakrotsukumo.wixsite.com/utau-zerozero" TargetMode="External"/><Relationship Id="rId158" Type="http://schemas.openxmlformats.org/officeDocument/2006/relationships/hyperlink" Target="https://mouzhize.wixsite.com/utauwakusei?lang=ja" TargetMode="External"/><Relationship Id="rId302" Type="http://schemas.openxmlformats.org/officeDocument/2006/relationships/hyperlink" Target="https://lclcofficial6565.wixsite.com/lclc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rinnneuta.wixsite.com/my-site-2?s=09" TargetMode="External"/><Relationship Id="rId62" Type="http://schemas.openxmlformats.org/officeDocument/2006/relationships/hyperlink" Target="https://sites.google.com/view/tokakobo" TargetMode="External"/><Relationship Id="rId83" Type="http://schemas.openxmlformats.org/officeDocument/2006/relationships/hyperlink" Target="https://kurukuru2suuzi.wixsite.com/kuzutokaze" TargetMode="External"/><Relationship Id="rId179" Type="http://schemas.openxmlformats.org/officeDocument/2006/relationships/hyperlink" Target="https://yukimiyashimusho.jimdofree.com/" TargetMode="External"/><Relationship Id="rId190" Type="http://schemas.openxmlformats.org/officeDocument/2006/relationships/hyperlink" Target="https://yautau.wixsite.com/0909" TargetMode="External"/><Relationship Id="rId204" Type="http://schemas.openxmlformats.org/officeDocument/2006/relationships/hyperlink" Target="https://hakutoujelly.booth.pm/items/6496885" TargetMode="External"/><Relationship Id="rId225" Type="http://schemas.openxmlformats.org/officeDocument/2006/relationships/hyperlink" Target="https://amiseniamnu.wixsite.com/amisenia" TargetMode="External"/><Relationship Id="rId246" Type="http://schemas.openxmlformats.org/officeDocument/2006/relationships/hyperlink" Target="https://bowlroll.net/user/992955" TargetMode="External"/><Relationship Id="rId267" Type="http://schemas.openxmlformats.org/officeDocument/2006/relationships/hyperlink" Target="https://bowlroll.net/user/946776" TargetMode="External"/><Relationship Id="rId288" Type="http://schemas.openxmlformats.org/officeDocument/2006/relationships/hyperlink" Target="https://ameutaulii.wixsite.com/telepathycapsule" TargetMode="External"/><Relationship Id="rId106" Type="http://schemas.openxmlformats.org/officeDocument/2006/relationships/hyperlink" Target="https://moqujc.wixsite.com/mqtop" TargetMode="External"/><Relationship Id="rId127" Type="http://schemas.openxmlformats.org/officeDocument/2006/relationships/hyperlink" Target="https://alceaakaza.wixsite.com/artkashic-uni-verse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tourist100f.wixsite.com/utakata-kosyo" TargetMode="External"/><Relationship Id="rId73" Type="http://schemas.openxmlformats.org/officeDocument/2006/relationships/hyperlink" Target="https://hosiyomi.jimdofree.com/" TargetMode="External"/><Relationship Id="rId94" Type="http://schemas.openxmlformats.org/officeDocument/2006/relationships/hyperlink" Target="https://nanyuanxiaojieji.wixsite.com/yuragine-kannsokujo" TargetMode="External"/><Relationship Id="rId148" Type="http://schemas.openxmlformats.org/officeDocument/2006/relationships/hyperlink" Target="https://bowlroll.net/file/333777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ukimiyashimusho.jimdofree.com/" TargetMode="External"/><Relationship Id="rId215" Type="http://schemas.openxmlformats.org/officeDocument/2006/relationships/hyperlink" Target="https://bowlroll.net/user/896336" TargetMode="External"/><Relationship Id="rId236" Type="http://schemas.openxmlformats.org/officeDocument/2006/relationships/hyperlink" Target="https://maybeanglo0mochi.wixsite.com/mochiyanosouko" TargetMode="External"/><Relationship Id="rId257" Type="http://schemas.openxmlformats.org/officeDocument/2006/relationships/hyperlink" Target="https://cmamizki.wixsite.com/edelstein" TargetMode="External"/><Relationship Id="rId278" Type="http://schemas.openxmlformats.org/officeDocument/2006/relationships/hyperlink" Target="https://vividseekers.utau.sorairomarch.com/" TargetMode="External"/><Relationship Id="rId303" Type="http://schemas.openxmlformats.org/officeDocument/2006/relationships/hyperlink" Target="https://lclcofficial6565.wixsite.com/lclc" TargetMode="External"/><Relationship Id="rId42" Type="http://schemas.openxmlformats.org/officeDocument/2006/relationships/hyperlink" Target="https://utaunanaproplus.wixsite.com/of-web" TargetMode="External"/><Relationship Id="rId84" Type="http://schemas.openxmlformats.org/officeDocument/2006/relationships/hyperlink" Target="https://kurukuru2suuzi.wixsite.com/kuzutokaze" TargetMode="External"/><Relationship Id="rId138" Type="http://schemas.openxmlformats.org/officeDocument/2006/relationships/hyperlink" Target="https://zakrotsukumo.wixsite.com/utau-zerozero" TargetMode="External"/><Relationship Id="rId191" Type="http://schemas.openxmlformats.org/officeDocument/2006/relationships/hyperlink" Target="https://sites.google.com/view/report1023" TargetMode="External"/><Relationship Id="rId205" Type="http://schemas.openxmlformats.org/officeDocument/2006/relationships/hyperlink" Target="https://torinosu-hikikomori.jimdofree.com/" TargetMode="External"/><Relationship Id="rId247" Type="http://schemas.openxmlformats.org/officeDocument/2006/relationships/hyperlink" Target="https://bowlroll.net/user/992955" TargetMode="External"/><Relationship Id="rId107" Type="http://schemas.openxmlformats.org/officeDocument/2006/relationships/hyperlink" Target="https://suihankinonaka.wixsite.com/my-site-1" TargetMode="External"/><Relationship Id="rId289" Type="http://schemas.openxmlformats.org/officeDocument/2006/relationships/hyperlink" Target="https://ameutaulii.wixsite.com/telepathycapsule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tourist100f.wixsite.com/utakata-kosyo" TargetMode="External"/><Relationship Id="rId149" Type="http://schemas.openxmlformats.org/officeDocument/2006/relationships/hyperlink" Target="https://bowlroll.net/user/964602" TargetMode="External"/><Relationship Id="rId95" Type="http://schemas.openxmlformats.org/officeDocument/2006/relationships/hyperlink" Target="https://nanyuanxiaojieji.wixsite.com/yuragine-kannsokujo" TargetMode="External"/><Relationship Id="rId160" Type="http://schemas.openxmlformats.org/officeDocument/2006/relationships/hyperlink" Target="https://bowlroll.net/user/999132" TargetMode="External"/><Relationship Id="rId216" Type="http://schemas.openxmlformats.org/officeDocument/2006/relationships/hyperlink" Target="https://jiwajiwakirinn.wixsite.com/sakurada" TargetMode="External"/><Relationship Id="rId258" Type="http://schemas.openxmlformats.org/officeDocument/2006/relationships/hyperlink" Target="https://flowerrocklove.wixsite.com/twilight-crisis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inazukiringo.wixsite.com/amatsubu" TargetMode="External"/><Relationship Id="rId118" Type="http://schemas.openxmlformats.org/officeDocument/2006/relationships/hyperlink" Target="https://tomatoshop.studio.site/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grskmot8.wixsite.com/kdarock" TargetMode="External"/><Relationship Id="rId269" Type="http://schemas.openxmlformats.org/officeDocument/2006/relationships/hyperlink" Target="https://seirentoybox.jimdofree.com/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sites.google.com/view/qsuke-garden/home" TargetMode="External"/><Relationship Id="rId280" Type="http://schemas.openxmlformats.org/officeDocument/2006/relationships/hyperlink" Target="https://magnawitch.wixsite.com/seong-ah" TargetMode="External"/><Relationship Id="rId75" Type="http://schemas.openxmlformats.org/officeDocument/2006/relationships/hyperlink" Target="https://nanyuanxiaojieji.wixsite.com/yuragine-kannsokujo" TargetMode="External"/><Relationship Id="rId140" Type="http://schemas.openxmlformats.org/officeDocument/2006/relationships/hyperlink" Target="https://jnsea010.wixsite.com/kkamchoutau" TargetMode="External"/><Relationship Id="rId182" Type="http://schemas.openxmlformats.org/officeDocument/2006/relationships/hyperlink" Target="https://harujpg.wixsite.com/sanshoku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hinoyuzirenraku.wixsite.com/mu-nene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X439"/>
  <sheetViews>
    <sheetView tabSelected="1" zoomScale="85" zoomScaleNormal="85" workbookViewId="0">
      <pane ySplit="1" topLeftCell="A2" activePane="bottomLeft" state="frozen"/>
      <selection activeCell="E1" sqref="E1"/>
      <selection pane="bottomLeft" activeCell="R100" sqref="R100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1" width="17.1328125" style="23" customWidth="1"/>
    <col min="12" max="12" width="22.33203125" style="23" bestFit="1" customWidth="1"/>
    <col min="13" max="13" width="13.59765625" style="1" bestFit="1" customWidth="1"/>
    <col min="14" max="14" width="9.53125" style="1" bestFit="1" customWidth="1"/>
    <col min="15" max="15" width="42.86328125" style="24" hidden="1" customWidth="1"/>
    <col min="16" max="16" width="6.86328125" style="17" hidden="1" customWidth="1"/>
    <col min="17" max="17" width="10.53125" style="16" hidden="1" customWidth="1"/>
    <col min="18" max="18" width="9.53125" style="1" bestFit="1" customWidth="1"/>
    <col min="19" max="19" width="9.53125" style="24" hidden="1" customWidth="1"/>
    <col min="20" max="20" width="42.53125" style="23" bestFit="1" customWidth="1"/>
    <col min="21" max="21" width="22.6640625" style="23" bestFit="1" customWidth="1"/>
    <col min="22" max="22" width="24.9296875" style="23" bestFit="1" customWidth="1"/>
    <col min="23" max="23" width="25.265625" style="23" bestFit="1" customWidth="1"/>
    <col min="24" max="24" width="52.59765625" style="23" bestFit="1" customWidth="1"/>
    <col min="25" max="16384" width="8.73046875" style="23"/>
  </cols>
  <sheetData>
    <row r="1" spans="1:24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1625</v>
      </c>
      <c r="H1" s="1" t="s">
        <v>1624</v>
      </c>
      <c r="I1" s="1" t="s">
        <v>1629</v>
      </c>
      <c r="J1" s="1" t="s">
        <v>1630</v>
      </c>
      <c r="K1" s="1" t="s">
        <v>1631</v>
      </c>
      <c r="L1" s="1" t="s">
        <v>1632</v>
      </c>
      <c r="M1" s="1" t="s">
        <v>1519</v>
      </c>
      <c r="N1" s="1" t="s">
        <v>713</v>
      </c>
      <c r="O1" s="1" t="s">
        <v>1336</v>
      </c>
      <c r="P1" s="17" t="s">
        <v>1337</v>
      </c>
      <c r="Q1" s="22" t="s">
        <v>773</v>
      </c>
      <c r="R1" s="1" t="s">
        <v>6</v>
      </c>
      <c r="S1" s="1" t="s">
        <v>774</v>
      </c>
      <c r="T1" s="1" t="s">
        <v>1550</v>
      </c>
      <c r="U1" s="1" t="s">
        <v>1551</v>
      </c>
      <c r="V1" s="1" t="s">
        <v>1552</v>
      </c>
      <c r="W1" s="1" t="s">
        <v>1553</v>
      </c>
      <c r="X1" s="1" t="s">
        <v>1554</v>
      </c>
    </row>
    <row r="2" spans="1:24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1194</v>
      </c>
      <c r="D2" s="23" t="s">
        <v>213</v>
      </c>
      <c r="E2" s="23" t="s">
        <v>214</v>
      </c>
      <c r="F2" s="2" t="s">
        <v>215</v>
      </c>
      <c r="G2" s="23" t="s">
        <v>216</v>
      </c>
      <c r="H2" s="23" t="s">
        <v>1626</v>
      </c>
      <c r="I2" s="23" t="s">
        <v>1633</v>
      </c>
      <c r="L2" s="23" t="s">
        <v>1638</v>
      </c>
      <c r="M2" s="1" t="s">
        <v>1517</v>
      </c>
      <c r="N2" s="1" t="s">
        <v>1443</v>
      </c>
      <c r="O2" s="24" t="str">
        <f>テーブル1[[#This Row],[リンク]]&amp;テーブル1[[#This Row],[描画状況]]</f>
        <v>https://mitoristu.wixsite.com/kousaibako済</v>
      </c>
      <c r="P2" s="17">
        <f>1-(COUNTIF(O:O,_xlfn.TEXTJOIN(",",TRUE,テーブル1[[#This Row],[リンク]],テーブル1[[#This Row],[描画状況]]))/COUNTIF(F:F,テーブル1[[#This Row],[リンク]]))</f>
        <v>1</v>
      </c>
      <c r="Q2" s="16" t="str">
        <f ca="1">IFERROR(IF(テーブル1[[#This Row],[描画状況]]="",RAND()+(テーブル1[[#This Row],[列2]]*100),""),RAND())</f>
        <v/>
      </c>
      <c r="R2" s="1" t="s">
        <v>12</v>
      </c>
      <c r="S2" s="24" t="str">
        <f ca="1">IF(AND(テーブル1[[#This Row],[描画状況]]="済",テーブル1[[#This Row],[投稿状況]]=""),RAND(),"")</f>
        <v/>
      </c>
      <c r="T2" s="23" t="str">
        <f>"|&amp;image("&amp;テーブル1[[#This Row],[画像]]&amp;".png,width=100,height=100)"</f>
        <v>|&amp;image(akagane-fuyo.png,width=100,height=100)</v>
      </c>
      <c r="U2" s="23" t="str">
        <f>"|MIDDLE:​"&amp;テーブル1[[#This Row],[名前]]</f>
        <v>|MIDDLE:​赤鐘芙蓉</v>
      </c>
      <c r="V2" s="23" t="str">
        <f>"|MIDDLE:​"&amp;テーブル1[[#This Row],[なまえ]]</f>
        <v>|MIDDLE:​あかがね ふよう</v>
      </c>
      <c r="W2" s="23" t="str">
        <f>"|MIDDLE:​"&amp;テーブル1[[#This Row],[Name]]</f>
        <v>|MIDDLE:​Akagane Fuyo</v>
      </c>
      <c r="X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4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1195</v>
      </c>
      <c r="D3" s="23" t="s">
        <v>187</v>
      </c>
      <c r="E3" s="23" t="s">
        <v>188</v>
      </c>
      <c r="F3" s="2" t="s">
        <v>189</v>
      </c>
      <c r="G3" s="23" t="s">
        <v>190</v>
      </c>
      <c r="H3" s="23" t="s">
        <v>1627</v>
      </c>
      <c r="I3" s="23" t="s">
        <v>1636</v>
      </c>
      <c r="J3" s="23" t="s">
        <v>1635</v>
      </c>
      <c r="K3" s="23" t="s">
        <v>1637</v>
      </c>
      <c r="L3" s="23" t="s">
        <v>1678</v>
      </c>
      <c r="N3" s="1" t="s">
        <v>1443</v>
      </c>
      <c r="O3" s="24" t="str">
        <f>テーブル1[[#This Row],[リンク]]&amp;テーブル1[[#This Row],[描画状況]]</f>
        <v>https://lit.link/sereinrain済</v>
      </c>
      <c r="P3" s="17">
        <f>1-(COUNTIF(O:O,_xlfn.TEXTJOIN(",",TRUE,テーブル1[[#This Row],[リンク]],テーブル1[[#This Row],[描画状況]]))/COUNTIF(F:F,テーブル1[[#This Row],[リンク]]))</f>
        <v>1</v>
      </c>
      <c r="Q3" s="16" t="str">
        <f ca="1">IFERROR(IF(テーブル1[[#This Row],[描画状況]]="",RAND()+(テーブル1[[#This Row],[列2]]*100),""),RAND())</f>
        <v/>
      </c>
      <c r="R3" s="1" t="s">
        <v>12</v>
      </c>
      <c r="S3" s="24" t="str">
        <f ca="1">IF(AND(テーブル1[[#This Row],[描画状況]]="済",テーブル1[[#This Row],[投稿状況]]=""),RAND(),"")</f>
        <v/>
      </c>
      <c r="T3" s="23" t="str">
        <f>"|&amp;image("&amp;テーブル1[[#This Row],[画像]]&amp;".png,width=100,height=100)"</f>
        <v>|&amp;image(azumayatei-kyuichi.png,width=100,height=100)</v>
      </c>
      <c r="U3" s="23" t="str">
        <f>"|MIDDLE:​"&amp;テーブル1[[#This Row],[名前]]</f>
        <v>|MIDDLE:​東屋亭久一</v>
      </c>
      <c r="V3" s="23" t="str">
        <f>"|MIDDLE:​"&amp;テーブル1[[#This Row],[なまえ]]</f>
        <v>|MIDDLE:​あずまやてい きゅういち</v>
      </c>
      <c r="W3" s="23" t="str">
        <f>"|MIDDLE:​"&amp;テーブル1[[#This Row],[Name]]</f>
        <v>|MIDDLE:​Azumayatei Kyuichi</v>
      </c>
      <c r="X3" s="23" t="str">
        <f>"|MIDDLE:​&amp;link(配布所はこちら){​"&amp;テーブル1[[#This Row],[リンク]]&amp;"}|"</f>
        <v>|MIDDLE:​&amp;link(配布所はこちら){​https://lit.link/sereinrain}|</v>
      </c>
    </row>
    <row r="4" spans="1:24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1196</v>
      </c>
      <c r="D4" s="23" t="s">
        <v>91</v>
      </c>
      <c r="E4" s="23" t="s">
        <v>92</v>
      </c>
      <c r="F4" s="2" t="s">
        <v>93</v>
      </c>
      <c r="G4" s="23" t="s">
        <v>94</v>
      </c>
      <c r="H4" s="23" t="s">
        <v>1627</v>
      </c>
      <c r="I4" s="23" t="s">
        <v>1639</v>
      </c>
      <c r="J4" s="23" t="s">
        <v>1640</v>
      </c>
      <c r="L4" s="23" t="s">
        <v>1641</v>
      </c>
      <c r="M4" s="1" t="s">
        <v>1518</v>
      </c>
      <c r="N4" s="1" t="s">
        <v>1443</v>
      </c>
      <c r="O4" s="24" t="str">
        <f>テーブル1[[#This Row],[リンク]]&amp;テーブル1[[#This Row],[描画状況]]</f>
        <v>https://cloudcatch1224.wixsite.com/godsfoot済</v>
      </c>
      <c r="P4" s="17">
        <f>1-(COUNTIF(O:O,_xlfn.TEXTJOIN(",",TRUE,テーブル1[[#This Row],[リンク]],テーブル1[[#This Row],[描画状況]]))/COUNTIF(F:F,テーブル1[[#This Row],[リンク]]))</f>
        <v>1</v>
      </c>
      <c r="Q4" s="16" t="str">
        <f ca="1">IFERROR(IF(テーブル1[[#This Row],[描画状況]]="",RAND()+(テーブル1[[#This Row],[列2]]*100),""),RAND())</f>
        <v/>
      </c>
      <c r="R4" s="1" t="s">
        <v>12</v>
      </c>
      <c r="S4" s="24" t="str">
        <f ca="1">IF(AND(テーブル1[[#This Row],[描画状況]]="済",テーブル1[[#This Row],[投稿状況]]=""),RAND(),"")</f>
        <v/>
      </c>
      <c r="T4" s="23" t="str">
        <f>"|&amp;image("&amp;テーブル1[[#This Row],[画像]]&amp;".png,width=100,height=100)"</f>
        <v>|&amp;image(acetate.png,width=100,height=100)</v>
      </c>
      <c r="U4" s="23" t="str">
        <f>"|MIDDLE:​"&amp;テーブル1[[#This Row],[名前]]</f>
        <v>|MIDDLE:​アセテート</v>
      </c>
      <c r="V4" s="23" t="str">
        <f>"|MIDDLE:​"&amp;テーブル1[[#This Row],[なまえ]]</f>
        <v>|MIDDLE:​あせてーと</v>
      </c>
      <c r="W4" s="23" t="str">
        <f>"|MIDDLE:​"&amp;テーブル1[[#This Row],[Name]]</f>
        <v>|MIDDLE:​Acetate</v>
      </c>
      <c r="X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4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204</v>
      </c>
      <c r="D5" s="23" t="s">
        <v>205</v>
      </c>
      <c r="E5" s="23" t="s">
        <v>206</v>
      </c>
      <c r="F5" s="2" t="s">
        <v>207</v>
      </c>
      <c r="G5" s="23" t="s">
        <v>208</v>
      </c>
      <c r="H5" s="23" t="s">
        <v>1626</v>
      </c>
      <c r="I5" s="23" t="s">
        <v>1654</v>
      </c>
      <c r="K5" s="23" t="s">
        <v>1646</v>
      </c>
      <c r="N5" s="1" t="s">
        <v>1443</v>
      </c>
      <c r="O5" s="24" t="str">
        <f>テーブル1[[#This Row],[リンク]]&amp;テーブル1[[#This Row],[描画状況]]</f>
        <v>https://mechanicalgirl.jp済</v>
      </c>
      <c r="P5" s="17">
        <f>1-(COUNTIF(O:O,_xlfn.TEXTJOIN(",",TRUE,テーブル1[[#This Row],[リンク]],テーブル1[[#This Row],[描画状況]]))/COUNTIF(F:F,テーブル1[[#This Row],[リンク]]))</f>
        <v>1</v>
      </c>
      <c r="Q5" s="16" t="str">
        <f ca="1">IFERROR(IF(テーブル1[[#This Row],[描画状況]]="",RAND()+(テーブル1[[#This Row],[列2]]*100),""),RAND())</f>
        <v/>
      </c>
      <c r="R5" s="1" t="s">
        <v>12</v>
      </c>
      <c r="S5" s="24" t="str">
        <f ca="1">IF(AND(テーブル1[[#This Row],[描画状況]]="済",テーブル1[[#This Row],[投稿状況]]=""),RAND(),"")</f>
        <v/>
      </c>
      <c r="T5" s="23" t="str">
        <f>"|&amp;image("&amp;テーブル1[[#This Row],[画像]]&amp;".png,width=100,height=100)"</f>
        <v>|&amp;image(adachi-rei.png,width=100,height=100)</v>
      </c>
      <c r="U5" s="23" t="str">
        <f>"|MIDDLE:​"&amp;テーブル1[[#This Row],[名前]]</f>
        <v>|MIDDLE:​足立レイ</v>
      </c>
      <c r="V5" s="23" t="str">
        <f>"|MIDDLE:​"&amp;テーブル1[[#This Row],[なまえ]]</f>
        <v>|MIDDLE:​あだち れい</v>
      </c>
      <c r="W5" s="23" t="str">
        <f>"|MIDDLE:​"&amp;テーブル1[[#This Row],[Name]]</f>
        <v>|MIDDLE:​Adachi Rei</v>
      </c>
      <c r="X5" s="23" t="str">
        <f>"|MIDDLE:​&amp;link(配布所はこちら){​"&amp;テーブル1[[#This Row],[リンク]]&amp;"}|"</f>
        <v>|MIDDLE:​&amp;link(配布所はこちら){​https://mechanicalgirl.jp}|</v>
      </c>
    </row>
    <row r="6" spans="1:24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336</v>
      </c>
      <c r="D6" s="23" t="s">
        <v>337</v>
      </c>
      <c r="E6" s="23" t="s">
        <v>338</v>
      </c>
      <c r="F6" s="2" t="s">
        <v>339</v>
      </c>
      <c r="G6" s="23" t="s">
        <v>340</v>
      </c>
      <c r="H6" s="23" t="s">
        <v>1626</v>
      </c>
      <c r="I6" s="23" t="s">
        <v>1655</v>
      </c>
      <c r="K6" s="23" t="s">
        <v>1656</v>
      </c>
      <c r="L6" s="23" t="s">
        <v>1657</v>
      </c>
      <c r="N6" s="1" t="s">
        <v>1443</v>
      </c>
      <c r="O6" s="24" t="str">
        <f>テーブル1[[#This Row],[リンク]]&amp;テーブル1[[#This Row],[描画状況]]</f>
        <v>https://torinosu-hikikomori.jimdofree.com済</v>
      </c>
      <c r="P6" s="17">
        <f>1-(COUNTIF(O:O,_xlfn.TEXTJOIN(",",TRUE,テーブル1[[#This Row],[リンク]],テーブル1[[#This Row],[描画状況]]))/COUNTIF(F:F,テーブル1[[#This Row],[リンク]]))</f>
        <v>1</v>
      </c>
      <c r="Q6" s="16" t="str">
        <f ca="1">IFERROR(IF(テーブル1[[#This Row],[描画状況]]="",RAND()+(テーブル1[[#This Row],[列2]]*100),""),RAND())</f>
        <v/>
      </c>
      <c r="R6" s="1" t="s">
        <v>12</v>
      </c>
      <c r="S6" s="24" t="str">
        <f ca="1">IF(AND(テーブル1[[#This Row],[描画状況]]="済",テーブル1[[#This Row],[投稿状況]]=""),RAND(),"")</f>
        <v/>
      </c>
      <c r="T6" s="23" t="str">
        <f>"|&amp;image("&amp;テーブル1[[#This Row],[画像]]&amp;".png,width=100,height=100)"</f>
        <v>|&amp;image(atorine-hiwa.png,width=100,height=100)</v>
      </c>
      <c r="U6" s="23" t="str">
        <f>"|MIDDLE:​"&amp;テーブル1[[#This Row],[名前]]</f>
        <v>|MIDDLE:​花鶏音ひわ</v>
      </c>
      <c r="V6" s="23" t="str">
        <f>"|MIDDLE:​"&amp;テーブル1[[#This Row],[なまえ]]</f>
        <v>|MIDDLE:​あとりね ひわ</v>
      </c>
      <c r="W6" s="23" t="str">
        <f>"|MIDDLE:​"&amp;テーブル1[[#This Row],[Name]]</f>
        <v>|MIDDLE:​Atorine Hiwa</v>
      </c>
      <c r="X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4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163</v>
      </c>
      <c r="D7" s="23" t="s">
        <v>164</v>
      </c>
      <c r="E7" s="23" t="s">
        <v>163</v>
      </c>
      <c r="F7" s="2" t="s">
        <v>165</v>
      </c>
      <c r="G7" s="23" t="s">
        <v>166</v>
      </c>
      <c r="H7" s="23" t="s">
        <v>1661</v>
      </c>
      <c r="I7" s="23" t="s">
        <v>1636</v>
      </c>
      <c r="N7" s="1" t="s">
        <v>1443</v>
      </c>
      <c r="O7" s="24" t="str">
        <f>テーブル1[[#This Row],[リンク]]&amp;テーブル1[[#This Row],[描画状況]]</f>
        <v>https://kuroi9603.wixsite.com/delu-lab-south済</v>
      </c>
      <c r="P7" s="17">
        <f>1-(COUNTIF(O:O,_xlfn.TEXTJOIN(",",TRUE,テーブル1[[#This Row],[リンク]],テーブル1[[#This Row],[描画状況]]))/COUNTIF(F:F,テーブル1[[#This Row],[リンク]]))</f>
        <v>1</v>
      </c>
      <c r="Q7" s="16" t="str">
        <f ca="1">IFERROR(IF(テーブル1[[#This Row],[描画状況]]="",RAND()+(テーブル1[[#This Row],[列2]]*100),""),RAND())</f>
        <v/>
      </c>
      <c r="R7" s="1" t="s">
        <v>12</v>
      </c>
      <c r="S7" s="24" t="str">
        <f ca="1">IF(AND(テーブル1[[#This Row],[描画状況]]="済",テーブル1[[#This Row],[投稿状況]]=""),RAND(),"")</f>
        <v/>
      </c>
      <c r="T7" s="23" t="str">
        <f>"|&amp;image("&amp;テーブル1[[#This Row],[画像]]&amp;".png,width=100,height=100)"</f>
        <v>|&amp;image(adol.png,width=100,height=100)</v>
      </c>
      <c r="U7" s="23" t="str">
        <f>"|MIDDLE:​"&amp;テーブル1[[#This Row],[名前]]</f>
        <v>|MIDDLE:​Adol</v>
      </c>
      <c r="V7" s="23" t="str">
        <f>"|MIDDLE:​"&amp;テーブル1[[#This Row],[なまえ]]</f>
        <v>|MIDDLE:​あどる</v>
      </c>
      <c r="W7" s="23" t="str">
        <f>"|MIDDLE:​"&amp;テーブル1[[#This Row],[Name]]</f>
        <v>|MIDDLE:​Adol</v>
      </c>
      <c r="X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4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289</v>
      </c>
      <c r="D8" s="23" t="s">
        <v>290</v>
      </c>
      <c r="E8" s="23" t="s">
        <v>291</v>
      </c>
      <c r="F8" s="2" t="s">
        <v>292</v>
      </c>
      <c r="G8" s="23" t="s">
        <v>293</v>
      </c>
      <c r="H8" s="23" t="s">
        <v>1663</v>
      </c>
      <c r="I8" s="23" t="s">
        <v>1649</v>
      </c>
      <c r="K8" s="23" t="s">
        <v>1637</v>
      </c>
      <c r="L8" s="23" t="s">
        <v>1665</v>
      </c>
      <c r="M8" s="1" t="s">
        <v>1517</v>
      </c>
      <c r="N8" s="1" t="s">
        <v>1443</v>
      </c>
      <c r="O8" s="24" t="str">
        <f>テーブル1[[#This Row],[リンク]]&amp;テーブル1[[#This Row],[描画状況]]</f>
        <v>https://seirentoybox.jimdofree.com済</v>
      </c>
      <c r="P8" s="17">
        <f>1-(COUNTIF(O:O,_xlfn.TEXTJOIN(",",TRUE,テーブル1[[#This Row],[リンク]],テーブル1[[#This Row],[描画状況]]))/COUNTIF(F:F,テーブル1[[#This Row],[リンク]]))</f>
        <v>1</v>
      </c>
      <c r="Q8" s="16" t="str">
        <f ca="1">IFERROR(IF(テーブル1[[#This Row],[描画状況]]="",RAND()+(テーブル1[[#This Row],[列2]]*100),""),RAND())</f>
        <v/>
      </c>
      <c r="R8" s="1" t="s">
        <v>12</v>
      </c>
      <c r="S8" s="24" t="str">
        <f ca="1">IF(AND(テーブル1[[#This Row],[描画状況]]="済",テーブル1[[#This Row],[投稿状況]]=""),RAND(),"")</f>
        <v/>
      </c>
      <c r="T8" s="23" t="str">
        <f>"|&amp;image("&amp;テーブル1[[#This Row],[画像]]&amp;".png,width=100,height=100)"</f>
        <v>|&amp;image(anima-raituhatto.png,width=100,height=100)</v>
      </c>
      <c r="U8" s="23" t="str">
        <f>"|MIDDLE:​"&amp;テーブル1[[#This Row],[名前]]</f>
        <v>|MIDDLE:​アニマ・ライツハット</v>
      </c>
      <c r="V8" s="23" t="str">
        <f>"|MIDDLE:​"&amp;テーブル1[[#This Row],[なまえ]]</f>
        <v>|MIDDLE:​あにま らいつはっと</v>
      </c>
      <c r="W8" s="23" t="str">
        <f>"|MIDDLE:​"&amp;テーブル1[[#This Row],[Name]]</f>
        <v>|MIDDLE:​Anima Raituhatto</v>
      </c>
      <c r="X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4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370</v>
      </c>
      <c r="D9" s="23" t="s">
        <v>371</v>
      </c>
      <c r="E9" s="23" t="s">
        <v>372</v>
      </c>
      <c r="F9" s="2" t="s">
        <v>373</v>
      </c>
      <c r="G9" s="23" t="s">
        <v>374</v>
      </c>
      <c r="H9" s="23" t="s">
        <v>1626</v>
      </c>
      <c r="I9" s="23" t="s">
        <v>1679</v>
      </c>
      <c r="L9" s="23" t="s">
        <v>1657</v>
      </c>
      <c r="N9" s="1" t="s">
        <v>1443</v>
      </c>
      <c r="O9" s="24" t="str">
        <f>テーブル1[[#This Row],[リンク]]&amp;テーブル1[[#This Row],[描画状況]]</f>
        <v>https://utausuzuminnya.jimdofree.com済</v>
      </c>
      <c r="P9" s="17">
        <f>1-(COUNTIF(O:O,_xlfn.TEXTJOIN(",",TRUE,テーブル1[[#This Row],[リンク]],テーブル1[[#This Row],[描画状況]]))/COUNTIF(F:F,テーブル1[[#This Row],[リンク]]))</f>
        <v>1</v>
      </c>
      <c r="Q9" s="16" t="str">
        <f ca="1">IFERROR(IF(テーブル1[[#This Row],[描画状況]]="",RAND()+(テーブル1[[#This Row],[列2]]*100),""),RAND())</f>
        <v/>
      </c>
      <c r="R9" s="1" t="s">
        <v>12</v>
      </c>
      <c r="S9" s="24" t="str">
        <f ca="1">IF(AND(テーブル1[[#This Row],[描画状況]]="済",テーブル1[[#This Row],[投稿状況]]=""),RAND(),"")</f>
        <v/>
      </c>
      <c r="T9" s="23" t="str">
        <f>"|&amp;image("&amp;テーブル1[[#This Row],[画像]]&amp;".png,width=100,height=100)"</f>
        <v>|&amp;image(amatsuka-fuawa.png,width=100,height=100)</v>
      </c>
      <c r="U9" s="23" t="str">
        <f>"|MIDDLE:​"&amp;テーブル1[[#This Row],[名前]]</f>
        <v>|MIDDLE:​天使ふあわ</v>
      </c>
      <c r="V9" s="23" t="str">
        <f>"|MIDDLE:​"&amp;テーブル1[[#This Row],[なまえ]]</f>
        <v>|MIDDLE:​あまつか ふあわ</v>
      </c>
      <c r="W9" s="23" t="str">
        <f>"|MIDDLE:​"&amp;テーブル1[[#This Row],[Name]]</f>
        <v>|MIDDLE:​Amatsuka Fuawa</v>
      </c>
      <c r="X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4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284</v>
      </c>
      <c r="D10" s="23" t="s">
        <v>285</v>
      </c>
      <c r="E10" s="23" t="s">
        <v>286</v>
      </c>
      <c r="F10" s="2" t="s">
        <v>287</v>
      </c>
      <c r="G10" s="23" t="s">
        <v>288</v>
      </c>
      <c r="H10" s="23" t="s">
        <v>1626</v>
      </c>
      <c r="I10" s="23" t="s">
        <v>1636</v>
      </c>
      <c r="K10" s="23" t="s">
        <v>1685</v>
      </c>
      <c r="L10" s="23" t="s">
        <v>1684</v>
      </c>
      <c r="N10" s="1" t="s">
        <v>1443</v>
      </c>
      <c r="O10" s="24" t="str">
        <f>テーブル1[[#This Row],[リンク]]&amp;テーブル1[[#This Row],[描画状況]]</f>
        <v>https://sabaneko.amebaownd.com済</v>
      </c>
      <c r="P10" s="17">
        <f>1-(COUNTIF(O:O,_xlfn.TEXTJOIN(",",TRUE,テーブル1[[#This Row],[リンク]],テーブル1[[#This Row],[描画状況]]))/COUNTIF(F:F,テーブル1[[#This Row],[リンク]]))</f>
        <v>1</v>
      </c>
      <c r="Q10" s="16" t="str">
        <f ca="1">IFERROR(IF(テーブル1[[#This Row],[描画状況]]="",RAND()+(テーブル1[[#This Row],[列2]]*100),""),RAND())</f>
        <v/>
      </c>
      <c r="R10" s="1" t="s">
        <v>12</v>
      </c>
      <c r="S10" s="24" t="str">
        <f ca="1">IF(AND(テーブル1[[#This Row],[描画状況]]="済",テーブル1[[#This Row],[投稿状況]]=""),RAND(),"")</f>
        <v/>
      </c>
      <c r="T10" s="23" t="str">
        <f>"|&amp;image("&amp;テーブル1[[#This Row],[画像]]&amp;".png,width=100,height=100)"</f>
        <v>|&amp;image(amane-usagi.png,width=100,height=100)</v>
      </c>
      <c r="U10" s="23" t="str">
        <f>"|MIDDLE:​"&amp;テーブル1[[#This Row],[名前]]</f>
        <v>|MIDDLE:​雨音うさぎ</v>
      </c>
      <c r="V10" s="23" t="str">
        <f>"|MIDDLE:​"&amp;テーブル1[[#This Row],[なまえ]]</f>
        <v>|MIDDLE:​あまね うさぎ</v>
      </c>
      <c r="W10" s="23" t="str">
        <f>"|MIDDLE:​"&amp;テーブル1[[#This Row],[Name]]</f>
        <v>|MIDDLE:​Amane Usagi</v>
      </c>
      <c r="X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4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119</v>
      </c>
      <c r="D11" s="23" t="s">
        <v>120</v>
      </c>
      <c r="E11" s="23" t="s">
        <v>121</v>
      </c>
      <c r="F11" s="2" t="s">
        <v>122</v>
      </c>
      <c r="G11" s="23" t="s">
        <v>123</v>
      </c>
      <c r="H11" s="23" t="s">
        <v>1627</v>
      </c>
      <c r="I11" s="23" t="s">
        <v>1689</v>
      </c>
      <c r="L11" s="23" t="s">
        <v>1686</v>
      </c>
      <c r="N11" s="1" t="s">
        <v>1443</v>
      </c>
      <c r="O11" s="24" t="str">
        <f>テーブル1[[#This Row],[リンク]]&amp;テーブル1[[#This Row],[描画状況]]</f>
        <v>https://inudanuki.wixsite.com/gottaniomotyabako済</v>
      </c>
      <c r="P11" s="17">
        <f>1-(COUNTIF(O:O,_xlfn.TEXTJOIN(",",TRUE,テーブル1[[#This Row],[リンク]],テーブル1[[#This Row],[描画状況]]))/COUNTIF(F:F,テーブル1[[#This Row],[リンク]]))</f>
        <v>1</v>
      </c>
      <c r="Q11" s="16" t="str">
        <f ca="1">IFERROR(IF(テーブル1[[#This Row],[描画状況]]="",RAND()+(テーブル1[[#This Row],[列2]]*100),""),RAND())</f>
        <v/>
      </c>
      <c r="R11" s="1" t="s">
        <v>12</v>
      </c>
      <c r="S11" s="24" t="str">
        <f ca="1">IF(AND(テーブル1[[#This Row],[描画状況]]="済",テーブル1[[#This Row],[投稿状況]]=""),RAND(),"")</f>
        <v/>
      </c>
      <c r="T11" s="23" t="str">
        <f>"|&amp;image("&amp;テーブル1[[#This Row],[画像]]&amp;".png,width=100,height=100)"</f>
        <v>|&amp;image(ayashiki.png,width=100,height=100)</v>
      </c>
      <c r="U11" s="23" t="str">
        <f>"|MIDDLE:​"&amp;テーブル1[[#This Row],[名前]]</f>
        <v>|MIDDLE:​怪子奇</v>
      </c>
      <c r="V11" s="23" t="str">
        <f>"|MIDDLE:​"&amp;テーブル1[[#This Row],[なまえ]]</f>
        <v>|MIDDLE:​あやしき</v>
      </c>
      <c r="W11" s="23" t="str">
        <f>"|MIDDLE:​"&amp;テーブル1[[#This Row],[Name]]</f>
        <v>|MIDDLE:​Ayashiki</v>
      </c>
      <c r="X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4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344</v>
      </c>
      <c r="D12" s="23" t="s">
        <v>345</v>
      </c>
      <c r="E12" s="23" t="s">
        <v>346</v>
      </c>
      <c r="F12" s="2" t="s">
        <v>347</v>
      </c>
      <c r="G12" s="23" t="s">
        <v>348</v>
      </c>
      <c r="H12" s="23" t="s">
        <v>1626</v>
      </c>
      <c r="I12" s="23" t="s">
        <v>1636</v>
      </c>
      <c r="J12" s="23" t="s">
        <v>1693</v>
      </c>
      <c r="K12" s="23" t="s">
        <v>1637</v>
      </c>
      <c r="N12" s="1" t="s">
        <v>1443</v>
      </c>
      <c r="O12" s="24" t="str">
        <f>テーブル1[[#This Row],[リンク]]&amp;テーブル1[[#This Row],[描画状況]]</f>
        <v>https://tourist100f.wixsite.com/utakata-kosyo済</v>
      </c>
      <c r="P12" s="17">
        <f>1-(COUNTIF(O:O,_xlfn.TEXTJOIN(",",TRUE,テーブル1[[#This Row],[リンク]],テーブル1[[#This Row],[描画状況]]))/COUNTIF(F:F,テーブル1[[#This Row],[リンク]]))</f>
        <v>1</v>
      </c>
      <c r="Q12" s="16" t="str">
        <f ca="1">IFERROR(IF(テーブル1[[#This Row],[描画状況]]="",RAND()+(テーブル1[[#This Row],[列2]]*100),""),RAND())</f>
        <v/>
      </c>
      <c r="R12" s="1" t="s">
        <v>12</v>
      </c>
      <c r="S12" s="24" t="str">
        <f ca="1">IF(AND(テーブル1[[#This Row],[描画状況]]="済",テーブル1[[#This Row],[投稿状況]]=""),RAND(),"")</f>
        <v/>
      </c>
      <c r="T12" s="23" t="str">
        <f>"|&amp;image("&amp;テーブル1[[#This Row],[画像]]&amp;".png,width=100,height=100)"</f>
        <v>|&amp;image(utakata-tsumugi.png,width=100,height=100)</v>
      </c>
      <c r="U12" s="23" t="str">
        <f>"|MIDDLE:​"&amp;テーブル1[[#This Row],[名前]]</f>
        <v>|MIDDLE:​泡沫紬</v>
      </c>
      <c r="V12" s="23" t="str">
        <f>"|MIDDLE:​"&amp;テーブル1[[#This Row],[なまえ]]</f>
        <v>|MIDDLE:​うたかた つむぎ</v>
      </c>
      <c r="W12" s="23" t="str">
        <f>"|MIDDLE:​"&amp;テーブル1[[#This Row],[Name]]</f>
        <v>|MIDDLE:​Utakata Tsumugi</v>
      </c>
      <c r="X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4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408</v>
      </c>
      <c r="D13" s="23" t="s">
        <v>409</v>
      </c>
      <c r="E13" s="23" t="s">
        <v>410</v>
      </c>
      <c r="F13" s="23" t="s">
        <v>421</v>
      </c>
      <c r="G13" s="23" t="s">
        <v>411</v>
      </c>
      <c r="H13" s="23" t="s">
        <v>1626</v>
      </c>
      <c r="K13" s="23" t="s">
        <v>1695</v>
      </c>
      <c r="M13" s="1" t="s">
        <v>1515</v>
      </c>
      <c r="N13" s="1" t="s">
        <v>1443</v>
      </c>
      <c r="O13" s="24" t="str">
        <f>テーブル1[[#This Row],[リンク]]&amp;テーブル1[[#This Row],[描画状況]]</f>
        <v>-済</v>
      </c>
      <c r="P13" s="17">
        <f>1-(COUNTIF(O:O,_xlfn.TEXTJOIN(",",TRUE,テーブル1[[#This Row],[リンク]],テーブル1[[#This Row],[描画状況]]))/COUNTIF(F:F,テーブル1[[#This Row],[リンク]]))</f>
        <v>1</v>
      </c>
      <c r="Q13" s="16" t="str">
        <f ca="1">IFERROR(IF(テーブル1[[#This Row],[描画状況]]="",RAND()+(テーブル1[[#This Row],[列2]]*100),""),RAND())</f>
        <v/>
      </c>
      <c r="R13" s="1" t="s">
        <v>12</v>
      </c>
      <c r="S13" s="24" t="str">
        <f ca="1">IF(AND(テーブル1[[#This Row],[描画状況]]="済",テーブル1[[#This Row],[投稿状況]]=""),RAND(),"")</f>
        <v/>
      </c>
      <c r="T13" s="23" t="str">
        <f>"|&amp;image("&amp;テーブル1[[#This Row],[画像]]&amp;".png,width=100,height=100)"</f>
        <v>|&amp;image(utane-uta(defoko).png,width=100,height=100)</v>
      </c>
      <c r="U13" s="23" t="str">
        <f>"|MIDDLE:​"&amp;テーブル1[[#This Row],[名前]]</f>
        <v>|MIDDLE:​唄音ウタ(デフォ子)</v>
      </c>
      <c r="V13" s="23" t="str">
        <f>"|MIDDLE:​"&amp;テーブル1[[#This Row],[なまえ]]</f>
        <v>|MIDDLE:​うたね うた(でふぉこ)</v>
      </c>
      <c r="W13" s="23" t="str">
        <f>"|MIDDLE:​"&amp;テーブル1[[#This Row],[Name]]</f>
        <v>|MIDDLE:​Utane Uta(Defoko)</v>
      </c>
      <c r="X13" s="23" t="str">
        <f>"|MIDDLE:​&amp;link(配布所はこちら){​"&amp;テーブル1[[#This Row],[リンク]]&amp;"}|"</f>
        <v>|MIDDLE:​&amp;link(配布所はこちら){​-}|</v>
      </c>
    </row>
    <row r="14" spans="1:24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312</v>
      </c>
      <c r="D14" s="23" t="s">
        <v>313</v>
      </c>
      <c r="E14" s="23" t="s">
        <v>314</v>
      </c>
      <c r="F14" s="2" t="s">
        <v>315</v>
      </c>
      <c r="G14" s="23" t="s">
        <v>316</v>
      </c>
      <c r="H14" s="23" t="s">
        <v>1626</v>
      </c>
      <c r="I14" s="23" t="s">
        <v>1696</v>
      </c>
      <c r="L14" s="23" t="s">
        <v>1697</v>
      </c>
      <c r="N14" s="1" t="s">
        <v>1443</v>
      </c>
      <c r="O14" s="24" t="str">
        <f>テーブル1[[#This Row],[リンク]]&amp;テーブル1[[#This Row],[描画状況]]</f>
        <v>https://sites.google.com/view/tokakobo済</v>
      </c>
      <c r="P14" s="17">
        <f>1-(COUNTIF(O:O,_xlfn.TEXTJOIN(",",TRUE,テーブル1[[#This Row],[リンク]],テーブル1[[#This Row],[描画状況]]))/COUNTIF(F:F,テーブル1[[#This Row],[リンク]]))</f>
        <v>1</v>
      </c>
      <c r="Q14" s="16" t="str">
        <f ca="1">IFERROR(IF(テーブル1[[#This Row],[描画状況]]="",RAND()+(テーブル1[[#This Row],[列2]]*100),""),RAND())</f>
        <v/>
      </c>
      <c r="R14" s="1" t="s">
        <v>12</v>
      </c>
      <c r="S14" s="24" t="str">
        <f ca="1">IF(AND(テーブル1[[#This Row],[描画状況]]="済",テーブル1[[#This Row],[投稿状況]]=""),RAND(),"")</f>
        <v/>
      </c>
      <c r="T14" s="23" t="str">
        <f>"|&amp;image("&amp;テーブル1[[#This Row],[画像]]&amp;".png,width=100,height=100)"</f>
        <v>|&amp;image(uruya.png,width=100,height=100)</v>
      </c>
      <c r="U14" s="23" t="str">
        <f>"|MIDDLE:​"&amp;テーブル1[[#This Row],[名前]]</f>
        <v>|MIDDLE:​URUYA</v>
      </c>
      <c r="V14" s="23" t="str">
        <f>"|MIDDLE:​"&amp;テーブル1[[#This Row],[なまえ]]</f>
        <v>|MIDDLE:​うるや</v>
      </c>
      <c r="W14" s="23" t="str">
        <f>"|MIDDLE:​"&amp;テーブル1[[#This Row],[Name]]</f>
        <v>|MIDDLE:​Uruya</v>
      </c>
      <c r="X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4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341</v>
      </c>
      <c r="D15" s="23" t="s">
        <v>342</v>
      </c>
      <c r="E15" s="23" t="s">
        <v>343</v>
      </c>
      <c r="F15" s="2" t="s">
        <v>339</v>
      </c>
      <c r="G15" s="23" t="s">
        <v>340</v>
      </c>
      <c r="H15" s="23" t="s">
        <v>1627</v>
      </c>
      <c r="I15" s="23" t="s">
        <v>1658</v>
      </c>
      <c r="J15" s="23" t="s">
        <v>1659</v>
      </c>
      <c r="L15" s="23" t="s">
        <v>1660</v>
      </c>
      <c r="N15" s="1" t="s">
        <v>1443</v>
      </c>
      <c r="O15" s="24" t="str">
        <f>テーブル1[[#This Row],[リンク]]&amp;テーブル1[[#This Row],[描画状況]]</f>
        <v>https://torinosu-hikikomori.jimdofree.com済</v>
      </c>
      <c r="P15" s="17">
        <f>1-(COUNTIF(O:O,_xlfn.TEXTJOIN(",",TRUE,テーブル1[[#This Row],[リンク]],テーブル1[[#This Row],[描画状況]]))/COUNTIF(F:F,テーブル1[[#This Row],[リンク]]))</f>
        <v>1</v>
      </c>
      <c r="Q15" s="16" t="str">
        <f ca="1">IFERROR(IF(テーブル1[[#This Row],[描画状況]]="",RAND()+(テーブル1[[#This Row],[列2]]*100),""),RAND())</f>
        <v/>
      </c>
      <c r="R15" s="1" t="s">
        <v>12</v>
      </c>
      <c r="S15" s="24" t="str">
        <f ca="1">IF(AND(テーブル1[[#This Row],[描画状況]]="済",テーブル1[[#This Row],[投稿状況]]=""),RAND(),"")</f>
        <v/>
      </c>
      <c r="T15" s="23" t="str">
        <f>"|&amp;image("&amp;テーブル1[[#This Row],[画像]]&amp;".png,width=100,height=100)"</f>
        <v>|&amp;image(oroku-korokuro.png,width=100,height=100)</v>
      </c>
      <c r="U15" s="23" t="str">
        <f>"|MIDDLE:​"&amp;テーブル1[[#This Row],[名前]]</f>
        <v>|MIDDLE:​オーロク&amp;小六郎</v>
      </c>
      <c r="V15" s="23" t="str">
        <f>"|MIDDLE:​"&amp;テーブル1[[#This Row],[なまえ]]</f>
        <v>|MIDDLE:​おーろく &amp; ころくろう</v>
      </c>
      <c r="W15" s="23" t="str">
        <f>"|MIDDLE:​"&amp;テーブル1[[#This Row],[Name]]</f>
        <v>|MIDDLE:​Oroku &amp; korokuro</v>
      </c>
      <c r="X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4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112</v>
      </c>
      <c r="D16" s="23" t="s">
        <v>113</v>
      </c>
      <c r="E16" s="23" t="s">
        <v>114</v>
      </c>
      <c r="F16" s="2" t="s">
        <v>115</v>
      </c>
      <c r="G16" s="23" t="s">
        <v>116</v>
      </c>
      <c r="H16" s="23" t="s">
        <v>1626</v>
      </c>
      <c r="I16" s="23" t="s">
        <v>1698</v>
      </c>
      <c r="J16" s="23" t="s">
        <v>1699</v>
      </c>
      <c r="L16" s="23" t="s">
        <v>1652</v>
      </c>
      <c r="M16" s="1" t="s">
        <v>1517</v>
      </c>
      <c r="N16" s="1" t="s">
        <v>1443</v>
      </c>
      <c r="O16" s="24" t="str">
        <f>テーブル1[[#This Row],[リンク]]&amp;テーブル1[[#This Row],[描画状況]]</f>
        <v>https://ichistart.wixsite.com/official/respiaker済</v>
      </c>
      <c r="P16" s="17">
        <f>1-(COUNTIF(O:O,_xlfn.TEXTJOIN(",",TRUE,テーブル1[[#This Row],[リンク]],テーブル1[[#This Row],[描画状況]]))/COUNTIF(F:F,テーブル1[[#This Row],[リンク]]))</f>
        <v>1</v>
      </c>
      <c r="Q16" s="16" t="str">
        <f ca="1">IFERROR(IF(テーブル1[[#This Row],[描画状況]]="",RAND()+(テーブル1[[#This Row],[列2]]*100),""),RAND())</f>
        <v/>
      </c>
      <c r="R16" s="1" t="s">
        <v>12</v>
      </c>
      <c r="S16" s="24" t="str">
        <f ca="1">IF(AND(テーブル1[[#This Row],[描画状況]]="済",テーブル1[[#This Row],[投稿状況]]=""),RAND(),"")</f>
        <v/>
      </c>
      <c r="T16" s="23" t="str">
        <f>"|&amp;image("&amp;テーブル1[[#This Row],[画像]]&amp;".png,width=100,height=100)"</f>
        <v>|&amp;image(ohoshi.png,width=100,height=100)</v>
      </c>
      <c r="U16" s="23" t="str">
        <f>"|MIDDLE:​"&amp;テーブル1[[#This Row],[名前]]</f>
        <v>|MIDDLE:​お星</v>
      </c>
      <c r="V16" s="23" t="str">
        <f>"|MIDDLE:​"&amp;テーブル1[[#This Row],[なまえ]]</f>
        <v>|MIDDLE:​おほし</v>
      </c>
      <c r="W16" s="23" t="str">
        <f>"|MIDDLE:​"&amp;テーブル1[[#This Row],[Name]]</f>
        <v>|MIDDLE:​Ohoshi</v>
      </c>
      <c r="X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4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1516</v>
      </c>
      <c r="D17" s="23" t="s">
        <v>412</v>
      </c>
      <c r="E17" s="23" t="s">
        <v>413</v>
      </c>
      <c r="F17" s="15" t="s">
        <v>1537</v>
      </c>
      <c r="G17" s="23" t="s">
        <v>414</v>
      </c>
      <c r="H17" s="23" t="s">
        <v>1663</v>
      </c>
      <c r="I17" s="23" t="s">
        <v>1649</v>
      </c>
      <c r="M17" s="1" t="s">
        <v>1517</v>
      </c>
      <c r="N17" s="1" t="s">
        <v>1443</v>
      </c>
      <c r="O17" s="24" t="str">
        <f>テーブル1[[#This Row],[リンク]]&amp;テーブル1[[#This Row],[描画状況]]</f>
        <v>https://vividseekers.utau.sorairomarch.com済</v>
      </c>
      <c r="P17" s="17">
        <f>1-(COUNTIF(O:O,_xlfn.TEXTJOIN(",",TRUE,テーブル1[[#This Row],[リンク]],テーブル1[[#This Row],[描画状況]]))/COUNTIF(F:F,テーブル1[[#This Row],[リンク]]))</f>
        <v>1</v>
      </c>
      <c r="Q17" s="16" t="str">
        <f ca="1">IFERROR(IF(テーブル1[[#This Row],[描画状況]]="",RAND()+(テーブル1[[#This Row],[列2]]*100),""),RAND())</f>
        <v/>
      </c>
      <c r="R17" s="1" t="s">
        <v>12</v>
      </c>
      <c r="S17" s="24" t="str">
        <f ca="1">IF(AND(テーブル1[[#This Row],[描画状況]]="済",テーブル1[[#This Row],[投稿状況]]=""),RAND(),"")</f>
        <v/>
      </c>
      <c r="T17" s="23" t="str">
        <f>"|&amp;image("&amp;テーブル1[[#This Row],[画像]]&amp;".png,width=100,height=100)"</f>
        <v>|&amp;image(kagiai-aya.png,width=100,height=100)</v>
      </c>
      <c r="U17" s="23" t="str">
        <f>"|MIDDLE:​"&amp;テーブル1[[#This Row],[名前]]</f>
        <v>|MIDDLE:​鍵合アヤ</v>
      </c>
      <c r="V17" s="23" t="str">
        <f>"|MIDDLE:​"&amp;テーブル1[[#This Row],[なまえ]]</f>
        <v>|MIDDLE:​かぎあい あや</v>
      </c>
      <c r="W17" s="23" t="str">
        <f>"|MIDDLE:​"&amp;テーブル1[[#This Row],[Name]]</f>
        <v>|MIDDLE:​Kagiai Aya</v>
      </c>
      <c r="X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4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415</v>
      </c>
      <c r="D18" s="23" t="s">
        <v>416</v>
      </c>
      <c r="E18" s="23" t="s">
        <v>417</v>
      </c>
      <c r="F18" s="2" t="s">
        <v>1537</v>
      </c>
      <c r="G18" s="23" t="s">
        <v>414</v>
      </c>
      <c r="H18" s="23" t="s">
        <v>1663</v>
      </c>
      <c r="I18" s="23" t="s">
        <v>1649</v>
      </c>
      <c r="J18" s="23" t="s">
        <v>1702</v>
      </c>
      <c r="M18" s="1" t="s">
        <v>1517</v>
      </c>
      <c r="N18" s="1" t="s">
        <v>1443</v>
      </c>
      <c r="O18" s="24" t="str">
        <f>テーブル1[[#This Row],[リンク]]&amp;テーブル1[[#This Row],[描画状況]]</f>
        <v>https://vividseekers.utau.sorairomarch.com済</v>
      </c>
      <c r="P18" s="17">
        <f>1-(COUNTIF(O:O,_xlfn.TEXTJOIN(",",TRUE,テーブル1[[#This Row],[リンク]],テーブル1[[#This Row],[描画状況]]))/COUNTIF(F:F,テーブル1[[#This Row],[リンク]]))</f>
        <v>1</v>
      </c>
      <c r="Q18" s="16" t="str">
        <f ca="1">IFERROR(IF(テーブル1[[#This Row],[描画状況]]="",RAND()+(テーブル1[[#This Row],[列2]]*100),""),RAND())</f>
        <v/>
      </c>
      <c r="R18" s="1" t="s">
        <v>12</v>
      </c>
      <c r="S18" s="24" t="str">
        <f ca="1">IF(AND(テーブル1[[#This Row],[描画状況]]="済",テーブル1[[#This Row],[投稿状況]]=""),RAND(),"")</f>
        <v/>
      </c>
      <c r="T18" s="23" t="str">
        <f>"|&amp;image("&amp;テーブル1[[#This Row],[画像]]&amp;".png,width=100,height=100)"</f>
        <v>|&amp;image(kagiai-suzu.png,width=100,height=100)</v>
      </c>
      <c r="U18" s="23" t="str">
        <f>"|MIDDLE:​"&amp;テーブル1[[#This Row],[名前]]</f>
        <v>|MIDDLE:​鍵合スズ</v>
      </c>
      <c r="V18" s="23" t="str">
        <f>"|MIDDLE:​"&amp;テーブル1[[#This Row],[なまえ]]</f>
        <v>|MIDDLE:​かぎあい すず</v>
      </c>
      <c r="W18" s="23" t="str">
        <f>"|MIDDLE:​"&amp;テーブル1[[#This Row],[Name]]</f>
        <v>|MIDDLE:​Kagiai Suzu</v>
      </c>
      <c r="X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4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1703</v>
      </c>
      <c r="G19" s="23" t="s">
        <v>46</v>
      </c>
      <c r="H19" s="23" t="s">
        <v>1626</v>
      </c>
      <c r="K19" s="23" t="s">
        <v>1704</v>
      </c>
      <c r="M19" s="1" t="s">
        <v>1518</v>
      </c>
      <c r="N19" s="1" t="s">
        <v>1443</v>
      </c>
      <c r="O19" s="24" t="str">
        <f>テーブル1[[#This Row],[リンク]]&amp;テーブル1[[#This Row],[描画状況]]</f>
        <v>https://ameutaulii.wixsite.com/telepathycapsule済</v>
      </c>
      <c r="P19" s="17">
        <f>1-(COUNTIF(O:O,_xlfn.TEXTJOIN(",",TRUE,テーブル1[[#This Row],[リンク]],テーブル1[[#This Row],[描画状況]]))/COUNTIF(F:F,テーブル1[[#This Row],[リンク]]))</f>
        <v>1</v>
      </c>
      <c r="Q19" s="16" t="str">
        <f ca="1">IFERROR(IF(テーブル1[[#This Row],[描画状況]]="",RAND()+(テーブル1[[#This Row],[列2]]*100),""),RAND())</f>
        <v/>
      </c>
      <c r="R19" s="1" t="s">
        <v>12</v>
      </c>
      <c r="S19" s="24" t="str">
        <f ca="1">IF(AND(テーブル1[[#This Row],[描画状況]]="済",テーブル1[[#This Row],[投稿状況]]=""),RAND(),"")</f>
        <v/>
      </c>
      <c r="T19" s="23" t="str">
        <f>"|&amp;image("&amp;テーブル1[[#This Row],[画像]]&amp;".png,width=100,height=100)"</f>
        <v>|&amp;image(kakune-shanonn.png,width=100,height=100)</v>
      </c>
      <c r="U19" s="23" t="str">
        <f>"|MIDDLE:​"&amp;テーブル1[[#This Row],[名前]]</f>
        <v>|MIDDLE:​​拡音シャノン</v>
      </c>
      <c r="V19" s="23" t="str">
        <f>"|MIDDLE:​"&amp;テーブル1[[#This Row],[なまえ]]</f>
        <v>|MIDDLE:​かくね しゃのん</v>
      </c>
      <c r="W19" s="23" t="str">
        <f>"|MIDDLE:​"&amp;テーブル1[[#This Row],[Name]]</f>
        <v>|MIDDLE:​Kakune Shanonn</v>
      </c>
      <c r="X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4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149</v>
      </c>
      <c r="D20" s="23" t="s">
        <v>150</v>
      </c>
      <c r="E20" s="23" t="s">
        <v>151</v>
      </c>
      <c r="F20" s="2" t="s">
        <v>152</v>
      </c>
      <c r="G20" s="23" t="s">
        <v>153</v>
      </c>
      <c r="H20" s="23" t="s">
        <v>1708</v>
      </c>
      <c r="I20" s="23" t="s">
        <v>1649</v>
      </c>
      <c r="K20" s="23" t="s">
        <v>1646</v>
      </c>
      <c r="N20" s="1" t="s">
        <v>1443</v>
      </c>
      <c r="O20" s="24" t="str">
        <f>テーブル1[[#This Row],[リンク]]&amp;テーブル1[[#This Row],[描画状況]]</f>
        <v>https://kasaneteto.jp済</v>
      </c>
      <c r="P20" s="17">
        <f>1-(COUNTIF(O:O,_xlfn.TEXTJOIN(",",TRUE,テーブル1[[#This Row],[リンク]],テーブル1[[#This Row],[描画状況]]))/COUNTIF(F:F,テーブル1[[#This Row],[リンク]]))</f>
        <v>1</v>
      </c>
      <c r="Q20" s="16" t="str">
        <f ca="1">IFERROR(IF(テーブル1[[#This Row],[描画状況]]="",RAND()+(テーブル1[[#This Row],[列2]]*100),""),RAND())</f>
        <v/>
      </c>
      <c r="R20" s="1" t="s">
        <v>12</v>
      </c>
      <c r="S20" s="24" t="str">
        <f ca="1">IF(AND(テーブル1[[#This Row],[描画状況]]="済",テーブル1[[#This Row],[投稿状況]]=""),RAND(),"")</f>
        <v/>
      </c>
      <c r="T20" s="23" t="str">
        <f>"|&amp;image("&amp;テーブル1[[#This Row],[画像]]&amp;".png,width=100,height=100)"</f>
        <v>|&amp;image(kasane-teddo.png,width=100,height=100)</v>
      </c>
      <c r="U20" s="23" t="str">
        <f>"|MIDDLE:​"&amp;テーブル1[[#This Row],[名前]]</f>
        <v>|MIDDLE:​重音テッド</v>
      </c>
      <c r="V20" s="23" t="str">
        <f>"|MIDDLE:​"&amp;テーブル1[[#This Row],[なまえ]]</f>
        <v>|MIDDLE:​かさね てっど</v>
      </c>
      <c r="W20" s="23" t="str">
        <f>"|MIDDLE:​"&amp;テーブル1[[#This Row],[Name]]</f>
        <v>|MIDDLE:​Kasane Teddo</v>
      </c>
      <c r="X20" s="23" t="str">
        <f>"|MIDDLE:​&amp;link(配布所はこちら){​"&amp;テーブル1[[#This Row],[リンク]]&amp;"}|"</f>
        <v>|MIDDLE:​&amp;link(配布所はこちら){​https://kasaneteto.jp}|</v>
      </c>
    </row>
    <row r="21" spans="1:24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154</v>
      </c>
      <c r="D21" s="23" t="s">
        <v>155</v>
      </c>
      <c r="E21" s="23" t="s">
        <v>156</v>
      </c>
      <c r="F21" s="2" t="s">
        <v>152</v>
      </c>
      <c r="G21" s="23" t="s">
        <v>157</v>
      </c>
      <c r="H21" s="23" t="s">
        <v>1708</v>
      </c>
      <c r="I21" s="23" t="s">
        <v>1649</v>
      </c>
      <c r="N21" s="1" t="s">
        <v>1443</v>
      </c>
      <c r="O21" s="24" t="str">
        <f>テーブル1[[#This Row],[リンク]]&amp;テーブル1[[#This Row],[描画状況]]</f>
        <v>https://kasaneteto.jp済</v>
      </c>
      <c r="P21" s="17">
        <f>1-(COUNTIF(O:O,_xlfn.TEXTJOIN(",",TRUE,テーブル1[[#This Row],[リンク]],テーブル1[[#This Row],[描画状況]]))/COUNTIF(F:F,テーブル1[[#This Row],[リンク]]))</f>
        <v>1</v>
      </c>
      <c r="Q21" s="16" t="str">
        <f ca="1">IFERROR(IF(テーブル1[[#This Row],[描画状況]]="",RAND()+(テーブル1[[#This Row],[列2]]*100),""),RAND())</f>
        <v/>
      </c>
      <c r="R21" s="1" t="s">
        <v>12</v>
      </c>
      <c r="S21" s="24" t="str">
        <f ca="1">IF(AND(テーブル1[[#This Row],[描画状況]]="済",テーブル1[[#This Row],[投稿状況]]=""),RAND(),"")</f>
        <v/>
      </c>
      <c r="T21" s="23" t="str">
        <f>"|&amp;image("&amp;テーブル1[[#This Row],[画像]]&amp;".png,width=100,height=100)"</f>
        <v>|&amp;image(kasane-teto.png,width=100,height=100)</v>
      </c>
      <c r="U21" s="23" t="str">
        <f>"|MIDDLE:​"&amp;テーブル1[[#This Row],[名前]]</f>
        <v>|MIDDLE:​重音テト</v>
      </c>
      <c r="V21" s="23" t="str">
        <f>"|MIDDLE:​"&amp;テーブル1[[#This Row],[なまえ]]</f>
        <v>|MIDDLE:​かさね てと</v>
      </c>
      <c r="W21" s="23" t="str">
        <f>"|MIDDLE:​"&amp;テーブル1[[#This Row],[Name]]</f>
        <v>|MIDDLE:​Kasane Teto</v>
      </c>
      <c r="X21" s="23" t="str">
        <f>"|MIDDLE:​&amp;link(配布所はこちら){​"&amp;テーブル1[[#This Row],[リンク]]&amp;"}|"</f>
        <v>|MIDDLE:​&amp;link(配布所はこちら){​https://kasaneteto.jp}|</v>
      </c>
    </row>
    <row r="22" spans="1:24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1406</v>
      </c>
      <c r="D22" s="23" t="s">
        <v>69</v>
      </c>
      <c r="E22" s="23" t="s">
        <v>70</v>
      </c>
      <c r="F22" s="2" t="s">
        <v>540</v>
      </c>
      <c r="G22" s="23" t="s">
        <v>71</v>
      </c>
      <c r="H22" s="23" t="s">
        <v>1626</v>
      </c>
      <c r="I22" s="23" t="s">
        <v>1709</v>
      </c>
      <c r="L22" s="23" t="s">
        <v>1710</v>
      </c>
      <c r="M22" s="1" t="s">
        <v>1517</v>
      </c>
      <c r="N22" s="1" t="s">
        <v>1443</v>
      </c>
      <c r="O22" s="24" t="str">
        <f>テーブル1[[#This Row],[リンク]]&amp;テーブル1[[#This Row],[描画状況]]</f>
        <v>https://bowlroll.net/user/980255済</v>
      </c>
      <c r="P22" s="17">
        <f>1-(COUNTIF(O:O,_xlfn.TEXTJOIN(",",TRUE,テーブル1[[#This Row],[リンク]],テーブル1[[#This Row],[描画状況]]))/COUNTIF(F:F,テーブル1[[#This Row],[リンク]]))</f>
        <v>1</v>
      </c>
      <c r="Q22" s="16" t="str">
        <f ca="1">IFERROR(IF(テーブル1[[#This Row],[描画状況]]="",RAND()+(テーブル1[[#This Row],[列2]]*100),""),RAND())</f>
        <v/>
      </c>
      <c r="R22" s="1" t="s">
        <v>12</v>
      </c>
      <c r="S22" s="24" t="str">
        <f ca="1">IF(AND(テーブル1[[#This Row],[描画状況]]="済",テーブル1[[#This Row],[投稿状況]]=""),RAND(),"")</f>
        <v/>
      </c>
      <c r="T22" s="23" t="str">
        <f>"|&amp;image("&amp;テーブル1[[#This Row],[画像]]&amp;".png,width=100,height=100)"</f>
        <v>|&amp;image(kasumi-ua.png,width=100,height=100)</v>
      </c>
      <c r="U22" s="23" t="str">
        <f>"|MIDDLE:​"&amp;テーブル1[[#This Row],[名前]]</f>
        <v>|MIDDLE:​化炭ウア</v>
      </c>
      <c r="V22" s="23" t="str">
        <f>"|MIDDLE:​"&amp;テーブル1[[#This Row],[なまえ]]</f>
        <v>|MIDDLE:​かすみ うあ</v>
      </c>
      <c r="W22" s="23" t="str">
        <f>"|MIDDLE:​"&amp;テーブル1[[#This Row],[Name]]</f>
        <v>|MIDDLE:​Kasumi Ua</v>
      </c>
      <c r="X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4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167</v>
      </c>
      <c r="D23" s="23" t="s">
        <v>168</v>
      </c>
      <c r="E23" s="23" t="s">
        <v>169</v>
      </c>
      <c r="F23" s="2" t="s">
        <v>170</v>
      </c>
      <c r="G23" s="23" t="s">
        <v>171</v>
      </c>
      <c r="N23" s="1" t="s">
        <v>1443</v>
      </c>
      <c r="O23" s="24" t="str">
        <f>テーブル1[[#This Row],[リンク]]&amp;テーブル1[[#This Row],[描画状況]]</f>
        <v>https://kurukuru2suuzi.wixsite.com/kuzutokaze済</v>
      </c>
      <c r="P23" s="17">
        <f>1-(COUNTIF(O:O,_xlfn.TEXTJOIN(",",TRUE,テーブル1[[#This Row],[リンク]],テーブル1[[#This Row],[描画状況]]))/COUNTIF(F:F,テーブル1[[#This Row],[リンク]]))</f>
        <v>1</v>
      </c>
      <c r="Q23" s="16" t="str">
        <f ca="1">IFERROR(IF(テーブル1[[#This Row],[描画状況]]="",RAND()+(テーブル1[[#This Row],[列2]]*100),""),RAND())</f>
        <v/>
      </c>
      <c r="R23" s="1" t="s">
        <v>12</v>
      </c>
      <c r="S23" s="24" t="str">
        <f ca="1">IF(AND(テーブル1[[#This Row],[描画状況]]="済",テーブル1[[#This Row],[投稿状況]]=""),RAND(),"")</f>
        <v/>
      </c>
      <c r="T23" s="23" t="str">
        <f>"|&amp;image("&amp;テーブル1[[#This Row],[画像]]&amp;".png,width=100,height=100)"</f>
        <v>|&amp;image(kazehiki.png,width=100,height=100)</v>
      </c>
      <c r="U23" s="23" t="str">
        <f>"|MIDDLE:​"&amp;テーブル1[[#This Row],[名前]]</f>
        <v>|MIDDLE:​カゼヒキ</v>
      </c>
      <c r="V23" s="23" t="str">
        <f>"|MIDDLE:​"&amp;テーブル1[[#This Row],[なまえ]]</f>
        <v>|MIDDLE:​かぜひき</v>
      </c>
      <c r="W23" s="23" t="str">
        <f>"|MIDDLE:​"&amp;テーブル1[[#This Row],[Name]]</f>
        <v>|MIDDLE:​Kazehiki</v>
      </c>
      <c r="X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4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1407</v>
      </c>
      <c r="D24" s="23" t="s">
        <v>294</v>
      </c>
      <c r="E24" s="23" t="s">
        <v>295</v>
      </c>
      <c r="F24" s="2" t="s">
        <v>292</v>
      </c>
      <c r="G24" s="23" t="s">
        <v>293</v>
      </c>
      <c r="H24" s="23" t="s">
        <v>1662</v>
      </c>
      <c r="I24" s="23" t="s">
        <v>1675</v>
      </c>
      <c r="K24" s="23" t="s">
        <v>1637</v>
      </c>
      <c r="M24" s="1" t="s">
        <v>1517</v>
      </c>
      <c r="N24" s="1" t="s">
        <v>1443</v>
      </c>
      <c r="O24" s="24" t="str">
        <f>テーブル1[[#This Row],[リンク]]&amp;テーブル1[[#This Row],[描画状況]]</f>
        <v>https://seirentoybox.jimdofree.com済</v>
      </c>
      <c r="P24" s="17">
        <f>1-(COUNTIF(O:O,_xlfn.TEXTJOIN(",",TRUE,テーブル1[[#This Row],[リンク]],テーブル1[[#This Row],[描画状況]]))/COUNTIF(F:F,テーブル1[[#This Row],[リンク]]))</f>
        <v>1</v>
      </c>
      <c r="Q24" s="16" t="str">
        <f ca="1">IFERROR(IF(テーブル1[[#This Row],[描画状況]]="",RAND()+(テーブル1[[#This Row],[列2]]*100),""),RAND())</f>
        <v/>
      </c>
      <c r="R24" s="1" t="s">
        <v>12</v>
      </c>
      <c r="S24" s="24" t="str">
        <f ca="1">IF(AND(テーブル1[[#This Row],[描画状況]]="済",テーブル1[[#This Row],[投稿状況]]=""),RAND(),"")</f>
        <v/>
      </c>
      <c r="T24" s="23" t="str">
        <f>"|&amp;image("&amp;テーブル1[[#This Row],[画像]]&amp;".png,width=100,height=100)"</f>
        <v>|&amp;image(katabami.png,width=100,height=100)</v>
      </c>
      <c r="U24" s="23" t="str">
        <f>"|MIDDLE:​"&amp;テーブル1[[#This Row],[名前]]</f>
        <v>|MIDDLE:​カタバミ</v>
      </c>
      <c r="V24" s="23" t="str">
        <f>"|MIDDLE:​"&amp;テーブル1[[#This Row],[なまえ]]</f>
        <v>|MIDDLE:​かたばみ</v>
      </c>
      <c r="W24" s="23" t="str">
        <f>"|MIDDLE:​"&amp;テーブル1[[#This Row],[Name]]</f>
        <v>|MIDDLE:​Katabami</v>
      </c>
      <c r="X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4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1408</v>
      </c>
      <c r="D25" s="23" t="s">
        <v>217</v>
      </c>
      <c r="E25" s="23" t="s">
        <v>218</v>
      </c>
      <c r="F25" s="2" t="s">
        <v>219</v>
      </c>
      <c r="G25" s="23" t="s">
        <v>220</v>
      </c>
      <c r="N25" s="1" t="s">
        <v>1443</v>
      </c>
      <c r="O25" s="24" t="str">
        <f>テーブル1[[#This Row],[リンク]]&amp;テーブル1[[#This Row],[描画状況]]</f>
        <v>https://moqujc.wixsite.com/mqtop済</v>
      </c>
      <c r="P25" s="17">
        <f>1-(COUNTIF(O:O,_xlfn.TEXTJOIN(",",TRUE,テーブル1[[#This Row],[リンク]],テーブル1[[#This Row],[描画状況]]))/COUNTIF(F:F,テーブル1[[#This Row],[リンク]]))</f>
        <v>1</v>
      </c>
      <c r="Q25" s="16" t="str">
        <f ca="1">IFERROR(IF(テーブル1[[#This Row],[描画状況]]="",RAND()+(テーブル1[[#This Row],[列2]]*100),""),RAND())</f>
        <v/>
      </c>
      <c r="R25" s="1" t="s">
        <v>12</v>
      </c>
      <c r="S25" s="24" t="str">
        <f ca="1">IF(AND(テーブル1[[#This Row],[描画状況]]="済",テーブル1[[#This Row],[投稿状況]]=""),RAND(),"")</f>
        <v/>
      </c>
      <c r="T25" s="23" t="str">
        <f>"|&amp;image("&amp;テーブル1[[#This Row],[画像]]&amp;".png,width=100,height=100)"</f>
        <v>|&amp;image(katabanhumei.png,width=100,height=100)</v>
      </c>
      <c r="U25" s="23" t="str">
        <f>"|MIDDLE:​"&amp;テーブル1[[#This Row],[名前]]</f>
        <v>|MIDDLE:​型番不明</v>
      </c>
      <c r="V25" s="23" t="str">
        <f>"|MIDDLE:​"&amp;テーブル1[[#This Row],[なまえ]]</f>
        <v>|MIDDLE:​かたばんふめい</v>
      </c>
      <c r="W25" s="23" t="str">
        <f>"|MIDDLE:​"&amp;テーブル1[[#This Row],[Name]]</f>
        <v>|MIDDLE:​Katabanhumei</v>
      </c>
      <c r="X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4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124</v>
      </c>
      <c r="D26" s="23" t="s">
        <v>125</v>
      </c>
      <c r="E26" s="23" t="s">
        <v>126</v>
      </c>
      <c r="F26" s="2" t="s">
        <v>127</v>
      </c>
      <c r="G26" s="23" t="s">
        <v>128</v>
      </c>
      <c r="N26" s="1" t="s">
        <v>1443</v>
      </c>
      <c r="O26" s="24" t="str">
        <f>テーブル1[[#This Row],[リンク]]&amp;テーブル1[[#This Row],[描画状況]]</f>
        <v>https://itsuriutau.wixsite.com/kanadeshia済</v>
      </c>
      <c r="P26" s="17">
        <f>1-(COUNTIF(O:O,_xlfn.TEXTJOIN(",",TRUE,テーブル1[[#This Row],[リンク]],テーブル1[[#This Row],[描画状況]]))/COUNTIF(F:F,テーブル1[[#This Row],[リンク]]))</f>
        <v>1</v>
      </c>
      <c r="Q26" s="16" t="str">
        <f ca="1">IFERROR(IF(テーブル1[[#This Row],[描画状況]]="",RAND()+(テーブル1[[#This Row],[列2]]*100),""),RAND())</f>
        <v/>
      </c>
      <c r="R26" s="1" t="s">
        <v>12</v>
      </c>
      <c r="S26" s="24" t="str">
        <f ca="1">IF(AND(テーブル1[[#This Row],[描画状況]]="済",テーブル1[[#This Row],[投稿状況]]=""),RAND(),"")</f>
        <v/>
      </c>
      <c r="T26" s="23" t="str">
        <f>"|&amp;image("&amp;テーブル1[[#This Row],[画像]]&amp;".png,width=100,height=100)"</f>
        <v>|&amp;image(kanade-shia.png,width=100,height=100)</v>
      </c>
      <c r="U26" s="23" t="str">
        <f>"|MIDDLE:​"&amp;テーブル1[[#This Row],[名前]]</f>
        <v>|MIDDLE:​花撫シア</v>
      </c>
      <c r="V26" s="23" t="str">
        <f>"|MIDDLE:​"&amp;テーブル1[[#This Row],[なまえ]]</f>
        <v>|MIDDLE:​かなで しあ</v>
      </c>
      <c r="W26" s="23" t="str">
        <f>"|MIDDLE:​"&amp;テーブル1[[#This Row],[Name]]</f>
        <v>|MIDDLE:​Kanade Shia</v>
      </c>
      <c r="X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4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129</v>
      </c>
      <c r="D27" s="23" t="s">
        <v>130</v>
      </c>
      <c r="E27" s="23" t="s">
        <v>131</v>
      </c>
      <c r="F27" s="2" t="s">
        <v>127</v>
      </c>
      <c r="G27" s="23" t="s">
        <v>132</v>
      </c>
      <c r="N27" s="1" t="s">
        <v>1443</v>
      </c>
      <c r="O27" s="24" t="str">
        <f>テーブル1[[#This Row],[リンク]]&amp;テーブル1[[#This Row],[描画状況]]</f>
        <v>https://itsuriutau.wixsite.com/kanadeshia済</v>
      </c>
      <c r="P27" s="17">
        <f>1-(COUNTIF(O:O,_xlfn.TEXTJOIN(",",TRUE,テーブル1[[#This Row],[リンク]],テーブル1[[#This Row],[描画状況]]))/COUNTIF(F:F,テーブル1[[#This Row],[リンク]]))</f>
        <v>1</v>
      </c>
      <c r="Q27" s="16" t="str">
        <f ca="1">IFERROR(IF(テーブル1[[#This Row],[描画状況]]="",RAND()+(テーブル1[[#This Row],[列2]]*100),""),RAND())</f>
        <v/>
      </c>
      <c r="R27" s="1" t="s">
        <v>12</v>
      </c>
      <c r="S27" s="24" t="str">
        <f ca="1">IF(AND(テーブル1[[#This Row],[描画状況]]="済",テーブル1[[#This Row],[投稿状況]]=""),RAND(),"")</f>
        <v/>
      </c>
      <c r="T27" s="23" t="str">
        <f>"|&amp;image("&amp;テーブル1[[#This Row],[画像]]&amp;".png,width=100,height=100)"</f>
        <v>|&amp;image(kanade-shion.png,width=100,height=100)</v>
      </c>
      <c r="U27" s="23" t="str">
        <f>"|MIDDLE:​"&amp;テーブル1[[#This Row],[名前]]</f>
        <v>|MIDDLE:​花撫シオン</v>
      </c>
      <c r="V27" s="23" t="str">
        <f>"|MIDDLE:​"&amp;テーブル1[[#This Row],[なまえ]]</f>
        <v>|MIDDLE:​かなで しおん</v>
      </c>
      <c r="W27" s="23" t="str">
        <f>"|MIDDLE:​"&amp;テーブル1[[#This Row],[Name]]</f>
        <v>|MIDDLE:​Kanade Shion</v>
      </c>
      <c r="X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4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kanari-niito</v>
      </c>
      <c r="C28" s="24" t="s">
        <v>61</v>
      </c>
      <c r="D28" s="23" t="s">
        <v>62</v>
      </c>
      <c r="E28" s="23" t="s">
        <v>63</v>
      </c>
      <c r="F28" s="2" t="s">
        <v>64</v>
      </c>
      <c r="G28" s="23" t="s">
        <v>65</v>
      </c>
      <c r="M28" s="1" t="s">
        <v>1517</v>
      </c>
      <c r="N28" s="1" t="s">
        <v>1443</v>
      </c>
      <c r="O28" s="24" t="str">
        <f>テーブル1[[#This Row],[リンク]]&amp;テーブル1[[#This Row],[描画状況]]</f>
        <v>https://bowlroll.net/user/852117/files済</v>
      </c>
      <c r="P28" s="17">
        <f>1-(COUNTIF(O:O,_xlfn.TEXTJOIN(",",TRUE,テーブル1[[#This Row],[リンク]],テーブル1[[#This Row],[描画状況]]))/COUNTIF(F:F,テーブル1[[#This Row],[リンク]]))</f>
        <v>1</v>
      </c>
      <c r="Q28" s="16" t="str">
        <f ca="1">IFERROR(IF(テーブル1[[#This Row],[描画状況]]="",RAND()+(テーブル1[[#This Row],[列2]]*100),""),RAND())</f>
        <v/>
      </c>
      <c r="R28" s="1" t="s">
        <v>12</v>
      </c>
      <c r="S28" s="24" t="str">
        <f ca="1">IF(AND(テーブル1[[#This Row],[描画状況]]="済",テーブル1[[#This Row],[投稿状況]]=""),RAND(),"")</f>
        <v/>
      </c>
      <c r="T28" s="23" t="str">
        <f>"|&amp;image("&amp;テーブル1[[#This Row],[画像]]&amp;".png,width=100,height=100)"</f>
        <v>|&amp;image(kanari-niito.png,width=100,height=100)</v>
      </c>
      <c r="U28" s="23" t="str">
        <f>"|MIDDLE:​"&amp;テーブル1[[#This Row],[名前]]</f>
        <v>|MIDDLE:​歌為にーと</v>
      </c>
      <c r="V28" s="23" t="str">
        <f>"|MIDDLE:​"&amp;テーブル1[[#This Row],[なまえ]]</f>
        <v>|MIDDLE:​かなり にーと</v>
      </c>
      <c r="W28" s="23" t="str">
        <f>"|MIDDLE:​"&amp;テーブル1[[#This Row],[Name]]</f>
        <v>|MIDDLE:​Kanari Niito</v>
      </c>
      <c r="X28" s="23" t="str">
        <f>"|MIDDLE:​&amp;link(配布所はこちら){​"&amp;テーブル1[[#This Row],[リンク]]&amp;"}|"</f>
        <v>|MIDDLE:​&amp;link(配布所はこちら){​https://bowlroll.net/user/852117/files}|</v>
      </c>
    </row>
    <row r="29" spans="1:24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1409</v>
      </c>
      <c r="D29" s="23" t="s">
        <v>133</v>
      </c>
      <c r="E29" s="23" t="s">
        <v>134</v>
      </c>
      <c r="F29" s="2" t="s">
        <v>135</v>
      </c>
      <c r="G29" s="23" t="s">
        <v>136</v>
      </c>
      <c r="N29" s="1" t="s">
        <v>1443</v>
      </c>
      <c r="O29" s="24" t="str">
        <f>テーブル1[[#This Row],[リンク]]&amp;テーブル1[[#This Row],[描画状況]]</f>
        <v>https://kaitoramma.chu.jp済</v>
      </c>
      <c r="P29" s="17">
        <f>1-(COUNTIF(O:O,_xlfn.TEXTJOIN(",",TRUE,テーブル1[[#This Row],[リンク]],テーブル1[[#This Row],[描画状況]]))/COUNTIF(F:F,テーブル1[[#This Row],[リンク]]))</f>
        <v>1</v>
      </c>
      <c r="Q29" s="16" t="str">
        <f ca="1">IFERROR(IF(テーブル1[[#This Row],[描画状況]]="",RAND()+(テーブル1[[#This Row],[列2]]*100),""),RAND())</f>
        <v/>
      </c>
      <c r="R29" s="1" t="s">
        <v>12</v>
      </c>
      <c r="S29" s="24" t="str">
        <f ca="1">IF(AND(テーブル1[[#This Row],[描画状況]]="済",テーブル1[[#This Row],[投稿状況]]=""),RAND(),"")</f>
        <v/>
      </c>
      <c r="T29" s="23" t="str">
        <f>"|&amp;image("&amp;テーブル1[[#This Row],[画像]]&amp;".png,width=100,height=100)"</f>
        <v>|&amp;image(karane-kyoka.png,width=100,height=100)</v>
      </c>
      <c r="U29" s="23" t="str">
        <f>"|MIDDLE:​"&amp;テーブル1[[#This Row],[名前]]</f>
        <v>|MIDDLE:​空音響歌</v>
      </c>
      <c r="V29" s="23" t="str">
        <f>"|MIDDLE:​"&amp;テーブル1[[#This Row],[なまえ]]</f>
        <v>|MIDDLE:​からね きょうか</v>
      </c>
      <c r="W29" s="23" t="str">
        <f>"|MIDDLE:​"&amp;テーブル1[[#This Row],[Name]]</f>
        <v>|MIDDLE:​Karane Kyoka</v>
      </c>
      <c r="X29" s="23" t="str">
        <f>"|MIDDLE:​&amp;link(配布所はこちら){​"&amp;テーブル1[[#This Row],[リンク]]&amp;"}|"</f>
        <v>|MIDDLE:​&amp;link(配布所はこちら){​https://kaitoramma.chu.jp}|</v>
      </c>
    </row>
    <row r="30" spans="1:24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1410</v>
      </c>
      <c r="D30" s="23" t="s">
        <v>137</v>
      </c>
      <c r="E30" s="23" t="s">
        <v>138</v>
      </c>
      <c r="F30" s="2" t="s">
        <v>135</v>
      </c>
      <c r="G30" s="23" t="s">
        <v>136</v>
      </c>
      <c r="N30" s="1" t="s">
        <v>1443</v>
      </c>
      <c r="O30" s="24" t="str">
        <f>テーブル1[[#This Row],[リンク]]&amp;テーブル1[[#This Row],[描画状況]]</f>
        <v>https://kaitoramma.chu.jp済</v>
      </c>
      <c r="P30" s="17">
        <f>1-(COUNTIF(O:O,_xlfn.TEXTJOIN(",",TRUE,テーブル1[[#This Row],[リンク]],テーブル1[[#This Row],[描画状況]]))/COUNTIF(F:F,テーブル1[[#This Row],[リンク]]))</f>
        <v>1</v>
      </c>
      <c r="Q30" s="16" t="str">
        <f ca="1">IFERROR(IF(テーブル1[[#This Row],[描画状況]]="",RAND()+(テーブル1[[#This Row],[列2]]*100),""),RAND())</f>
        <v/>
      </c>
      <c r="R30" s="1" t="s">
        <v>12</v>
      </c>
      <c r="S30" s="24" t="str">
        <f ca="1">IF(AND(テーブル1[[#This Row],[描画状況]]="済",テーブル1[[#This Row],[投稿状況]]=""),RAND(),"")</f>
        <v/>
      </c>
      <c r="T30" s="23" t="str">
        <f>"|&amp;image("&amp;テーブル1[[#This Row],[画像]]&amp;".png,width=100,height=100)"</f>
        <v>|&amp;image(karane-hibiki.png,width=100,height=100)</v>
      </c>
      <c r="U30" s="23" t="str">
        <f>"|MIDDLE:​"&amp;テーブル1[[#This Row],[名前]]</f>
        <v>|MIDDLE:​空音ヒビキ</v>
      </c>
      <c r="V30" s="23" t="str">
        <f>"|MIDDLE:​"&amp;テーブル1[[#This Row],[なまえ]]</f>
        <v>|MIDDLE:​からね ひびき</v>
      </c>
      <c r="W30" s="23" t="str">
        <f>"|MIDDLE:​"&amp;テーブル1[[#This Row],[Name]]</f>
        <v>|MIDDLE:​Karane Hibiki</v>
      </c>
      <c r="X30" s="23" t="str">
        <f>"|MIDDLE:​&amp;link(配布所はこちら){​"&amp;テーブル1[[#This Row],[リンク]]&amp;"}|"</f>
        <v>|MIDDLE:​&amp;link(配布所はこちら){​https://kaitoramma.chu.jp}|</v>
      </c>
    </row>
    <row r="31" spans="1:24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1411</v>
      </c>
      <c r="D31" s="23" t="s">
        <v>364</v>
      </c>
      <c r="E31" s="23" t="s">
        <v>365</v>
      </c>
      <c r="F31" s="2" t="s">
        <v>366</v>
      </c>
      <c r="G31" s="23" t="s">
        <v>367</v>
      </c>
      <c r="N31" s="1" t="s">
        <v>1443</v>
      </c>
      <c r="O31" s="24" t="str">
        <f>テーブル1[[#This Row],[リンク]]&amp;テーブル1[[#This Row],[描画状況]]</f>
        <v>https://utaunanaproplus.wixsite.com/of-web済</v>
      </c>
      <c r="P31" s="17">
        <f>1-(COUNTIF(O:O,_xlfn.TEXTJOIN(",",TRUE,テーブル1[[#This Row],[リンク]],テーブル1[[#This Row],[描画状況]]))/COUNTIF(F:F,テーブル1[[#This Row],[リンク]]))</f>
        <v>1</v>
      </c>
      <c r="Q31" s="16" t="str">
        <f ca="1">IFERROR(IF(テーブル1[[#This Row],[描画状況]]="",RAND()+(テーブル1[[#This Row],[列2]]*100),""),RAND())</f>
        <v/>
      </c>
      <c r="R31" s="1" t="s">
        <v>12</v>
      </c>
      <c r="S31" s="24" t="str">
        <f ca="1">IF(AND(テーブル1[[#This Row],[描画状況]]="済",テーブル1[[#This Row],[投稿状況]]=""),RAND(),"")</f>
        <v/>
      </c>
      <c r="T31" s="23" t="str">
        <f>"|&amp;image("&amp;テーブル1[[#This Row],[画像]]&amp;".png,width=100,height=100)"</f>
        <v>|&amp;image(kiyenn.png,width=100,height=100)</v>
      </c>
      <c r="U31" s="23" t="str">
        <f>"|MIDDLE:​"&amp;テーブル1[[#This Row],[名前]]</f>
        <v>|MIDDLE:​キエン</v>
      </c>
      <c r="V31" s="23" t="str">
        <f>"|MIDDLE:​"&amp;テーブル1[[#This Row],[なまえ]]</f>
        <v>|MIDDLE:​きえん</v>
      </c>
      <c r="W31" s="23" t="str">
        <f>"|MIDDLE:​"&amp;テーブル1[[#This Row],[Name]]</f>
        <v>|MIDDLE:​Kiyenn</v>
      </c>
      <c r="X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4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1412</v>
      </c>
      <c r="D32" s="23" t="s">
        <v>296</v>
      </c>
      <c r="E32" s="23" t="s">
        <v>297</v>
      </c>
      <c r="F32" s="2" t="s">
        <v>292</v>
      </c>
      <c r="G32" s="23" t="s">
        <v>293</v>
      </c>
      <c r="H32" s="23" t="s">
        <v>1626</v>
      </c>
      <c r="I32" s="23" t="s">
        <v>1666</v>
      </c>
      <c r="J32" s="23" t="s">
        <v>1667</v>
      </c>
      <c r="K32" s="23" t="s">
        <v>1669</v>
      </c>
      <c r="L32" s="23" t="s">
        <v>1670</v>
      </c>
      <c r="M32" s="1" t="s">
        <v>1517</v>
      </c>
      <c r="N32" s="1" t="s">
        <v>1443</v>
      </c>
      <c r="O32" s="24" t="str">
        <f>テーブル1[[#This Row],[リンク]]&amp;テーブル1[[#This Row],[描画状況]]</f>
        <v>https://seirentoybox.jimdofree.com済</v>
      </c>
      <c r="P32" s="17">
        <f>1-(COUNTIF(O:O,_xlfn.TEXTJOIN(",",TRUE,テーブル1[[#This Row],[リンク]],テーブル1[[#This Row],[描画状況]]))/COUNTIF(F:F,テーブル1[[#This Row],[リンク]]))</f>
        <v>1</v>
      </c>
      <c r="Q32" s="16" t="str">
        <f ca="1">IFERROR(IF(テーブル1[[#This Row],[描画状況]]="",RAND()+(テーブル1[[#This Row],[列2]]*100),""),RAND())</f>
        <v/>
      </c>
      <c r="R32" s="1" t="s">
        <v>12</v>
      </c>
      <c r="S32" s="24" t="str">
        <f ca="1">IF(AND(テーブル1[[#This Row],[描画状況]]="済",テーブル1[[#This Row],[投稿状況]]=""),RAND(),"")</f>
        <v/>
      </c>
      <c r="T32" s="23" t="str">
        <f>"|&amp;image("&amp;テーブル1[[#This Row],[画像]]&amp;".png,width=100,height=100)"</f>
        <v>|&amp;image(kigeki-warota.png,width=100,height=100)</v>
      </c>
      <c r="U32" s="23" t="str">
        <f>"|MIDDLE:​"&amp;テーブル1[[#This Row],[名前]]</f>
        <v>|MIDDLE:​喜檄わろた</v>
      </c>
      <c r="V32" s="23" t="str">
        <f>"|MIDDLE:​"&amp;テーブル1[[#This Row],[なまえ]]</f>
        <v>|MIDDLE:​きげき わろた</v>
      </c>
      <c r="W32" s="23" t="str">
        <f>"|MIDDLE:​"&amp;テーブル1[[#This Row],[Name]]</f>
        <v>|MIDDLE:​Kigeki Warota</v>
      </c>
      <c r="X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4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253</v>
      </c>
      <c r="D33" s="23" t="s">
        <v>254</v>
      </c>
      <c r="E33" s="23" t="s">
        <v>255</v>
      </c>
      <c r="F33" s="2" t="s">
        <v>256</v>
      </c>
      <c r="G33" s="23" t="s">
        <v>257</v>
      </c>
      <c r="N33" s="1" t="s">
        <v>1443</v>
      </c>
      <c r="O33" s="24" t="str">
        <f>テーブル1[[#This Row],[リンク]]&amp;テーブル1[[#This Row],[描画状況]]</f>
        <v>https://nyaruru.wixsite.com/s-p-w済</v>
      </c>
      <c r="P33" s="17">
        <f>1-(COUNTIF(O:O,_xlfn.TEXTJOIN(",",TRUE,テーブル1[[#This Row],[リンク]],テーブル1[[#This Row],[描画状況]]))/COUNTIF(F:F,テーブル1[[#This Row],[リンク]]))</f>
        <v>1</v>
      </c>
      <c r="Q33" s="16" t="str">
        <f ca="1">IFERROR(IF(テーブル1[[#This Row],[描画状況]]="",RAND()+(テーブル1[[#This Row],[列2]]*100),""),RAND())</f>
        <v/>
      </c>
      <c r="R33" s="1" t="s">
        <v>12</v>
      </c>
      <c r="S33" s="24" t="str">
        <f ca="1">IF(AND(テーブル1[[#This Row],[描画状況]]="済",テーブル1[[#This Row],[投稿状況]]=""),RAND(),"")</f>
        <v/>
      </c>
      <c r="T33" s="23" t="str">
        <f>"|&amp;image("&amp;テーブル1[[#This Row],[画像]]&amp;".png,width=100,height=100)"</f>
        <v>|&amp;image(kizuboshi-sora.png,width=100,height=100)</v>
      </c>
      <c r="U33" s="23" t="str">
        <f>"|MIDDLE:​"&amp;テーブル1[[#This Row],[名前]]</f>
        <v>|MIDDLE:​創星宙</v>
      </c>
      <c r="V33" s="23" t="str">
        <f>"|MIDDLE:​"&amp;テーブル1[[#This Row],[なまえ]]</f>
        <v>|MIDDLE:​きずぼし そら</v>
      </c>
      <c r="W33" s="23" t="str">
        <f>"|MIDDLE:​"&amp;テーブル1[[#This Row],[Name]]</f>
        <v>|MIDDLE:​Kizuboshi Sora</v>
      </c>
      <c r="X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4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66</v>
      </c>
      <c r="D34" s="23" t="s">
        <v>67</v>
      </c>
      <c r="E34" s="23" t="s">
        <v>68</v>
      </c>
      <c r="F34" s="2" t="s">
        <v>64</v>
      </c>
      <c r="G34" s="23" t="s">
        <v>65</v>
      </c>
      <c r="M34" s="1" t="s">
        <v>1517</v>
      </c>
      <c r="N34" s="1" t="s">
        <v>1443</v>
      </c>
      <c r="O34" s="24" t="str">
        <f>テーブル1[[#This Row],[リンク]]&amp;テーブル1[[#This Row],[描画状況]]</f>
        <v>https://bowlroll.net/user/852117/files済</v>
      </c>
      <c r="P34" s="17">
        <f>1-(COUNTIF(O:O,_xlfn.TEXTJOIN(",",TRUE,テーブル1[[#This Row],[リンク]],テーブル1[[#This Row],[描画状況]]))/COUNTIF(F:F,テーブル1[[#This Row],[リンク]]))</f>
        <v>1</v>
      </c>
      <c r="Q34" s="16" t="str">
        <f ca="1">IFERROR(IF(テーブル1[[#This Row],[描画状況]]="",RAND()+(テーブル1[[#This Row],[列2]]*100),""),RAND())</f>
        <v/>
      </c>
      <c r="R34" s="1" t="s">
        <v>12</v>
      </c>
      <c r="S34" s="24" t="str">
        <f ca="1">IF(AND(テーブル1[[#This Row],[描画状況]]="済",テーブル1[[#This Row],[投稿状況]]=""),RAND(),"")</f>
        <v/>
      </c>
      <c r="T34" s="23" t="str">
        <f>"|&amp;image("&amp;テーブル1[[#This Row],[画像]]&amp;".png,width=100,height=100)"</f>
        <v>|&amp;image(kine-kine.png,width=100,height=100)</v>
      </c>
      <c r="U34" s="23" t="str">
        <f>"|MIDDLE:​"&amp;テーブル1[[#This Row],[名前]]</f>
        <v>|MIDDLE:​キ音キネ</v>
      </c>
      <c r="V34" s="23" t="str">
        <f>"|MIDDLE:​"&amp;テーブル1[[#This Row],[なまえ]]</f>
        <v>|MIDDLE:​きね きね</v>
      </c>
      <c r="W34" s="23" t="str">
        <f>"|MIDDLE:​"&amp;テーブル1[[#This Row],[Name]]</f>
        <v>|MIDDLE:​Kine kine</v>
      </c>
      <c r="X34" s="23" t="str">
        <f>"|MIDDLE:​&amp;link(配布所はこちら){​"&amp;テーブル1[[#This Row],[リンク]]&amp;"}|"</f>
        <v>|MIDDLE:​&amp;link(配布所はこちら){​https://bowlroll.net/user/852117/files}|</v>
      </c>
    </row>
    <row r="35" spans="1:24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1413</v>
      </c>
      <c r="D35" s="23" t="s">
        <v>368</v>
      </c>
      <c r="E35" s="23" t="s">
        <v>369</v>
      </c>
      <c r="F35" s="2" t="s">
        <v>366</v>
      </c>
      <c r="G35" s="23" t="s">
        <v>367</v>
      </c>
      <c r="N35" s="1" t="s">
        <v>1443</v>
      </c>
      <c r="O35" s="24" t="str">
        <f>テーブル1[[#This Row],[リンク]]&amp;テーブル1[[#This Row],[描画状況]]</f>
        <v>https://utaunanaproplus.wixsite.com/of-web済</v>
      </c>
      <c r="P35" s="17">
        <f>1-(COUNTIF(O:O,_xlfn.TEXTJOIN(",",TRUE,テーブル1[[#This Row],[リンク]],テーブル1[[#This Row],[描画状況]]))/COUNTIF(F:F,テーブル1[[#This Row],[リンク]]))</f>
        <v>1</v>
      </c>
      <c r="Q35" s="16" t="str">
        <f ca="1">IFERROR(IF(テーブル1[[#This Row],[描画状況]]="",RAND()+(テーブル1[[#This Row],[列2]]*100),""),RAND())</f>
        <v/>
      </c>
      <c r="R35" s="1" t="s">
        <v>12</v>
      </c>
      <c r="S35" s="24" t="str">
        <f ca="1">IF(AND(テーブル1[[#This Row],[描画状況]]="済",テーブル1[[#This Row],[投稿状況]]=""),RAND(),"")</f>
        <v/>
      </c>
      <c r="T35" s="23" t="str">
        <f>"|&amp;image("&amp;テーブル1[[#This Row],[画像]]&amp;".png,width=100,height=100)"</f>
        <v>|&amp;image(kyomachi-morte.png,width=100,height=100)</v>
      </c>
      <c r="U35" s="23" t="str">
        <f>"|MIDDLE:​"&amp;テーブル1[[#This Row],[名前]]</f>
        <v>|MIDDLE:​凶街モルテ</v>
      </c>
      <c r="V35" s="23" t="str">
        <f>"|MIDDLE:​"&amp;テーブル1[[#This Row],[なまえ]]</f>
        <v>|MIDDLE:​きょうまち もるて</v>
      </c>
      <c r="W35" s="23" t="str">
        <f>"|MIDDLE:​"&amp;テーブル1[[#This Row],[Name]]</f>
        <v>|MIDDLE:​Kyomachi Morte</v>
      </c>
      <c r="X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4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258</v>
      </c>
      <c r="D36" s="23" t="s">
        <v>259</v>
      </c>
      <c r="E36" s="23" t="s">
        <v>260</v>
      </c>
      <c r="F36" s="2" t="s">
        <v>256</v>
      </c>
      <c r="G36" s="23" t="s">
        <v>261</v>
      </c>
      <c r="N36" s="1" t="s">
        <v>1443</v>
      </c>
      <c r="O36" s="24" t="str">
        <f>テーブル1[[#This Row],[リンク]]&amp;テーブル1[[#This Row],[描画状況]]</f>
        <v>https://nyaruru.wixsite.com/s-p-w済</v>
      </c>
      <c r="P36" s="17">
        <f>1-(COUNTIF(O:O,_xlfn.TEXTJOIN(",",TRUE,テーブル1[[#This Row],[リンク]],テーブル1[[#This Row],[描画状況]]))/COUNTIF(F:F,テーブル1[[#This Row],[リンク]]))</f>
        <v>1</v>
      </c>
      <c r="Q36" s="16" t="str">
        <f ca="1">IFERROR(IF(テーブル1[[#This Row],[描画状況]]="",RAND()+(テーブル1[[#This Row],[列2]]*100),""),RAND())</f>
        <v/>
      </c>
      <c r="R36" s="1" t="s">
        <v>12</v>
      </c>
      <c r="S36" s="24" t="str">
        <f ca="1">IF(AND(テーブル1[[#This Row],[描画状況]]="済",テーブル1[[#This Row],[投稿状況]]=""),RAND(),"")</f>
        <v/>
      </c>
      <c r="T36" s="23" t="str">
        <f>"|&amp;image("&amp;テーブル1[[#This Row],[画像]]&amp;".png,width=100,height=100)"</f>
        <v>|&amp;image(kiraboshi-waku.png,width=100,height=100)</v>
      </c>
      <c r="U36" s="23" t="str">
        <f>"|MIDDLE:​"&amp;テーブル1[[#This Row],[名前]]</f>
        <v>|MIDDLE:​輝星惑</v>
      </c>
      <c r="V36" s="23" t="str">
        <f>"|MIDDLE:​"&amp;テーブル1[[#This Row],[なまえ]]</f>
        <v>|MIDDLE:​きらぼし わく</v>
      </c>
      <c r="W36" s="23" t="str">
        <f>"|MIDDLE:​"&amp;テーブル1[[#This Row],[Name]]</f>
        <v>|MIDDLE:​Kiraboshi Waku</v>
      </c>
      <c r="X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4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107</v>
      </c>
      <c r="D37" s="23" t="s">
        <v>108</v>
      </c>
      <c r="E37" s="23" t="s">
        <v>109</v>
      </c>
      <c r="F37" s="15" t="s">
        <v>110</v>
      </c>
      <c r="G37" s="23" t="s">
        <v>111</v>
      </c>
      <c r="M37" s="1" t="s">
        <v>1517</v>
      </c>
      <c r="N37" s="1" t="s">
        <v>1443</v>
      </c>
      <c r="O37" s="24" t="str">
        <f>テーブル1[[#This Row],[リンク]]&amp;テーブル1[[#This Row],[描画状況]]</f>
        <v>https://hznonoka.wixsite.com/utau済</v>
      </c>
      <c r="P37" s="17">
        <f>1-(COUNTIF(O:O,_xlfn.TEXTJOIN(",",TRUE,テーブル1[[#This Row],[リンク]],テーブル1[[#This Row],[描画状況]]))/COUNTIF(F:F,テーブル1[[#This Row],[リンク]]))</f>
        <v>1</v>
      </c>
      <c r="Q37" s="16" t="str">
        <f ca="1">IFERROR(IF(テーブル1[[#This Row],[描画状況]]="",RAND()+(テーブル1[[#This Row],[列2]]*100),""),RAND())</f>
        <v/>
      </c>
      <c r="R37" s="1" t="s">
        <v>12</v>
      </c>
      <c r="S37" s="24" t="str">
        <f ca="1">IF(AND(テーブル1[[#This Row],[描画状況]]="済",テーブル1[[#This Row],[投稿状況]]=""),RAND(),"")</f>
        <v/>
      </c>
      <c r="T37" s="23" t="str">
        <f>"|&amp;image("&amp;テーブル1[[#This Row],[画像]]&amp;".png,width=100,height=100)"</f>
        <v>|&amp;image(kuzyaku-eren.png,width=100,height=100)</v>
      </c>
      <c r="U37" s="23" t="str">
        <f>"|MIDDLE:​"&amp;テーブル1[[#This Row],[名前]]</f>
        <v>|MIDDLE:​玖婥えれん</v>
      </c>
      <c r="V37" s="23" t="str">
        <f>"|MIDDLE:​"&amp;テーブル1[[#This Row],[なまえ]]</f>
        <v>|MIDDLE:​くじゃく えれん</v>
      </c>
      <c r="W37" s="23" t="str">
        <f>"|MIDDLE:​"&amp;テーブル1[[#This Row],[Name]]</f>
        <v>|MIDDLE:​Kuzyaku Eren</v>
      </c>
      <c r="X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4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1414</v>
      </c>
      <c r="D38" s="23" t="s">
        <v>239</v>
      </c>
      <c r="E38" s="23" t="s">
        <v>240</v>
      </c>
      <c r="F38" s="2" t="s">
        <v>241</v>
      </c>
      <c r="G38" s="23" t="s">
        <v>242</v>
      </c>
      <c r="N38" s="1" t="s">
        <v>1443</v>
      </c>
      <c r="O38" s="24" t="str">
        <f>テーブル1[[#This Row],[リンク]]&amp;テーブル1[[#This Row],[描画状況]]</f>
        <v>https://nichikuniku1129063.wixsite.com/website-3済</v>
      </c>
      <c r="P38" s="17">
        <f>1-(COUNTIF(O:O,_xlfn.TEXTJOIN(",",TRUE,テーブル1[[#This Row],[リンク]],テーブル1[[#This Row],[描画状況]]))/COUNTIF(F:F,テーブル1[[#This Row],[リンク]]))</f>
        <v>1</v>
      </c>
      <c r="Q38" s="16" t="str">
        <f ca="1">IFERROR(IF(テーブル1[[#This Row],[描画状況]]="",RAND()+(テーブル1[[#This Row],[列2]]*100),""),RAND())</f>
        <v/>
      </c>
      <c r="R38" s="1" t="s">
        <v>12</v>
      </c>
      <c r="S38" s="24" t="str">
        <f ca="1">IF(AND(テーブル1[[#This Row],[描画状況]]="済",テーブル1[[#This Row],[投稿状況]]=""),RAND(),"")</f>
        <v/>
      </c>
      <c r="T38" s="23" t="str">
        <f>"|&amp;image("&amp;テーブル1[[#This Row],[画像]]&amp;".png,width=100,height=100)"</f>
        <v>|&amp;image(kuchinashi-awo.png,width=100,height=100)</v>
      </c>
      <c r="U38" s="23" t="str">
        <f>"|MIDDLE:​"&amp;テーブル1[[#This Row],[名前]]</f>
        <v>|MIDDLE:​口無アヲ</v>
      </c>
      <c r="V38" s="23" t="str">
        <f>"|MIDDLE:​"&amp;テーブル1[[#This Row],[なまえ]]</f>
        <v>|MIDDLE:​くちなし あを</v>
      </c>
      <c r="W38" s="23" t="str">
        <f>"|MIDDLE:​"&amp;テーブル1[[#This Row],[Name]]</f>
        <v>|MIDDLE:​Kuchinashi Awo</v>
      </c>
      <c r="X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4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317</v>
      </c>
      <c r="D39" s="23" t="s">
        <v>318</v>
      </c>
      <c r="E39" s="23" t="s">
        <v>319</v>
      </c>
      <c r="F39" s="2" t="s">
        <v>320</v>
      </c>
      <c r="G39" s="23" t="s">
        <v>321</v>
      </c>
      <c r="N39" s="1" t="s">
        <v>1443</v>
      </c>
      <c r="O39" s="24" t="str">
        <f>テーブル1[[#This Row],[リンク]]&amp;テーブル1[[#This Row],[描画状況]]</f>
        <v>https://subarumusicstore.studio.site済</v>
      </c>
      <c r="P39" s="17">
        <f>1-(COUNTIF(O:O,_xlfn.TEXTJOIN(",",TRUE,テーブル1[[#This Row],[リンク]],テーブル1[[#This Row],[描画状況]]))/COUNTIF(F:F,テーブル1[[#This Row],[リンク]]))</f>
        <v>1</v>
      </c>
      <c r="Q39" s="16" t="str">
        <f ca="1">IFERROR(IF(テーブル1[[#This Row],[描画状況]]="",RAND()+(テーブル1[[#This Row],[列2]]*100),""),RAND())</f>
        <v/>
      </c>
      <c r="R39" s="1" t="s">
        <v>12</v>
      </c>
      <c r="S39" s="24" t="str">
        <f ca="1">IF(AND(テーブル1[[#This Row],[描画状況]]="済",テーブル1[[#This Row],[投稿状況]]=""),RAND(),"")</f>
        <v/>
      </c>
      <c r="T39" s="23" t="str">
        <f>"|&amp;image("&amp;テーブル1[[#This Row],[画像]]&amp;".png,width=100,height=100)"</f>
        <v>|&amp;image(kurobousuku.png,width=100,height=100)</v>
      </c>
      <c r="U39" s="23" t="str">
        <f>"|MIDDLE:​"&amp;テーブル1[[#This Row],[名前]]</f>
        <v>|MIDDLE:​黒昴宿</v>
      </c>
      <c r="V39" s="23" t="str">
        <f>"|MIDDLE:​"&amp;テーブル1[[#This Row],[なまえ]]</f>
        <v>|MIDDLE:​くろぼうすく</v>
      </c>
      <c r="W39" s="23" t="str">
        <f>"|MIDDLE:​"&amp;テーブル1[[#This Row],[Name]]</f>
        <v>|MIDDLE:​Kurobousuku</v>
      </c>
      <c r="X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4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M40" s="1" t="s">
        <v>1518</v>
      </c>
      <c r="N40" s="1" t="s">
        <v>1443</v>
      </c>
      <c r="O40" s="24" t="str">
        <f>テーブル1[[#This Row],[リンク]]&amp;テーブル1[[#This Row],[描画状況]]</f>
        <v>http://park2.wakwak.com/~mbox/vo/hk/hkfre.htm済</v>
      </c>
      <c r="P40" s="17">
        <f>1-(COUNTIF(O:O,_xlfn.TEXTJOIN(",",TRUE,テーブル1[[#This Row],[リンク]],テーブル1[[#This Row],[描画状況]]))/COUNTIF(F:F,テーブル1[[#This Row],[リンク]]))</f>
        <v>1</v>
      </c>
      <c r="Q40" s="16" t="str">
        <f ca="1">IFERROR(IF(テーブル1[[#This Row],[描画状況]]="",RAND()+(テーブル1[[#This Row],[列2]]*100),""),RAND())</f>
        <v/>
      </c>
      <c r="R40" s="1" t="s">
        <v>12</v>
      </c>
      <c r="S40" s="24" t="str">
        <f ca="1">IF(AND(テーブル1[[#This Row],[描画状況]]="済",テーブル1[[#This Row],[投稿状況]]=""),RAND(),"")</f>
        <v/>
      </c>
      <c r="T40" s="23" t="str">
        <f>"|&amp;image("&amp;テーブル1[[#This Row],[画像]]&amp;".png,width=100,height=100)"</f>
        <v>|&amp;image(kei.png,width=100,height=100)</v>
      </c>
      <c r="U40" s="23" t="str">
        <f>"|MIDDLE:​"&amp;テーブル1[[#This Row],[名前]]</f>
        <v>|MIDDLE:​蛍(ケイ)</v>
      </c>
      <c r="V40" s="23" t="str">
        <f>"|MIDDLE:​"&amp;テーブル1[[#This Row],[なまえ]]</f>
        <v>|MIDDLE:​けい</v>
      </c>
      <c r="W40" s="23" t="str">
        <f>"|MIDDLE:​"&amp;テーブル1[[#This Row],[Name]]</f>
        <v>|MIDDLE:​Kei</v>
      </c>
      <c r="X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4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158</v>
      </c>
      <c r="D41" s="23" t="s">
        <v>159</v>
      </c>
      <c r="E41" s="23" t="s">
        <v>160</v>
      </c>
      <c r="F41" s="2" t="s">
        <v>161</v>
      </c>
      <c r="G41" s="23" t="s">
        <v>162</v>
      </c>
      <c r="N41" s="1" t="s">
        <v>1443</v>
      </c>
      <c r="O41" s="24" t="str">
        <f>テーブル1[[#This Row],[リンク]]&amp;テーブル1[[#This Row],[描画状況]]</f>
        <v>https://keineron.wixsite.com/index済</v>
      </c>
      <c r="P41" s="17">
        <f>1-(COUNTIF(O:O,_xlfn.TEXTJOIN(",",TRUE,テーブル1[[#This Row],[リンク]],テーブル1[[#This Row],[描画状況]]))/COUNTIF(F:F,テーブル1[[#This Row],[リンク]]))</f>
        <v>1</v>
      </c>
      <c r="Q41" s="16" t="str">
        <f ca="1">IFERROR(IF(テーブル1[[#This Row],[描画状況]]="",RAND()+(テーブル1[[#This Row],[列2]]*100),""),RAND())</f>
        <v/>
      </c>
      <c r="R41" s="1" t="s">
        <v>12</v>
      </c>
      <c r="S41" s="24" t="str">
        <f ca="1">IF(AND(テーブル1[[#This Row],[描画状況]]="済",テーブル1[[#This Row],[投稿状況]]=""),RAND(),"")</f>
        <v/>
      </c>
      <c r="T41" s="23" t="str">
        <f>"|&amp;image("&amp;テーブル1[[#This Row],[画像]]&amp;".png,width=100,height=100)"</f>
        <v>|&amp;image(keine-ron.png,width=100,height=100)</v>
      </c>
      <c r="U41" s="23" t="str">
        <f>"|MIDDLE:​"&amp;テーブル1[[#This Row],[名前]]</f>
        <v>|MIDDLE:​京音ロン</v>
      </c>
      <c r="V41" s="23" t="str">
        <f>"|MIDDLE:​"&amp;テーブル1[[#This Row],[なまえ]]</f>
        <v>|MIDDLE:​けいね ろん</v>
      </c>
      <c r="W41" s="23" t="str">
        <f>"|MIDDLE:​"&amp;テーブル1[[#This Row],[Name]]</f>
        <v>|MIDDLE:​Keine Ron</v>
      </c>
      <c r="X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4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172</v>
      </c>
      <c r="D42" s="23" t="s">
        <v>173</v>
      </c>
      <c r="E42" s="23" t="s">
        <v>174</v>
      </c>
      <c r="F42" s="2" t="s">
        <v>170</v>
      </c>
      <c r="G42" s="23" t="s">
        <v>171</v>
      </c>
      <c r="N42" s="1" t="s">
        <v>1443</v>
      </c>
      <c r="O42" s="24" t="str">
        <f>テーブル1[[#This Row],[リンク]]&amp;テーブル1[[#This Row],[描画状況]]</f>
        <v>https://kurukuru2suuzi.wixsite.com/kuzutokaze済</v>
      </c>
      <c r="P42" s="17">
        <f>1-(COUNTIF(O:O,_xlfn.TEXTJOIN(",",TRUE,テーブル1[[#This Row],[リンク]],テーブル1[[#This Row],[描画状況]]))/COUNTIF(F:F,テーブル1[[#This Row],[リンク]]))</f>
        <v>1</v>
      </c>
      <c r="Q42" s="16" t="str">
        <f ca="1">IFERROR(IF(テーブル1[[#This Row],[描画状況]]="",RAND()+(テーブル1[[#This Row],[列2]]*100),""),RAND())</f>
        <v/>
      </c>
      <c r="R42" s="1" t="s">
        <v>12</v>
      </c>
      <c r="S42" s="24" t="str">
        <f ca="1">IF(AND(テーブル1[[#This Row],[描画状況]]="済",テーブル1[[#This Row],[投稿状況]]=""),RAND(),"")</f>
        <v/>
      </c>
      <c r="T42" s="23" t="str">
        <f>"|&amp;image("&amp;テーブル1[[#This Row],[画像]]&amp;".png,width=100,height=100)"</f>
        <v>|&amp;image(gekiyaku.png,width=100,height=100)</v>
      </c>
      <c r="U42" s="23" t="str">
        <f>"|MIDDLE:​"&amp;テーブル1[[#This Row],[名前]]</f>
        <v>|MIDDLE:​ゲキヤク</v>
      </c>
      <c r="V42" s="23" t="str">
        <f>"|MIDDLE:​"&amp;テーブル1[[#This Row],[なまえ]]</f>
        <v>|MIDDLE:​げきやく</v>
      </c>
      <c r="W42" s="23" t="str">
        <f>"|MIDDLE:​"&amp;テーブル1[[#This Row],[Name]]</f>
        <v>|MIDDLE:​Gekiyaku</v>
      </c>
      <c r="X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4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139</v>
      </c>
      <c r="D43" s="23" t="s">
        <v>140</v>
      </c>
      <c r="E43" s="23" t="s">
        <v>141</v>
      </c>
      <c r="F43" s="2" t="s">
        <v>142</v>
      </c>
      <c r="G43" s="23" t="s">
        <v>143</v>
      </c>
      <c r="N43" s="1" t="s">
        <v>1443</v>
      </c>
      <c r="O43" s="24" t="str">
        <f>テーブル1[[#This Row],[リンク]]&amp;テーブル1[[#This Row],[描画状況]]</f>
        <v>https://kakokyu102krbs.wixsite.com/greenmilky済</v>
      </c>
      <c r="P43" s="17">
        <f>1-(COUNTIF(O:O,_xlfn.TEXTJOIN(",",TRUE,テーブル1[[#This Row],[リンク]],テーブル1[[#This Row],[描画状況]]))/COUNTIF(F:F,テーブル1[[#This Row],[リンク]]))</f>
        <v>1</v>
      </c>
      <c r="Q43" s="16" t="str">
        <f ca="1">IFERROR(IF(テーブル1[[#This Row],[描画状況]]="",RAND()+(テーブル1[[#This Row],[列2]]*100),""),RAND())</f>
        <v/>
      </c>
      <c r="R43" s="1" t="s">
        <v>12</v>
      </c>
      <c r="S43" s="24" t="str">
        <f ca="1">IF(AND(テーブル1[[#This Row],[描画状況]]="済",テーブル1[[#This Row],[投稿状況]]=""),RAND(),"")</f>
        <v/>
      </c>
      <c r="T43" s="23" t="str">
        <f>"|&amp;image("&amp;テーブル1[[#This Row],[画像]]&amp;".png,width=100,height=100)"</f>
        <v>|&amp;image(kedaruge.png,width=100,height=100)</v>
      </c>
      <c r="U43" s="23" t="str">
        <f>"|MIDDLE:​"&amp;テーブル1[[#This Row],[名前]]</f>
        <v>|MIDDLE:​蹴堕流激</v>
      </c>
      <c r="V43" s="23" t="str">
        <f>"|MIDDLE:​"&amp;テーブル1[[#This Row],[なまえ]]</f>
        <v>|MIDDLE:​けだるげ</v>
      </c>
      <c r="W43" s="23" t="str">
        <f>"|MIDDLE:​"&amp;テーブル1[[#This Row],[Name]]</f>
        <v>|MIDDLE:​Kedaruge</v>
      </c>
      <c r="X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4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1415</v>
      </c>
      <c r="D44" s="23" t="s">
        <v>85</v>
      </c>
      <c r="E44" s="23" t="s">
        <v>86</v>
      </c>
      <c r="F44" s="27" t="s">
        <v>87</v>
      </c>
      <c r="G44" s="23" t="s">
        <v>88</v>
      </c>
      <c r="M44" s="1" t="s">
        <v>1518</v>
      </c>
      <c r="N44" s="1" t="s">
        <v>1443</v>
      </c>
      <c r="O44" s="24" t="str">
        <f>テーブル1[[#This Row],[リンク]]&amp;テーブル1[[#This Row],[描画状況]]</f>
        <v>https://chunyinhui021.wixsite.com/mutyuusaisei済</v>
      </c>
      <c r="P44" s="17">
        <f>1-(COUNTIF(O:O,_xlfn.TEXTJOIN(",",TRUE,テーブル1[[#This Row],[リンク]],テーブル1[[#This Row],[描画状況]]))/COUNTIF(F:F,テーブル1[[#This Row],[リンク]]))</f>
        <v>1</v>
      </c>
      <c r="Q44" s="16" t="str">
        <f ca="1">IFERROR(IF(テーブル1[[#This Row],[描画状況]]="",RAND()+(テーブル1[[#This Row],[列2]]*100),""),RAND())</f>
        <v/>
      </c>
      <c r="R44" s="1" t="s">
        <v>12</v>
      </c>
      <c r="S44" s="24" t="str">
        <f ca="1">IF(AND(テーブル1[[#This Row],[描画状況]]="済",テーブル1[[#This Row],[投稿状況]]=""),RAND(),"")</f>
        <v/>
      </c>
      <c r="T44" s="23" t="str">
        <f>"|&amp;image("&amp;テーブル1[[#This Row],[画像]]&amp;".png,width=100,height=100)"</f>
        <v>|&amp;image(kon-kokuto.png,width=100,height=100)</v>
      </c>
      <c r="U44" s="23" t="str">
        <f>"|MIDDLE:​"&amp;テーブル1[[#This Row],[名前]]</f>
        <v>|MIDDLE:​​狐隠黒途</v>
      </c>
      <c r="V44" s="23" t="str">
        <f>"|MIDDLE:​"&amp;テーブル1[[#This Row],[なまえ]]</f>
        <v>|MIDDLE:​こおん こくと</v>
      </c>
      <c r="W44" s="23" t="str">
        <f>"|MIDDLE:​"&amp;テーブル1[[#This Row],[Name]]</f>
        <v>|MIDDLE:​Kon Kokuto</v>
      </c>
      <c r="X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4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1416</v>
      </c>
      <c r="D45" s="23" t="s">
        <v>379</v>
      </c>
      <c r="E45" s="23" t="s">
        <v>380</v>
      </c>
      <c r="F45" s="2" t="s">
        <v>381</v>
      </c>
      <c r="G45" s="23" t="s">
        <v>382</v>
      </c>
      <c r="N45" s="1" t="s">
        <v>1443</v>
      </c>
      <c r="O45" s="24" t="str">
        <f>テーブル1[[#This Row],[リンク]]&amp;テーブル1[[#This Row],[描画状況]]</f>
        <v>https://utauudon.wixsite.com/origamisyokudou済</v>
      </c>
      <c r="P45" s="17">
        <f>1-(COUNTIF(O:O,_xlfn.TEXTJOIN(",",TRUE,テーブル1[[#This Row],[リンク]],テーブル1[[#This Row],[描画状況]]))/COUNTIF(F:F,テーブル1[[#This Row],[リンク]]))</f>
        <v>1</v>
      </c>
      <c r="Q45" s="16" t="str">
        <f ca="1">IFERROR(IF(テーブル1[[#This Row],[描画状況]]="",RAND()+(テーブル1[[#This Row],[列2]]*100),""),RAND())</f>
        <v/>
      </c>
      <c r="R45" s="1" t="s">
        <v>12</v>
      </c>
      <c r="S45" s="24" t="str">
        <f ca="1">IF(AND(テーブル1[[#This Row],[描画状況]]="済",テーブル1[[#This Row],[投稿状況]]=""),RAND(),"")</f>
        <v/>
      </c>
      <c r="T45" s="23" t="str">
        <f>"|&amp;image("&amp;テーブル1[[#This Row],[画像]]&amp;".png,width=100,height=100)"</f>
        <v>|&amp;image(kokubangakari.png,width=100,height=100)</v>
      </c>
      <c r="U45" s="23" t="str">
        <f>"|MIDDLE:​"&amp;テーブル1[[#This Row],[名前]]</f>
        <v>|MIDDLE:​​黒板係</v>
      </c>
      <c r="V45" s="23" t="str">
        <f>"|MIDDLE:​"&amp;テーブル1[[#This Row],[なまえ]]</f>
        <v>|MIDDLE:​こくばんがかり</v>
      </c>
      <c r="W45" s="23" t="str">
        <f>"|MIDDLE:​"&amp;テーブル1[[#This Row],[Name]]</f>
        <v>|MIDDLE:​kokubangakari</v>
      </c>
      <c r="X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4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1417</v>
      </c>
      <c r="D46" s="23" t="s">
        <v>98</v>
      </c>
      <c r="E46" s="23" t="s">
        <v>99</v>
      </c>
      <c r="F46" s="2" t="s">
        <v>100</v>
      </c>
      <c r="G46" s="23" t="s">
        <v>101</v>
      </c>
      <c r="M46" s="1" t="s">
        <v>1517</v>
      </c>
      <c r="N46" s="1" t="s">
        <v>1443</v>
      </c>
      <c r="O46" s="24" t="str">
        <f>テーブル1[[#This Row],[リンク]]&amp;テーブル1[[#This Row],[描画状況]]</f>
        <v>https://hinagitsune-utau.wixsite.com/utaukokorone済</v>
      </c>
      <c r="P46" s="17">
        <f>1-(COUNTIF(O:O,_xlfn.TEXTJOIN(",",TRUE,テーブル1[[#This Row],[リンク]],テーブル1[[#This Row],[描画状況]]))/COUNTIF(F:F,テーブル1[[#This Row],[リンク]]))</f>
        <v>1</v>
      </c>
      <c r="Q46" s="16" t="str">
        <f ca="1">IFERROR(IF(テーブル1[[#This Row],[描画状況]]="",RAND()+(テーブル1[[#This Row],[列2]]*100),""),RAND())</f>
        <v/>
      </c>
      <c r="R46" s="1" t="s">
        <v>12</v>
      </c>
      <c r="S46" s="24" t="str">
        <f ca="1">IF(AND(テーブル1[[#This Row],[描画状況]]="済",テーブル1[[#This Row],[投稿状況]]=""),RAND(),"")</f>
        <v/>
      </c>
      <c r="T46" s="23" t="str">
        <f>"|&amp;image("&amp;テーブル1[[#This Row],[画像]]&amp;".png,width=100,height=100)"</f>
        <v>|&amp;image(kokorone-futaba.png,width=100,height=100)</v>
      </c>
      <c r="U46" s="23" t="str">
        <f>"|MIDDLE:​"&amp;テーブル1[[#This Row],[名前]]</f>
        <v>|MIDDLE:​心音フタバ</v>
      </c>
      <c r="V46" s="23" t="str">
        <f>"|MIDDLE:​"&amp;テーブル1[[#This Row],[なまえ]]</f>
        <v>|MIDDLE:​こころね ふたば</v>
      </c>
      <c r="W46" s="23" t="str">
        <f>"|MIDDLE:​"&amp;テーブル1[[#This Row],[Name]]</f>
        <v>|MIDDLE:​Kokorone Futaba</v>
      </c>
      <c r="X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4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1418</v>
      </c>
      <c r="D47" s="23" t="s">
        <v>224</v>
      </c>
      <c r="E47" s="23" t="s">
        <v>225</v>
      </c>
      <c r="F47" s="2" t="s">
        <v>226</v>
      </c>
      <c r="G47" s="23" t="s">
        <v>227</v>
      </c>
      <c r="N47" s="1" t="s">
        <v>1443</v>
      </c>
      <c r="O47" s="24" t="str">
        <f>テーブル1[[#This Row],[リンク]]&amp;テーブル1[[#This Row],[描画状況]]</f>
        <v>https://nananasyrup.wixsite.com/13kka済</v>
      </c>
      <c r="P47" s="17">
        <f>1-(COUNTIF(O:O,_xlfn.TEXTJOIN(",",TRUE,テーブル1[[#This Row],[リンク]],テーブル1[[#This Row],[描画状況]]))/COUNTIF(F:F,テーブル1[[#This Row],[リンク]]))</f>
        <v>1</v>
      </c>
      <c r="Q47" s="16" t="str">
        <f ca="1">IFERROR(IF(テーブル1[[#This Row],[描画状況]]="",RAND()+(テーブル1[[#This Row],[列2]]*100),""),RAND())</f>
        <v/>
      </c>
      <c r="R47" s="1" t="s">
        <v>12</v>
      </c>
      <c r="S47" s="24" t="str">
        <f ca="1">IF(AND(テーブル1[[#This Row],[描画状況]]="済",テーブル1[[#This Row],[投稿状況]]=""),RAND(),"")</f>
        <v/>
      </c>
      <c r="T47" s="23" t="str">
        <f>"|&amp;image("&amp;テーブル1[[#This Row],[画像]]&amp;".png,width=100,height=100)"</f>
        <v>|&amp;image(kodou-hakuya.png,width=100,height=100)</v>
      </c>
      <c r="U47" s="23" t="str">
        <f>"|MIDDLE:​"&amp;テーブル1[[#This Row],[名前]]</f>
        <v>|MIDDLE:​鼓童拍也</v>
      </c>
      <c r="V47" s="23" t="str">
        <f>"|MIDDLE:​"&amp;テーブル1[[#This Row],[なまえ]]</f>
        <v>|MIDDLE:​こどう はくや</v>
      </c>
      <c r="W47" s="23" t="str">
        <f>"|MIDDLE:​"&amp;テーブル1[[#This Row],[Name]]</f>
        <v>|MIDDLE:​Kodou Hakuya</v>
      </c>
      <c r="X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4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1419</v>
      </c>
      <c r="D48" s="23" t="s">
        <v>243</v>
      </c>
      <c r="E48" s="23" t="s">
        <v>244</v>
      </c>
      <c r="F48" s="2" t="s">
        <v>241</v>
      </c>
      <c r="G48" s="23" t="s">
        <v>242</v>
      </c>
      <c r="N48" s="1" t="s">
        <v>1443</v>
      </c>
      <c r="O48" s="24" t="str">
        <f>テーブル1[[#This Row],[リンク]]&amp;テーブル1[[#This Row],[描画状況]]</f>
        <v>https://nichikuniku1129063.wixsite.com/website-3済</v>
      </c>
      <c r="P48" s="17">
        <f>1-(COUNTIF(O:O,_xlfn.TEXTJOIN(",",TRUE,テーブル1[[#This Row],[リンク]],テーブル1[[#This Row],[描画状況]]))/COUNTIF(F:F,テーブル1[[#This Row],[リンク]]))</f>
        <v>1</v>
      </c>
      <c r="Q48" s="16" t="str">
        <f ca="1">IFERROR(IF(テーブル1[[#This Row],[描画状況]]="",RAND()+(テーブル1[[#This Row],[列2]]*100),""),RAND())</f>
        <v/>
      </c>
      <c r="R48" s="1" t="s">
        <v>12</v>
      </c>
      <c r="S48" s="24" t="str">
        <f ca="1">IF(AND(テーブル1[[#This Row],[描画状況]]="済",テーブル1[[#This Row],[投稿状況]]=""),RAND(),"")</f>
        <v/>
      </c>
      <c r="T48" s="23" t="str">
        <f>"|&amp;image("&amp;テーブル1[[#This Row],[画像]]&amp;".png,width=100,height=100)"</f>
        <v>|&amp;image(saika.png,width=100,height=100)</v>
      </c>
      <c r="U48" s="23" t="str">
        <f>"|MIDDLE:​"&amp;テーブル1[[#This Row],[名前]]</f>
        <v>|MIDDLE:​サイカ</v>
      </c>
      <c r="V48" s="23" t="str">
        <f>"|MIDDLE:​"&amp;テーブル1[[#This Row],[なまえ]]</f>
        <v>|MIDDLE:​さいか</v>
      </c>
      <c r="W48" s="23" t="str">
        <f>"|MIDDLE:​"&amp;テーブル1[[#This Row],[Name]]</f>
        <v>|MIDDLE:​Saika</v>
      </c>
      <c r="X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4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1420</v>
      </c>
      <c r="D49" s="23" t="s">
        <v>235</v>
      </c>
      <c r="E49" s="23" t="s">
        <v>236</v>
      </c>
      <c r="F49" s="2" t="s">
        <v>237</v>
      </c>
      <c r="G49" s="23" t="s">
        <v>238</v>
      </c>
      <c r="N49" s="1" t="s">
        <v>1443</v>
      </c>
      <c r="O49" s="24" t="str">
        <f>テーブル1[[#This Row],[リンク]]&amp;テーブル1[[#This Row],[描画状況]]</f>
        <v>https://ne510channel.wixsite.com/website済</v>
      </c>
      <c r="P49" s="17">
        <f>1-(COUNTIF(O:O,_xlfn.TEXTJOIN(",",TRUE,テーブル1[[#This Row],[リンク]],テーブル1[[#This Row],[描画状況]]))/COUNTIF(F:F,テーブル1[[#This Row],[リンク]]))</f>
        <v>1</v>
      </c>
      <c r="Q49" s="16" t="str">
        <f ca="1">IFERROR(IF(テーブル1[[#This Row],[描画状況]]="",RAND()+(テーブル1[[#This Row],[列2]]*100),""),RAND())</f>
        <v/>
      </c>
      <c r="R49" s="1" t="s">
        <v>12</v>
      </c>
      <c r="S49" s="24" t="str">
        <f ca="1">IF(AND(テーブル1[[#This Row],[描画状況]]="済",テーブル1[[#This Row],[投稿状況]]=""),RAND(),"")</f>
        <v/>
      </c>
      <c r="T49" s="23" t="str">
        <f>"|&amp;image("&amp;テーブル1[[#This Row],[画像]]&amp;".png,width=100,height=100)"</f>
        <v>|&amp;image(savul.png,width=100,height=100)</v>
      </c>
      <c r="U49" s="23" t="str">
        <f>"|MIDDLE:​"&amp;テーブル1[[#This Row],[名前]]</f>
        <v>|MIDDLE:​サヴル</v>
      </c>
      <c r="V49" s="23" t="str">
        <f>"|MIDDLE:​"&amp;テーブル1[[#This Row],[なまえ]]</f>
        <v>|MIDDLE:​さゔる</v>
      </c>
      <c r="W49" s="23" t="str">
        <f>"|MIDDLE:​"&amp;テーブル1[[#This Row],[Name]]</f>
        <v>|MIDDLE:​Savul</v>
      </c>
      <c r="X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4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191</v>
      </c>
      <c r="D50" s="23" t="s">
        <v>191</v>
      </c>
      <c r="E50" s="23" t="s">
        <v>192</v>
      </c>
      <c r="F50" s="2" t="s">
        <v>189</v>
      </c>
      <c r="G50" s="23" t="s">
        <v>193</v>
      </c>
      <c r="N50" s="1" t="s">
        <v>1443</v>
      </c>
      <c r="O50" s="24" t="str">
        <f>テーブル1[[#This Row],[リンク]]&amp;テーブル1[[#This Row],[描画状況]]</f>
        <v>https://lit.link/sereinrain済</v>
      </c>
      <c r="P50" s="17">
        <f>1-(COUNTIF(O:O,_xlfn.TEXTJOIN(",",TRUE,テーブル1[[#This Row],[リンク]],テーブル1[[#This Row],[描画状況]]))/COUNTIF(F:F,テーブル1[[#This Row],[リンク]]))</f>
        <v>1</v>
      </c>
      <c r="Q50" s="16" t="str">
        <f ca="1">IFERROR(IF(テーブル1[[#This Row],[描画状況]]="",RAND()+(テーブル1[[#This Row],[列2]]*100),""),RAND())</f>
        <v/>
      </c>
      <c r="R50" s="1" t="s">
        <v>12</v>
      </c>
      <c r="S50" s="24" t="str">
        <f ca="1">IF(AND(テーブル1[[#This Row],[描画状況]]="済",テーブル1[[#This Row],[投稿状況]]=""),RAND(),"")</f>
        <v/>
      </c>
      <c r="T50" s="23" t="str">
        <f>"|&amp;image("&amp;テーブル1[[#This Row],[画像]]&amp;".png,width=100,height=100)"</f>
        <v>|&amp;image(satene.png,width=100,height=100)</v>
      </c>
      <c r="U50" s="23" t="str">
        <f>"|MIDDLE:​"&amp;テーブル1[[#This Row],[名前]]</f>
        <v>|MIDDLE:​さてね</v>
      </c>
      <c r="V50" s="23" t="str">
        <f>"|MIDDLE:​"&amp;テーブル1[[#This Row],[なまえ]]</f>
        <v>|MIDDLE:​さてね</v>
      </c>
      <c r="W50" s="23" t="str">
        <f>"|MIDDLE:​"&amp;テーブル1[[#This Row],[Name]]</f>
        <v>|MIDDLE:​Satene</v>
      </c>
      <c r="X50" s="23" t="str">
        <f>"|MIDDLE:​&amp;link(配布所はこちら){​"&amp;テーブル1[[#This Row],[リンク]]&amp;"}|"</f>
        <v>|MIDDLE:​&amp;link(配布所はこちら){​https://lit.link/sereinrain}|</v>
      </c>
    </row>
    <row r="51" spans="1:24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1421</v>
      </c>
      <c r="D51" s="23" t="s">
        <v>389</v>
      </c>
      <c r="E51" s="23" t="s">
        <v>1422</v>
      </c>
      <c r="F51" s="2" t="s">
        <v>390</v>
      </c>
      <c r="G51" s="23" t="s">
        <v>391</v>
      </c>
      <c r="N51" s="1" t="s">
        <v>1443</v>
      </c>
      <c r="O51" s="24" t="str">
        <f>テーブル1[[#This Row],[リンク]]&amp;テーブル1[[#This Row],[描画状況]]</f>
        <v>https://witchdoll.jimdofree.com済</v>
      </c>
      <c r="P51" s="17">
        <f>1-(COUNTIF(O:O,_xlfn.TEXTJOIN(",",TRUE,テーブル1[[#This Row],[リンク]],テーブル1[[#This Row],[描画状況]]))/COUNTIF(F:F,テーブル1[[#This Row],[リンク]]))</f>
        <v>1</v>
      </c>
      <c r="Q51" s="16" t="str">
        <f ca="1">IFERROR(IF(テーブル1[[#This Row],[描画状況]]="",RAND()+(テーブル1[[#This Row],[列2]]*100),""),RAND())</f>
        <v/>
      </c>
      <c r="R51" s="1" t="s">
        <v>12</v>
      </c>
      <c r="S51" s="24" t="str">
        <f ca="1">IF(AND(テーブル1[[#This Row],[描画状況]]="済",テーブル1[[#This Row],[投稿状況]]=""),RAND(),"")</f>
        <v/>
      </c>
      <c r="T51" s="23" t="str">
        <f>"|&amp;image("&amp;テーブル1[[#This Row],[画像]]&amp;".png,width=100,height=100)"</f>
        <v>|&amp;image(sabane-kan.png,width=100,height=100)</v>
      </c>
      <c r="U51" s="23" t="str">
        <f>"|MIDDLE:​"&amp;テーブル1[[#This Row],[名前]]</f>
        <v>|MIDDLE:​鯖音カン</v>
      </c>
      <c r="V51" s="23" t="str">
        <f>"|MIDDLE:​"&amp;テーブル1[[#This Row],[なまえ]]</f>
        <v>|MIDDLE:​さばね かん</v>
      </c>
      <c r="W51" s="23" t="str">
        <f>"|MIDDLE:​"&amp;テーブル1[[#This Row],[Name]]</f>
        <v>|MIDDLE:​Sabane Kan</v>
      </c>
      <c r="X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4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1423</v>
      </c>
      <c r="D52" s="23" t="s">
        <v>352</v>
      </c>
      <c r="E52" s="23" t="s">
        <v>353</v>
      </c>
      <c r="F52" s="2" t="s">
        <v>354</v>
      </c>
      <c r="G52" s="23" t="s">
        <v>355</v>
      </c>
      <c r="N52" s="1" t="s">
        <v>1443</v>
      </c>
      <c r="O52" s="24" t="str">
        <f>テーブル1[[#This Row],[リンク]]&amp;テーブル1[[#This Row],[描画状況]]</f>
        <v>https://tsukimiya0728.wixsite.com/silverbullet済</v>
      </c>
      <c r="P52" s="17">
        <f>1-(COUNTIF(O:O,_xlfn.TEXTJOIN(",",TRUE,テーブル1[[#This Row],[リンク]],テーブル1[[#This Row],[描画状況]]))/COUNTIF(F:F,テーブル1[[#This Row],[リンク]]))</f>
        <v>1</v>
      </c>
      <c r="Q52" s="16" t="str">
        <f ca="1">IFERROR(IF(テーブル1[[#This Row],[描画状況]]="",RAND()+(テーブル1[[#This Row],[列2]]*100),""),RAND())</f>
        <v/>
      </c>
      <c r="R52" s="1" t="s">
        <v>12</v>
      </c>
      <c r="S52" s="24" t="str">
        <f ca="1">IF(AND(テーブル1[[#This Row],[描画状況]]="済",テーブル1[[#This Row],[投稿状況]]=""),RAND(),"")</f>
        <v/>
      </c>
      <c r="T52" s="23" t="str">
        <f>"|&amp;image("&amp;テーブル1[[#This Row],[画像]]&amp;".png,width=100,height=100)"</f>
        <v>|&amp;image(jiura-kazagiri.png,width=100,height=100)</v>
      </c>
      <c r="U52" s="23" t="str">
        <f>"|MIDDLE:​"&amp;テーブル1[[#This Row],[名前]]</f>
        <v>|MIDDLE:​ジウラ・カザギリ</v>
      </c>
      <c r="V52" s="23" t="str">
        <f>"|MIDDLE:​"&amp;テーブル1[[#This Row],[なまえ]]</f>
        <v>|MIDDLE:​じうら かざぎり</v>
      </c>
      <c r="W52" s="23" t="str">
        <f>"|MIDDLE:​"&amp;テーブル1[[#This Row],[Name]]</f>
        <v>|MIDDLE:​Jiura Kazagiri</v>
      </c>
      <c r="X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4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1424</v>
      </c>
      <c r="D53" s="23" t="s">
        <v>245</v>
      </c>
      <c r="E53" s="23" t="s">
        <v>246</v>
      </c>
      <c r="F53" s="2" t="s">
        <v>241</v>
      </c>
      <c r="G53" s="23" t="s">
        <v>242</v>
      </c>
      <c r="N53" s="1" t="s">
        <v>1443</v>
      </c>
      <c r="O53" s="24" t="str">
        <f>テーブル1[[#This Row],[リンク]]&amp;テーブル1[[#This Row],[描画状況]]</f>
        <v>https://nichikuniku1129063.wixsite.com/website-3済</v>
      </c>
      <c r="P53" s="17">
        <f>1-(COUNTIF(O:O,_xlfn.TEXTJOIN(",",TRUE,テーブル1[[#This Row],[リンク]],テーブル1[[#This Row],[描画状況]]))/COUNTIF(F:F,テーブル1[[#This Row],[リンク]]))</f>
        <v>1</v>
      </c>
      <c r="Q53" s="16" t="str">
        <f ca="1">IFERROR(IF(テーブル1[[#This Row],[描画状況]]="",RAND()+(テーブル1[[#This Row],[列2]]*100),""),RAND())</f>
        <v/>
      </c>
      <c r="R53" s="1" t="s">
        <v>12</v>
      </c>
      <c r="S53" s="24" t="str">
        <f ca="1">IF(AND(テーブル1[[#This Row],[描画状況]]="済",テーブル1[[#This Row],[投稿状況]]=""),RAND(),"")</f>
        <v/>
      </c>
      <c r="T53" s="23" t="str">
        <f>"|&amp;image("&amp;テーブル1[[#This Row],[画像]]&amp;".png,width=100,height=100)"</f>
        <v>|&amp;image(shion.png,width=100,height=100)</v>
      </c>
      <c r="U53" s="23" t="str">
        <f>"|MIDDLE:​"&amp;テーブル1[[#This Row],[名前]]</f>
        <v>|MIDDLE:​シオン</v>
      </c>
      <c r="V53" s="23" t="str">
        <f>"|MIDDLE:​"&amp;テーブル1[[#This Row],[なまえ]]</f>
        <v>|MIDDLE:​しおん</v>
      </c>
      <c r="W53" s="23" t="str">
        <f>"|MIDDLE:​"&amp;テーブル1[[#This Row],[Name]]</f>
        <v>|MIDDLE:​Shion</v>
      </c>
      <c r="X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4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1425</v>
      </c>
      <c r="D54" s="23" t="s">
        <v>75</v>
      </c>
      <c r="E54" s="23" t="s">
        <v>76</v>
      </c>
      <c r="F54" s="15" t="s">
        <v>1628</v>
      </c>
      <c r="G54" s="23" t="s">
        <v>77</v>
      </c>
      <c r="M54" s="1" t="s">
        <v>1518</v>
      </c>
      <c r="N54" s="1" t="s">
        <v>1443</v>
      </c>
      <c r="O54" s="24" t="str">
        <f>テーブル1[[#This Row],[リンク]]&amp;テーブル1[[#This Row],[描画状況]]</f>
        <v>https://utau.kurotsuka.xyz済</v>
      </c>
      <c r="P54" s="17">
        <f>1-(COUNTIF(O:O,_xlfn.TEXTJOIN(",",TRUE,テーブル1[[#This Row],[リンク]],テーブル1[[#This Row],[描画状況]]))/COUNTIF(F:F,テーブル1[[#This Row],[リンク]]))</f>
        <v>1</v>
      </c>
      <c r="Q54" s="16" t="str">
        <f ca="1">IFERROR(IF(テーブル1[[#This Row],[描画状況]]="",RAND()+(テーブル1[[#This Row],[列2]]*100),""),RAND())</f>
        <v/>
      </c>
      <c r="R54" s="1" t="s">
        <v>12</v>
      </c>
      <c r="S54" s="24" t="str">
        <f ca="1">IF(AND(テーブル1[[#This Row],[描画状況]]="済",テーブル1[[#This Row],[投稿状況]]=""),RAND(),"")</f>
        <v/>
      </c>
      <c r="T54" s="23" t="str">
        <f>"|&amp;image("&amp;テーブル1[[#This Row],[画像]]&amp;".png,width=100,height=100)"</f>
        <v>|&amp;image(shion-miyo.png,width=100,height=100)</v>
      </c>
      <c r="U54" s="23" t="str">
        <f>"|MIDDLE:​"&amp;テーブル1[[#This Row],[名前]]</f>
        <v>|MIDDLE:​偲音ミヨ</v>
      </c>
      <c r="V54" s="23" t="str">
        <f>"|MIDDLE:​"&amp;テーブル1[[#This Row],[なまえ]]</f>
        <v>|MIDDLE:​しおん みよ</v>
      </c>
      <c r="W54" s="23" t="str">
        <f>"|MIDDLE:​"&amp;テーブル1[[#This Row],[Name]]</f>
        <v>|MIDDLE:​Shion Miyo</v>
      </c>
      <c r="X54" s="23" t="str">
        <f>"|MIDDLE:​&amp;link(配布所はこちら){​"&amp;テーブル1[[#This Row],[リンク]]&amp;"}|"</f>
        <v>|MIDDLE:​&amp;link(配布所はこちら){​https://utau.kurotsuka.xyz}|</v>
      </c>
    </row>
    <row r="55" spans="1:24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1426</v>
      </c>
      <c r="D55" s="23" t="s">
        <v>144</v>
      </c>
      <c r="E55" s="23" t="s">
        <v>145</v>
      </c>
      <c r="F55" s="2" t="s">
        <v>142</v>
      </c>
      <c r="G55" s="28" t="s">
        <v>143</v>
      </c>
      <c r="H55" s="28"/>
      <c r="I55" s="28"/>
      <c r="J55" s="28"/>
      <c r="K55" s="28"/>
      <c r="L55" s="28"/>
      <c r="M55" s="29"/>
      <c r="N55" s="1" t="s">
        <v>1443</v>
      </c>
      <c r="O55" s="24" t="str">
        <f>テーブル1[[#This Row],[リンク]]&amp;テーブル1[[#This Row],[描画状況]]</f>
        <v>https://kakokyu102krbs.wixsite.com/greenmilky済</v>
      </c>
      <c r="P55" s="17">
        <f>1-(COUNTIF(O:O,_xlfn.TEXTJOIN(",",TRUE,テーブル1[[#This Row],[リンク]],テーブル1[[#This Row],[描画状況]]))/COUNTIF(F:F,テーブル1[[#This Row],[リンク]]))</f>
        <v>1</v>
      </c>
      <c r="Q55" s="16" t="str">
        <f ca="1">IFERROR(IF(テーブル1[[#This Row],[描画状況]]="",RAND()+(テーブル1[[#This Row],[列2]]*100),""),RAND())</f>
        <v/>
      </c>
      <c r="R55" s="1" t="s">
        <v>12</v>
      </c>
      <c r="S55" s="24" t="str">
        <f ca="1">IF(AND(テーブル1[[#This Row],[描画状況]]="済",テーブル1[[#This Row],[投稿状況]]=""),RAND(),"")</f>
        <v/>
      </c>
      <c r="T55" s="23" t="str">
        <f>"|&amp;image("&amp;テーブル1[[#This Row],[画像]]&amp;".png,width=100,height=100)"</f>
        <v>|&amp;image(shidei.png,width=100,height=100)</v>
      </c>
      <c r="U55" s="23" t="str">
        <f>"|MIDDLE:​"&amp;テーブル1[[#This Row],[名前]]</f>
        <v>|MIDDLE:​屍泥飴</v>
      </c>
      <c r="V55" s="23" t="str">
        <f>"|MIDDLE:​"&amp;テーブル1[[#This Row],[なまえ]]</f>
        <v>|MIDDLE:​しでい</v>
      </c>
      <c r="W55" s="23" t="str">
        <f>"|MIDDLE:​"&amp;テーブル1[[#This Row],[Name]]</f>
        <v>|MIDDLE:​Shidei</v>
      </c>
      <c r="X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4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1427</v>
      </c>
      <c r="D56" s="23" t="s">
        <v>308</v>
      </c>
      <c r="E56" s="23" t="s">
        <v>309</v>
      </c>
      <c r="F56" s="2" t="s">
        <v>310</v>
      </c>
      <c r="G56" s="23" t="s">
        <v>311</v>
      </c>
      <c r="N56" s="1" t="s">
        <v>1443</v>
      </c>
      <c r="O56" s="24" t="str">
        <f>テーブル1[[#This Row],[リンク]]&amp;テーブル1[[#This Row],[描画状況]]</f>
        <v>https://shinri517.wixsite.com/shinri0517済</v>
      </c>
      <c r="P56" s="17">
        <f>1-(COUNTIF(O:O,_xlfn.TEXTJOIN(",",TRUE,テーブル1[[#This Row],[リンク]],テーブル1[[#This Row],[描画状況]]))/COUNTIF(F:F,テーブル1[[#This Row],[リンク]]))</f>
        <v>1</v>
      </c>
      <c r="Q56" s="16" t="str">
        <f ca="1">IFERROR(IF(テーブル1[[#This Row],[描画状況]]="",RAND()+(テーブル1[[#This Row],[列2]]*100),""),RAND())</f>
        <v/>
      </c>
      <c r="R56" s="1" t="s">
        <v>12</v>
      </c>
      <c r="S56" s="24" t="str">
        <f ca="1">IF(AND(テーブル1[[#This Row],[描画状況]]="済",テーブル1[[#This Row],[投稿状況]]=""),RAND(),"")</f>
        <v/>
      </c>
      <c r="T56" s="23" t="str">
        <f>"|&amp;image("&amp;テーブル1[[#This Row],[画像]]&amp;".png,width=100,height=100)"</f>
        <v>|&amp;image(shinri.png,width=100,height=100)</v>
      </c>
      <c r="U56" s="23" t="str">
        <f>"|MIDDLE:​"&amp;テーブル1[[#This Row],[名前]]</f>
        <v>|MIDDLE:​心理</v>
      </c>
      <c r="V56" s="23" t="str">
        <f>"|MIDDLE:​"&amp;テーブル1[[#This Row],[なまえ]]</f>
        <v>|MIDDLE:​しんり</v>
      </c>
      <c r="W56" s="23" t="str">
        <f>"|MIDDLE:​"&amp;テーブル1[[#This Row],[Name]]</f>
        <v>|MIDDLE:​Shinri</v>
      </c>
      <c r="X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4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209</v>
      </c>
      <c r="D57" s="23" t="s">
        <v>209</v>
      </c>
      <c r="E57" s="23" t="s">
        <v>210</v>
      </c>
      <c r="F57" s="2" t="s">
        <v>211</v>
      </c>
      <c r="G57" s="23" t="s">
        <v>212</v>
      </c>
      <c r="N57" s="1" t="s">
        <v>1443</v>
      </c>
      <c r="O57" s="24" t="str">
        <f>テーブル1[[#This Row],[リンク]]&amp;テーブル1[[#This Row],[描画状況]]</f>
        <v>https://minazukiringo.wixsite.com/amatsubu済</v>
      </c>
      <c r="P57" s="17">
        <f>1-(COUNTIF(O:O,_xlfn.TEXTJOIN(",",TRUE,テーブル1[[#This Row],[リンク]],テーブル1[[#This Row],[描画状況]]))/COUNTIF(F:F,テーブル1[[#This Row],[リンク]]))</f>
        <v>1</v>
      </c>
      <c r="Q57" s="16" t="str">
        <f ca="1">IFERROR(IF(テーブル1[[#This Row],[描画状況]]="",RAND()+(テーブル1[[#This Row],[列2]]*100),""),RAND())</f>
        <v/>
      </c>
      <c r="R57" s="1" t="s">
        <v>12</v>
      </c>
      <c r="S57" s="24" t="str">
        <f ca="1">IF(AND(テーブル1[[#This Row],[描画状況]]="済",テーブル1[[#This Row],[投稿状況]]=""),RAND(),"")</f>
        <v/>
      </c>
      <c r="T57" s="23" t="str">
        <f>"|&amp;image("&amp;テーブル1[[#This Row],[画像]]&amp;".png,width=100,height=100)"</f>
        <v>|&amp;image(sui.png,width=100,height=100)</v>
      </c>
      <c r="U57" s="23" t="str">
        <f>"|MIDDLE:​"&amp;テーブル1[[#This Row],[名前]]</f>
        <v>|MIDDLE:​すい</v>
      </c>
      <c r="V57" s="23" t="str">
        <f>"|MIDDLE:​"&amp;テーブル1[[#This Row],[なまえ]]</f>
        <v>|MIDDLE:​すい</v>
      </c>
      <c r="W57" s="23" t="str">
        <f>"|MIDDLE:​"&amp;テーブル1[[#This Row],[Name]]</f>
        <v>|MIDDLE:​Sui</v>
      </c>
      <c r="X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4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1428</v>
      </c>
      <c r="D58" s="23" t="s">
        <v>52</v>
      </c>
      <c r="E58" s="23" t="s">
        <v>53</v>
      </c>
      <c r="F58" s="2" t="s">
        <v>54</v>
      </c>
      <c r="G58" s="23" t="s">
        <v>55</v>
      </c>
      <c r="M58" s="1" t="s">
        <v>1518</v>
      </c>
      <c r="N58" s="1" t="s">
        <v>1443</v>
      </c>
      <c r="O58" s="24" t="str">
        <f>テーブル1[[#This Row],[リンク]]&amp;テーブル1[[#This Row],[描画状況]]</f>
        <v>https://bellsworks.wixsite.com/bellsworks済</v>
      </c>
      <c r="P58" s="17">
        <f>1-(COUNTIF(O:O,_xlfn.TEXTJOIN(",",TRUE,テーブル1[[#This Row],[リンク]],テーブル1[[#This Row],[描画状況]]))/COUNTIF(F:F,テーブル1[[#This Row],[リンク]]))</f>
        <v>1</v>
      </c>
      <c r="Q58" s="16" t="str">
        <f ca="1">IFERROR(IF(テーブル1[[#This Row],[描画状況]]="",RAND()+(テーブル1[[#This Row],[列2]]*100),""),RAND())</f>
        <v/>
      </c>
      <c r="R58" s="1" t="s">
        <v>12</v>
      </c>
      <c r="S58" s="24" t="str">
        <f ca="1">IF(AND(テーブル1[[#This Row],[描画状況]]="済",テーブル1[[#This Row],[投稿状況]]=""),RAND(),"")</f>
        <v/>
      </c>
      <c r="T58" s="23" t="str">
        <f>"|&amp;image("&amp;テーブル1[[#This Row],[画像]]&amp;".png,width=100,height=100)"</f>
        <v>|&amp;image(suzuno-suzu.png,width=100,height=100)</v>
      </c>
      <c r="U58" s="23" t="str">
        <f>"|MIDDLE:​"&amp;テーブル1[[#This Row],[名前]]</f>
        <v>|MIDDLE:​鈴音スズ</v>
      </c>
      <c r="V58" s="23" t="str">
        <f>"|MIDDLE:​"&amp;テーブル1[[#This Row],[なまえ]]</f>
        <v>|MIDDLE:​すずの すず</v>
      </c>
      <c r="W58" s="23" t="str">
        <f>"|MIDDLE:​"&amp;テーブル1[[#This Row],[Name]]</f>
        <v>|MIDDLE:​Suzuno Suzu</v>
      </c>
      <c r="X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4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1429</v>
      </c>
      <c r="D59" s="23" t="s">
        <v>56</v>
      </c>
      <c r="E59" s="23" t="s">
        <v>57</v>
      </c>
      <c r="F59" s="2" t="s">
        <v>54</v>
      </c>
      <c r="G59" s="23" t="s">
        <v>55</v>
      </c>
      <c r="M59" s="1" t="s">
        <v>1518</v>
      </c>
      <c r="N59" s="1" t="s">
        <v>1443</v>
      </c>
      <c r="O59" s="24" t="str">
        <f>テーブル1[[#This Row],[リンク]]&amp;テーブル1[[#This Row],[描画状況]]</f>
        <v>https://bellsworks.wixsite.com/bellsworks済</v>
      </c>
      <c r="P59" s="17">
        <f>1-(COUNTIF(O:O,_xlfn.TEXTJOIN(",",TRUE,テーブル1[[#This Row],[リンク]],テーブル1[[#This Row],[描画状況]]))/COUNTIF(F:F,テーブル1[[#This Row],[リンク]]))</f>
        <v>1</v>
      </c>
      <c r="Q59" s="16" t="str">
        <f ca="1">IFERROR(IF(テーブル1[[#This Row],[描画状況]]="",RAND()+(テーブル1[[#This Row],[列2]]*100),""),RAND())</f>
        <v/>
      </c>
      <c r="R59" s="1" t="s">
        <v>12</v>
      </c>
      <c r="S59" s="24" t="str">
        <f ca="1">IF(AND(テーブル1[[#This Row],[描画状況]]="済",テーブル1[[#This Row],[投稿状況]]=""),RAND(),"")</f>
        <v/>
      </c>
      <c r="T59" s="23" t="str">
        <f>"|&amp;image("&amp;テーブル1[[#This Row],[画像]]&amp;".png,width=100,height=100)"</f>
        <v>|&amp;image(suzuno-mion.png,width=100,height=100)</v>
      </c>
      <c r="U59" s="23" t="str">
        <f>"|MIDDLE:​"&amp;テーブル1[[#This Row],[名前]]</f>
        <v>|MIDDLE:​鈴音ミオン</v>
      </c>
      <c r="V59" s="23" t="str">
        <f>"|MIDDLE:​"&amp;テーブル1[[#This Row],[なまえ]]</f>
        <v>|MIDDLE:​すずの みおん</v>
      </c>
      <c r="W59" s="23" t="str">
        <f>"|MIDDLE:​"&amp;テーブル1[[#This Row],[Name]]</f>
        <v>|MIDDLE:​Suzuno Mion</v>
      </c>
      <c r="X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4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274</v>
      </c>
      <c r="D60" s="23" t="s">
        <v>275</v>
      </c>
      <c r="E60" s="23" t="s">
        <v>276</v>
      </c>
      <c r="F60" s="2" t="s">
        <v>277</v>
      </c>
      <c r="G60" s="23" t="s">
        <v>278</v>
      </c>
      <c r="N60" s="1" t="s">
        <v>1443</v>
      </c>
      <c r="O60" s="24" t="str">
        <f>テーブル1[[#This Row],[リンク]]&amp;テーブル1[[#This Row],[描画状況]]</f>
        <v>https://offlamingo21.wixsite.com/amato-seiun済</v>
      </c>
      <c r="P60" s="17">
        <f>1-(COUNTIF(O:O,_xlfn.TEXTJOIN(",",TRUE,テーブル1[[#This Row],[リンク]],テーブル1[[#This Row],[描画状況]]))/COUNTIF(F:F,テーブル1[[#This Row],[リンク]]))</f>
        <v>1</v>
      </c>
      <c r="Q60" s="16" t="str">
        <f ca="1">IFERROR(IF(テーブル1[[#This Row],[描画状況]]="",RAND()+(テーブル1[[#This Row],[列2]]*100),""),RAND())</f>
        <v/>
      </c>
      <c r="R60" s="1" t="s">
        <v>12</v>
      </c>
      <c r="S60" s="24" t="str">
        <f ca="1">IF(AND(テーブル1[[#This Row],[描画状況]]="済",テーブル1[[#This Row],[投稿状況]]=""),RAND(),"")</f>
        <v/>
      </c>
      <c r="T60" s="23" t="str">
        <f>"|&amp;image("&amp;テーブル1[[#This Row],[画像]]&amp;".png,width=100,height=100)"</f>
        <v>|&amp;image(seiun-amato.png,width=100,height=100)</v>
      </c>
      <c r="U60" s="23" t="str">
        <f>"|MIDDLE:​"&amp;テーブル1[[#This Row],[名前]]</f>
        <v>|MIDDLE:​星雲アマト</v>
      </c>
      <c r="V60" s="23" t="str">
        <f>"|MIDDLE:​"&amp;テーブル1[[#This Row],[なまえ]]</f>
        <v>|MIDDLE:​せいうん あまと</v>
      </c>
      <c r="W60" s="23" t="str">
        <f>"|MIDDLE:​"&amp;テーブル1[[#This Row],[Name]]</f>
        <v>|MIDDLE:​Seiun Amato</v>
      </c>
      <c r="X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4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M61" s="1" t="s">
        <v>1518</v>
      </c>
      <c r="N61" s="1" t="s">
        <v>1443</v>
      </c>
      <c r="O61" s="24" t="str">
        <f>テーブル1[[#This Row],[リンク]]&amp;テーブル1[[#This Row],[描画状況]]</f>
        <v>http://park2.wakwak.com/~mbox/vo/hk/hkfre.htm済</v>
      </c>
      <c r="P61" s="17">
        <f>1-(COUNTIF(O:O,_xlfn.TEXTJOIN(",",TRUE,テーブル1[[#This Row],[リンク]],テーブル1[[#This Row],[描画状況]]))/COUNTIF(F:F,テーブル1[[#This Row],[リンク]]))</f>
        <v>1</v>
      </c>
      <c r="Q61" s="16" t="str">
        <f ca="1">IFERROR(IF(テーブル1[[#This Row],[描画状況]]="",RAND()+(テーブル1[[#This Row],[列2]]*100),""),RAND())</f>
        <v/>
      </c>
      <c r="R61" s="1" t="s">
        <v>12</v>
      </c>
      <c r="S61" s="24" t="str">
        <f ca="1">IF(AND(テーブル1[[#This Row],[描画状況]]="済",テーブル1[[#This Row],[投稿状況]]=""),RAND(),"")</f>
        <v/>
      </c>
      <c r="T61" s="23" t="str">
        <f>"|&amp;image("&amp;テーブル1[[#This Row],[画像]]&amp;".png,width=100,height=100)"</f>
        <v>|&amp;image(sennomiya-sirou.png,width=100,height=100)</v>
      </c>
      <c r="U61" s="23" t="str">
        <f>"|MIDDLE:​"&amp;テーブル1[[#This Row],[名前]]</f>
        <v>|MIDDLE:​仟乃宮紫狼</v>
      </c>
      <c r="V61" s="23" t="str">
        <f>"|MIDDLE:​"&amp;テーブル1[[#This Row],[なまえ]]</f>
        <v>|MIDDLE:​せんのみや しろう</v>
      </c>
      <c r="W61" s="23" t="str">
        <f>"|MIDDLE:​"&amp;テーブル1[[#This Row],[Name]]</f>
        <v>|MIDDLE:​Sennomiya Sirou</v>
      </c>
      <c r="X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4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1476</v>
      </c>
      <c r="D62" s="23" t="s">
        <v>279</v>
      </c>
      <c r="E62" s="23" t="s">
        <v>1477</v>
      </c>
      <c r="F62" s="2" t="s">
        <v>280</v>
      </c>
      <c r="G62" s="23" t="s">
        <v>281</v>
      </c>
      <c r="N62" s="1" t="s">
        <v>1443</v>
      </c>
      <c r="O62" s="24" t="str">
        <f>テーブル1[[#This Row],[リンク]]&amp;テーブル1[[#This Row],[描画状況]]</f>
        <v>https://rinnneuta.wixsite.com/my-site-2?s=09済</v>
      </c>
      <c r="P62" s="17">
        <f>1-(COUNTIF(O:O,_xlfn.TEXTJOIN(",",TRUE,テーブル1[[#This Row],[リンク]],テーブル1[[#This Row],[描画状況]]))/COUNTIF(F:F,テーブル1[[#This Row],[リンク]]))</f>
        <v>1</v>
      </c>
      <c r="Q62" s="16" t="str">
        <f ca="1">IFERROR(IF(テーブル1[[#This Row],[描画状況]]="",RAND()+(テーブル1[[#This Row],[列2]]*100),""),RAND())</f>
        <v/>
      </c>
      <c r="R62" s="1" t="s">
        <v>12</v>
      </c>
      <c r="S62" s="24" t="str">
        <f ca="1">IF(AND(テーブル1[[#This Row],[描画状況]]="済",テーブル1[[#This Row],[投稿状況]]=""),RAND(),"")</f>
        <v/>
      </c>
      <c r="T62" s="23" t="str">
        <f>"|&amp;image("&amp;テーブル1[[#This Row],[画像]]&amp;".png,width=100,height=100)"</f>
        <v>|&amp;image(sorane-nanashi.png,width=100,height=100)</v>
      </c>
      <c r="U62" s="23" t="str">
        <f>"|MIDDLE:​"&amp;テーブル1[[#This Row],[名前]]</f>
        <v>|MIDDLE:​​星音ななし</v>
      </c>
      <c r="V62" s="23" t="str">
        <f>"|MIDDLE:​"&amp;テーブル1[[#This Row],[なまえ]]</f>
        <v>|MIDDLE:​そらね ななし</v>
      </c>
      <c r="W62" s="23" t="str">
        <f>"|MIDDLE:​"&amp;テーブル1[[#This Row],[Name]]</f>
        <v>|MIDDLE:​Sorane Nanashi</v>
      </c>
      <c r="X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4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1273</v>
      </c>
      <c r="D63" s="23" t="s">
        <v>175</v>
      </c>
      <c r="E63" s="23" t="s">
        <v>176</v>
      </c>
      <c r="F63" s="15" t="s">
        <v>177</v>
      </c>
      <c r="G63" s="23" t="s">
        <v>178</v>
      </c>
      <c r="N63" s="1" t="s">
        <v>1443</v>
      </c>
      <c r="O63" s="24" t="str">
        <f>テーブル1[[#This Row],[リンク]]&amp;テーブル1[[#This Row],[描画状況]]</f>
        <v>https://lenskkpb.wixsite.com/len-sakaki-official済</v>
      </c>
      <c r="P63" s="17">
        <f>1-(COUNTIF(O:O,_xlfn.TEXTJOIN(",",TRUE,テーブル1[[#This Row],[リンク]],テーブル1[[#This Row],[描画状況]]))/COUNTIF(F:F,テーブル1[[#This Row],[リンク]]))</f>
        <v>1</v>
      </c>
      <c r="Q63" s="16" t="str">
        <f ca="1">IFERROR(IF(テーブル1[[#This Row],[描画状況]]="",RAND()+(テーブル1[[#This Row],[列2]]*100),""),RAND())</f>
        <v/>
      </c>
      <c r="R63" s="1" t="s">
        <v>12</v>
      </c>
      <c r="S63" s="24" t="str">
        <f ca="1">IF(AND(テーブル1[[#This Row],[描画状況]]="済",テーブル1[[#This Row],[投稿状況]]=""),RAND(),"")</f>
        <v/>
      </c>
      <c r="T63" s="23" t="str">
        <f>"|&amp;image("&amp;テーブル1[[#This Row],[画像]]&amp;".png,width=100,height=100)"</f>
        <v>|&amp;image(chimori-hakaze.png,width=100,height=100)</v>
      </c>
      <c r="U63" s="23" t="str">
        <f>"|MIDDLE:​"&amp;テーブル1[[#This Row],[名前]]</f>
        <v>|MIDDLE:​​地守葉風</v>
      </c>
      <c r="V63" s="23" t="str">
        <f>"|MIDDLE:​"&amp;テーブル1[[#This Row],[なまえ]]</f>
        <v>|MIDDLE:​ちもり はかぜ</v>
      </c>
      <c r="W63" s="23" t="str">
        <f>"|MIDDLE:​"&amp;テーブル1[[#This Row],[Name]]</f>
        <v>|MIDDLE:​Chimori Hakaze</v>
      </c>
      <c r="X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4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1478</v>
      </c>
      <c r="D64" s="23" t="s">
        <v>81</v>
      </c>
      <c r="E64" s="23" t="s">
        <v>82</v>
      </c>
      <c r="F64" s="26" t="s">
        <v>83</v>
      </c>
      <c r="G64" s="23" t="s">
        <v>84</v>
      </c>
      <c r="M64" s="1" t="s">
        <v>1517</v>
      </c>
      <c r="N64" s="1" t="s">
        <v>1443</v>
      </c>
      <c r="O64" s="24" t="str">
        <f>テーブル1[[#This Row],[リンク]]&amp;テーブル1[[#This Row],[描画状況]]</f>
        <v>https://chaka000.wixsite.com/chaka済</v>
      </c>
      <c r="P64" s="17">
        <f>1-(COUNTIF(O:O,_xlfn.TEXTJOIN(",",TRUE,テーブル1[[#This Row],[リンク]],テーブル1[[#This Row],[描画状況]]))/COUNTIF(F:F,テーブル1[[#This Row],[リンク]]))</f>
        <v>1</v>
      </c>
      <c r="Q64" s="16" t="str">
        <f ca="1">IFERROR(IF(テーブル1[[#This Row],[描画状況]]="",RAND()+(テーブル1[[#This Row],[列2]]*100),""),RAND())</f>
        <v/>
      </c>
      <c r="R64" s="1" t="s">
        <v>12</v>
      </c>
      <c r="S64" s="24" t="str">
        <f ca="1">IF(AND(テーブル1[[#This Row],[描画状況]]="済",テーブル1[[#This Row],[投稿状況]]=""),RAND(),"")</f>
        <v/>
      </c>
      <c r="T64" s="23" t="str">
        <f>"|&amp;image("&amp;テーブル1[[#This Row],[画像]]&amp;".png,width=100,height=100)"</f>
        <v>|&amp;image(chaka-nari.png,width=100,height=100)</v>
      </c>
      <c r="U64" s="23" t="str">
        <f>"|MIDDLE:​"&amp;テーブル1[[#This Row],[名前]]</f>
        <v>|MIDDLE:​茶歌成</v>
      </c>
      <c r="V64" s="23" t="str">
        <f>"|MIDDLE:​"&amp;テーブル1[[#This Row],[なまえ]]</f>
        <v>|MIDDLE:​ちゃか なり</v>
      </c>
      <c r="W64" s="23" t="str">
        <f>"|MIDDLE:​"&amp;テーブル1[[#This Row],[Name]]</f>
        <v>|MIDDLE:​Chaka Nari</v>
      </c>
      <c r="X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4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1479</v>
      </c>
      <c r="D65" s="23" t="s">
        <v>117</v>
      </c>
      <c r="E65" s="23" t="s">
        <v>118</v>
      </c>
      <c r="F65" s="2" t="s">
        <v>115</v>
      </c>
      <c r="G65" s="23" t="s">
        <v>116</v>
      </c>
      <c r="H65" s="23" t="s">
        <v>1627</v>
      </c>
      <c r="I65" s="23" t="s">
        <v>1654</v>
      </c>
      <c r="K65" s="23" t="s">
        <v>1700</v>
      </c>
      <c r="M65" s="1" t="s">
        <v>1517</v>
      </c>
      <c r="N65" s="1" t="s">
        <v>1443</v>
      </c>
      <c r="O65" s="24" t="str">
        <f>テーブル1[[#This Row],[リンク]]&amp;テーブル1[[#This Row],[描画状況]]</f>
        <v>https://ichistart.wixsite.com/official/respiaker済</v>
      </c>
      <c r="P65" s="17">
        <f>1-(COUNTIF(O:O,_xlfn.TEXTJOIN(",",TRUE,テーブル1[[#This Row],[リンク]],テーブル1[[#This Row],[描画状況]]))/COUNTIF(F:F,テーブル1[[#This Row],[リンク]]))</f>
        <v>1</v>
      </c>
      <c r="Q65" s="16" t="str">
        <f ca="1">IFERROR(IF(テーブル1[[#This Row],[描画状況]]="",RAND()+(テーブル1[[#This Row],[列2]]*100),""),RAND())</f>
        <v/>
      </c>
      <c r="R65" s="1" t="s">
        <v>12</v>
      </c>
      <c r="S65" s="24" t="str">
        <f ca="1">IF(AND(テーブル1[[#This Row],[描画状況]]="済",テーブル1[[#This Row],[投稿状況]]=""),RAND(),"")</f>
        <v/>
      </c>
      <c r="T65" s="23" t="str">
        <f>"|&amp;image("&amp;テーブル1[[#This Row],[画像]]&amp;".png,width=100,height=100)"</f>
        <v>|&amp;image(chankonabe.png,width=100,height=100)</v>
      </c>
      <c r="U65" s="23" t="str">
        <f>"|MIDDLE:​"&amp;テーブル1[[#This Row],[名前]]</f>
        <v>|MIDDLE:​ちゃんこ鍋</v>
      </c>
      <c r="V65" s="23" t="str">
        <f>"|MIDDLE:​"&amp;テーブル1[[#This Row],[なまえ]]</f>
        <v>|MIDDLE:​ちゃんこなべ</v>
      </c>
      <c r="W65" s="23" t="str">
        <f>"|MIDDLE:​"&amp;テーブル1[[#This Row],[Name]]</f>
        <v>|MIDDLE:​Chankonabe</v>
      </c>
      <c r="X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4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1480</v>
      </c>
      <c r="D66" s="23" t="s">
        <v>89</v>
      </c>
      <c r="E66" s="23" t="s">
        <v>90</v>
      </c>
      <c r="F66" s="27" t="s">
        <v>87</v>
      </c>
      <c r="G66" s="23" t="s">
        <v>88</v>
      </c>
      <c r="M66" s="1" t="s">
        <v>1518</v>
      </c>
      <c r="N66" s="1" t="s">
        <v>1443</v>
      </c>
      <c r="O66" s="24" t="str">
        <f>テーブル1[[#This Row],[リンク]]&amp;テーブル1[[#This Row],[描画状況]]</f>
        <v>https://chunyinhui021.wixsite.com/mutyuusaisei済</v>
      </c>
      <c r="P66" s="17">
        <f>1-(COUNTIF(O:O,_xlfn.TEXTJOIN(",",TRUE,テーブル1[[#This Row],[リンク]],テーブル1[[#This Row],[描画状況]]))/COUNTIF(F:F,テーブル1[[#This Row],[リンク]]))</f>
        <v>1</v>
      </c>
      <c r="Q66" s="16" t="str">
        <f ca="1">IFERROR(IF(テーブル1[[#This Row],[描画状況]]="",RAND()+(テーブル1[[#This Row],[列2]]*100),""),RAND())</f>
        <v/>
      </c>
      <c r="R66" s="1" t="s">
        <v>12</v>
      </c>
      <c r="S66" s="24" t="str">
        <f ca="1">IF(AND(テーブル1[[#This Row],[描画状況]]="済",テーブル1[[#This Row],[投稿状況]]=""),RAND(),"")</f>
        <v/>
      </c>
      <c r="T66" s="23" t="str">
        <f>"|&amp;image("&amp;テーブル1[[#This Row],[画像]]&amp;".png,width=100,height=100)"</f>
        <v>|&amp;image(chunne-haiki.png,width=100,height=100)</v>
      </c>
      <c r="U66" s="23" t="str">
        <f>"|MIDDLE:​"&amp;テーブル1[[#This Row],[名前]]</f>
        <v>|MIDDLE:​椿音灰鬼</v>
      </c>
      <c r="V66" s="23" t="str">
        <f>"|MIDDLE:​"&amp;テーブル1[[#This Row],[なまえ]]</f>
        <v>|MIDDLE:​ちゅんね はいき</v>
      </c>
      <c r="W66" s="23" t="str">
        <f>"|MIDDLE:​"&amp;テーブル1[[#This Row],[Name]]</f>
        <v>|MIDDLE:​Chunne Haiki</v>
      </c>
      <c r="X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4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1481</v>
      </c>
      <c r="D67" s="23" t="s">
        <v>404</v>
      </c>
      <c r="E67" s="23" t="s">
        <v>1482</v>
      </c>
      <c r="F67" s="2" t="s">
        <v>405</v>
      </c>
      <c r="G67" s="23" t="s">
        <v>406</v>
      </c>
      <c r="N67" s="1" t="s">
        <v>1443</v>
      </c>
      <c r="O67" s="24" t="str">
        <f>テーブル1[[#This Row],[リンク]]&amp;テーブル1[[#This Row],[描画状況]]</f>
        <v>https://yukiichik.wixsite.com/kokofool/utau済</v>
      </c>
      <c r="P67" s="17">
        <f>1-(COUNTIF(O:O,_xlfn.TEXTJOIN(",",TRUE,テーブル1[[#This Row],[リンク]],テーブル1[[#This Row],[描画状況]]))/COUNTIF(F:F,テーブル1[[#This Row],[リンク]]))</f>
        <v>1</v>
      </c>
      <c r="Q67" s="16" t="str">
        <f ca="1">IFERROR(IF(テーブル1[[#This Row],[描画状況]]="",RAND()+(テーブル1[[#This Row],[列2]]*100),""),RAND())</f>
        <v/>
      </c>
      <c r="R67" s="1" t="s">
        <v>12</v>
      </c>
      <c r="S67" s="24" t="str">
        <f ca="1">IF(AND(テーブル1[[#This Row],[描画状況]]="済",テーブル1[[#This Row],[投稿状況]]=""),RAND(),"")</f>
        <v/>
      </c>
      <c r="T67" s="23" t="str">
        <f>"|&amp;image("&amp;テーブル1[[#This Row],[画像]]&amp;".png,width=100,height=100)"</f>
        <v>|&amp;image(tsukumo-ichioto.png,width=100,height=100)</v>
      </c>
      <c r="U67" s="23" t="str">
        <f>"|MIDDLE:​"&amp;テーブル1[[#This Row],[名前]]</f>
        <v>|MIDDLE:​九十九一音​</v>
      </c>
      <c r="V67" s="23" t="str">
        <f>"|MIDDLE:​"&amp;テーブル1[[#This Row],[なまえ]]</f>
        <v>|MIDDLE:​つくも いちおと</v>
      </c>
      <c r="W67" s="23" t="str">
        <f>"|MIDDLE:​"&amp;テーブル1[[#This Row],[Name]]</f>
        <v>|MIDDLE:​Tsukumo Ichioto</v>
      </c>
      <c r="X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4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1483</v>
      </c>
      <c r="D68" s="23" t="s">
        <v>228</v>
      </c>
      <c r="E68" s="23" t="s">
        <v>229</v>
      </c>
      <c r="F68" s="2" t="s">
        <v>226</v>
      </c>
      <c r="G68" s="23" t="s">
        <v>227</v>
      </c>
      <c r="N68" s="1" t="s">
        <v>1443</v>
      </c>
      <c r="O68" s="24" t="str">
        <f>テーブル1[[#This Row],[リンク]]&amp;テーブル1[[#This Row],[描画状況]]</f>
        <v>https://nananasyrup.wixsite.com/13kka済</v>
      </c>
      <c r="P68" s="17">
        <f>1-(COUNTIF(O:O,_xlfn.TEXTJOIN(",",TRUE,テーブル1[[#This Row],[リンク]],テーブル1[[#This Row],[描画状況]]))/COUNTIF(F:F,テーブル1[[#This Row],[リンク]]))</f>
        <v>1</v>
      </c>
      <c r="Q68" s="16" t="str">
        <f ca="1">IFERROR(IF(テーブル1[[#This Row],[描画状況]]="",RAND()+(テーブル1[[#This Row],[列2]]*100),""),RAND())</f>
        <v/>
      </c>
      <c r="R68" s="1" t="s">
        <v>12</v>
      </c>
      <c r="S68" s="24" t="str">
        <f ca="1">IF(AND(テーブル1[[#This Row],[描画状況]]="済",テーブル1[[#This Row],[投稿状況]]=""),RAND(),"")</f>
        <v/>
      </c>
      <c r="T68" s="23" t="str">
        <f>"|&amp;image("&amp;テーブル1[[#This Row],[画像]]&amp;".png,width=100,height=100)"</f>
        <v>|&amp;image(tsukurine-mika.png,width=100,height=100)</v>
      </c>
      <c r="U68" s="23" t="str">
        <f>"|MIDDLE:​"&amp;テーブル1[[#This Row],[名前]]</f>
        <v>|MIDDLE:​創音みか</v>
      </c>
      <c r="V68" s="23" t="str">
        <f>"|MIDDLE:​"&amp;テーブル1[[#This Row],[なまえ]]</f>
        <v>|MIDDLE:​つくりね みか</v>
      </c>
      <c r="W68" s="23" t="str">
        <f>"|MIDDLE:​"&amp;テーブル1[[#This Row],[Name]]</f>
        <v>|MIDDLE:​Tsukurine Mika</v>
      </c>
      <c r="X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4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M69" s="1" t="s">
        <v>1518</v>
      </c>
      <c r="N69" s="1" t="s">
        <v>1443</v>
      </c>
      <c r="O69" s="24" t="str">
        <f>テーブル1[[#This Row],[リンク]]&amp;テーブル1[[#This Row],[描画状況]]</f>
        <v>https://bellsworks.wixsite.com/bellsworks済</v>
      </c>
      <c r="P69" s="17">
        <f>1-(COUNTIF(O:O,_xlfn.TEXTJOIN(",",TRUE,テーブル1[[#This Row],[リンク]],テーブル1[[#This Row],[描画状況]]))/COUNTIF(F:F,テーブル1[[#This Row],[リンク]]))</f>
        <v>1</v>
      </c>
      <c r="Q69" s="16" t="str">
        <f ca="1">IFERROR(IF(テーブル1[[#This Row],[描画状況]]="",RAND()+(テーブル1[[#This Row],[列2]]*100),""),RAND())</f>
        <v/>
      </c>
      <c r="R69" s="1" t="s">
        <v>12</v>
      </c>
      <c r="S69" s="24" t="str">
        <f ca="1">IF(AND(テーブル1[[#This Row],[描画状況]]="済",テーブル1[[#This Row],[投稿状況]]=""),RAND(),"")</f>
        <v/>
      </c>
      <c r="T69" s="23" t="str">
        <f>"|&amp;image("&amp;テーブル1[[#This Row],[画像]]&amp;".png,width=100,height=100)"</f>
        <v>|&amp;image(tsurune-sutera.png,width=100,height=100)</v>
      </c>
      <c r="U69" s="23" t="str">
        <f>"|MIDDLE:​"&amp;テーブル1[[#This Row],[名前]]</f>
        <v>|MIDDLE:​​弦音ステラ</v>
      </c>
      <c r="V69" s="23" t="str">
        <f>"|MIDDLE:​"&amp;テーブル1[[#This Row],[なまえ]]</f>
        <v>|MIDDLE:​つるね すてら</v>
      </c>
      <c r="W69" s="23" t="str">
        <f>"|MIDDLE:​"&amp;テーブル1[[#This Row],[Name]]</f>
        <v>|MIDDLE:​Tsurune Sutera</v>
      </c>
      <c r="X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4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1484</v>
      </c>
      <c r="D70" s="23" t="s">
        <v>392</v>
      </c>
      <c r="E70" s="23" t="s">
        <v>393</v>
      </c>
      <c r="F70" s="2" t="s">
        <v>390</v>
      </c>
      <c r="G70" s="23" t="s">
        <v>391</v>
      </c>
      <c r="N70" s="1" t="s">
        <v>1443</v>
      </c>
      <c r="O70" s="24" t="str">
        <f>テーブル1[[#This Row],[リンク]]&amp;テーブル1[[#This Row],[描画状況]]</f>
        <v>https://witchdoll.jimdofree.com済</v>
      </c>
      <c r="P70" s="17">
        <f>1-(COUNTIF(O:O,_xlfn.TEXTJOIN(",",TRUE,テーブル1[[#This Row],[リンク]],テーブル1[[#This Row],[描画状況]]))/COUNTIF(F:F,テーブル1[[#This Row],[リンク]]))</f>
        <v>1</v>
      </c>
      <c r="Q70" s="16" t="str">
        <f ca="1">IFERROR(IF(テーブル1[[#This Row],[描画状況]]="",RAND()+(テーブル1[[#This Row],[列2]]*100),""),RAND())</f>
        <v/>
      </c>
      <c r="R70" s="1" t="s">
        <v>12</v>
      </c>
      <c r="S70" s="24" t="str">
        <f ca="1">IF(AND(テーブル1[[#This Row],[描画状況]]="済",テーブル1[[#This Row],[投稿状況]]=""),RAND(),"")</f>
        <v/>
      </c>
      <c r="T70" s="23" t="str">
        <f>"|&amp;image("&amp;テーブル1[[#This Row],[画像]]&amp;".png,width=100,height=100)"</f>
        <v>|&amp;image(terado-rabu.png,width=100,height=100)</v>
      </c>
      <c r="U70" s="23" t="str">
        <f>"|MIDDLE:​"&amp;テーブル1[[#This Row],[名前]]</f>
        <v>|MIDDLE:​寺戸ラヴ</v>
      </c>
      <c r="V70" s="23" t="str">
        <f>"|MIDDLE:​"&amp;テーブル1[[#This Row],[なまえ]]</f>
        <v>|MIDDLE:​てらど らぶ</v>
      </c>
      <c r="W70" s="23" t="str">
        <f>"|MIDDLE:​"&amp;テーブル1[[#This Row],[Name]]</f>
        <v>|MIDDLE:​Terado Rabu</v>
      </c>
      <c r="X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4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1485</v>
      </c>
      <c r="D71" s="23" t="s">
        <v>407</v>
      </c>
      <c r="E71" s="23" t="s">
        <v>1486</v>
      </c>
      <c r="F71" s="2" t="s">
        <v>405</v>
      </c>
      <c r="G71" s="23" t="s">
        <v>406</v>
      </c>
      <c r="N71" s="1" t="s">
        <v>1443</v>
      </c>
      <c r="O71" s="24" t="str">
        <f>テーブル1[[#This Row],[リンク]]&amp;テーブル1[[#This Row],[描画状況]]</f>
        <v>https://yukiichik.wixsite.com/kokofool/utau済</v>
      </c>
      <c r="P71" s="17">
        <f>1-(COUNTIF(O:O,_xlfn.TEXTJOIN(",",TRUE,テーブル1[[#This Row],[リンク]],テーブル1[[#This Row],[描画状況]]))/COUNTIF(F:F,テーブル1[[#This Row],[リンク]]))</f>
        <v>1</v>
      </c>
      <c r="Q71" s="16" t="str">
        <f ca="1">IFERROR(IF(テーブル1[[#This Row],[描画状況]]="",RAND()+(テーブル1[[#This Row],[列2]]*100),""),RAND())</f>
        <v/>
      </c>
      <c r="R71" s="1" t="s">
        <v>12</v>
      </c>
      <c r="S71" s="24" t="str">
        <f ca="1">IF(AND(テーブル1[[#This Row],[描画状況]]="済",テーブル1[[#This Row],[投稿状況]]=""),RAND(),"")</f>
        <v/>
      </c>
      <c r="T71" s="23" t="str">
        <f>"|&amp;image("&amp;テーブル1[[#This Row],[画像]]&amp;".png,width=100,height=100)"</f>
        <v>|&amp;image(teranaga-toichi.png,width=100,height=100)</v>
      </c>
      <c r="U71" s="23" t="str">
        <f>"|MIDDLE:​"&amp;テーブル1[[#This Row],[名前]]</f>
        <v>|MIDDLE:​寺永十逸</v>
      </c>
      <c r="V71" s="23" t="str">
        <f>"|MIDDLE:​"&amp;テーブル1[[#This Row],[なまえ]]</f>
        <v>|MIDDLE:​てらなが とおいち</v>
      </c>
      <c r="W71" s="23" t="str">
        <f>"|MIDDLE:​"&amp;テーブル1[[#This Row],[Name]]</f>
        <v>|MIDDLE:​Teranaga Toichi</v>
      </c>
      <c r="X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4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1487</v>
      </c>
      <c r="D72" s="23" t="s">
        <v>322</v>
      </c>
      <c r="E72" s="23" t="s">
        <v>323</v>
      </c>
      <c r="F72" s="2" t="s">
        <v>324</v>
      </c>
      <c r="G72" s="23" t="s">
        <v>325</v>
      </c>
      <c r="N72" s="1" t="s">
        <v>1443</v>
      </c>
      <c r="O72" s="24" t="str">
        <f>テーブル1[[#This Row],[リンク]]&amp;テーブル1[[#This Row],[描画状況]]</f>
        <v>https://suihankinonaka.wixsite.com/my-site-1済</v>
      </c>
      <c r="P72" s="17">
        <f>1-(COUNTIF(O:O,_xlfn.TEXTJOIN(",",TRUE,テーブル1[[#This Row],[リンク]],テーブル1[[#This Row],[描画状況]]))/COUNTIF(F:F,テーブル1[[#This Row],[リンク]]))</f>
        <v>1</v>
      </c>
      <c r="Q72" s="16" t="str">
        <f ca="1">IFERROR(IF(テーブル1[[#This Row],[描画状況]]="",RAND()+(テーブル1[[#This Row],[列2]]*100),""),RAND())</f>
        <v/>
      </c>
      <c r="R72" s="1" t="s">
        <v>12</v>
      </c>
      <c r="S72" s="24" t="str">
        <f ca="1">IF(AND(テーブル1[[#This Row],[描画状況]]="済",テーブル1[[#This Row],[投稿状況]]=""),RAND(),"")</f>
        <v/>
      </c>
      <c r="T72" s="23" t="str">
        <f>"|&amp;image("&amp;テーブル1[[#This Row],[画像]]&amp;".png,width=100,height=100)"</f>
        <v>|&amp;image(tota-hisame.png,width=100,height=100)</v>
      </c>
      <c r="U72" s="23" t="str">
        <f>"|MIDDLE:​"&amp;テーブル1[[#This Row],[名前]]</f>
        <v>|MIDDLE:​透唄氷雨</v>
      </c>
      <c r="V72" s="23" t="str">
        <f>"|MIDDLE:​"&amp;テーブル1[[#This Row],[なまえ]]</f>
        <v>|MIDDLE:​とうた ひさめ</v>
      </c>
      <c r="W72" s="23" t="str">
        <f>"|MIDDLE:​"&amp;テーブル1[[#This Row],[Name]]</f>
        <v>|MIDDLE:​Tota Hisame</v>
      </c>
      <c r="X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4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1488</v>
      </c>
      <c r="D73" s="23" t="s">
        <v>326</v>
      </c>
      <c r="E73" s="23" t="s">
        <v>327</v>
      </c>
      <c r="F73" s="2" t="s">
        <v>324</v>
      </c>
      <c r="G73" s="23" t="s">
        <v>325</v>
      </c>
      <c r="N73" s="1" t="s">
        <v>1443</v>
      </c>
      <c r="O73" s="24" t="str">
        <f>テーブル1[[#This Row],[リンク]]&amp;テーブル1[[#This Row],[描画状況]]</f>
        <v>https://suihankinonaka.wixsite.com/my-site-1済</v>
      </c>
      <c r="P73" s="17">
        <f>1-(COUNTIF(O:O,_xlfn.TEXTJOIN(",",TRUE,テーブル1[[#This Row],[リンク]],テーブル1[[#This Row],[描画状況]]))/COUNTIF(F:F,テーブル1[[#This Row],[リンク]]))</f>
        <v>1</v>
      </c>
      <c r="Q73" s="16" t="str">
        <f ca="1">IFERROR(IF(テーブル1[[#This Row],[描画状況]]="",RAND()+(テーブル1[[#This Row],[列2]]*100),""),RAND())</f>
        <v/>
      </c>
      <c r="R73" s="1" t="s">
        <v>12</v>
      </c>
      <c r="S73" s="24" t="str">
        <f ca="1">IF(AND(テーブル1[[#This Row],[描画状況]]="済",テーブル1[[#This Row],[投稿状況]]=""),RAND(),"")</f>
        <v/>
      </c>
      <c r="T73" s="23" t="str">
        <f>"|&amp;image("&amp;テーブル1[[#This Row],[画像]]&amp;".png,width=100,height=100)"</f>
        <v>|&amp;image(todoroki-madara.png,width=100,height=100)</v>
      </c>
      <c r="U73" s="23" t="str">
        <f>"|MIDDLE:​"&amp;テーブル1[[#This Row],[名前]]</f>
        <v>|MIDDLE:​轟まだら</v>
      </c>
      <c r="V73" s="23" t="str">
        <f>"|MIDDLE:​"&amp;テーブル1[[#This Row],[なまえ]]</f>
        <v>|MIDDLE:​とどろき まだら</v>
      </c>
      <c r="W73" s="23" t="str">
        <f>"|MIDDLE:​"&amp;テーブル1[[#This Row],[Name]]</f>
        <v>|MIDDLE:​Todoroki Madara</v>
      </c>
      <c r="X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4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1489</v>
      </c>
      <c r="D74" s="23" t="s">
        <v>179</v>
      </c>
      <c r="E74" s="23" t="s">
        <v>180</v>
      </c>
      <c r="F74" s="2" t="s">
        <v>181</v>
      </c>
      <c r="G74" s="23" t="s">
        <v>182</v>
      </c>
      <c r="N74" s="1" t="s">
        <v>1443</v>
      </c>
      <c r="O74" s="24" t="str">
        <f>テーブル1[[#This Row],[リンク]]&amp;テーブル1[[#This Row],[描画状況]]</f>
        <v>https://lit.link/nemukoneko済</v>
      </c>
      <c r="P74" s="17">
        <f>1-(COUNTIF(O:O,_xlfn.TEXTJOIN(",",TRUE,テーブル1[[#This Row],[リンク]],テーブル1[[#This Row],[描画状況]]))/COUNTIF(F:F,テーブル1[[#This Row],[リンク]]))</f>
        <v>1</v>
      </c>
      <c r="Q74" s="16" t="str">
        <f ca="1">IFERROR(IF(テーブル1[[#This Row],[描画状況]]="",RAND()+(テーブル1[[#This Row],[列2]]*100),""),RAND())</f>
        <v/>
      </c>
      <c r="R74" s="1" t="s">
        <v>12</v>
      </c>
      <c r="S74" s="24" t="str">
        <f ca="1">IF(AND(テーブル1[[#This Row],[描画状況]]="済",テーブル1[[#This Row],[投稿状況]]=""),RAND(),"")</f>
        <v/>
      </c>
      <c r="T74" s="23" t="str">
        <f>"|&amp;image("&amp;テーブル1[[#This Row],[画像]]&amp;".png,width=100,height=100)"</f>
        <v>|&amp;image(doba-juga.png,width=100,height=100)</v>
      </c>
      <c r="U74" s="23" t="str">
        <f>"|MIDDLE:​"&amp;テーブル1[[#This Row],[名前]]</f>
        <v>|MIDDLE:​駑馬十駕</v>
      </c>
      <c r="V74" s="23" t="str">
        <f>"|MIDDLE:​"&amp;テーブル1[[#This Row],[なまえ]]</f>
        <v>|MIDDLE:​どば じゅうが</v>
      </c>
      <c r="W74" s="23" t="str">
        <f>"|MIDDLE:​"&amp;テーブル1[[#This Row],[Name]]</f>
        <v>|MIDDLE:​Doba Juga</v>
      </c>
      <c r="X74" s="23" t="str">
        <f>"|MIDDLE:​&amp;link(配布所はこちら){​"&amp;テーブル1[[#This Row],[リンク]]&amp;"}|"</f>
        <v>|MIDDLE:​&amp;link(配布所はこちら){​https://lit.link/nemukoneko}|</v>
      </c>
    </row>
    <row r="75" spans="1:24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M75" s="1" t="s">
        <v>1517</v>
      </c>
      <c r="N75" s="1" t="s">
        <v>1443</v>
      </c>
      <c r="O75" s="24" t="str">
        <f>テーブル1[[#This Row],[リンク]]&amp;テーブル1[[#This Row],[描画状況]]</f>
        <v>https://amiseniamnu.wixsite.com/amisenia済</v>
      </c>
      <c r="P75" s="17">
        <f>1-(COUNTIF(O:O,_xlfn.TEXTJOIN(",",TRUE,テーブル1[[#This Row],[リンク]],テーブル1[[#This Row],[描画状況]]))/COUNTIF(F:F,テーブル1[[#This Row],[リンク]]))</f>
        <v>1</v>
      </c>
      <c r="Q75" s="16" t="str">
        <f ca="1">IFERROR(IF(テーブル1[[#This Row],[描画状況]]="",RAND()+(テーブル1[[#This Row],[列2]]*100),""),RAND())</f>
        <v/>
      </c>
      <c r="R75" s="1" t="s">
        <v>12</v>
      </c>
      <c r="S75" s="24" t="str">
        <f ca="1">IF(AND(テーブル1[[#This Row],[描画状況]]="済",テーブル1[[#This Row],[投稿状況]]=""),RAND(),"")</f>
        <v/>
      </c>
      <c r="T75" s="23" t="str">
        <f>"|&amp;image("&amp;テーブル1[[#This Row],[画像]]&amp;".png,width=100,height=100)"</f>
        <v>|&amp;image(torune-tea.png,width=100,height=100)</v>
      </c>
      <c r="U75" s="23" t="str">
        <f>"|MIDDLE:​"&amp;テーブル1[[#This Row],[名前]]</f>
        <v>|MIDDLE:​取音テア</v>
      </c>
      <c r="V75" s="23" t="str">
        <f>"|MIDDLE:​"&amp;テーブル1[[#This Row],[なまえ]]</f>
        <v>|MIDDLE:​とるね てあ</v>
      </c>
      <c r="W75" s="23" t="str">
        <f>"|MIDDLE:​"&amp;テーブル1[[#This Row],[Name]]</f>
        <v>|MIDDLE:​Torune Tea</v>
      </c>
      <c r="X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4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1490</v>
      </c>
      <c r="D76" s="23" t="s">
        <v>298</v>
      </c>
      <c r="E76" s="23" t="s">
        <v>299</v>
      </c>
      <c r="F76" s="2" t="s">
        <v>292</v>
      </c>
      <c r="G76" s="23" t="s">
        <v>293</v>
      </c>
      <c r="H76" s="23" t="s">
        <v>1626</v>
      </c>
      <c r="I76" s="23" t="s">
        <v>1671</v>
      </c>
      <c r="K76" s="23" t="s">
        <v>1668</v>
      </c>
      <c r="M76" s="1" t="s">
        <v>1517</v>
      </c>
      <c r="N76" s="1" t="s">
        <v>1443</v>
      </c>
      <c r="O76" s="24" t="str">
        <f>テーブル1[[#This Row],[リンク]]&amp;テーブル1[[#This Row],[描画状況]]</f>
        <v>https://seirentoybox.jimdofree.com済</v>
      </c>
      <c r="P76" s="17">
        <f>1-(COUNTIF(O:O,_xlfn.TEXTJOIN(",",TRUE,テーブル1[[#This Row],[リンク]],テーブル1[[#This Row],[描画状況]]))/COUNTIF(F:F,テーブル1[[#This Row],[リンク]]))</f>
        <v>1</v>
      </c>
      <c r="Q76" s="16" t="str">
        <f ca="1">IFERROR(IF(テーブル1[[#This Row],[描画状況]]="",RAND()+(テーブル1[[#This Row],[列2]]*100),""),RAND())</f>
        <v/>
      </c>
      <c r="R76" s="1" t="s">
        <v>12</v>
      </c>
      <c r="S76" s="24" t="str">
        <f ca="1">IF(AND(テーブル1[[#This Row],[描画状況]]="済",テーブル1[[#This Row],[投稿状況]]=""),RAND(),"")</f>
        <v/>
      </c>
      <c r="T76" s="23" t="str">
        <f>"|&amp;image("&amp;テーブル1[[#This Row],[画像]]&amp;".png,width=100,height=100)"</f>
        <v>|&amp;image(dolln.png,width=100,height=100)</v>
      </c>
      <c r="U76" s="23" t="str">
        <f>"|MIDDLE:​"&amp;テーブル1[[#This Row],[名前]]</f>
        <v>|MIDDLE:​ドルン</v>
      </c>
      <c r="V76" s="23" t="str">
        <f>"|MIDDLE:​"&amp;テーブル1[[#This Row],[なまえ]]</f>
        <v>|MIDDLE:​どるん</v>
      </c>
      <c r="W76" s="23" t="str">
        <f>"|MIDDLE:​"&amp;テーブル1[[#This Row],[Name]]</f>
        <v>|MIDDLE:​Dolln</v>
      </c>
      <c r="X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4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394</v>
      </c>
      <c r="D77" s="23" t="s">
        <v>395</v>
      </c>
      <c r="E77" s="23" t="s">
        <v>396</v>
      </c>
      <c r="F77" s="2" t="s">
        <v>397</v>
      </c>
      <c r="G77" s="23" t="s">
        <v>398</v>
      </c>
      <c r="N77" s="1" t="s">
        <v>1443</v>
      </c>
      <c r="O77" s="24" t="str">
        <f>テーブル1[[#This Row],[リンク]]&amp;テーブル1[[#This Row],[描画状況]]</f>
        <v>https://www.krnr.top済</v>
      </c>
      <c r="P77" s="17">
        <f>1-(COUNTIF(O:O,_xlfn.TEXTJOIN(",",TRUE,テーブル1[[#This Row],[リンク]],テーブル1[[#This Row],[描画状況]]))/COUNTIF(F:F,テーブル1[[#This Row],[リンク]]))</f>
        <v>1</v>
      </c>
      <c r="Q77" s="16" t="str">
        <f ca="1">IFERROR(IF(テーブル1[[#This Row],[描画状況]]="",RAND()+(テーブル1[[#This Row],[列2]]*100),""),RAND())</f>
        <v/>
      </c>
      <c r="R77" s="1" t="s">
        <v>12</v>
      </c>
      <c r="S77" s="24" t="str">
        <f ca="1">IF(AND(テーブル1[[#This Row],[描画状況]]="済",テーブル1[[#This Row],[投稿状況]]=""),RAND(),"")</f>
        <v/>
      </c>
      <c r="T77" s="23" t="str">
        <f>"|&amp;image("&amp;テーブル1[[#This Row],[画像]]&amp;".png,width=100,height=100)"</f>
        <v>|&amp;image(nurserobot-typet.png,width=100,height=100)</v>
      </c>
      <c r="U77" s="23" t="str">
        <f>"|MIDDLE:​"&amp;テーブル1[[#This Row],[名前]]</f>
        <v>|MIDDLE:​ナースロボ_タイプT</v>
      </c>
      <c r="V77" s="23" t="str">
        <f>"|MIDDLE:​"&amp;テーブル1[[#This Row],[なまえ]]</f>
        <v>|MIDDLE:​なーすろぼ_たいぷてぃ</v>
      </c>
      <c r="W77" s="23" t="str">
        <f>"|MIDDLE:​"&amp;テーブル1[[#This Row],[Name]]</f>
        <v>|MIDDLE:​NurseRobot_TypeT</v>
      </c>
      <c r="X77" s="23" t="str">
        <f>"|MIDDLE:​&amp;link(配布所はこちら){​"&amp;テーブル1[[#This Row],[リンク]]&amp;"}|"</f>
        <v>|MIDDLE:​&amp;link(配布所はこちら){​https://www.krnr.top}|</v>
      </c>
    </row>
    <row r="78" spans="1:24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M78" s="1" t="s">
        <v>1517</v>
      </c>
      <c r="N78" s="1" t="s">
        <v>1443</v>
      </c>
      <c r="O78" s="24" t="str">
        <f>テーブル1[[#This Row],[リンク]]&amp;テーブル1[[#This Row],[描画状況]]</f>
        <v>https://666not.wixsite.com/partition-voyage済</v>
      </c>
      <c r="P78" s="17">
        <f>1-(COUNTIF(O:O,_xlfn.TEXTJOIN(",",TRUE,テーブル1[[#This Row],[リンク]],テーブル1[[#This Row],[描画状況]]))/COUNTIF(F:F,テーブル1[[#This Row],[リンク]]))</f>
        <v>1</v>
      </c>
      <c r="Q78" s="16" t="str">
        <f ca="1">IFERROR(IF(テーブル1[[#This Row],[描画状況]]="",RAND()+(テーブル1[[#This Row],[列2]]*100),""),RAND())</f>
        <v/>
      </c>
      <c r="R78" s="1" t="s">
        <v>12</v>
      </c>
      <c r="S78" s="24" t="str">
        <f ca="1">IF(AND(テーブル1[[#This Row],[描画状況]]="済",テーブル1[[#This Row],[投稿状況]]=""),RAND(),"")</f>
        <v/>
      </c>
      <c r="T78" s="23" t="str">
        <f>"|&amp;image("&amp;テーブル1[[#This Row],[画像]]&amp;".png,width=100,height=100)"</f>
        <v>|&amp;image(nagakura-miji.png,width=100,height=100)</v>
      </c>
      <c r="U78" s="23" t="str">
        <f>"|MIDDLE:​"&amp;テーブル1[[#This Row],[名前]]</f>
        <v>|MIDDLE:​詠冥ミジ</v>
      </c>
      <c r="V78" s="23" t="str">
        <f>"|MIDDLE:​"&amp;テーブル1[[#This Row],[なまえ]]</f>
        <v>|MIDDLE:​ながくら みじ</v>
      </c>
      <c r="W78" s="23" t="str">
        <f>"|MIDDLE:​"&amp;テーブル1[[#This Row],[Name]]</f>
        <v>|MIDDLE:​Nagakura Miji</v>
      </c>
      <c r="X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4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282</v>
      </c>
      <c r="D79" s="23" t="s">
        <v>283</v>
      </c>
      <c r="E79" s="23" t="s">
        <v>1491</v>
      </c>
      <c r="F79" s="2" t="s">
        <v>280</v>
      </c>
      <c r="G79" s="23" t="s">
        <v>281</v>
      </c>
      <c r="N79" s="1" t="s">
        <v>1443</v>
      </c>
      <c r="O79" s="24" t="str">
        <f>テーブル1[[#This Row],[リンク]]&amp;テーブル1[[#This Row],[描画状況]]</f>
        <v>https://rinnneuta.wixsite.com/my-site-2?s=09済</v>
      </c>
      <c r="P79" s="17">
        <f>1-(COUNTIF(O:O,_xlfn.TEXTJOIN(",",TRUE,テーブル1[[#This Row],[リンク]],テーブル1[[#This Row],[描画状況]]))/COUNTIF(F:F,テーブル1[[#This Row],[リンク]]))</f>
        <v>1</v>
      </c>
      <c r="Q79" s="16" t="str">
        <f ca="1">IFERROR(IF(テーブル1[[#This Row],[描画状況]]="",RAND()+(テーブル1[[#This Row],[列2]]*100),""),RAND())</f>
        <v/>
      </c>
      <c r="R79" s="1" t="s">
        <v>12</v>
      </c>
      <c r="S79" s="24" t="str">
        <f ca="1">IF(AND(テーブル1[[#This Row],[描画状況]]="済",テーブル1[[#This Row],[投稿状況]]=""),RAND(),"")</f>
        <v/>
      </c>
      <c r="T79" s="23" t="str">
        <f>"|&amp;image("&amp;テーブル1[[#This Row],[画像]]&amp;".png,width=100,height=100)"</f>
        <v>|&amp;image(nagarene-nanashi.png,width=100,height=100)</v>
      </c>
      <c r="U79" s="23" t="str">
        <f>"|MIDDLE:​"&amp;テーブル1[[#This Row],[名前]]</f>
        <v>|MIDDLE:​流音ナナシ</v>
      </c>
      <c r="V79" s="23" t="str">
        <f>"|MIDDLE:​"&amp;テーブル1[[#This Row],[なまえ]]</f>
        <v>|MIDDLE:​ながれね ななし</v>
      </c>
      <c r="W79" s="23" t="str">
        <f>"|MIDDLE:​"&amp;テーブル1[[#This Row],[Name]]</f>
        <v>|MIDDLE:​Nagarene Nanashi</v>
      </c>
      <c r="X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4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M80" s="1" t="s">
        <v>1518</v>
      </c>
      <c r="N80" s="1" t="s">
        <v>1443</v>
      </c>
      <c r="O80" s="24" t="str">
        <f>テーブル1[[#This Row],[リンク]]&amp;テーブル1[[#This Row],[描画状況]]</f>
        <v>http://park2.wakwak.com/~mbox/vo/hk/hkfre.htm済</v>
      </c>
      <c r="P80" s="17">
        <f>1-(COUNTIF(O:O,_xlfn.TEXTJOIN(",",TRUE,テーブル1[[#This Row],[リンク]],テーブル1[[#This Row],[描画状況]]))/COUNTIF(F:F,テーブル1[[#This Row],[リンク]]))</f>
        <v>1</v>
      </c>
      <c r="Q80" s="16" t="str">
        <f ca="1">IFERROR(IF(テーブル1[[#This Row],[描画状況]]="",RAND()+(テーブル1[[#This Row],[列2]]*100),""),RAND())</f>
        <v/>
      </c>
      <c r="R80" s="1" t="s">
        <v>12</v>
      </c>
      <c r="S80" s="24" t="str">
        <f ca="1">IF(AND(テーブル1[[#This Row],[描画状況]]="済",テーブル1[[#This Row],[投稿状況]]=""),RAND(),"")</f>
        <v/>
      </c>
      <c r="T80" s="23" t="str">
        <f>"|&amp;image("&amp;テーブル1[[#This Row],[画像]]&amp;".png,width=100,height=100)"</f>
        <v>|&amp;image(nakogaki-itsuki.png,width=100,height=100)</v>
      </c>
      <c r="U80" s="23" t="str">
        <f>"|MIDDLE:​"&amp;テーブル1[[#This Row],[名前]]</f>
        <v>|MIDDLE:​猫垣一姫</v>
      </c>
      <c r="V80" s="23" t="str">
        <f>"|MIDDLE:​"&amp;テーブル1[[#This Row],[なまえ]]</f>
        <v>|MIDDLE:​なこがき いつき</v>
      </c>
      <c r="W80" s="23" t="str">
        <f>"|MIDDLE:​"&amp;テーブル1[[#This Row],[Name]]</f>
        <v>|MIDDLE:​Nakogaki Itsuki</v>
      </c>
      <c r="X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4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194</v>
      </c>
      <c r="D81" s="23" t="s">
        <v>195</v>
      </c>
      <c r="E81" s="23" t="s">
        <v>196</v>
      </c>
      <c r="F81" s="2" t="s">
        <v>197</v>
      </c>
      <c r="G81" s="23" t="s">
        <v>198</v>
      </c>
      <c r="N81" s="1" t="s">
        <v>1443</v>
      </c>
      <c r="O81" s="24" t="str">
        <f>テーブル1[[#This Row],[リンク]]&amp;テーブル1[[#This Row],[描画状況]]</f>
        <v>https://lonelyapple011.wixsite.com/nadenade済</v>
      </c>
      <c r="P81" s="17">
        <f>1-(COUNTIF(O:O,_xlfn.TEXTJOIN(",",TRUE,テーブル1[[#This Row],[リンク]],テーブル1[[#This Row],[描画状況]]))/COUNTIF(F:F,テーブル1[[#This Row],[リンク]]))</f>
        <v>1</v>
      </c>
      <c r="Q81" s="16" t="str">
        <f ca="1">IFERROR(IF(テーブル1[[#This Row],[描画状況]]="",RAND()+(テーブル1[[#This Row],[列2]]*100),""),RAND())</f>
        <v/>
      </c>
      <c r="R81" s="1" t="s">
        <v>12</v>
      </c>
      <c r="S81" s="24" t="str">
        <f ca="1">IF(AND(テーブル1[[#This Row],[描画状況]]="済",テーブル1[[#This Row],[投稿状況]]=""),RAND(),"")</f>
        <v/>
      </c>
      <c r="T81" s="23" t="str">
        <f>"|&amp;image("&amp;テーブル1[[#This Row],[画像]]&amp;".png,width=100,height=100)"</f>
        <v>|&amp;image(nadene-komari.png,width=100,height=100)</v>
      </c>
      <c r="U81" s="23" t="str">
        <f>"|MIDDLE:​"&amp;テーブル1[[#This Row],[名前]]</f>
        <v>|MIDDLE:​撫音小鞠</v>
      </c>
      <c r="V81" s="23" t="str">
        <f>"|MIDDLE:​"&amp;テーブル1[[#This Row],[なまえ]]</f>
        <v>|MIDDLE:​なでね こまり</v>
      </c>
      <c r="W81" s="23" t="str">
        <f>"|MIDDLE:​"&amp;テーブル1[[#This Row],[Name]]</f>
        <v>|MIDDLE:​Nadene Komari</v>
      </c>
      <c r="X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4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262</v>
      </c>
      <c r="D82" s="23" t="s">
        <v>263</v>
      </c>
      <c r="E82" s="23" t="s">
        <v>264</v>
      </c>
      <c r="F82" s="2" t="s">
        <v>256</v>
      </c>
      <c r="G82" s="23" t="s">
        <v>265</v>
      </c>
      <c r="N82" s="1" t="s">
        <v>1443</v>
      </c>
      <c r="O82" s="24" t="str">
        <f>テーブル1[[#This Row],[リンク]]&amp;テーブル1[[#This Row],[描画状況]]</f>
        <v>https://nyaruru.wixsite.com/s-p-w済</v>
      </c>
      <c r="P82" s="17">
        <f>1-(COUNTIF(O:O,_xlfn.TEXTJOIN(",",TRUE,テーブル1[[#This Row],[リンク]],テーブル1[[#This Row],[描画状況]]))/COUNTIF(F:F,テーブル1[[#This Row],[リンク]]))</f>
        <v>1</v>
      </c>
      <c r="Q82" s="16" t="str">
        <f ca="1">IFERROR(IF(テーブル1[[#This Row],[描画状況]]="",RAND()+(テーブル1[[#This Row],[列2]]*100),""),RAND())</f>
        <v/>
      </c>
      <c r="R82" s="1" t="s">
        <v>12</v>
      </c>
      <c r="S82" s="24" t="str">
        <f ca="1">IF(AND(テーブル1[[#This Row],[描画状況]]="済",テーブル1[[#This Row],[投稿状況]]=""),RAND(),"")</f>
        <v/>
      </c>
      <c r="T82" s="23" t="str">
        <f>"|&amp;image("&amp;テーブル1[[#This Row],[画像]]&amp;".png,width=100,height=100)"</f>
        <v>|&amp;image(nekomimiuchufuku.png,width=100,height=100)</v>
      </c>
      <c r="U82" s="23" t="str">
        <f>"|MIDDLE:​"&amp;テーブル1[[#This Row],[名前]]</f>
        <v>|MIDDLE:​猫耳宇宙服</v>
      </c>
      <c r="V82" s="23" t="str">
        <f>"|MIDDLE:​"&amp;テーブル1[[#This Row],[なまえ]]</f>
        <v>|MIDDLE:​ねこみみうちゅうふく</v>
      </c>
      <c r="W82" s="23" t="str">
        <f>"|MIDDLE:​"&amp;テーブル1[[#This Row],[Name]]</f>
        <v>|MIDDLE:​Nekomimiuchufuku</v>
      </c>
      <c r="X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4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328</v>
      </c>
      <c r="D83" s="23" t="s">
        <v>329</v>
      </c>
      <c r="E83" s="23" t="s">
        <v>330</v>
      </c>
      <c r="F83" s="2" t="s">
        <v>331</v>
      </c>
      <c r="G83" s="23" t="s">
        <v>332</v>
      </c>
      <c r="N83" s="1" t="s">
        <v>1443</v>
      </c>
      <c r="O83" s="24" t="str">
        <f>テーブル1[[#This Row],[リンク]]&amp;テーブル1[[#This Row],[描画状況]]</f>
        <v>https://sysynmnm.wixsite.com/oyasumi-zzz済</v>
      </c>
      <c r="P83" s="17">
        <f>1-(COUNTIF(O:O,_xlfn.TEXTJOIN(",",TRUE,テーブル1[[#This Row],[リンク]],テーブル1[[#This Row],[描画状況]]))/COUNTIF(F:F,テーブル1[[#This Row],[リンク]]))</f>
        <v>1</v>
      </c>
      <c r="Q83" s="16" t="str">
        <f ca="1">IFERROR(IF(テーブル1[[#This Row],[描画状況]]="",RAND()+(テーブル1[[#This Row],[列2]]*100),""),RAND())</f>
        <v/>
      </c>
      <c r="R83" s="1" t="s">
        <v>12</v>
      </c>
      <c r="S83" s="24" t="str">
        <f ca="1">IF(AND(テーブル1[[#This Row],[描画状況]]="済",テーブル1[[#This Row],[投稿状況]]=""),RAND(),"")</f>
        <v/>
      </c>
      <c r="T83" s="23" t="str">
        <f>"|&amp;image("&amp;テーブル1[[#This Row],[画像]]&amp;".png,width=100,height=100)"</f>
        <v>|&amp;image(nemui-you.png,width=100,height=100)</v>
      </c>
      <c r="U83" s="23" t="str">
        <f>"|MIDDLE:​"&amp;テーブル1[[#This Row],[名前]]</f>
        <v>|MIDDLE:​眠井ヨウ</v>
      </c>
      <c r="V83" s="23" t="str">
        <f>"|MIDDLE:​"&amp;テーブル1[[#This Row],[なまえ]]</f>
        <v>|MIDDLE:​ねむい よう</v>
      </c>
      <c r="W83" s="23" t="str">
        <f>"|MIDDLE:​"&amp;テーブル1[[#This Row],[Name]]</f>
        <v>|MIDDLE:​Nemui You</v>
      </c>
      <c r="X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4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333</v>
      </c>
      <c r="D84" s="23" t="s">
        <v>334</v>
      </c>
      <c r="E84" s="23" t="s">
        <v>335</v>
      </c>
      <c r="F84" s="2" t="s">
        <v>331</v>
      </c>
      <c r="G84" s="23" t="s">
        <v>332</v>
      </c>
      <c r="N84" s="1" t="s">
        <v>1443</v>
      </c>
      <c r="O84" s="24" t="str">
        <f>テーブル1[[#This Row],[リンク]]&amp;テーブル1[[#This Row],[描画状況]]</f>
        <v>https://sysynmnm.wixsite.com/oyasumi-zzz済</v>
      </c>
      <c r="P84" s="17">
        <f>1-(COUNTIF(O:O,_xlfn.TEXTJOIN(",",TRUE,テーブル1[[#This Row],[リンク]],テーブル1[[#This Row],[描画状況]]))/COUNTIF(F:F,テーブル1[[#This Row],[リンク]]))</f>
        <v>1</v>
      </c>
      <c r="Q84" s="16" t="str">
        <f ca="1">IFERROR(IF(テーブル1[[#This Row],[描画状況]]="",RAND()+(テーブル1[[#This Row],[列2]]*100),""),RAND())</f>
        <v/>
      </c>
      <c r="R84" s="1" t="s">
        <v>12</v>
      </c>
      <c r="S84" s="24" t="str">
        <f ca="1">IF(AND(テーブル1[[#This Row],[描画状況]]="済",テーブル1[[#This Row],[投稿状況]]=""),RAND(),"")</f>
        <v/>
      </c>
      <c r="T84" s="23" t="str">
        <f>"|&amp;image("&amp;テーブル1[[#This Row],[画像]]&amp;".png,width=100,height=100)"</f>
        <v>|&amp;image(nemura-nai.png,width=100,height=100)</v>
      </c>
      <c r="U84" s="23" t="str">
        <f>"|MIDDLE:​"&amp;テーブル1[[#This Row],[名前]]</f>
        <v>|MIDDLE:​寝村ナイ</v>
      </c>
      <c r="V84" s="23" t="str">
        <f>"|MIDDLE:​"&amp;テーブル1[[#This Row],[なまえ]]</f>
        <v>|MIDDLE:​ねむら ない</v>
      </c>
      <c r="W84" s="23" t="str">
        <f>"|MIDDLE:​"&amp;テーブル1[[#This Row],[Name]]</f>
        <v>|MIDDLE:​Nemura Nai</v>
      </c>
      <c r="X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4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183</v>
      </c>
      <c r="D85" s="23" t="s">
        <v>184</v>
      </c>
      <c r="E85" s="23" t="s">
        <v>185</v>
      </c>
      <c r="F85" s="2" t="s">
        <v>181</v>
      </c>
      <c r="G85" s="23" t="s">
        <v>186</v>
      </c>
      <c r="N85" s="1" t="s">
        <v>1443</v>
      </c>
      <c r="O85" s="24" t="str">
        <f>テーブル1[[#This Row],[リンク]]&amp;テーブル1[[#This Row],[描画状況]]</f>
        <v>https://lit.link/nemukoneko済</v>
      </c>
      <c r="P85" s="17">
        <f>1-(COUNTIF(O:O,_xlfn.TEXTJOIN(",",TRUE,テーブル1[[#This Row],[リンク]],テーブル1[[#This Row],[描画状況]]))/COUNTIF(F:F,テーブル1[[#This Row],[リンク]]))</f>
        <v>1</v>
      </c>
      <c r="Q85" s="16" t="str">
        <f ca="1">IFERROR(IF(テーブル1[[#This Row],[描画状況]]="",RAND()+(テーブル1[[#This Row],[列2]]*100),""),RAND())</f>
        <v/>
      </c>
      <c r="R85" s="1" t="s">
        <v>12</v>
      </c>
      <c r="S85" s="24" t="str">
        <f ca="1">IF(AND(テーブル1[[#This Row],[描画状況]]="済",テーブル1[[#This Row],[投稿状況]]=""),RAND(),"")</f>
        <v/>
      </c>
      <c r="T85" s="23" t="str">
        <f>"|&amp;image("&amp;テーブル1[[#This Row],[画像]]&amp;".png,width=100,height=100)"</f>
        <v>|&amp;image(nenneko.png,width=100,height=100)</v>
      </c>
      <c r="U85" s="23" t="str">
        <f>"|MIDDLE:​"&amp;テーブル1[[#This Row],[名前]]</f>
        <v>|MIDDLE:​ねんねこ</v>
      </c>
      <c r="V85" s="23" t="str">
        <f>"|MIDDLE:​"&amp;テーブル1[[#This Row],[なまえ]]</f>
        <v>|MIDDLE:​ねんねこ</v>
      </c>
      <c r="W85" s="23" t="str">
        <f>"|MIDDLE:​"&amp;テーブル1[[#This Row],[Name]]</f>
        <v>|MIDDLE:​Nenneko</v>
      </c>
      <c r="X85" s="23" t="str">
        <f>"|MIDDLE:​&amp;link(配布所はこちら){​"&amp;テーブル1[[#This Row],[リンク]]&amp;"}|"</f>
        <v>|MIDDLE:​&amp;link(配布所はこちら){​https://lit.link/nemukoneko}|</v>
      </c>
    </row>
    <row r="86" spans="1:24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418</v>
      </c>
      <c r="D86" s="23" t="s">
        <v>419</v>
      </c>
      <c r="E86" s="23" t="s">
        <v>420</v>
      </c>
      <c r="F86" s="23" t="s">
        <v>421</v>
      </c>
      <c r="G86" s="23" t="str">
        <f>テーブル1[[#This Row],[名前]]&amp;"(UTAU)"</f>
        <v>覗キ視炉(UTAU)</v>
      </c>
      <c r="M86" s="1" t="s">
        <v>1517</v>
      </c>
      <c r="N86" s="1" t="s">
        <v>1443</v>
      </c>
      <c r="O86" s="24" t="str">
        <f>テーブル1[[#This Row],[リンク]]&amp;テーブル1[[#This Row],[描画状況]]</f>
        <v>-済</v>
      </c>
      <c r="P86" s="17">
        <f>1-(COUNTIF(O:O,_xlfn.TEXTJOIN(",",TRUE,テーブル1[[#This Row],[リンク]],テーブル1[[#This Row],[描画状況]]))/COUNTIF(F:F,テーブル1[[#This Row],[リンク]]))</f>
        <v>1</v>
      </c>
      <c r="Q86" s="16" t="str">
        <f ca="1">IFERROR(IF(テーブル1[[#This Row],[描画状況]]="",RAND()+(テーブル1[[#This Row],[列2]]*100),""),RAND())</f>
        <v/>
      </c>
      <c r="R86" s="1" t="s">
        <v>12</v>
      </c>
      <c r="S86" s="24" t="str">
        <f ca="1">IF(AND(テーブル1[[#This Row],[描画状況]]="済",テーブル1[[#This Row],[投稿状況]]=""),RAND(),"")</f>
        <v/>
      </c>
      <c r="T86" s="23" t="str">
        <f>"|&amp;image("&amp;テーブル1[[#This Row],[画像]]&amp;".png,width=100,height=100)"</f>
        <v>|&amp;image(nozoki-miro.png,width=100,height=100)</v>
      </c>
      <c r="U86" s="23" t="str">
        <f>"|MIDDLE:​"&amp;テーブル1[[#This Row],[名前]]</f>
        <v>|MIDDLE:​覗キ視炉</v>
      </c>
      <c r="V86" s="23" t="str">
        <f>"|MIDDLE:​"&amp;テーブル1[[#This Row],[なまえ]]</f>
        <v>|MIDDLE:​のぞき みろ</v>
      </c>
      <c r="W86" s="23" t="str">
        <f>"|MIDDLE:​"&amp;テーブル1[[#This Row],[Name]]</f>
        <v>|MIDDLE:​Nozoki Miro</v>
      </c>
      <c r="X86" s="23" t="str">
        <f>"|MIDDLE:​&amp;link(配布所はこちら){​"&amp;テーブル1[[#This Row],[リンク]]&amp;"}|"</f>
        <v>|MIDDLE:​&amp;link(配布所はこちら){​-}|</v>
      </c>
    </row>
    <row r="87" spans="1:24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300</v>
      </c>
      <c r="D87" s="23" t="s">
        <v>301</v>
      </c>
      <c r="E87" s="23" t="s">
        <v>1492</v>
      </c>
      <c r="F87" s="2" t="s">
        <v>292</v>
      </c>
      <c r="G87" s="23" t="s">
        <v>293</v>
      </c>
      <c r="H87" s="23" t="s">
        <v>1627</v>
      </c>
      <c r="I87" s="23" t="s">
        <v>1666</v>
      </c>
      <c r="J87" s="23" t="s">
        <v>1667</v>
      </c>
      <c r="K87" s="23" t="s">
        <v>1669</v>
      </c>
      <c r="L87" s="23" t="s">
        <v>1670</v>
      </c>
      <c r="M87" s="1" t="s">
        <v>1517</v>
      </c>
      <c r="N87" s="1" t="s">
        <v>1443</v>
      </c>
      <c r="O87" s="24" t="str">
        <f>テーブル1[[#This Row],[リンク]]&amp;テーブル1[[#This Row],[描画状況]]</f>
        <v>https://seirentoybox.jimdofree.com済</v>
      </c>
      <c r="P87" s="17">
        <f>1-(COUNTIF(O:O,_xlfn.TEXTJOIN(",",TRUE,テーブル1[[#This Row],[リンク]],テーブル1[[#This Row],[描画状況]]))/COUNTIF(F:F,テーブル1[[#This Row],[リンク]]))</f>
        <v>1</v>
      </c>
      <c r="Q87" s="16" t="str">
        <f ca="1">IFERROR(IF(テーブル1[[#This Row],[描画状況]]="",RAND()+(テーブル1[[#This Row],[列2]]*100),""),RAND())</f>
        <v/>
      </c>
      <c r="R87" s="1" t="s">
        <v>12</v>
      </c>
      <c r="S87" s="24" t="str">
        <f ca="1">IF(AND(テーブル1[[#This Row],[描画状況]]="済",テーブル1[[#This Row],[投稿状況]]=""),RAND(),"")</f>
        <v/>
      </c>
      <c r="T87" s="23" t="str">
        <f>"|&amp;image("&amp;テーブル1[[#This Row],[画像]]&amp;".png,width=100,height=100)"</f>
        <v>|&amp;image(higeki-muripo.png,width=100,height=100)</v>
      </c>
      <c r="U87" s="23" t="str">
        <f>"|MIDDLE:​"&amp;テーブル1[[#This Row],[名前]]</f>
        <v>|MIDDLE:​悲檄むりぽ</v>
      </c>
      <c r="V87" s="23" t="str">
        <f>"|MIDDLE:​"&amp;テーブル1[[#This Row],[なまえ]]</f>
        <v>|MIDDLE:​ひげき むりぽ</v>
      </c>
      <c r="W87" s="23" t="str">
        <f>"|MIDDLE:​"&amp;テーブル1[[#This Row],[Name]]</f>
        <v>|MIDDLE:​Higeki Muripo</v>
      </c>
      <c r="X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4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302</v>
      </c>
      <c r="D88" s="23" t="s">
        <v>303</v>
      </c>
      <c r="E88" s="23" t="s">
        <v>304</v>
      </c>
      <c r="F88" s="2" t="s">
        <v>292</v>
      </c>
      <c r="G88" s="23" t="s">
        <v>293</v>
      </c>
      <c r="H88" s="23" t="s">
        <v>1627</v>
      </c>
      <c r="I88" s="23" t="s">
        <v>1636</v>
      </c>
      <c r="K88" s="23" t="s">
        <v>1637</v>
      </c>
      <c r="L88" s="23" t="s">
        <v>1672</v>
      </c>
      <c r="M88" s="1" t="s">
        <v>1517</v>
      </c>
      <c r="N88" s="1" t="s">
        <v>1443</v>
      </c>
      <c r="O88" s="24" t="str">
        <f>テーブル1[[#This Row],[リンク]]&amp;テーブル1[[#This Row],[描画状況]]</f>
        <v>https://seirentoybox.jimdofree.com済</v>
      </c>
      <c r="P88" s="17">
        <f>1-(COUNTIF(O:O,_xlfn.TEXTJOIN(",",TRUE,テーブル1[[#This Row],[リンク]],テーブル1[[#This Row],[描画状況]]))/COUNTIF(F:F,テーブル1[[#This Row],[リンク]]))</f>
        <v>1</v>
      </c>
      <c r="Q88" s="16" t="str">
        <f ca="1">IFERROR(IF(テーブル1[[#This Row],[描画状況]]="",RAND()+(テーブル1[[#This Row],[列2]]*100),""),RAND())</f>
        <v/>
      </c>
      <c r="R88" s="1" t="s">
        <v>12</v>
      </c>
      <c r="S88" s="24" t="str">
        <f ca="1">IF(AND(テーブル1[[#This Row],[描画状況]]="済",テーブル1[[#This Row],[投稿状況]]=""),RAND(),"")</f>
        <v/>
      </c>
      <c r="T88" s="23" t="str">
        <f>"|&amp;image("&amp;テーブル1[[#This Row],[画像]]&amp;".png,width=100,height=100)"</f>
        <v>|&amp;image(fis.png,width=100,height=100)</v>
      </c>
      <c r="U88" s="23" t="str">
        <f>"|MIDDLE:​"&amp;テーブル1[[#This Row],[名前]]</f>
        <v>|MIDDLE:​フィス</v>
      </c>
      <c r="V88" s="23" t="str">
        <f>"|MIDDLE:​"&amp;テーブル1[[#This Row],[なまえ]]</f>
        <v>|MIDDLE:​ふぃす</v>
      </c>
      <c r="W88" s="23" t="str">
        <f>"|MIDDLE:​"&amp;テーブル1[[#This Row],[Name]]</f>
        <v>|MIDDLE:​Fis</v>
      </c>
      <c r="X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4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M89" s="1" t="s">
        <v>1517</v>
      </c>
      <c r="N89" s="1" t="s">
        <v>1443</v>
      </c>
      <c r="O89" s="24" t="str">
        <f>テーブル1[[#This Row],[リンク]]&amp;テーブル1[[#This Row],[描画状況]]</f>
        <v>https://abschandayo.wixsite.com/abschan済</v>
      </c>
      <c r="P89" s="17">
        <f>1-(COUNTIF(O:O,_xlfn.TEXTJOIN(",",TRUE,テーブル1[[#This Row],[リンク]],テーブル1[[#This Row],[描画状況]]))/COUNTIF(F:F,テーブル1[[#This Row],[リンク]]))</f>
        <v>1</v>
      </c>
      <c r="Q89" s="16" t="str">
        <f ca="1">IFERROR(IF(テーブル1[[#This Row],[描画状況]]="",RAND()+(テーブル1[[#This Row],[列2]]*100),""),RAND())</f>
        <v/>
      </c>
      <c r="R89" s="1" t="s">
        <v>12</v>
      </c>
      <c r="S89" s="24" t="str">
        <f ca="1">IF(AND(テーブル1[[#This Row],[描画状況]]="済",テーブル1[[#This Row],[投稿状況]]=""),RAND(),"")</f>
        <v/>
      </c>
      <c r="T89" s="23" t="str">
        <f>"|&amp;image("&amp;テーブル1[[#This Row],[画像]]&amp;".png,width=100,height=100)"</f>
        <v>|&amp;image(abschan.png,width=100,height=100)</v>
      </c>
      <c r="U89" s="23" t="str">
        <f>"|MIDDLE:​"&amp;テーブル1[[#This Row],[名前]]</f>
        <v>|MIDDLE:​ふっきんちゃん</v>
      </c>
      <c r="V89" s="23" t="str">
        <f>"|MIDDLE:​"&amp;テーブル1[[#This Row],[なまえ]]</f>
        <v>|MIDDLE:​ふっきんちゃん</v>
      </c>
      <c r="W89" s="23" t="str">
        <f>"|MIDDLE:​"&amp;テーブル1[[#This Row],[Name]]</f>
        <v>|MIDDLE:​Abschan</v>
      </c>
      <c r="X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4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359</v>
      </c>
      <c r="D90" s="23" t="s">
        <v>360</v>
      </c>
      <c r="E90" s="23" t="s">
        <v>361</v>
      </c>
      <c r="F90" s="2" t="s">
        <v>362</v>
      </c>
      <c r="G90" s="23" t="s">
        <v>363</v>
      </c>
      <c r="N90" s="1" t="s">
        <v>1443</v>
      </c>
      <c r="O90" s="24" t="str">
        <f>テーブル1[[#This Row],[リンク]]&amp;テーブル1[[#This Row],[描画状況]]</f>
        <v>https://uta-tsunagi.jimdofree.com済</v>
      </c>
      <c r="P90" s="17">
        <f>1-(COUNTIF(O:O,_xlfn.TEXTJOIN(",",TRUE,テーブル1[[#This Row],[リンク]],テーブル1[[#This Row],[描画状況]]))/COUNTIF(F:F,テーブル1[[#This Row],[リンク]]))</f>
        <v>1</v>
      </c>
      <c r="Q90" s="16" t="str">
        <f ca="1">IFERROR(IF(テーブル1[[#This Row],[描画状況]]="",RAND()+(テーブル1[[#This Row],[列2]]*100),""),RAND())</f>
        <v/>
      </c>
      <c r="R90" s="1" t="s">
        <v>12</v>
      </c>
      <c r="S90" s="24" t="str">
        <f ca="1">IF(AND(テーブル1[[#This Row],[描画状況]]="済",テーブル1[[#This Row],[投稿状況]]=""),RAND(),"")</f>
        <v/>
      </c>
      <c r="T90" s="23" t="str">
        <f>"|&amp;image("&amp;テーブル1[[#This Row],[画像]]&amp;".png,width=100,height=100)"</f>
        <v>|&amp;image(hoga-not.png,width=100,height=100)</v>
      </c>
      <c r="U90" s="23" t="str">
        <f>"|MIDDLE:​"&amp;テーブル1[[#This Row],[名前]]</f>
        <v>|MIDDLE:​芳歌ノト</v>
      </c>
      <c r="V90" s="23" t="str">
        <f>"|MIDDLE:​"&amp;テーブル1[[#This Row],[なまえ]]</f>
        <v>|MIDDLE:​ほうが のと</v>
      </c>
      <c r="W90" s="23" t="str">
        <f>"|MIDDLE:​"&amp;テーブル1[[#This Row],[Name]]</f>
        <v>|MIDDLE:​Hoga Not</v>
      </c>
      <c r="X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4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266</v>
      </c>
      <c r="D91" s="23" t="s">
        <v>267</v>
      </c>
      <c r="E91" s="23" t="s">
        <v>268</v>
      </c>
      <c r="F91" s="2" t="s">
        <v>256</v>
      </c>
      <c r="G91" s="23" t="s">
        <v>269</v>
      </c>
      <c r="N91" s="1" t="s">
        <v>1443</v>
      </c>
      <c r="O91" s="24" t="str">
        <f>テーブル1[[#This Row],[リンク]]&amp;テーブル1[[#This Row],[描画状況]]</f>
        <v>https://nyaruru.wixsite.com/s-p-w済</v>
      </c>
      <c r="P91" s="17">
        <f>1-(COUNTIF(O:O,_xlfn.TEXTJOIN(",",TRUE,テーブル1[[#This Row],[リンク]],テーブル1[[#This Row],[描画状況]]))/COUNTIF(F:F,テーブル1[[#This Row],[リンク]]))</f>
        <v>1</v>
      </c>
      <c r="Q91" s="16" t="str">
        <f ca="1">IFERROR(IF(テーブル1[[#This Row],[描画状況]]="",RAND()+(テーブル1[[#This Row],[列2]]*100),""),RAND())</f>
        <v/>
      </c>
      <c r="R91" s="1" t="s">
        <v>12</v>
      </c>
      <c r="S91" s="24" t="str">
        <f ca="1">IF(AND(テーブル1[[#This Row],[描画状況]]="済",テーブル1[[#This Row],[投稿状況]]=""),RAND(),"")</f>
        <v/>
      </c>
      <c r="T91" s="23" t="str">
        <f>"|&amp;image("&amp;テーブル1[[#This Row],[画像]]&amp;".png,width=100,height=100)"</f>
        <v>|&amp;image(hoshikawa-tia.png,width=100,height=100)</v>
      </c>
      <c r="U91" s="23" t="str">
        <f>"|MIDDLE:​"&amp;テーブル1[[#This Row],[名前]]</f>
        <v>|MIDDLE:​星河ティア</v>
      </c>
      <c r="V91" s="23" t="str">
        <f>"|MIDDLE:​"&amp;テーブル1[[#This Row],[なまえ]]</f>
        <v>|MIDDLE:​ほしかわ てぃあ</v>
      </c>
      <c r="W91" s="23" t="str">
        <f>"|MIDDLE:​"&amp;テーブル1[[#This Row],[Name]]</f>
        <v>|MIDDLE:​Hoshikawa Tia</v>
      </c>
      <c r="X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4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270</v>
      </c>
      <c r="D92" s="23" t="s">
        <v>271</v>
      </c>
      <c r="E92" s="23" t="s">
        <v>272</v>
      </c>
      <c r="F92" s="2" t="s">
        <v>256</v>
      </c>
      <c r="G92" s="23" t="s">
        <v>273</v>
      </c>
      <c r="N92" s="1" t="s">
        <v>1443</v>
      </c>
      <c r="O92" s="24" t="str">
        <f>テーブル1[[#This Row],[リンク]]&amp;テーブル1[[#This Row],[描画状況]]</f>
        <v>https://nyaruru.wixsite.com/s-p-w済</v>
      </c>
      <c r="P92" s="17">
        <f>1-(COUNTIF(O:O,_xlfn.TEXTJOIN(",",TRUE,テーブル1[[#This Row],[リンク]],テーブル1[[#This Row],[描画状況]]))/COUNTIF(F:F,テーブル1[[#This Row],[リンク]]))</f>
        <v>1</v>
      </c>
      <c r="Q92" s="16" t="str">
        <f ca="1">IFERROR(IF(テーブル1[[#This Row],[描画状況]]="",RAND()+(テーブル1[[#This Row],[列2]]*100),""),RAND())</f>
        <v/>
      </c>
      <c r="R92" s="1" t="s">
        <v>12</v>
      </c>
      <c r="S92" s="24" t="str">
        <f ca="1">IF(AND(テーブル1[[#This Row],[描画状況]]="済",テーブル1[[#This Row],[投稿状況]]=""),RAND(),"")</f>
        <v/>
      </c>
      <c r="T92" s="23" t="str">
        <f>"|&amp;image("&amp;テーブル1[[#This Row],[画像]]&amp;".png,width=100,height=100)"</f>
        <v>|&amp;image(hoshikawa-furea.png,width=100,height=100)</v>
      </c>
      <c r="U92" s="23" t="str">
        <f>"|MIDDLE:​"&amp;テーブル1[[#This Row],[名前]]</f>
        <v>|MIDDLE:​星河フレア</v>
      </c>
      <c r="V92" s="23" t="str">
        <f>"|MIDDLE:​"&amp;テーブル1[[#This Row],[なまえ]]</f>
        <v>|MIDDLE:​ほしかわ ふれあ</v>
      </c>
      <c r="W92" s="23" t="str">
        <f>"|MIDDLE:​"&amp;テーブル1[[#This Row],[Name]]</f>
        <v>|MIDDLE:​Hoshikawa Furea</v>
      </c>
      <c r="X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4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102</v>
      </c>
      <c r="D93" s="23" t="s">
        <v>103</v>
      </c>
      <c r="E93" s="23" t="s">
        <v>104</v>
      </c>
      <c r="F93" s="2" t="s">
        <v>105</v>
      </c>
      <c r="G93" s="23" t="s">
        <v>106</v>
      </c>
      <c r="M93" s="1" t="s">
        <v>1517</v>
      </c>
      <c r="N93" s="1" t="s">
        <v>1443</v>
      </c>
      <c r="O93" s="24" t="str">
        <f>テーブル1[[#This Row],[リンク]]&amp;テーブル1[[#This Row],[描画状況]]</f>
        <v>https://hosiyomi.jimdofree.com済</v>
      </c>
      <c r="P93" s="17">
        <f>1-(COUNTIF(O:O,_xlfn.TEXTJOIN(",",TRUE,テーブル1[[#This Row],[リンク]],テーブル1[[#This Row],[描画状況]]))/COUNTIF(F:F,テーブル1[[#This Row],[リンク]]))</f>
        <v>1</v>
      </c>
      <c r="Q93" s="16" t="str">
        <f ca="1">IFERROR(IF(テーブル1[[#This Row],[描画状況]]="",RAND()+(テーブル1[[#This Row],[列2]]*100),""),RAND())</f>
        <v/>
      </c>
      <c r="R93" s="1" t="s">
        <v>12</v>
      </c>
      <c r="S93" s="24" t="str">
        <f ca="1">IF(AND(テーブル1[[#This Row],[描画状況]]="済",テーブル1[[#This Row],[投稿状況]]=""),RAND(),"")</f>
        <v/>
      </c>
      <c r="T93" s="23" t="str">
        <f>"|&amp;image("&amp;テーブル1[[#This Row],[画像]]&amp;".png,width=100,height=100)"</f>
        <v>|&amp;image(hosiyomi-yume.png,width=100,height=100)</v>
      </c>
      <c r="U93" s="23" t="str">
        <f>"|MIDDLE:​"&amp;テーブル1[[#This Row],[名前]]</f>
        <v>|MIDDLE:​星詠ゆめ</v>
      </c>
      <c r="V93" s="23" t="str">
        <f>"|MIDDLE:​"&amp;テーブル1[[#This Row],[なまえ]]</f>
        <v>|MIDDLE:​ほしよみ ゆめ</v>
      </c>
      <c r="W93" s="23" t="str">
        <f>"|MIDDLE:​"&amp;テーブル1[[#This Row],[Name]]</f>
        <v>|MIDDLE:​Hosiyomi Yume</v>
      </c>
      <c r="X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4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M94" s="1" t="s">
        <v>1518</v>
      </c>
      <c r="N94" s="1" t="s">
        <v>1443</v>
      </c>
      <c r="O94" s="24" t="str">
        <f>テーブル1[[#This Row],[リンク]]&amp;テーブル1[[#This Row],[描画状況]]</f>
        <v>http://park2.wakwak.com/~mbox/vo/hk/hkfre.htm済</v>
      </c>
      <c r="P94" s="17">
        <f>1-(COUNTIF(O:O,_xlfn.TEXTJOIN(",",TRUE,テーブル1[[#This Row],[リンク]],テーブル1[[#This Row],[描画状況]]))/COUNTIF(F:F,テーブル1[[#This Row],[リンク]]))</f>
        <v>1</v>
      </c>
      <c r="Q94" s="16" t="str">
        <f ca="1">IFERROR(IF(テーブル1[[#This Row],[描画状況]]="",RAND()+(テーブル1[[#This Row],[列2]]*100),""),RAND())</f>
        <v/>
      </c>
      <c r="R94" s="1" t="s">
        <v>12</v>
      </c>
      <c r="S94" s="24" t="str">
        <f ca="1">IF(AND(テーブル1[[#This Row],[描画状況]]="済",テーブル1[[#This Row],[投稿状況]]=""),RAND(),"")</f>
        <v/>
      </c>
      <c r="T94" s="23" t="str">
        <f>"|&amp;image("&amp;テーブル1[[#This Row],[画像]]&amp;".png,width=100,height=100)"</f>
        <v>|&amp;image(hotaru.png,width=100,height=100)</v>
      </c>
      <c r="U94" s="23" t="str">
        <f>"|MIDDLE:​"&amp;テーブル1[[#This Row],[名前]]</f>
        <v>|MIDDLE:​蛍(ほたる)</v>
      </c>
      <c r="V94" s="23" t="str">
        <f>"|MIDDLE:​"&amp;テーブル1[[#This Row],[なまえ]]</f>
        <v>|MIDDLE:​ほたる</v>
      </c>
      <c r="W94" s="23" t="str">
        <f>"|MIDDLE:​"&amp;テーブル1[[#This Row],[Name]]</f>
        <v>|MIDDLE:​Hotaru</v>
      </c>
      <c r="X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4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M95" s="1" t="s">
        <v>1517</v>
      </c>
      <c r="N95" s="1" t="s">
        <v>1443</v>
      </c>
      <c r="O95" s="24" t="str">
        <f>テーブル1[[#This Row],[リンク]]&amp;テーブル1[[#This Row],[描画状況]]</f>
        <v>http://lllll17.web.fc2.com/index.html済</v>
      </c>
      <c r="P95" s="17">
        <f>1-(COUNTIF(O:O,_xlfn.TEXTJOIN(",",TRUE,テーブル1[[#This Row],[リンク]],テーブル1[[#This Row],[描画状況]]))/COUNTIF(F:F,テーブル1[[#This Row],[リンク]]))</f>
        <v>1</v>
      </c>
      <c r="Q95" s="16" t="str">
        <f ca="1">IFERROR(IF(テーブル1[[#This Row],[描画状況]]="",RAND()+(テーブル1[[#This Row],[列2]]*100),""),RAND())</f>
        <v/>
      </c>
      <c r="R95" s="1" t="s">
        <v>12</v>
      </c>
      <c r="S95" s="24" t="str">
        <f ca="1">IF(AND(テーブル1[[#This Row],[描画状況]]="済",テーブル1[[#This Row],[投稿状況]]=""),RAND(),"")</f>
        <v/>
      </c>
      <c r="T95" s="23" t="str">
        <f>"|&amp;image("&amp;テーブル1[[#This Row],[画像]]&amp;".png,width=100,height=100)"</f>
        <v>|&amp;image(matsudappoine.png,width=100,height=100)</v>
      </c>
      <c r="U95" s="23" t="str">
        <f>"|MIDDLE:​"&amp;テーブル1[[#This Row],[名前]]</f>
        <v>|MIDDLE:​松田っぽいね</v>
      </c>
      <c r="V95" s="23" t="str">
        <f>"|MIDDLE:​"&amp;テーブル1[[#This Row],[なまえ]]</f>
        <v>|MIDDLE:​まつだっぽいね</v>
      </c>
      <c r="W95" s="23" t="str">
        <f>"|MIDDLE:​"&amp;テーブル1[[#This Row],[Name]]</f>
        <v>|MIDDLE:​Matsudappoine</v>
      </c>
      <c r="X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4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M96" s="1" t="s">
        <v>1517</v>
      </c>
      <c r="N96" s="1" t="s">
        <v>1443</v>
      </c>
      <c r="O96" s="24" t="str">
        <f>テーブル1[[#This Row],[リンク]]&amp;テーブル1[[#This Row],[描画状況]]</f>
        <v>http://lllll17.web.fc2.com/index.html済</v>
      </c>
      <c r="P96" s="17">
        <f>1-(COUNTIF(O:O,_xlfn.TEXTJOIN(",",TRUE,テーブル1[[#This Row],[リンク]],テーブル1[[#This Row],[描画状況]]))/COUNTIF(F:F,テーブル1[[#This Row],[リンク]]))</f>
        <v>1</v>
      </c>
      <c r="Q96" s="16" t="str">
        <f ca="1">IFERROR(IF(テーブル1[[#This Row],[描画状況]]="",RAND()+(テーブル1[[#This Row],[列2]]*100),""),RAND())</f>
        <v/>
      </c>
      <c r="R96" s="1" t="s">
        <v>12</v>
      </c>
      <c r="S96" s="24" t="str">
        <f ca="1">IF(AND(テーブル1[[#This Row],[描画状況]]="済",テーブル1[[#This Row],[投稿状況]]=""),RAND(),"")</f>
        <v/>
      </c>
      <c r="T96" s="23" t="str">
        <f>"|&amp;image("&amp;テーブル1[[#This Row],[画像]]&amp;".png,width=100,height=100)"</f>
        <v>|&amp;image(matsudappoiyo.png,width=100,height=100)</v>
      </c>
      <c r="U96" s="23" t="str">
        <f>"|MIDDLE:​"&amp;テーブル1[[#This Row],[名前]]</f>
        <v>|MIDDLE:​松田っぽいよ</v>
      </c>
      <c r="V96" s="23" t="str">
        <f>"|MIDDLE:​"&amp;テーブル1[[#This Row],[なまえ]]</f>
        <v>|MIDDLE:​まつだっぽいよ</v>
      </c>
      <c r="W96" s="23" t="str">
        <f>"|MIDDLE:​"&amp;テーブル1[[#This Row],[Name]]</f>
        <v>|MIDDLE:​Matsudappoiyo</v>
      </c>
      <c r="X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4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247</v>
      </c>
      <c r="D97" s="23" t="s">
        <v>248</v>
      </c>
      <c r="E97" s="23" t="s">
        <v>249</v>
      </c>
      <c r="F97" s="2" t="s">
        <v>241</v>
      </c>
      <c r="G97" s="23" t="s">
        <v>242</v>
      </c>
      <c r="N97" s="1" t="s">
        <v>1443</v>
      </c>
      <c r="O97" s="24" t="str">
        <f>テーブル1[[#This Row],[リンク]]&amp;テーブル1[[#This Row],[描画状況]]</f>
        <v>https://nichikuniku1129063.wixsite.com/website-3済</v>
      </c>
      <c r="P97" s="17">
        <f>1-(COUNTIF(O:O,_xlfn.TEXTJOIN(",",TRUE,テーブル1[[#This Row],[リンク]],テーブル1[[#This Row],[描画状況]]))/COUNTIF(F:F,テーブル1[[#This Row],[リンク]]))</f>
        <v>1</v>
      </c>
      <c r="Q97" s="16" t="str">
        <f ca="1">IFERROR(IF(テーブル1[[#This Row],[描画状況]]="",RAND()+(テーブル1[[#This Row],[列2]]*100),""),RAND())</f>
        <v/>
      </c>
      <c r="R97" s="1" t="s">
        <v>12</v>
      </c>
      <c r="S97" s="24" t="str">
        <f ca="1">IF(AND(テーブル1[[#This Row],[描画状況]]="済",テーブル1[[#This Row],[投稿状況]]=""),RAND(),"")</f>
        <v/>
      </c>
      <c r="T97" s="23" t="str">
        <f>"|&amp;image("&amp;テーブル1[[#This Row],[画像]]&amp;".png,width=100,height=100)"</f>
        <v>|&amp;image(matsuyuki-chitose.png,width=100,height=100)</v>
      </c>
      <c r="U97" s="23" t="str">
        <f>"|MIDDLE:​"&amp;テーブル1[[#This Row],[名前]]</f>
        <v>|MIDDLE:​​沫幸チトセ</v>
      </c>
      <c r="V97" s="23" t="str">
        <f>"|MIDDLE:​"&amp;テーブル1[[#This Row],[なまえ]]</f>
        <v>|MIDDLE:​まつゆき ちとせ</v>
      </c>
      <c r="W97" s="23" t="str">
        <f>"|MIDDLE:​"&amp;テーブル1[[#This Row],[Name]]</f>
        <v>|MIDDLE:​Matsuyuki Chitose</v>
      </c>
      <c r="X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4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399</v>
      </c>
      <c r="D98" s="23" t="s">
        <v>400</v>
      </c>
      <c r="E98" s="23" t="s">
        <v>401</v>
      </c>
      <c r="F98" s="2" t="s">
        <v>402</v>
      </c>
      <c r="G98" s="23" t="s">
        <v>403</v>
      </c>
      <c r="N98" s="1" t="s">
        <v>1443</v>
      </c>
      <c r="O98" s="24" t="str">
        <f>テーブル1[[#This Row],[リンク]]&amp;テーブル1[[#This Row],[描画状況]]</f>
        <v>https://www.postype.com/@utau-deepvocal-dalso済</v>
      </c>
      <c r="P98" s="17">
        <f>1-(COUNTIF(O:O,_xlfn.TEXTJOIN(",",TRUE,テーブル1[[#This Row],[リンク]],テーブル1[[#This Row],[描画状況]]))/COUNTIF(F:F,テーブル1[[#This Row],[リンク]]))</f>
        <v>1</v>
      </c>
      <c r="Q98" s="16" t="str">
        <f ca="1">IFERROR(IF(テーブル1[[#This Row],[描画状況]]="",RAND()+(テーブル1[[#This Row],[列2]]*100),""),RAND())</f>
        <v/>
      </c>
      <c r="R98" s="1" t="s">
        <v>12</v>
      </c>
      <c r="S98" s="24" t="str">
        <f ca="1">IF(AND(テーブル1[[#This Row],[描画状況]]="済",テーブル1[[#This Row],[投稿状況]]=""),RAND(),"")</f>
        <v/>
      </c>
      <c r="T98" s="23" t="str">
        <f>"|&amp;image("&amp;テーブル1[[#This Row],[画像]]&amp;".png,width=100,height=100)"</f>
        <v>|&amp;image(marune-shunichi.png,width=100,height=100)</v>
      </c>
      <c r="U98" s="23" t="str">
        <f>"|MIDDLE:​"&amp;テーブル1[[#This Row],[名前]]</f>
        <v>|MIDDLE:​円音春二ノ前</v>
      </c>
      <c r="V98" s="23" t="str">
        <f>"|MIDDLE:​"&amp;テーブル1[[#This Row],[なまえ]]</f>
        <v>|MIDDLE:​まるね しゅんいち</v>
      </c>
      <c r="W98" s="23" t="str">
        <f>"|MIDDLE:​"&amp;テーブル1[[#This Row],[Name]]</f>
        <v>|MIDDLE:​Marune Shunichi</v>
      </c>
      <c r="X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4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383</v>
      </c>
      <c r="D99" s="23" t="s">
        <v>384</v>
      </c>
      <c r="E99" s="23" t="s">
        <v>385</v>
      </c>
      <c r="F99" s="2" t="s">
        <v>381</v>
      </c>
      <c r="G99" s="23" t="s">
        <v>382</v>
      </c>
      <c r="N99" s="1" t="s">
        <v>1443</v>
      </c>
      <c r="O99" s="24" t="str">
        <f>テーブル1[[#This Row],[リンク]]&amp;テーブル1[[#This Row],[描画状況]]</f>
        <v>https://utauudon.wixsite.com/origamisyokudou済</v>
      </c>
      <c r="P99" s="17">
        <f>1-(COUNTIF(O:O,_xlfn.TEXTJOIN(",",TRUE,テーブル1[[#This Row],[リンク]],テーブル1[[#This Row],[描画状況]]))/COUNTIF(F:F,テーブル1[[#This Row],[リンク]]))</f>
        <v>1</v>
      </c>
      <c r="Q99" s="16" t="str">
        <f ca="1">IFERROR(IF(テーブル1[[#This Row],[描画状況]]="",RAND()+(テーブル1[[#This Row],[列2]]*100),""),RAND())</f>
        <v/>
      </c>
      <c r="R99" s="1" t="s">
        <v>12</v>
      </c>
      <c r="S99" s="24" t="str">
        <f ca="1">IF(AND(テーブル1[[#This Row],[描画状況]]="済",テーブル1[[#This Row],[投稿状況]]=""),RAND(),"")</f>
        <v/>
      </c>
      <c r="T99" s="23" t="str">
        <f>"|&amp;image("&amp;テーブル1[[#This Row],[画像]]&amp;".png,width=100,height=100)"</f>
        <v>|&amp;image(mikuji.png,width=100,height=100)</v>
      </c>
      <c r="U99" s="23" t="str">
        <f>"|MIDDLE:​"&amp;テーブル1[[#This Row],[名前]]</f>
        <v>|MIDDLE:​​みくじ</v>
      </c>
      <c r="V99" s="23" t="str">
        <f>"|MIDDLE:​"&amp;テーブル1[[#This Row],[なまえ]]</f>
        <v>|MIDDLE:​みくじ</v>
      </c>
      <c r="W99" s="23" t="str">
        <f>"|MIDDLE:​"&amp;テーブル1[[#This Row],[Name]]</f>
        <v>|MIDDLE:​mikuji</v>
      </c>
      <c r="X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4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386</v>
      </c>
      <c r="D100" s="23" t="s">
        <v>387</v>
      </c>
      <c r="E100" s="23" t="s">
        <v>388</v>
      </c>
      <c r="F100" s="2" t="s">
        <v>381</v>
      </c>
      <c r="G100" s="23" t="s">
        <v>382</v>
      </c>
      <c r="N100" s="1" t="s">
        <v>1443</v>
      </c>
      <c r="O100" s="24" t="str">
        <f>テーブル1[[#This Row],[リンク]]&amp;テーブル1[[#This Row],[描画状況]]</f>
        <v>https://utauudon.wixsite.com/origamisyokudou済</v>
      </c>
      <c r="P100" s="17">
        <f>1-(COUNTIF(O:O,_xlfn.TEXTJOIN(",",TRUE,テーブル1[[#This Row],[リンク]],テーブル1[[#This Row],[描画状況]]))/COUNTIF(F:F,テーブル1[[#This Row],[リンク]]))</f>
        <v>1</v>
      </c>
      <c r="Q100" s="16" t="str">
        <f ca="1">IFERROR(IF(テーブル1[[#This Row],[描画状況]]="",RAND()+(テーブル1[[#This Row],[列2]]*100),""),RAND())</f>
        <v/>
      </c>
      <c r="R100" s="1" t="s">
        <v>12</v>
      </c>
      <c r="S100" s="24" t="str">
        <f ca="1">IF(AND(テーブル1[[#This Row],[描画状況]]="済",テーブル1[[#This Row],[投稿状況]]=""),RAND(),"")</f>
        <v/>
      </c>
      <c r="T100" s="23" t="str">
        <f>"|&amp;image("&amp;テーブル1[[#This Row],[画像]]&amp;".png,width=100,height=100)"</f>
        <v>|&amp;image(mx-dream.png,width=100,height=100)</v>
      </c>
      <c r="U100" s="23" t="str">
        <f>"|MIDDLE:​"&amp;テーブル1[[#This Row],[名前]]</f>
        <v>|MIDDLE:​Mx.ドリーム</v>
      </c>
      <c r="V100" s="23" t="str">
        <f>"|MIDDLE:​"&amp;テーブル1[[#This Row],[なまえ]]</f>
        <v>|MIDDLE:​みくす どりーむ</v>
      </c>
      <c r="W100" s="23" t="str">
        <f>"|MIDDLE:​"&amp;テーブル1[[#This Row],[Name]]</f>
        <v>|MIDDLE:​Mx.Dream</v>
      </c>
      <c r="X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4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375</v>
      </c>
      <c r="D101" s="23" t="s">
        <v>376</v>
      </c>
      <c r="E101" s="23" t="s">
        <v>377</v>
      </c>
      <c r="F101" s="2" t="s">
        <v>373</v>
      </c>
      <c r="G101" s="23" t="s">
        <v>378</v>
      </c>
      <c r="H101" s="23" t="s">
        <v>1626</v>
      </c>
      <c r="I101" s="23" t="s">
        <v>1680</v>
      </c>
      <c r="J101" s="23" t="s">
        <v>1681</v>
      </c>
      <c r="K101" s="23" t="s">
        <v>1683</v>
      </c>
      <c r="L101" s="23" t="s">
        <v>1682</v>
      </c>
      <c r="N101" s="1" t="s">
        <v>1443</v>
      </c>
      <c r="O101" s="24" t="str">
        <f>テーブル1[[#This Row],[リンク]]&amp;テーブル1[[#This Row],[描画状況]]</f>
        <v>https://utausuzuminnya.jimdofree.com済</v>
      </c>
      <c r="P101" s="17">
        <f>1-(COUNTIF(O:O,_xlfn.TEXTJOIN(",",TRUE,テーブル1[[#This Row],[リンク]],テーブル1[[#This Row],[描画状況]]))/COUNTIF(F:F,テーブル1[[#This Row],[リンク]]))</f>
        <v>1</v>
      </c>
      <c r="Q101" s="16" t="str">
        <f ca="1">IFERROR(IF(テーブル1[[#This Row],[描画状況]]="",RAND()+(テーブル1[[#This Row],[列2]]*100),""),RAND())</f>
        <v/>
      </c>
      <c r="R101" s="1" t="s">
        <v>12</v>
      </c>
      <c r="S101" s="24" t="str">
        <f ca="1">IF(AND(テーブル1[[#This Row],[描画状況]]="済",テーブル1[[#This Row],[投稿状況]]=""),RAND(),"")</f>
        <v/>
      </c>
      <c r="T101" s="23" t="str">
        <f>"|&amp;image("&amp;テーブル1[[#This Row],[画像]]&amp;".png,width=100,height=100)"</f>
        <v>|&amp;image(melua-miumiu.png,width=100,height=100)</v>
      </c>
      <c r="U101" s="23" t="str">
        <f>"|MIDDLE:​"&amp;テーブル1[[#This Row],[名前]]</f>
        <v>|MIDDLE:​苺愛みゅみゅ</v>
      </c>
      <c r="V101" s="23" t="str">
        <f>"|MIDDLE:​"&amp;テーブル1[[#This Row],[なまえ]]</f>
        <v>|MIDDLE:​めるあ みゅみゅ</v>
      </c>
      <c r="W101" s="23" t="str">
        <f>"|MIDDLE:​"&amp;テーブル1[[#This Row],[Name]]</f>
        <v>|MIDDLE:​Melua Miumiu</v>
      </c>
      <c r="X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4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221</v>
      </c>
      <c r="D102" s="23" t="s">
        <v>222</v>
      </c>
      <c r="E102" s="23" t="s">
        <v>223</v>
      </c>
      <c r="F102" s="2" t="s">
        <v>219</v>
      </c>
      <c r="G102" s="23" t="s">
        <v>220</v>
      </c>
      <c r="N102" s="1" t="s">
        <v>1443</v>
      </c>
      <c r="O102" s="24" t="str">
        <f>テーブル1[[#This Row],[リンク]]&amp;テーブル1[[#This Row],[描画状況]]</f>
        <v>https://moqujc.wixsite.com/mqtop済</v>
      </c>
      <c r="P102" s="17">
        <f>1-(COUNTIF(O:O,_xlfn.TEXTJOIN(",",TRUE,テーブル1[[#This Row],[リンク]],テーブル1[[#This Row],[描画状況]]))/COUNTIF(F:F,テーブル1[[#This Row],[リンク]]))</f>
        <v>1</v>
      </c>
      <c r="Q102" s="16" t="str">
        <f ca="1">IFERROR(IF(テーブル1[[#This Row],[描画状況]]="",RAND()+(テーブル1[[#This Row],[列2]]*100),""),RAND())</f>
        <v/>
      </c>
      <c r="R102" s="1" t="s">
        <v>12</v>
      </c>
      <c r="S102" s="24" t="str">
        <f ca="1">IF(AND(テーブル1[[#This Row],[描画状況]]="済",テーブル1[[#This Row],[投稿状況]]=""),RAND(),"")</f>
        <v/>
      </c>
      <c r="T102" s="23" t="str">
        <f>"|&amp;image("&amp;テーブル1[[#This Row],[画像]]&amp;".png,width=100,height=100)"</f>
        <v>|&amp;image(yakazuroid.png,width=100,height=100)</v>
      </c>
      <c r="U102" s="23" t="str">
        <f>"|MIDDLE:​"&amp;テーブル1[[#This Row],[名前]]</f>
        <v>|MIDDLE:​ykzroid-5000 HSC TG</v>
      </c>
      <c r="V102" s="23" t="str">
        <f>"|MIDDLE:​"&amp;テーブル1[[#This Row],[なまえ]]</f>
        <v>|MIDDLE:​やかずろいど</v>
      </c>
      <c r="W102" s="23" t="str">
        <f>"|MIDDLE:​"&amp;テーブル1[[#This Row],[Name]]</f>
        <v>|MIDDLE:​Yakazuroid</v>
      </c>
      <c r="X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4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78</v>
      </c>
      <c r="D103" s="23" t="s">
        <v>79</v>
      </c>
      <c r="E103" s="23" t="s">
        <v>80</v>
      </c>
      <c r="F103" s="27" t="s">
        <v>1628</v>
      </c>
      <c r="G103" s="23" t="s">
        <v>77</v>
      </c>
      <c r="M103" s="1" t="s">
        <v>1518</v>
      </c>
      <c r="N103" s="1" t="s">
        <v>1443</v>
      </c>
      <c r="O103" s="24" t="str">
        <f>テーブル1[[#This Row],[リンク]]&amp;テーブル1[[#This Row],[描画状況]]</f>
        <v>https://utau.kurotsuka.xyz済</v>
      </c>
      <c r="P103" s="17">
        <f>1-(COUNTIF(O:O,_xlfn.TEXTJOIN(",",TRUE,テーブル1[[#This Row],[リンク]],テーブル1[[#This Row],[描画状況]]))/COUNTIF(F:F,テーブル1[[#This Row],[リンク]]))</f>
        <v>1</v>
      </c>
      <c r="Q103" s="16" t="str">
        <f ca="1">IFERROR(IF(テーブル1[[#This Row],[描画状況]]="",RAND()+(テーブル1[[#This Row],[列2]]*100),""),RAND())</f>
        <v/>
      </c>
      <c r="R103" s="1" t="s">
        <v>12</v>
      </c>
      <c r="S103" s="24" t="str">
        <f ca="1">IF(AND(テーブル1[[#This Row],[描画状況]]="済",テーブル1[[#This Row],[投稿状況]]=""),RAND(),"")</f>
        <v/>
      </c>
      <c r="T103" s="23" t="str">
        <f>"|&amp;image("&amp;テーブル1[[#This Row],[画像]]&amp;".png,width=100,height=100)"</f>
        <v>|&amp;image(yamitsuka-kuroitsu.png,width=100,height=100)</v>
      </c>
      <c r="U103" s="23" t="str">
        <f>"|MIDDLE:​"&amp;テーブル1[[#This Row],[名前]]</f>
        <v>|MIDDLE:​闇塚黒逸</v>
      </c>
      <c r="V103" s="23" t="str">
        <f>"|MIDDLE:​"&amp;テーブル1[[#This Row],[なまえ]]</f>
        <v>|MIDDLE:​やみつか くろいつ</v>
      </c>
      <c r="W103" s="23" t="str">
        <f>"|MIDDLE:​"&amp;テーブル1[[#This Row],[Name]]</f>
        <v>|MIDDLE:​Yamitsuka Kuroitsu</v>
      </c>
      <c r="X103" s="23" t="str">
        <f>"|MIDDLE:​&amp;link(配布所はこちら){​"&amp;テーブル1[[#This Row],[リンク]]&amp;"}|"</f>
        <v>|MIDDLE:​&amp;link(配布所はこちら){​https://utau.kurotsuka.xyz}|</v>
      </c>
    </row>
    <row r="104" spans="1:24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349</v>
      </c>
      <c r="D104" s="23" t="s">
        <v>350</v>
      </c>
      <c r="E104" s="23" t="s">
        <v>351</v>
      </c>
      <c r="F104" s="2" t="s">
        <v>347</v>
      </c>
      <c r="G104" s="23" t="s">
        <v>348</v>
      </c>
      <c r="H104" s="23" t="s">
        <v>1627</v>
      </c>
      <c r="I104" s="23" t="s">
        <v>1636</v>
      </c>
      <c r="J104" s="23" t="s">
        <v>1693</v>
      </c>
      <c r="K104" s="23" t="s">
        <v>1637</v>
      </c>
      <c r="N104" s="1" t="s">
        <v>1443</v>
      </c>
      <c r="O104" s="24" t="str">
        <f>テーブル1[[#This Row],[リンク]]&amp;テーブル1[[#This Row],[描画状況]]</f>
        <v>https://tourist100f.wixsite.com/utakata-kosyo済</v>
      </c>
      <c r="P104" s="17">
        <f>1-(COUNTIF(O:O,_xlfn.TEXTJOIN(",",TRUE,テーブル1[[#This Row],[リンク]],テーブル1[[#This Row],[描画状況]]))/COUNTIF(F:F,テーブル1[[#This Row],[リンク]]))</f>
        <v>1</v>
      </c>
      <c r="Q104" s="16" t="str">
        <f ca="1">IFERROR(IF(テーブル1[[#This Row],[描画状況]]="",RAND()+(テーブル1[[#This Row],[列2]]*100),""),RAND())</f>
        <v/>
      </c>
      <c r="R104" s="1" t="s">
        <v>12</v>
      </c>
      <c r="S104" s="24" t="str">
        <f ca="1">IF(AND(テーブル1[[#This Row],[描画状況]]="済",テーブル1[[#This Row],[投稿状況]]=""),RAND(),"")</f>
        <v/>
      </c>
      <c r="T104" s="23" t="str">
        <f>"|&amp;image("&amp;テーブル1[[#This Row],[画像]]&amp;".png,width=100,height=100)"</f>
        <v>|&amp;image(yumeji-katari.png,width=100,height=100)</v>
      </c>
      <c r="U104" s="23" t="str">
        <f>"|MIDDLE:​"&amp;テーブル1[[#This Row],[名前]]</f>
        <v>|MIDDLE:​夢路語</v>
      </c>
      <c r="V104" s="23" t="str">
        <f>"|MIDDLE:​"&amp;テーブル1[[#This Row],[なまえ]]</f>
        <v>|MIDDLE:​ゆめじ かたり</v>
      </c>
      <c r="W104" s="23" t="str">
        <f>"|MIDDLE:​"&amp;テーブル1[[#This Row],[Name]]</f>
        <v>|MIDDLE:​Yumeji Katari</v>
      </c>
      <c r="X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4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230</v>
      </c>
      <c r="D105" s="23" t="s">
        <v>231</v>
      </c>
      <c r="E105" s="23" t="s">
        <v>232</v>
      </c>
      <c r="F105" s="2" t="s">
        <v>233</v>
      </c>
      <c r="G105" s="23" t="s">
        <v>234</v>
      </c>
      <c r="N105" s="1" t="s">
        <v>1443</v>
      </c>
      <c r="O105" s="24" t="str">
        <f>テーブル1[[#This Row],[リンク]]&amp;テーブル1[[#This Row],[描画状況]]</f>
        <v>https://nanyuanxiaojieji.wixsite.com/yuragine-kannsokujo済</v>
      </c>
      <c r="P105" s="17">
        <f>1-(COUNTIF(O:O,_xlfn.TEXTJOIN(",",TRUE,テーブル1[[#This Row],[リンク]],テーブル1[[#This Row],[描画状況]]))/COUNTIF(F:F,テーブル1[[#This Row],[リンク]]))</f>
        <v>1</v>
      </c>
      <c r="Q105" s="16" t="str">
        <f ca="1">IFERROR(IF(テーブル1[[#This Row],[描画状況]]="",RAND()+(テーブル1[[#This Row],[列2]]*100),""),RAND())</f>
        <v/>
      </c>
      <c r="R105" s="1" t="s">
        <v>12</v>
      </c>
      <c r="S105" s="24" t="str">
        <f ca="1">IF(AND(テーブル1[[#This Row],[描画状況]]="済",テーブル1[[#This Row],[投稿状況]]=""),RAND(),"")</f>
        <v/>
      </c>
      <c r="T105" s="23" t="str">
        <f>"|&amp;image("&amp;テーブル1[[#This Row],[画像]]&amp;".png,width=100,height=100)"</f>
        <v>|&amp;image(yuragine-rio.png,width=100,height=100)</v>
      </c>
      <c r="U105" s="23" t="str">
        <f>"|MIDDLE:​"&amp;テーブル1[[#This Row],[名前]]</f>
        <v>|MIDDLE:​揺音リオ</v>
      </c>
      <c r="V105" s="23" t="str">
        <f>"|MIDDLE:​"&amp;テーブル1[[#This Row],[なまえ]]</f>
        <v>|MIDDLE:​ゆらぎね りお</v>
      </c>
      <c r="W105" s="23" t="str">
        <f>"|MIDDLE:​"&amp;テーブル1[[#This Row],[Name]]</f>
        <v>|MIDDLE:​Yuragine Rio</v>
      </c>
      <c r="X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4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422</v>
      </c>
      <c r="D106" s="23" t="s">
        <v>423</v>
      </c>
      <c r="E106" s="23" t="s">
        <v>424</v>
      </c>
      <c r="F106" s="15" t="s">
        <v>1405</v>
      </c>
      <c r="G106" s="23" t="s">
        <v>425</v>
      </c>
      <c r="N106" s="1" t="s">
        <v>1443</v>
      </c>
      <c r="O106" s="24" t="str">
        <f>テーブル1[[#This Row],[リンク]]&amp;テーブル1[[#This Row],[描画状況]]</f>
        <v>https://long-sleeper.net済</v>
      </c>
      <c r="P106" s="17">
        <f>1-(COUNTIF(O:O,_xlfn.TEXTJOIN(",",TRUE,テーブル1[[#This Row],[リンク]],テーブル1[[#This Row],[描画状況]]))/COUNTIF(F:F,テーブル1[[#This Row],[リンク]]))</f>
        <v>1</v>
      </c>
      <c r="Q106" s="16" t="str">
        <f ca="1">IFERROR(IF(テーブル1[[#This Row],[描画状況]]="",RAND()+(テーブル1[[#This Row],[列2]]*100),""),RAND())</f>
        <v/>
      </c>
      <c r="R106" s="1" t="s">
        <v>12</v>
      </c>
      <c r="S106" s="24" t="str">
        <f ca="1">IF(AND(テーブル1[[#This Row],[描画状況]]="済",テーブル1[[#This Row],[投稿状況]]=""),RAND(),"")</f>
        <v/>
      </c>
      <c r="T106" s="23" t="str">
        <f>"|&amp;image("&amp;テーブル1[[#This Row],[画像]]&amp;".png,width=100,height=100)"</f>
        <v>|&amp;image(yokune-ruko.png,width=100,height=100)</v>
      </c>
      <c r="U106" s="23" t="str">
        <f>"|MIDDLE:​"&amp;テーブル1[[#This Row],[名前]]</f>
        <v>|MIDDLE:​欲音ルコ</v>
      </c>
      <c r="V106" s="23" t="str">
        <f>"|MIDDLE:​"&amp;テーブル1[[#This Row],[なまえ]]</f>
        <v>|MIDDLE:​よくね るこ</v>
      </c>
      <c r="W106" s="23" t="str">
        <f>"|MIDDLE:​"&amp;テーブル1[[#This Row],[Name]]</f>
        <v>|MIDDLE:​Yokune Ruko</v>
      </c>
      <c r="X106" s="23" t="str">
        <f>"|MIDDLE:​&amp;link(配布所はこちら){​"&amp;テーブル1[[#This Row],[リンク]]&amp;"}|"</f>
        <v>|MIDDLE:​&amp;link(配布所はこちら){​https://long-sleeper.net}|</v>
      </c>
    </row>
    <row r="107" spans="1:24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250</v>
      </c>
      <c r="D107" s="23" t="s">
        <v>251</v>
      </c>
      <c r="E107" s="23" t="s">
        <v>252</v>
      </c>
      <c r="F107" s="2" t="s">
        <v>241</v>
      </c>
      <c r="G107" s="23" t="s">
        <v>242</v>
      </c>
      <c r="N107" s="1" t="s">
        <v>1443</v>
      </c>
      <c r="O107" s="24" t="str">
        <f>テーブル1[[#This Row],[リンク]]&amp;テーブル1[[#This Row],[描画状況]]</f>
        <v>https://nichikuniku1129063.wixsite.com/website-3済</v>
      </c>
      <c r="P107" s="17">
        <f>1-(COUNTIF(O:O,_xlfn.TEXTJOIN(",",TRUE,テーブル1[[#This Row],[リンク]],テーブル1[[#This Row],[描画状況]]))/COUNTIF(F:F,テーブル1[[#This Row],[リンク]]))</f>
        <v>1</v>
      </c>
      <c r="Q107" s="16" t="str">
        <f ca="1">IFERROR(IF(テーブル1[[#This Row],[描画状況]]="",RAND()+(テーブル1[[#This Row],[列2]]*100),""),RAND())</f>
        <v/>
      </c>
      <c r="R107" s="1" t="s">
        <v>12</v>
      </c>
      <c r="S107" s="24" t="str">
        <f ca="1">IF(AND(テーブル1[[#This Row],[描画状況]]="済",テーブル1[[#This Row],[投稿状況]]=""),RAND(),"")</f>
        <v/>
      </c>
      <c r="T107" s="23" t="str">
        <f>"|&amp;image("&amp;テーブル1[[#This Row],[画像]]&amp;".png,width=100,height=100)"</f>
        <v>|&amp;image(yomotsu-nichi.png,width=100,height=100)</v>
      </c>
      <c r="U107" s="23" t="str">
        <f>"|MIDDLE:​"&amp;テーブル1[[#This Row],[名前]]</f>
        <v>|MIDDLE:​​四方通ニチ</v>
      </c>
      <c r="V107" s="23" t="str">
        <f>"|MIDDLE:​"&amp;テーブル1[[#This Row],[なまえ]]</f>
        <v>|MIDDLE:​よもつ にち</v>
      </c>
      <c r="W107" s="23" t="str">
        <f>"|MIDDLE:​"&amp;テーブル1[[#This Row],[Name]]</f>
        <v>|MIDDLE:​Yomotsu Nichi</v>
      </c>
      <c r="X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4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199</v>
      </c>
      <c r="D108" s="23" t="s">
        <v>200</v>
      </c>
      <c r="E108" s="23" t="s">
        <v>201</v>
      </c>
      <c r="F108" s="2" t="s">
        <v>202</v>
      </c>
      <c r="G108" s="23" t="s">
        <v>203</v>
      </c>
      <c r="N108" s="1" t="s">
        <v>1443</v>
      </c>
      <c r="O108" s="24" t="str">
        <f>テーブル1[[#This Row],[リンク]]&amp;テーブル1[[#This Row],[描画状況]]</f>
        <v>https://mareffys.wixsite.com/lalo済</v>
      </c>
      <c r="P108" s="17">
        <f>1-(COUNTIF(O:O,_xlfn.TEXTJOIN(",",TRUE,テーブル1[[#This Row],[リンク]],テーブル1[[#This Row],[描画状況]]))/COUNTIF(F:F,テーブル1[[#This Row],[リンク]]))</f>
        <v>1</v>
      </c>
      <c r="Q108" s="16" t="str">
        <f ca="1">IFERROR(IF(テーブル1[[#This Row],[描画状況]]="",RAND()+(テーブル1[[#This Row],[列2]]*100),""),RAND())</f>
        <v/>
      </c>
      <c r="R108" s="1" t="s">
        <v>12</v>
      </c>
      <c r="S108" s="24" t="str">
        <f ca="1">IF(AND(テーブル1[[#This Row],[描画状況]]="済",テーブル1[[#This Row],[投稿状況]]=""),RAND(),"")</f>
        <v/>
      </c>
      <c r="T108" s="23" t="str">
        <f>"|&amp;image("&amp;テーブル1[[#This Row],[画像]]&amp;".png,width=100,height=100)"</f>
        <v>|&amp;image(laro.png,width=100,height=100)</v>
      </c>
      <c r="U108" s="23" t="str">
        <f>"|MIDDLE:​"&amp;テーブル1[[#This Row],[名前]]</f>
        <v>|MIDDLE:​ラロ</v>
      </c>
      <c r="V108" s="23" t="str">
        <f>"|MIDDLE:​"&amp;テーブル1[[#This Row],[なまえ]]</f>
        <v>|MIDDLE:​らろ</v>
      </c>
      <c r="W108" s="23" t="str">
        <f>"|MIDDLE:​"&amp;テーブル1[[#This Row],[Name]]</f>
        <v>|MIDDLE:​Laro</v>
      </c>
      <c r="X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4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305</v>
      </c>
      <c r="D109" s="23" t="s">
        <v>306</v>
      </c>
      <c r="E109" s="23" t="s">
        <v>307</v>
      </c>
      <c r="F109" s="2" t="s">
        <v>292</v>
      </c>
      <c r="G109" s="23" t="s">
        <v>293</v>
      </c>
      <c r="H109" s="23" t="s">
        <v>1627</v>
      </c>
      <c r="I109" s="23" t="s">
        <v>1654</v>
      </c>
      <c r="J109" s="23" t="s">
        <v>1673</v>
      </c>
      <c r="L109" s="23" t="s">
        <v>1664</v>
      </c>
      <c r="M109" s="1" t="s">
        <v>1517</v>
      </c>
      <c r="N109" s="1" t="s">
        <v>1443</v>
      </c>
      <c r="O109" s="24" t="str">
        <f>テーブル1[[#This Row],[リンク]]&amp;テーブル1[[#This Row],[描画状況]]</f>
        <v>https://seirentoybox.jimdofree.com済</v>
      </c>
      <c r="P109" s="17">
        <f>1-(COUNTIF(O:O,_xlfn.TEXTJOIN(",",TRUE,テーブル1[[#This Row],[リンク]],テーブル1[[#This Row],[描画状況]]))/COUNTIF(F:F,テーブル1[[#This Row],[リンク]]))</f>
        <v>1</v>
      </c>
      <c r="Q109" s="16" t="str">
        <f ca="1">IFERROR(IF(テーブル1[[#This Row],[描画状況]]="",RAND()+(テーブル1[[#This Row],[列2]]*100),""),RAND())</f>
        <v/>
      </c>
      <c r="R109" s="1" t="s">
        <v>12</v>
      </c>
      <c r="S109" s="24" t="str">
        <f ca="1">IF(AND(テーブル1[[#This Row],[描画状況]]="済",テーブル1[[#This Row],[投稿状況]]=""),RAND(),"")</f>
        <v/>
      </c>
      <c r="T109" s="23" t="str">
        <f>"|&amp;image("&amp;テーブル1[[#This Row],[画像]]&amp;".png,width=100,height=100)"</f>
        <v>|&amp;image(rivi-revace.png,width=100,height=100)</v>
      </c>
      <c r="U109" s="23" t="str">
        <f>"|MIDDLE:​"&amp;テーブル1[[#This Row],[名前]]</f>
        <v>|MIDDLE:​リヴィ・リヴァーチェ</v>
      </c>
      <c r="V109" s="23" t="str">
        <f>"|MIDDLE:​"&amp;テーブル1[[#This Row],[なまえ]]</f>
        <v>|MIDDLE:​りゔぃ りゔぁーちぇ</v>
      </c>
      <c r="W109" s="23" t="str">
        <f>"|MIDDLE:​"&amp;テーブル1[[#This Row],[Name]]</f>
        <v>|MIDDLE:​Rivi Revace</v>
      </c>
      <c r="X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4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146</v>
      </c>
      <c r="D110" s="23" t="s">
        <v>147</v>
      </c>
      <c r="E110" s="23" t="s">
        <v>148</v>
      </c>
      <c r="F110" s="2" t="s">
        <v>142</v>
      </c>
      <c r="G110" s="23" t="s">
        <v>143</v>
      </c>
      <c r="N110" s="1" t="s">
        <v>1443</v>
      </c>
      <c r="O110" s="24" t="str">
        <f>テーブル1[[#This Row],[リンク]]&amp;テーブル1[[#This Row],[描画状況]]</f>
        <v>https://kakokyu102krbs.wixsite.com/greenmilky済</v>
      </c>
      <c r="P110" s="17">
        <f>1-(COUNTIF(O:O,_xlfn.TEXTJOIN(",",TRUE,テーブル1[[#This Row],[リンク]],テーブル1[[#This Row],[描画状況]]))/COUNTIF(F:F,テーブル1[[#This Row],[リンク]]))</f>
        <v>1</v>
      </c>
      <c r="Q110" s="16" t="str">
        <f ca="1">IFERROR(IF(テーブル1[[#This Row],[描画状況]]="",RAND()+(テーブル1[[#This Row],[列2]]*100),""),RAND())</f>
        <v/>
      </c>
      <c r="R110" s="1" t="s">
        <v>12</v>
      </c>
      <c r="S110" s="24" t="str">
        <f ca="1">IF(AND(テーブル1[[#This Row],[描画状況]]="済",テーブル1[[#This Row],[投稿状況]]=""),RAND(),"")</f>
        <v/>
      </c>
      <c r="T110" s="23" t="str">
        <f>"|&amp;image("&amp;テーブル1[[#This Row],[画像]]&amp;".png,width=100,height=100)"</f>
        <v>|&amp;image(rie.png,width=100,height=100)</v>
      </c>
      <c r="U110" s="23" t="str">
        <f>"|MIDDLE:​"&amp;テーブル1[[#This Row],[名前]]</f>
        <v>|MIDDLE:​緑恵</v>
      </c>
      <c r="V110" s="23" t="str">
        <f>"|MIDDLE:​"&amp;テーブル1[[#This Row],[なまえ]]</f>
        <v>|MIDDLE:​りえ</v>
      </c>
      <c r="W110" s="23" t="str">
        <f>"|MIDDLE:​"&amp;テーブル1[[#This Row],[Name]]</f>
        <v>|MIDDLE:​Rie</v>
      </c>
      <c r="X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4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356</v>
      </c>
      <c r="D111" s="23" t="s">
        <v>357</v>
      </c>
      <c r="E111" s="23" t="s">
        <v>358</v>
      </c>
      <c r="F111" s="2" t="s">
        <v>354</v>
      </c>
      <c r="G111" s="23" t="s">
        <v>355</v>
      </c>
      <c r="N111" s="1" t="s">
        <v>1443</v>
      </c>
      <c r="O111" s="24" t="str">
        <f>テーブル1[[#This Row],[リンク]]&amp;テーブル1[[#This Row],[描画状況]]</f>
        <v>https://tsukimiya0728.wixsite.com/silverbullet済</v>
      </c>
      <c r="P111" s="17">
        <f>1-(COUNTIF(O:O,_xlfn.TEXTJOIN(",",TRUE,テーブル1[[#This Row],[リンク]],テーブル1[[#This Row],[描画状況]]))/COUNTIF(F:F,テーブル1[[#This Row],[リンク]]))</f>
        <v>1</v>
      </c>
      <c r="Q111" s="16" t="str">
        <f ca="1">IFERROR(IF(テーブル1[[#This Row],[描画状況]]="",RAND()+(テーブル1[[#This Row],[列2]]*100),""),RAND())</f>
        <v/>
      </c>
      <c r="R111" s="1" t="s">
        <v>12</v>
      </c>
      <c r="S111" s="24" t="str">
        <f ca="1">IF(AND(テーブル1[[#This Row],[描画状況]]="済",テーブル1[[#This Row],[投稿状況]]=""),RAND(),"")</f>
        <v/>
      </c>
      <c r="T111" s="23" t="str">
        <f>"|&amp;image("&amp;テーブル1[[#This Row],[画像]]&amp;".png,width=100,height=100)"</f>
        <v>|&amp;image(rinyou-fuomi.png,width=100,height=100)</v>
      </c>
      <c r="U111" s="23" t="str">
        <f>"|MIDDLE:​"&amp;テーブル1[[#This Row],[名前]]</f>
        <v>|MIDDLE:​燐葉フォミ</v>
      </c>
      <c r="V111" s="23" t="str">
        <f>"|MIDDLE:​"&amp;テーブル1[[#This Row],[なまえ]]</f>
        <v>|MIDDLE:​りんよう ふぉみ</v>
      </c>
      <c r="W111" s="23" t="str">
        <f>"|MIDDLE:​"&amp;テーブル1[[#This Row],[Name]]</f>
        <v>|MIDDLE:​Rinyou Fuomi</v>
      </c>
      <c r="X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4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72</v>
      </c>
      <c r="D112" s="23" t="s">
        <v>73</v>
      </c>
      <c r="E112" s="23" t="s">
        <v>74</v>
      </c>
      <c r="F112" s="2" t="s">
        <v>540</v>
      </c>
      <c r="G112" s="23" t="s">
        <v>71</v>
      </c>
      <c r="H112" s="23" t="s">
        <v>1627</v>
      </c>
      <c r="I112" s="23" t="s">
        <v>1654</v>
      </c>
      <c r="J112" s="23" t="s">
        <v>1711</v>
      </c>
      <c r="K112" s="23" t="s">
        <v>1713</v>
      </c>
      <c r="L112" s="23" t="s">
        <v>1660</v>
      </c>
      <c r="M112" s="1" t="s">
        <v>1517</v>
      </c>
      <c r="N112" s="1" t="s">
        <v>1443</v>
      </c>
      <c r="O112" s="24" t="str">
        <f>テーブル1[[#This Row],[リンク]]&amp;テーブル1[[#This Row],[描画状況]]</f>
        <v>https://bowlroll.net/user/980255済</v>
      </c>
      <c r="P112" s="17">
        <f>1-(COUNTIF(O:O,_xlfn.TEXTJOIN(",",TRUE,テーブル1[[#This Row],[リンク]],テーブル1[[#This Row],[描画状況]]))/COUNTIF(F:F,テーブル1[[#This Row],[リンク]]))</f>
        <v>1</v>
      </c>
      <c r="Q112" s="16" t="str">
        <f ca="1">IFERROR(IF(テーブル1[[#This Row],[描画状況]]="",RAND()+(テーブル1[[#This Row],[列2]]*100),""),RAND())</f>
        <v/>
      </c>
      <c r="R112" s="1" t="s">
        <v>12</v>
      </c>
      <c r="S112" s="24" t="str">
        <f ca="1">IF(AND(テーブル1[[#This Row],[描画状況]]="済",テーブル1[[#This Row],[投稿状況]]=""),RAND(),"")</f>
        <v/>
      </c>
      <c r="T112" s="23" t="str">
        <f>"|&amp;image("&amp;テーブル1[[#This Row],[画像]]&amp;".png,width=100,height=100)"</f>
        <v>|&amp;image(reinrekodo.png,width=100,height=100)</v>
      </c>
      <c r="U112" s="23" t="str">
        <f>"|MIDDLE:​"&amp;テーブル1[[#This Row],[名前]]</f>
        <v>|MIDDLE:​レインレコード</v>
      </c>
      <c r="V112" s="23" t="str">
        <f>"|MIDDLE:​"&amp;テーブル1[[#This Row],[なまえ]]</f>
        <v>|MIDDLE:​れいんれこーど</v>
      </c>
      <c r="W112" s="23" t="str">
        <f>"|MIDDLE:​"&amp;テーブル1[[#This Row],[Name]]</f>
        <v>|MIDDLE:​Reinrekodo</v>
      </c>
      <c r="X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4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95</v>
      </c>
      <c r="D113" s="23" t="s">
        <v>96</v>
      </c>
      <c r="E113" s="23" t="s">
        <v>97</v>
      </c>
      <c r="F113" s="2" t="s">
        <v>93</v>
      </c>
      <c r="G113" s="23" t="s">
        <v>94</v>
      </c>
      <c r="H113" s="23" t="s">
        <v>1626</v>
      </c>
      <c r="I113" s="23" t="s">
        <v>1636</v>
      </c>
      <c r="J113" s="23" t="s">
        <v>1642</v>
      </c>
      <c r="K113" s="23" t="s">
        <v>1643</v>
      </c>
      <c r="L113" s="23" t="s">
        <v>1644</v>
      </c>
      <c r="M113" s="1" t="s">
        <v>1518</v>
      </c>
      <c r="N113" s="1" t="s">
        <v>1443</v>
      </c>
      <c r="O113" s="24" t="str">
        <f>テーブル1[[#This Row],[リンク]]&amp;テーブル1[[#This Row],[描画状況]]</f>
        <v>https://cloudcatch1224.wixsite.com/godsfoot済</v>
      </c>
      <c r="P113" s="17">
        <f>1-(COUNTIF(O:O,_xlfn.TEXTJOIN(",",TRUE,テーブル1[[#This Row],[リンク]],テーブル1[[#This Row],[描画状況]]))/COUNTIF(F:F,テーブル1[[#This Row],[リンク]]))</f>
        <v>1</v>
      </c>
      <c r="Q113" s="16" t="str">
        <f ca="1">IFERROR(IF(テーブル1[[#This Row],[描画状況]]="",RAND()+(テーブル1[[#This Row],[列2]]*100),""),RAND())</f>
        <v/>
      </c>
      <c r="R113" s="1" t="s">
        <v>12</v>
      </c>
      <c r="S113" s="24" t="str">
        <f ca="1">IF(AND(テーブル1[[#This Row],[描画状況]]="済",テーブル1[[#This Row],[投稿状況]]=""),RAND(),"")</f>
        <v/>
      </c>
      <c r="T113" s="23" t="str">
        <f>"|&amp;image("&amp;テーブル1[[#This Row],[画像]]&amp;".png,width=100,height=100)"</f>
        <v>|&amp;image(rayon.png,width=100,height=100)</v>
      </c>
      <c r="U113" s="23" t="str">
        <f>"|MIDDLE:​"&amp;テーブル1[[#This Row],[名前]]</f>
        <v>|MIDDLE:​レーヨン</v>
      </c>
      <c r="V113" s="23" t="str">
        <f>"|MIDDLE:​"&amp;テーブル1[[#This Row],[なまえ]]</f>
        <v>|MIDDLE:​れーよん</v>
      </c>
      <c r="W113" s="23" t="str">
        <f>"|MIDDLE:​"&amp;テーブル1[[#This Row],[Name]]</f>
        <v>|MIDDLE:​Rayon</v>
      </c>
      <c r="X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4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1503</v>
      </c>
      <c r="D114" s="23" t="s">
        <v>449</v>
      </c>
      <c r="E114" s="23" t="s">
        <v>450</v>
      </c>
      <c r="F114" s="2" t="s">
        <v>54</v>
      </c>
      <c r="G114" s="23" t="s">
        <v>55</v>
      </c>
      <c r="M114" s="1" t="s">
        <v>1518</v>
      </c>
      <c r="N114" s="1" t="s">
        <v>1443</v>
      </c>
      <c r="O114" s="24" t="str">
        <f>テーブル1[[#This Row],[リンク]]&amp;テーブル1[[#This Row],[描画状況]]</f>
        <v>https://bellsworks.wixsite.com/bellsworks済</v>
      </c>
      <c r="P114" s="17">
        <f>1-(COUNTIF(O:O,_xlfn.TEXTJOIN(",",TRUE,テーブル1[[#This Row],[リンク]],テーブル1[[#This Row],[描画状況]]))/COUNTIF(F:F,テーブル1[[#This Row],[リンク]]))</f>
        <v>1</v>
      </c>
      <c r="Q114" s="16" t="str">
        <f ca="1">IFERROR(IF(テーブル1[[#This Row],[描画状況]]="",RAND()+(テーブル1[[#This Row],[列2]]*100),""),RAND())</f>
        <v/>
      </c>
      <c r="R114" s="1" t="s">
        <v>777</v>
      </c>
      <c r="S114" s="24" t="str">
        <f ca="1">IF(AND(テーブル1[[#This Row],[描画状況]]="済",テーブル1[[#This Row],[投稿状況]]=""),RAND(),"")</f>
        <v/>
      </c>
      <c r="T114" s="23" t="str">
        <f>"|&amp;image("&amp;テーブル1[[#This Row],[画像]]&amp;".png,width=100,height=100)"</f>
        <v>|&amp;image(kotone-setsuri.png,width=100,height=100)</v>
      </c>
      <c r="U114" s="23" t="str">
        <f>"|MIDDLE:​"&amp;テーブル1[[#This Row],[名前]]</f>
        <v>|MIDDLE:​琴音セツリ</v>
      </c>
      <c r="V114" s="23" t="str">
        <f>"|MIDDLE:​"&amp;テーブル1[[#This Row],[なまえ]]</f>
        <v>|MIDDLE:​ことね せつり</v>
      </c>
      <c r="W114" s="23" t="str">
        <f>"|MIDDLE:​"&amp;テーブル1[[#This Row],[Name]]</f>
        <v>|MIDDLE:​Kotone Setsuri</v>
      </c>
      <c r="X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4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741</v>
      </c>
      <c r="D115" s="23" t="s">
        <v>742</v>
      </c>
      <c r="E115" s="23" t="s">
        <v>743</v>
      </c>
      <c r="F115" s="15" t="s">
        <v>744</v>
      </c>
      <c r="G115" s="23" t="str">
        <f>テーブル1[[#This Row],[名前]]&amp;"(UTAU)"</f>
        <v>飯音モグ(UTAU)</v>
      </c>
      <c r="M115" s="1" t="s">
        <v>1517</v>
      </c>
      <c r="N115" s="1" t="s">
        <v>1443</v>
      </c>
      <c r="O115" s="24" t="str">
        <f>テーブル1[[#This Row],[リンク]]&amp;テーブル1[[#This Row],[描画状況]]</f>
        <v>https://bowlroll.net/file/333777済</v>
      </c>
      <c r="P115" s="17">
        <f>1-(COUNTIF(O:O,_xlfn.TEXTJOIN(",",TRUE,テーブル1[[#This Row],[リンク]],テーブル1[[#This Row],[描画状況]]))/COUNTIF(F:F,テーブル1[[#This Row],[リンク]]))</f>
        <v>1</v>
      </c>
      <c r="Q115" s="16" t="str">
        <f ca="1">IFERROR(IF(テーブル1[[#This Row],[描画状況]]="",RAND()+(テーブル1[[#This Row],[列2]]*100),""),RAND())</f>
        <v/>
      </c>
      <c r="R115" s="1" t="s">
        <v>777</v>
      </c>
      <c r="S115" s="24" t="str">
        <f ca="1">IF(AND(テーブル1[[#This Row],[描画状況]]="済",テーブル1[[#This Row],[投稿状況]]=""),RAND(),"")</f>
        <v/>
      </c>
      <c r="T115" s="23" t="str">
        <f>"|&amp;image("&amp;テーブル1[[#This Row],[画像]]&amp;".png,width=100,height=100)"</f>
        <v>|&amp;image(ine-mogu.png,width=100,height=100)</v>
      </c>
      <c r="U115" s="23" t="str">
        <f>"|MIDDLE:​"&amp;テーブル1[[#This Row],[名前]]</f>
        <v>|MIDDLE:​飯音モグ</v>
      </c>
      <c r="V115" s="23" t="str">
        <f>"|MIDDLE:​"&amp;テーブル1[[#This Row],[なまえ]]</f>
        <v>|MIDDLE:​いいね もぐ</v>
      </c>
      <c r="W115" s="23" t="str">
        <f>"|MIDDLE:​"&amp;テーブル1[[#This Row],[Name]]</f>
        <v>|MIDDLE:​Ine Mogu</v>
      </c>
      <c r="X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4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547</v>
      </c>
      <c r="D116" s="23" t="s">
        <v>548</v>
      </c>
      <c r="E116" s="23" t="s">
        <v>549</v>
      </c>
      <c r="F116" s="2" t="s">
        <v>237</v>
      </c>
      <c r="G116" s="23" t="s">
        <v>550</v>
      </c>
      <c r="N116" s="1" t="s">
        <v>1443</v>
      </c>
      <c r="O116" s="24" t="str">
        <f>テーブル1[[#This Row],[リンク]]&amp;テーブル1[[#This Row],[描画状況]]</f>
        <v>https://ne510channel.wixsite.com/website済</v>
      </c>
      <c r="P116" s="17">
        <f>1-(COUNTIF(O:O,_xlfn.TEXTJOIN(",",TRUE,テーブル1[[#This Row],[リンク]],テーブル1[[#This Row],[描画状況]]))/COUNTIF(F:F,テーブル1[[#This Row],[リンク]]))</f>
        <v>1</v>
      </c>
      <c r="Q116" s="16" t="str">
        <f ca="1">IFERROR(IF(テーブル1[[#This Row],[描画状況]]="",RAND()+(テーブル1[[#This Row],[列2]]*100),""),RAND())</f>
        <v/>
      </c>
      <c r="R116" s="1" t="s">
        <v>777</v>
      </c>
      <c r="S116" s="24" t="str">
        <f ca="1">IF(AND(テーブル1[[#This Row],[描画状況]]="済",テーブル1[[#This Row],[投稿状況]]=""),RAND(),"")</f>
        <v/>
      </c>
      <c r="T116" s="23" t="str">
        <f>"|&amp;image("&amp;テーブル1[[#This Row],[画像]]&amp;".png,width=100,height=100)"</f>
        <v>|&amp;image(toranokoku-ame.png,width=100,height=100)</v>
      </c>
      <c r="U116" s="23" t="str">
        <f>"|MIDDLE:​"&amp;テーブル1[[#This Row],[名前]]</f>
        <v>|MIDDLE:​寅ノ刻遭愛</v>
      </c>
      <c r="V116" s="23" t="str">
        <f>"|MIDDLE:​"&amp;テーブル1[[#This Row],[なまえ]]</f>
        <v>|MIDDLE:​とらのこく あめ</v>
      </c>
      <c r="W116" s="23" t="str">
        <f>"|MIDDLE:​"&amp;テーブル1[[#This Row],[Name]]</f>
        <v>|MIDDLE:​Toranokoku Ame</v>
      </c>
      <c r="X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4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563</v>
      </c>
      <c r="D117" s="23" t="s">
        <v>564</v>
      </c>
      <c r="E117" s="23" t="s">
        <v>565</v>
      </c>
      <c r="F117" s="2" t="s">
        <v>93</v>
      </c>
      <c r="G117" s="23" t="s">
        <v>94</v>
      </c>
      <c r="H117" s="23" t="s">
        <v>1627</v>
      </c>
      <c r="I117" s="23" t="s">
        <v>1639</v>
      </c>
      <c r="J117" s="23" t="s">
        <v>1645</v>
      </c>
      <c r="K117" s="23" t="s">
        <v>1647</v>
      </c>
      <c r="L117" s="23" t="s">
        <v>1648</v>
      </c>
      <c r="M117" s="1" t="s">
        <v>1518</v>
      </c>
      <c r="N117" s="1" t="s">
        <v>1443</v>
      </c>
      <c r="O117" s="24" t="str">
        <f>テーブル1[[#This Row],[リンク]]&amp;テーブル1[[#This Row],[描画状況]]</f>
        <v>https://cloudcatch1224.wixsite.com/godsfoot済</v>
      </c>
      <c r="P117" s="17">
        <f>1-(COUNTIF(O:O,_xlfn.TEXTJOIN(",",TRUE,テーブル1[[#This Row],[リンク]],テーブル1[[#This Row],[描画状況]]))/COUNTIF(F:F,テーブル1[[#This Row],[リンク]]))</f>
        <v>1</v>
      </c>
      <c r="Q117" s="16" t="str">
        <f ca="1">IFERROR(IF(テーブル1[[#This Row],[描画状況]]="",RAND()+(テーブル1[[#This Row],[列2]]*100),""),RAND())</f>
        <v/>
      </c>
      <c r="R117" s="1" t="s">
        <v>777</v>
      </c>
      <c r="S117" s="24" t="str">
        <f ca="1">IF(AND(テーブル1[[#This Row],[描画状況]]="済",テーブル1[[#This Row],[投稿状況]]=""),RAND(),"")</f>
        <v/>
      </c>
      <c r="T117" s="23" t="str">
        <f>"|&amp;image("&amp;テーブル1[[#This Row],[画像]]&amp;".png,width=100,height=100)"</f>
        <v>|&amp;image(cotaro.png,width=100,height=100)</v>
      </c>
      <c r="U117" s="23" t="str">
        <f>"|MIDDLE:​"&amp;テーブル1[[#This Row],[名前]]</f>
        <v>|MIDDLE:​コタロー</v>
      </c>
      <c r="V117" s="23" t="str">
        <f>"|MIDDLE:​"&amp;テーブル1[[#This Row],[なまえ]]</f>
        <v>|MIDDLE:​こたろー</v>
      </c>
      <c r="W117" s="23" t="str">
        <f>"|MIDDLE:​"&amp;テーブル1[[#This Row],[Name]]</f>
        <v>|MIDDLE:​Cotaro</v>
      </c>
      <c r="X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4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461</v>
      </c>
      <c r="D118" s="23" t="s">
        <v>462</v>
      </c>
      <c r="E118" s="23" t="s">
        <v>463</v>
      </c>
      <c r="F118" s="2" t="s">
        <v>54</v>
      </c>
      <c r="G118" s="23" t="s">
        <v>55</v>
      </c>
      <c r="M118" s="1" t="s">
        <v>1518</v>
      </c>
      <c r="N118" s="1" t="s">
        <v>1443</v>
      </c>
      <c r="O118" s="24" t="str">
        <f>テーブル1[[#This Row],[リンク]]&amp;テーブル1[[#This Row],[描画状況]]</f>
        <v>https://bellsworks.wixsite.com/bellsworks済</v>
      </c>
      <c r="P118" s="17">
        <f>1-(COUNTIF(O:O,_xlfn.TEXTJOIN(",",TRUE,テーブル1[[#This Row],[リンク]],テーブル1[[#This Row],[描画状況]]))/COUNTIF(F:F,テーブル1[[#This Row],[リンク]]))</f>
        <v>1</v>
      </c>
      <c r="Q118" s="16" t="str">
        <f ca="1">IFERROR(IF(テーブル1[[#This Row],[描画状況]]="",RAND()+(テーブル1[[#This Row],[列2]]*100),""),RAND())</f>
        <v/>
      </c>
      <c r="R118" s="1" t="s">
        <v>777</v>
      </c>
      <c r="S118" s="24" t="str">
        <f ca="1">IF(AND(テーブル1[[#This Row],[描画状況]]="済",テーブル1[[#This Row],[投稿状況]]=""),RAND(),"")</f>
        <v/>
      </c>
      <c r="T118" s="23" t="str">
        <f>"|&amp;image("&amp;テーブル1[[#This Row],[画像]]&amp;".png,width=100,height=100)"</f>
        <v>|&amp;image(ruteni.png,width=100,height=100)</v>
      </c>
      <c r="U118" s="23" t="str">
        <f>"|MIDDLE:​"&amp;テーブル1[[#This Row],[名前]]</f>
        <v>|MIDDLE:​ルテニ</v>
      </c>
      <c r="V118" s="23" t="str">
        <f>"|MIDDLE:​"&amp;テーブル1[[#This Row],[なまえ]]</f>
        <v>|MIDDLE:​るてに</v>
      </c>
      <c r="W118" s="23" t="str">
        <f>"|MIDDLE:​"&amp;テーブル1[[#This Row],[Name]]</f>
        <v>|MIDDLE:​Ruteni</v>
      </c>
      <c r="X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4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668</v>
      </c>
      <c r="D119" s="23" t="s">
        <v>669</v>
      </c>
      <c r="E119" s="23" t="s">
        <v>670</v>
      </c>
      <c r="F119" s="15" t="s">
        <v>671</v>
      </c>
      <c r="G119" s="23" t="s">
        <v>672</v>
      </c>
      <c r="M119" s="1" t="s">
        <v>1517</v>
      </c>
      <c r="N119" s="1" t="s">
        <v>1443</v>
      </c>
      <c r="O119" s="24" t="str">
        <f>テーブル1[[#This Row],[リンク]]&amp;テーブル1[[#This Row],[描画状況]]</f>
        <v>https://flowerrocklove.wixsite.com/twilight-crisis済</v>
      </c>
      <c r="P119" s="17">
        <f>1-(COUNTIF(O:O,_xlfn.TEXTJOIN(",",TRUE,テーブル1[[#This Row],[リンク]],テーブル1[[#This Row],[描画状況]]))/COUNTIF(F:F,テーブル1[[#This Row],[リンク]]))</f>
        <v>1</v>
      </c>
      <c r="Q119" s="16" t="str">
        <f ca="1">IFERROR(IF(テーブル1[[#This Row],[描画状況]]="",RAND()+(テーブル1[[#This Row],[列2]]*100),""),RAND())</f>
        <v/>
      </c>
      <c r="R119" s="1" t="s">
        <v>777</v>
      </c>
      <c r="S119" s="24" t="str">
        <f ca="1">IF(AND(テーブル1[[#This Row],[描画状況]]="済",テーブル1[[#This Row],[投稿状況]]=""),RAND(),"")</f>
        <v/>
      </c>
      <c r="T119" s="23" t="str">
        <f>"|&amp;image("&amp;テーブル1[[#This Row],[画像]]&amp;".png,width=100,height=100)"</f>
        <v>|&amp;image(jigokudani-thoma.png,width=100,height=100)</v>
      </c>
      <c r="U119" s="23" t="str">
        <f>"|MIDDLE:​"&amp;テーブル1[[#This Row],[名前]]</f>
        <v>|MIDDLE:​地獄谷透馬</v>
      </c>
      <c r="V119" s="23" t="str">
        <f>"|MIDDLE:​"&amp;テーブル1[[#This Row],[なまえ]]</f>
        <v>|MIDDLE:​じごくだに とうま</v>
      </c>
      <c r="W119" s="23" t="str">
        <f>"|MIDDLE:​"&amp;テーブル1[[#This Row],[Name]]</f>
        <v>|MIDDLE:​Jigokudani Thoma</v>
      </c>
      <c r="X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4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1504</v>
      </c>
      <c r="D120" s="23" t="s">
        <v>453</v>
      </c>
      <c r="E120" s="23" t="s">
        <v>454</v>
      </c>
      <c r="F120" s="2" t="s">
        <v>54</v>
      </c>
      <c r="G120" s="23" t="s">
        <v>55</v>
      </c>
      <c r="M120" s="1" t="s">
        <v>1518</v>
      </c>
      <c r="N120" s="1" t="s">
        <v>1443</v>
      </c>
      <c r="O120" s="24" t="str">
        <f>テーブル1[[#This Row],[リンク]]&amp;テーブル1[[#This Row],[描画状況]]</f>
        <v>https://bellsworks.wixsite.com/bellsworks済</v>
      </c>
      <c r="P120" s="17">
        <f>1-(COUNTIF(O:O,_xlfn.TEXTJOIN(",",TRUE,テーブル1[[#This Row],[リンク]],テーブル1[[#This Row],[描画状況]]))/COUNTIF(F:F,テーブル1[[#This Row],[リンク]]))</f>
        <v>1</v>
      </c>
      <c r="Q120" s="16" t="str">
        <f ca="1">IFERROR(IF(テーブル1[[#This Row],[描画状況]]="",RAND()+(テーブル1[[#This Row],[列2]]*100),""),RAND())</f>
        <v/>
      </c>
      <c r="R120" s="1" t="s">
        <v>777</v>
      </c>
      <c r="S120" s="24" t="str">
        <f ca="1">IF(AND(テーブル1[[#This Row],[描画状況]]="済",テーブル1[[#This Row],[投稿状況]]=""),RAND(),"")</f>
        <v/>
      </c>
      <c r="T120" s="23" t="str">
        <f>"|&amp;image("&amp;テーブル1[[#This Row],[画像]]&amp;".png,width=100,height=100)"</f>
        <v>|&amp;image(fuene-fue.png,width=100,height=100)</v>
      </c>
      <c r="U120" s="23" t="str">
        <f>"|MIDDLE:​"&amp;テーブル1[[#This Row],[名前]]</f>
        <v>|MIDDLE:​笛音フエ</v>
      </c>
      <c r="V120" s="23" t="str">
        <f>"|MIDDLE:​"&amp;テーブル1[[#This Row],[なまえ]]</f>
        <v>|MIDDLE:​ふえね ふえ</v>
      </c>
      <c r="W120" s="23" t="str">
        <f>"|MIDDLE:​"&amp;テーブル1[[#This Row],[Name]]</f>
        <v>|MIDDLE:​Fuene Fue</v>
      </c>
      <c r="X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4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652</v>
      </c>
      <c r="D121" s="23" t="s">
        <v>653</v>
      </c>
      <c r="E121" s="23" t="s">
        <v>654</v>
      </c>
      <c r="F121" s="2" t="s">
        <v>649</v>
      </c>
      <c r="G121" s="23" t="s">
        <v>651</v>
      </c>
      <c r="N121" s="1" t="s">
        <v>1443</v>
      </c>
      <c r="O121" s="24" t="str">
        <f>テーブル1[[#This Row],[リンク]]&amp;テーブル1[[#This Row],[描画状況]]</f>
        <v>https://mebisnori.wixsite.com/nori-mebis済</v>
      </c>
      <c r="P121" s="17">
        <f>1-(COUNTIF(O:O,_xlfn.TEXTJOIN(",",TRUE,テーブル1[[#This Row],[リンク]],テーブル1[[#This Row],[描画状況]]))/COUNTIF(F:F,テーブル1[[#This Row],[リンク]]))</f>
        <v>1</v>
      </c>
      <c r="Q121" s="16" t="str">
        <f ca="1">IFERROR(IF(テーブル1[[#This Row],[描画状況]]="",RAND()+(テーブル1[[#This Row],[列2]]*100),""),RAND())</f>
        <v/>
      </c>
      <c r="R121" s="1" t="s">
        <v>777</v>
      </c>
      <c r="S121" s="24" t="str">
        <f ca="1">IF(AND(テーブル1[[#This Row],[描画状況]]="済",テーブル1[[#This Row],[投稿状況]]=""),RAND(),"")</f>
        <v/>
      </c>
      <c r="T121" s="23" t="str">
        <f>"|&amp;image("&amp;テーブル1[[#This Row],[画像]]&amp;".png,width=100,height=100)"</f>
        <v>|&amp;image(pechka.png,width=100,height=100)</v>
      </c>
      <c r="U121" s="23" t="str">
        <f>"|MIDDLE:​"&amp;テーブル1[[#This Row],[名前]]</f>
        <v>|MIDDLE:​ペチカ</v>
      </c>
      <c r="V121" s="23" t="str">
        <f>"|MIDDLE:​"&amp;テーブル1[[#This Row],[なまえ]]</f>
        <v>|MIDDLE:​ぺちか</v>
      </c>
      <c r="W121" s="23" t="str">
        <f>"|MIDDLE:​"&amp;テーブル1[[#This Row],[Name]]</f>
        <v>|MIDDLE:​Pechka</v>
      </c>
      <c r="X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4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692</v>
      </c>
      <c r="D122" s="23" t="s">
        <v>693</v>
      </c>
      <c r="E122" s="23" t="s">
        <v>694</v>
      </c>
      <c r="F122" s="2" t="s">
        <v>690</v>
      </c>
      <c r="G122" s="23" t="s">
        <v>691</v>
      </c>
      <c r="N122" s="1" t="s">
        <v>1443</v>
      </c>
      <c r="O122" s="24" t="str">
        <f>テーブル1[[#This Row],[リンク]]&amp;テーブル1[[#This Row],[描画状況]]</f>
        <v>https://zakrotsukumo.wixsite.com/utau-zerozero済</v>
      </c>
      <c r="P122" s="17">
        <f>1-(COUNTIF(O:O,_xlfn.TEXTJOIN(",",TRUE,テーブル1[[#This Row],[リンク]],テーブル1[[#This Row],[描画状況]]))/COUNTIF(F:F,テーブル1[[#This Row],[リンク]]))</f>
        <v>1</v>
      </c>
      <c r="Q122" s="16" t="str">
        <f ca="1">IFERROR(IF(テーブル1[[#This Row],[描画状況]]="",RAND()+(テーブル1[[#This Row],[列2]]*100),""),RAND())</f>
        <v/>
      </c>
      <c r="R122" s="1" t="s">
        <v>777</v>
      </c>
      <c r="S122" s="24" t="str">
        <f ca="1">IF(AND(テーブル1[[#This Row],[描画状況]]="済",テーブル1[[#This Row],[投稿状況]]=""),RAND(),"")</f>
        <v/>
      </c>
      <c r="T122" s="23" t="str">
        <f>"|&amp;image("&amp;テーブル1[[#This Row],[画像]]&amp;".png,width=100,height=100)"</f>
        <v>|&amp;image(kurui-noise.png,width=100,height=100)</v>
      </c>
      <c r="U122" s="23" t="str">
        <f>"|MIDDLE:​"&amp;テーブル1[[#This Row],[名前]]</f>
        <v>|MIDDLE:​狂威ノイズ</v>
      </c>
      <c r="V122" s="23" t="str">
        <f>"|MIDDLE:​"&amp;テーブル1[[#This Row],[なまえ]]</f>
        <v>|MIDDLE:​くるい のいず</v>
      </c>
      <c r="W122" s="23" t="str">
        <f>"|MIDDLE:​"&amp;テーブル1[[#This Row],[Name]]</f>
        <v>|MIDDLE:​Kurui Noise</v>
      </c>
      <c r="X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4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1505</v>
      </c>
      <c r="D123" s="23" t="s">
        <v>457</v>
      </c>
      <c r="E123" s="23" t="s">
        <v>458</v>
      </c>
      <c r="F123" s="2" t="s">
        <v>54</v>
      </c>
      <c r="G123" s="23" t="s">
        <v>55</v>
      </c>
      <c r="M123" s="1" t="s">
        <v>1518</v>
      </c>
      <c r="N123" s="1" t="s">
        <v>1443</v>
      </c>
      <c r="O123" s="24" t="str">
        <f>テーブル1[[#This Row],[リンク]]&amp;テーブル1[[#This Row],[描画状況]]</f>
        <v>https://bellsworks.wixsite.com/bellsworks済</v>
      </c>
      <c r="P123" s="17">
        <f>1-(COUNTIF(O:O,_xlfn.TEXTJOIN(",",TRUE,テーブル1[[#This Row],[リンク]],テーブル1[[#This Row],[描画状況]]))/COUNTIF(F:F,テーブル1[[#This Row],[リンク]]))</f>
        <v>1</v>
      </c>
      <c r="Q123" s="16" t="str">
        <f ca="1">IFERROR(IF(テーブル1[[#This Row],[描画状況]]="",RAND()+(テーブル1[[#This Row],[列2]]*100),""),RAND())</f>
        <v/>
      </c>
      <c r="R123" s="1" t="s">
        <v>777</v>
      </c>
      <c r="S123" s="24" t="str">
        <f ca="1">IF(AND(テーブル1[[#This Row],[描画状況]]="済",テーブル1[[#This Row],[投稿状況]]=""),RAND(),"")</f>
        <v/>
      </c>
      <c r="T123" s="23" t="str">
        <f>"|&amp;image("&amp;テーブル1[[#This Row],[画像]]&amp;".png,width=100,height=100)"</f>
        <v>|&amp;image(tsuzune-tsuzu.png,width=100,height=100)</v>
      </c>
      <c r="U123" s="23" t="str">
        <f>"|MIDDLE:​"&amp;テーブル1[[#This Row],[名前]]</f>
        <v>|MIDDLE:​鼓音ツヅ</v>
      </c>
      <c r="V123" s="23" t="str">
        <f>"|MIDDLE:​"&amp;テーブル1[[#This Row],[なまえ]]</f>
        <v>|MIDDLE:​つづね つづ</v>
      </c>
      <c r="W123" s="23" t="str">
        <f>"|MIDDLE:​"&amp;テーブル1[[#This Row],[Name]]</f>
        <v>|MIDDLE:​Tsuzune Tsuzu</v>
      </c>
      <c r="X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4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478</v>
      </c>
      <c r="D124" s="23" t="s">
        <v>479</v>
      </c>
      <c r="E124" s="23" t="s">
        <v>480</v>
      </c>
      <c r="F124" s="15" t="s">
        <v>233</v>
      </c>
      <c r="G124" s="23" t="s">
        <v>234</v>
      </c>
      <c r="N124" s="1" t="s">
        <v>1443</v>
      </c>
      <c r="O124" s="24" t="str">
        <f>テーブル1[[#This Row],[リンク]]&amp;テーブル1[[#This Row],[描画状況]]</f>
        <v>https://nanyuanxiaojieji.wixsite.com/yuragine-kannsokujo済</v>
      </c>
      <c r="P124" s="17">
        <f>1-(COUNTIF(O:O,_xlfn.TEXTJOIN(",",TRUE,テーブル1[[#This Row],[リンク]],テーブル1[[#This Row],[描画状況]]))/COUNTIF(F:F,テーブル1[[#This Row],[リンク]]))</f>
        <v>1</v>
      </c>
      <c r="Q124" s="16" t="str">
        <f ca="1">IFERROR(IF(テーブル1[[#This Row],[描画状況]]="",RAND()+(テーブル1[[#This Row],[列2]]*100),""),RAND())</f>
        <v/>
      </c>
      <c r="R124" s="1" t="s">
        <v>777</v>
      </c>
      <c r="S124" s="24" t="str">
        <f ca="1">IF(AND(テーブル1[[#This Row],[描画状況]]="済",テーブル1[[#This Row],[投稿状況]]=""),RAND(),"")</f>
        <v/>
      </c>
      <c r="T124" s="23" t="str">
        <f>"|&amp;image("&amp;テーブル1[[#This Row],[画像]]&amp;".png,width=100,height=100)"</f>
        <v>|&amp;image(naruse-mio.png,width=100,height=100)</v>
      </c>
      <c r="U124" s="23" t="str">
        <f>"|MIDDLE:​"&amp;テーブル1[[#This Row],[名前]]</f>
        <v>|MIDDLE:​​成瀬ミオ</v>
      </c>
      <c r="V124" s="23" t="str">
        <f>"|MIDDLE:​"&amp;テーブル1[[#This Row],[なまえ]]</f>
        <v>|MIDDLE:​なるせ みお</v>
      </c>
      <c r="W124" s="23" t="str">
        <f>"|MIDDLE:​"&amp;テーブル1[[#This Row],[Name]]</f>
        <v>|MIDDLE:​Naruse Mio</v>
      </c>
      <c r="X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4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613</v>
      </c>
      <c r="D125" s="23" t="s">
        <v>614</v>
      </c>
      <c r="E125" s="23" t="s">
        <v>615</v>
      </c>
      <c r="F125" s="2" t="s">
        <v>202</v>
      </c>
      <c r="G125" s="23" t="s">
        <v>203</v>
      </c>
      <c r="N125" s="1" t="s">
        <v>1443</v>
      </c>
      <c r="O125" s="24" t="str">
        <f>テーブル1[[#This Row],[リンク]]&amp;テーブル1[[#This Row],[描画状況]]</f>
        <v>https://mareffys.wixsite.com/lalo済</v>
      </c>
      <c r="P125" s="17">
        <f>1-(COUNTIF(O:O,_xlfn.TEXTJOIN(",",TRUE,テーブル1[[#This Row],[リンク]],テーブル1[[#This Row],[描画状況]]))/COUNTIF(F:F,テーブル1[[#This Row],[リンク]]))</f>
        <v>1</v>
      </c>
      <c r="Q125" s="16" t="str">
        <f ca="1">IFERROR(IF(テーブル1[[#This Row],[描画状況]]="",RAND()+(テーブル1[[#This Row],[列2]]*100),""),RAND())</f>
        <v/>
      </c>
      <c r="R125" s="1" t="s">
        <v>777</v>
      </c>
      <c r="S125" s="24" t="str">
        <f ca="1">IF(AND(テーブル1[[#This Row],[描画状況]]="済",テーブル1[[#This Row],[投稿状況]]=""),RAND(),"")</f>
        <v/>
      </c>
      <c r="T125" s="23" t="str">
        <f>"|&amp;image("&amp;テーブル1[[#This Row],[画像]]&amp;".png,width=100,height=100)"</f>
        <v>|&amp;image(reiichiro.png,width=100,height=100)</v>
      </c>
      <c r="U125" s="23" t="str">
        <f>"|MIDDLE:​"&amp;テーブル1[[#This Row],[名前]]</f>
        <v>|MIDDLE:​レイイチロウ</v>
      </c>
      <c r="V125" s="23" t="str">
        <f>"|MIDDLE:​"&amp;テーブル1[[#This Row],[なまえ]]</f>
        <v>|MIDDLE:​れいいちろう</v>
      </c>
      <c r="W125" s="23" t="str">
        <f>"|MIDDLE:​"&amp;テーブル1[[#This Row],[Name]]</f>
        <v>|MIDDLE:​Reiichiro</v>
      </c>
      <c r="X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4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1506</v>
      </c>
      <c r="D126" s="23" t="s">
        <v>726</v>
      </c>
      <c r="E126" s="23" t="s">
        <v>727</v>
      </c>
      <c r="F126" s="2" t="s">
        <v>729</v>
      </c>
      <c r="G126" s="23" t="s">
        <v>728</v>
      </c>
      <c r="N126" s="1" t="s">
        <v>1443</v>
      </c>
      <c r="O126" s="24" t="str">
        <f>テーブル1[[#This Row],[リンク]]&amp;テーブル1[[#This Row],[描画状況]]</f>
        <v>https://shiromeneko162.wixsite.com/shiromean-official済</v>
      </c>
      <c r="P126" s="17">
        <f>1-(COUNTIF(O:O,_xlfn.TEXTJOIN(",",TRUE,テーブル1[[#This Row],[リンク]],テーブル1[[#This Row],[描画状況]]))/COUNTIF(F:F,テーブル1[[#This Row],[リンク]]))</f>
        <v>1</v>
      </c>
      <c r="Q126" s="16" t="str">
        <f ca="1">IFERROR(IF(テーブル1[[#This Row],[描画状況]]="",RAND()+(テーブル1[[#This Row],[列2]]*100),""),RAND())</f>
        <v/>
      </c>
      <c r="R126" s="1" t="s">
        <v>777</v>
      </c>
      <c r="S126" s="24" t="str">
        <f ca="1">IF(AND(テーブル1[[#This Row],[描画状況]]="済",テーブル1[[#This Row],[投稿状況]]=""),RAND(),"")</f>
        <v/>
      </c>
      <c r="T126" s="23" t="str">
        <f>"|&amp;image("&amp;テーブル1[[#This Row],[画像]]&amp;".png,width=100,height=100)"</f>
        <v>|&amp;image(gaku.png,width=100,height=100)</v>
      </c>
      <c r="U126" s="23" t="str">
        <f>"|MIDDLE:​"&amp;テーブル1[[#This Row],[名前]]</f>
        <v>|MIDDLE:​​諤</v>
      </c>
      <c r="V126" s="23" t="str">
        <f>"|MIDDLE:​"&amp;テーブル1[[#This Row],[なまえ]]</f>
        <v>|MIDDLE:​がく</v>
      </c>
      <c r="W126" s="23" t="str">
        <f>"|MIDDLE:​"&amp;テーブル1[[#This Row],[Name]]</f>
        <v>|MIDDLE:​Gaku</v>
      </c>
      <c r="X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4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663</v>
      </c>
      <c r="D127" s="23" t="s">
        <v>664</v>
      </c>
      <c r="E127" s="23" t="s">
        <v>665</v>
      </c>
      <c r="F127" s="2" t="s">
        <v>666</v>
      </c>
      <c r="G127" s="23" t="s">
        <v>667</v>
      </c>
      <c r="N127" s="1" t="s">
        <v>1443</v>
      </c>
      <c r="O127" s="24" t="str">
        <f>テーブル1[[#This Row],[リンク]]&amp;テーブル1[[#This Row],[描画状況]]</f>
        <v>https://mikawayanerutoko.jimdofree.com済</v>
      </c>
      <c r="P127" s="17">
        <f>1-(COUNTIF(O:O,_xlfn.TEXTJOIN(",",TRUE,テーブル1[[#This Row],[リンク]],テーブル1[[#This Row],[描画状況]]))/COUNTIF(F:F,テーブル1[[#This Row],[リンク]]))</f>
        <v>1</v>
      </c>
      <c r="Q127" s="16" t="str">
        <f ca="1">IFERROR(IF(テーブル1[[#This Row],[描画状況]]="",RAND()+(テーブル1[[#This Row],[列2]]*100),""),RAND())</f>
        <v/>
      </c>
      <c r="R127" s="1" t="s">
        <v>777</v>
      </c>
      <c r="S127" s="24" t="str">
        <f ca="1">IF(AND(テーブル1[[#This Row],[描画状況]]="済",テーブル1[[#This Row],[投稿状況]]=""),RAND(),"")</f>
        <v/>
      </c>
      <c r="T127" s="23" t="str">
        <f>"|&amp;image("&amp;テーブル1[[#This Row],[画像]]&amp;".png,width=100,height=100)"</f>
        <v>|&amp;image(mikawaya.png,width=100,height=100)</v>
      </c>
      <c r="U127" s="23" t="str">
        <f>"|MIDDLE:​"&amp;テーブル1[[#This Row],[名前]]</f>
        <v>|MIDDLE:​ミカワヤ</v>
      </c>
      <c r="V127" s="23" t="str">
        <f>"|MIDDLE:​"&amp;テーブル1[[#This Row],[なまえ]]</f>
        <v>|MIDDLE:​みかわや</v>
      </c>
      <c r="W127" s="23" t="str">
        <f>"|MIDDLE:​"&amp;テーブル1[[#This Row],[Name]]</f>
        <v>|MIDDLE:​Mikawaya</v>
      </c>
      <c r="X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4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464</v>
      </c>
      <c r="D128" s="23" t="s">
        <v>465</v>
      </c>
      <c r="E128" s="23" t="s">
        <v>466</v>
      </c>
      <c r="F128" s="2" t="s">
        <v>54</v>
      </c>
      <c r="G128" s="23" t="s">
        <v>55</v>
      </c>
      <c r="M128" s="1" t="s">
        <v>1518</v>
      </c>
      <c r="N128" s="1" t="s">
        <v>1443</v>
      </c>
      <c r="O128" s="24" t="str">
        <f>テーブル1[[#This Row],[リンク]]&amp;テーブル1[[#This Row],[描画状況]]</f>
        <v>https://bellsworks.wixsite.com/bellsworks済</v>
      </c>
      <c r="P128" s="17">
        <f>1-(COUNTIF(O:O,_xlfn.TEXTJOIN(",",TRUE,テーブル1[[#This Row],[リンク]],テーブル1[[#This Row],[描画状況]]))/COUNTIF(F:F,テーブル1[[#This Row],[リンク]]))</f>
        <v>1</v>
      </c>
      <c r="Q128" s="16" t="str">
        <f ca="1">IFERROR(IF(テーブル1[[#This Row],[描画状況]]="",RAND()+(テーブル1[[#This Row],[列2]]*100),""),RAND())</f>
        <v/>
      </c>
      <c r="R128" s="1" t="s">
        <v>777</v>
      </c>
      <c r="S128" s="24" t="str">
        <f ca="1">IF(AND(テーブル1[[#This Row],[描画状況]]="済",テーブル1[[#This Row],[投稿状況]]=""),RAND(),"")</f>
        <v/>
      </c>
      <c r="T128" s="23" t="str">
        <f>"|&amp;image("&amp;テーブル1[[#This Row],[画像]]&amp;".png,width=100,height=100)"</f>
        <v>|&amp;image(koharu.png,width=100,height=100)</v>
      </c>
      <c r="U128" s="23" t="str">
        <f>"|MIDDLE:​"&amp;テーブル1[[#This Row],[名前]]</f>
        <v>|MIDDLE:​コハル</v>
      </c>
      <c r="V128" s="23" t="str">
        <f>"|MIDDLE:​"&amp;テーブル1[[#This Row],[なまえ]]</f>
        <v>|MIDDLE:​こはる</v>
      </c>
      <c r="W128" s="23" t="str">
        <f>"|MIDDLE:​"&amp;テーブル1[[#This Row],[Name]]</f>
        <v>|MIDDLE:​Koharu</v>
      </c>
      <c r="X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4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1507</v>
      </c>
      <c r="D129" s="23" t="s">
        <v>451</v>
      </c>
      <c r="E129" s="23" t="s">
        <v>452</v>
      </c>
      <c r="F129" s="2" t="s">
        <v>54</v>
      </c>
      <c r="G129" s="23" t="s">
        <v>55</v>
      </c>
      <c r="M129" s="1" t="s">
        <v>1518</v>
      </c>
      <c r="N129" s="1" t="s">
        <v>1443</v>
      </c>
      <c r="O129" s="24" t="str">
        <f>テーブル1[[#This Row],[リンク]]&amp;テーブル1[[#This Row],[描画状況]]</f>
        <v>https://bellsworks.wixsite.com/bellsworks済</v>
      </c>
      <c r="P129" s="17">
        <f>1-(COUNTIF(O:O,_xlfn.TEXTJOIN(",",TRUE,テーブル1[[#This Row],[リンク]],テーブル1[[#This Row],[描画状況]]))/COUNTIF(F:F,テーブル1[[#This Row],[リンク]]))</f>
        <v>1</v>
      </c>
      <c r="Q129" s="16" t="str">
        <f ca="1">IFERROR(IF(テーブル1[[#This Row],[描画状況]]="",RAND()+(テーブル1[[#This Row],[列2]]*100),""),RAND())</f>
        <v/>
      </c>
      <c r="R129" s="1" t="s">
        <v>777</v>
      </c>
      <c r="S129" s="24" t="str">
        <f ca="1">IF(AND(テーブル1[[#This Row],[描画状況]]="済",テーブル1[[#This Row],[投稿状況]]=""),RAND(),"")</f>
        <v/>
      </c>
      <c r="T129" s="23" t="str">
        <f>"|&amp;image("&amp;テーブル1[[#This Row],[画像]]&amp;".png,width=100,height=100)"</f>
        <v>|&amp;image(kurohane-misora.png,width=100,height=100)</v>
      </c>
      <c r="U129" s="23" t="str">
        <f>"|MIDDLE:​"&amp;テーブル1[[#This Row],[名前]]</f>
        <v>|MIDDLE:​黒羽みそら</v>
      </c>
      <c r="V129" s="23" t="str">
        <f>"|MIDDLE:​"&amp;テーブル1[[#This Row],[なまえ]]</f>
        <v>|MIDDLE:​くろはね みそら</v>
      </c>
      <c r="W129" s="23" t="str">
        <f>"|MIDDLE:​"&amp;テーブル1[[#This Row],[Name]]</f>
        <v>|MIDDLE:​Kurohane Misora</v>
      </c>
      <c r="X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4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508</v>
      </c>
      <c r="D130" s="23" t="s">
        <v>509</v>
      </c>
      <c r="E130" s="23" t="s">
        <v>510</v>
      </c>
      <c r="F130" s="2" t="s">
        <v>135</v>
      </c>
      <c r="G130" s="23" t="s">
        <v>136</v>
      </c>
      <c r="N130" s="1" t="s">
        <v>1443</v>
      </c>
      <c r="O130" s="24" t="str">
        <f>テーブル1[[#This Row],[リンク]]&amp;テーブル1[[#This Row],[描画状況]]</f>
        <v>https://kaitoramma.chu.jp済</v>
      </c>
      <c r="P130" s="17">
        <f>1-(COUNTIF(O:O,_xlfn.TEXTJOIN(",",TRUE,テーブル1[[#This Row],[リンク]],テーブル1[[#This Row],[描画状況]]))/COUNTIF(F:F,テーブル1[[#This Row],[リンク]]))</f>
        <v>1</v>
      </c>
      <c r="Q130" s="16" t="str">
        <f ca="1">IFERROR(IF(テーブル1[[#This Row],[描画状況]]="",RAND()+(テーブル1[[#This Row],[列2]]*100),""),RAND())</f>
        <v/>
      </c>
      <c r="R130" s="1" t="s">
        <v>777</v>
      </c>
      <c r="S130" s="24" t="str">
        <f ca="1">IF(AND(テーブル1[[#This Row],[描画状況]]="済",テーブル1[[#This Row],[投稿状況]]=""),RAND(),"")</f>
        <v/>
      </c>
      <c r="T130" s="23" t="str">
        <f>"|&amp;image("&amp;テーブル1[[#This Row],[画像]]&amp;".png,width=100,height=100)"</f>
        <v>|&amp;image(karane-hibiku.png,width=100,height=100)</v>
      </c>
      <c r="U130" s="23" t="str">
        <f>"|MIDDLE:​"&amp;テーブル1[[#This Row],[名前]]</f>
        <v>|MIDDLE:​空音響</v>
      </c>
      <c r="V130" s="23" t="str">
        <f>"|MIDDLE:​"&amp;テーブル1[[#This Row],[なまえ]]</f>
        <v>|MIDDLE:​からね ひびく</v>
      </c>
      <c r="W130" s="23" t="str">
        <f>"|MIDDLE:​"&amp;テーブル1[[#This Row],[Name]]</f>
        <v>|MIDDLE:​Karane Hibiku</v>
      </c>
      <c r="X130" s="23" t="str">
        <f>"|MIDDLE:​&amp;link(配布所はこちら){​"&amp;テーブル1[[#This Row],[リンク]]&amp;"}|"</f>
        <v>|MIDDLE:​&amp;link(配布所はこちら){​https://kaitoramma.chu.jp}|</v>
      </c>
    </row>
    <row r="131" spans="1:24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629</v>
      </c>
      <c r="D131" s="23" t="s">
        <v>630</v>
      </c>
      <c r="E131" s="24" t="s">
        <v>629</v>
      </c>
      <c r="F131" s="2" t="s">
        <v>165</v>
      </c>
      <c r="G131" s="23" t="s">
        <v>166</v>
      </c>
      <c r="H131" s="23" t="s">
        <v>1627</v>
      </c>
      <c r="I131" s="23" t="s">
        <v>1636</v>
      </c>
      <c r="N131" s="1" t="s">
        <v>1443</v>
      </c>
      <c r="O131" s="24" t="str">
        <f>テーブル1[[#This Row],[リンク]]&amp;テーブル1[[#This Row],[描画状況]]</f>
        <v>https://kuroi9603.wixsite.com/delu-lab-south済</v>
      </c>
      <c r="P131" s="17">
        <f>1-(COUNTIF(O:O,_xlfn.TEXTJOIN(",",TRUE,テーブル1[[#This Row],[リンク]],テーブル1[[#This Row],[描画状況]]))/COUNTIF(F:F,テーブル1[[#This Row],[リンク]]))</f>
        <v>1</v>
      </c>
      <c r="Q131" s="16" t="str">
        <f ca="1">IFERROR(IF(テーブル1[[#This Row],[描画状況]]="",RAND()+(テーブル1[[#This Row],[列2]]*100),""),RAND())</f>
        <v/>
      </c>
      <c r="R131" s="1" t="s">
        <v>777</v>
      </c>
      <c r="S131" s="24" t="str">
        <f ca="1">IF(AND(テーブル1[[#This Row],[描画状況]]="済",テーブル1[[#This Row],[投稿状況]]=""),RAND(),"")</f>
        <v/>
      </c>
      <c r="T131" s="23" t="str">
        <f>"|&amp;image("&amp;テーブル1[[#This Row],[画像]]&amp;".png,width=100,height=100)"</f>
        <v>|&amp;image(wilbur.png,width=100,height=100)</v>
      </c>
      <c r="U131" s="23" t="str">
        <f>"|MIDDLE:​"&amp;テーブル1[[#This Row],[名前]]</f>
        <v>|MIDDLE:​Wilbur</v>
      </c>
      <c r="V131" s="23" t="str">
        <f>"|MIDDLE:​"&amp;テーブル1[[#This Row],[なまえ]]</f>
        <v>|MIDDLE:​うぃるばー</v>
      </c>
      <c r="W131" s="23" t="str">
        <f>"|MIDDLE:​"&amp;テーブル1[[#This Row],[Name]]</f>
        <v>|MIDDLE:​Wilbur</v>
      </c>
      <c r="X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4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685</v>
      </c>
      <c r="D132" s="23" t="s">
        <v>682</v>
      </c>
      <c r="E132" s="23" t="s">
        <v>683</v>
      </c>
      <c r="F132" s="2" t="s">
        <v>684</v>
      </c>
      <c r="G132" s="23" t="s">
        <v>686</v>
      </c>
      <c r="N132" s="1" t="s">
        <v>1443</v>
      </c>
      <c r="O132" s="24" t="str">
        <f>テーブル1[[#This Row],[リンク]]&amp;テーブル1[[#This Row],[描画状況]]</f>
        <v>https://okome32500.wixsite.com/onekomochi済</v>
      </c>
      <c r="P132" s="17">
        <f>1-(COUNTIF(O:O,_xlfn.TEXTJOIN(",",TRUE,テーブル1[[#This Row],[リンク]],テーブル1[[#This Row],[描画状況]]))/COUNTIF(F:F,テーブル1[[#This Row],[リンク]]))</f>
        <v>1</v>
      </c>
      <c r="Q132" s="16" t="str">
        <f ca="1">IFERROR(IF(テーブル1[[#This Row],[描画状況]]="",RAND()+(テーブル1[[#This Row],[列2]]*100),""),RAND())</f>
        <v/>
      </c>
      <c r="R132" s="1" t="s">
        <v>777</v>
      </c>
      <c r="S132" s="24" t="str">
        <f ca="1">IF(AND(テーブル1[[#This Row],[描画状況]]="済",テーブル1[[#This Row],[投稿状況]]=""),RAND(),"")</f>
        <v/>
      </c>
      <c r="T132" s="23" t="str">
        <f>"|&amp;image("&amp;テーブル1[[#This Row],[画像]]&amp;".png,width=100,height=100)"</f>
        <v>|&amp;image(minaawa-uyu.png,width=100,height=100)</v>
      </c>
      <c r="U132" s="23" t="str">
        <f>"|MIDDLE:​"&amp;テーブル1[[#This Row],[名前]]</f>
        <v>|MIDDLE:​水沫烏有</v>
      </c>
      <c r="V132" s="23" t="str">
        <f>"|MIDDLE:​"&amp;テーブル1[[#This Row],[なまえ]]</f>
        <v>|MIDDLE:​みなあわ うゆう</v>
      </c>
      <c r="W132" s="23" t="str">
        <f>"|MIDDLE:​"&amp;テーブル1[[#This Row],[Name]]</f>
        <v>|MIDDLE:​Minaawa Uyu</v>
      </c>
      <c r="X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4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531</v>
      </c>
      <c r="D133" s="23" t="s">
        <v>532</v>
      </c>
      <c r="E133" s="23" t="s">
        <v>533</v>
      </c>
      <c r="F133" s="2" t="s">
        <v>324</v>
      </c>
      <c r="G133" s="23" t="s">
        <v>325</v>
      </c>
      <c r="N133" s="1" t="s">
        <v>1443</v>
      </c>
      <c r="O133" s="24" t="str">
        <f>テーブル1[[#This Row],[リンク]]&amp;テーブル1[[#This Row],[描画状況]]</f>
        <v>https://suihankinonaka.wixsite.com/my-site-1済</v>
      </c>
      <c r="P133" s="17">
        <f>1-(COUNTIF(O:O,_xlfn.TEXTJOIN(",",TRUE,テーブル1[[#This Row],[リンク]],テーブル1[[#This Row],[描画状況]]))/COUNTIF(F:F,テーブル1[[#This Row],[リンク]]))</f>
        <v>1</v>
      </c>
      <c r="Q133" s="16" t="str">
        <f ca="1">IFERROR(IF(テーブル1[[#This Row],[描画状況]]="",RAND()+(テーブル1[[#This Row],[列2]]*100),""),RAND())</f>
        <v/>
      </c>
      <c r="R133" s="1" t="s">
        <v>777</v>
      </c>
      <c r="S133" s="24" t="str">
        <f ca="1">IF(AND(テーブル1[[#This Row],[描画状況]]="済",テーブル1[[#This Row],[投稿状況]]=""),RAND(),"")</f>
        <v/>
      </c>
      <c r="T133" s="23" t="str">
        <f>"|&amp;image("&amp;テーブル1[[#This Row],[画像]]&amp;".png,width=100,height=100)"</f>
        <v>|&amp;image(komoriji-kyo.png,width=100,height=100)</v>
      </c>
      <c r="U133" s="23" t="str">
        <f>"|MIDDLE:​"&amp;テーブル1[[#This Row],[名前]]</f>
        <v>|MIDDLE:​籠詞鮫</v>
      </c>
      <c r="V133" s="23" t="str">
        <f>"|MIDDLE:​"&amp;テーブル1[[#This Row],[なまえ]]</f>
        <v>|MIDDLE:​こもりじ きょう</v>
      </c>
      <c r="W133" s="23" t="str">
        <f>"|MIDDLE:​"&amp;テーブル1[[#This Row],[Name]]</f>
        <v>|MIDDLE:​Komoriji Kyo</v>
      </c>
      <c r="X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4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475</v>
      </c>
      <c r="D134" s="23" t="s">
        <v>476</v>
      </c>
      <c r="E134" s="23" t="s">
        <v>477</v>
      </c>
      <c r="F134" s="2" t="s">
        <v>233</v>
      </c>
      <c r="G134" s="23" t="s">
        <v>234</v>
      </c>
      <c r="N134" s="1" t="s">
        <v>1443</v>
      </c>
      <c r="O134" s="24" t="str">
        <f>テーブル1[[#This Row],[リンク]]&amp;テーブル1[[#This Row],[描画状況]]</f>
        <v>https://nanyuanxiaojieji.wixsite.com/yuragine-kannsokujo済</v>
      </c>
      <c r="P134" s="17">
        <f>1-(COUNTIF(O:O,_xlfn.TEXTJOIN(",",TRUE,テーブル1[[#This Row],[リンク]],テーブル1[[#This Row],[描画状況]]))/COUNTIF(F:F,テーブル1[[#This Row],[リンク]]))</f>
        <v>1</v>
      </c>
      <c r="Q134" s="16" t="str">
        <f ca="1">IFERROR(IF(テーブル1[[#This Row],[描画状況]]="",RAND()+(テーブル1[[#This Row],[列2]]*100),""),RAND())</f>
        <v/>
      </c>
      <c r="R134" s="1" t="s">
        <v>777</v>
      </c>
      <c r="S134" s="24" t="str">
        <f ca="1">IF(AND(テーブル1[[#This Row],[描画状況]]="済",テーブル1[[#This Row],[投稿状況]]=""),RAND(),"")</f>
        <v/>
      </c>
      <c r="T134" s="23" t="str">
        <f>"|&amp;image("&amp;テーブル1[[#This Row],[画像]]&amp;".png,width=100,height=100)"</f>
        <v>|&amp;image(yuragine-yui.png,width=100,height=100)</v>
      </c>
      <c r="U134" s="23" t="str">
        <f>"|MIDDLE:​"&amp;テーブル1[[#This Row],[名前]]</f>
        <v>|MIDDLE:​揺音ユイ</v>
      </c>
      <c r="V134" s="23" t="str">
        <f>"|MIDDLE:​"&amp;テーブル1[[#This Row],[なまえ]]</f>
        <v>|MIDDLE:​ゆらぎね ゆい</v>
      </c>
      <c r="W134" s="23" t="str">
        <f>"|MIDDLE:​"&amp;テーブル1[[#This Row],[Name]]</f>
        <v>|MIDDLE:​Yuragine Yui</v>
      </c>
      <c r="X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4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1165</v>
      </c>
      <c r="D135" s="23" t="s">
        <v>1166</v>
      </c>
      <c r="E135" s="23" t="s">
        <v>1167</v>
      </c>
      <c r="F135" s="2" t="s">
        <v>1158</v>
      </c>
      <c r="G135" s="23" t="s">
        <v>1168</v>
      </c>
      <c r="N135" s="1" t="s">
        <v>1443</v>
      </c>
      <c r="O135" s="24" t="str">
        <f>テーブル1[[#This Row],[リンク]]&amp;テーブル1[[#This Row],[描画状況]]</f>
        <v>https://osomatsu-poid.wixsite.com/konari-san-chi済</v>
      </c>
      <c r="P135" s="17">
        <f>1-(COUNTIF(O:O,_xlfn.TEXTJOIN(",",TRUE,テーブル1[[#This Row],[リンク]],テーブル1[[#This Row],[描画状況]]))/COUNTIF(F:F,テーブル1[[#This Row],[リンク]]))</f>
        <v>1</v>
      </c>
      <c r="Q135" s="16" t="str">
        <f ca="1">IFERROR(IF(テーブル1[[#This Row],[描画状況]]="",RAND()+(テーブル1[[#This Row],[列2]]*100),""),RAND())</f>
        <v/>
      </c>
      <c r="R135" s="1" t="s">
        <v>1193</v>
      </c>
      <c r="S135" s="24" t="str">
        <f ca="1">IF(AND(テーブル1[[#This Row],[描画状況]]="済",テーブル1[[#This Row],[投稿状況]]=""),RAND(),"")</f>
        <v/>
      </c>
      <c r="T135" s="23" t="str">
        <f>"|&amp;image("&amp;テーブル1[[#This Row],[画像]]&amp;".png,width=100,height=100)"</f>
        <v>|&amp;image(konari-koharu.png,width=100,height=100)</v>
      </c>
      <c r="U135" s="23" t="str">
        <f>"|MIDDLE:​"&amp;テーブル1[[#This Row],[名前]]</f>
        <v>|MIDDLE:​狐鳴琴陽</v>
      </c>
      <c r="V135" s="23" t="str">
        <f>"|MIDDLE:​"&amp;テーブル1[[#This Row],[なまえ]]</f>
        <v>|MIDDLE:​こなり こはる</v>
      </c>
      <c r="W135" s="23" t="str">
        <f>"|MIDDLE:​"&amp;テーブル1[[#This Row],[Name]]</f>
        <v>|MIDDLE:​Konari Koharu</v>
      </c>
      <c r="X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4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491</v>
      </c>
      <c r="D136" s="23" t="s">
        <v>492</v>
      </c>
      <c r="E136" s="23" t="s">
        <v>493</v>
      </c>
      <c r="F136" s="2" t="s">
        <v>494</v>
      </c>
      <c r="G136" s="23" t="s">
        <v>495</v>
      </c>
      <c r="N136" s="1" t="s">
        <v>1443</v>
      </c>
      <c r="O136" s="24" t="str">
        <f>テーブル1[[#This Row],[リンク]]&amp;テーブル1[[#This Row],[描画状況]]</f>
        <v>https://sites.google.com/view/fukuma-utau/top済</v>
      </c>
      <c r="P136" s="17">
        <f>1-(COUNTIF(O:O,_xlfn.TEXTJOIN(",",TRUE,テーブル1[[#This Row],[リンク]],テーブル1[[#This Row],[描画状況]]))/COUNTIF(F:F,テーブル1[[#This Row],[リンク]]))</f>
        <v>1</v>
      </c>
      <c r="Q136" s="16" t="str">
        <f ca="1">IFERROR(IF(テーブル1[[#This Row],[描画状況]]="",RAND()+(テーブル1[[#This Row],[列2]]*100),""),RAND())</f>
        <v/>
      </c>
      <c r="R136" s="1" t="s">
        <v>1193</v>
      </c>
      <c r="S136" s="24" t="str">
        <f ca="1">IF(AND(テーブル1[[#This Row],[描画状況]]="済",テーブル1[[#This Row],[投稿状況]]=""),RAND(),"")</f>
        <v/>
      </c>
      <c r="T136" s="23" t="str">
        <f>"|&amp;image("&amp;テーブル1[[#This Row],[画像]]&amp;".png,width=100,height=100)"</f>
        <v>|&amp;image(kazukamachi-mera.png,width=100,height=100)</v>
      </c>
      <c r="U136" s="23" t="str">
        <f>"|MIDDLE:​"&amp;テーブル1[[#This Row],[名前]]</f>
        <v>|MIDDLE:​花束町めら</v>
      </c>
      <c r="V136" s="23" t="str">
        <f>"|MIDDLE:​"&amp;テーブル1[[#This Row],[なまえ]]</f>
        <v>|MIDDLE:​かづかまち めら</v>
      </c>
      <c r="W136" s="23" t="str">
        <f>"|MIDDLE:​"&amp;テーブル1[[#This Row],[Name]]</f>
        <v>|MIDDLE:​kazukamachi Mera</v>
      </c>
      <c r="X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4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534</v>
      </c>
      <c r="D137" s="23" t="s">
        <v>535</v>
      </c>
      <c r="E137" s="23" t="s">
        <v>536</v>
      </c>
      <c r="F137" s="2" t="s">
        <v>324</v>
      </c>
      <c r="G137" s="23" t="s">
        <v>325</v>
      </c>
      <c r="N137" s="1" t="s">
        <v>1443</v>
      </c>
      <c r="O137" s="24" t="str">
        <f>テーブル1[[#This Row],[リンク]]&amp;テーブル1[[#This Row],[描画状況]]</f>
        <v>https://suihankinonaka.wixsite.com/my-site-1済</v>
      </c>
      <c r="P137" s="17">
        <f>1-(COUNTIF(O:O,_xlfn.TEXTJOIN(",",TRUE,テーブル1[[#This Row],[リンク]],テーブル1[[#This Row],[描画状況]]))/COUNTIF(F:F,テーブル1[[#This Row],[リンク]]))</f>
        <v>1</v>
      </c>
      <c r="Q137" s="16" t="str">
        <f ca="1">IFERROR(IF(テーブル1[[#This Row],[描画状況]]="",RAND()+(テーブル1[[#This Row],[列2]]*100),""),RAND())</f>
        <v/>
      </c>
      <c r="R137" s="1" t="s">
        <v>1193</v>
      </c>
      <c r="S137" s="24" t="str">
        <f ca="1">IF(AND(テーブル1[[#This Row],[描画状況]]="済",テーブル1[[#This Row],[投稿状況]]=""),RAND(),"")</f>
        <v/>
      </c>
      <c r="T137" s="23" t="str">
        <f>"|&amp;image("&amp;テーブル1[[#This Row],[画像]]&amp;".png,width=100,height=100)"</f>
        <v>|&amp;image(aimai-merori.png,width=100,height=100)</v>
      </c>
      <c r="U137" s="23" t="str">
        <f>"|MIDDLE:​"&amp;テーブル1[[#This Row],[名前]]</f>
        <v>|MIDDLE:​曖米めろり</v>
      </c>
      <c r="V137" s="23" t="str">
        <f>"|MIDDLE:​"&amp;テーブル1[[#This Row],[なまえ]]</f>
        <v>|MIDDLE:​あいまい めろり</v>
      </c>
      <c r="W137" s="23" t="str">
        <f>"|MIDDLE:​"&amp;テーブル1[[#This Row],[Name]]</f>
        <v>|MIDDLE:​Aimai Merori</v>
      </c>
      <c r="X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4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585</v>
      </c>
      <c r="D138" s="23" t="s">
        <v>586</v>
      </c>
      <c r="E138" s="23" t="s">
        <v>587</v>
      </c>
      <c r="F138" s="2" t="s">
        <v>122</v>
      </c>
      <c r="G138" s="23" t="s">
        <v>123</v>
      </c>
      <c r="H138" s="23" t="s">
        <v>1626</v>
      </c>
      <c r="I138" s="23" t="s">
        <v>1688</v>
      </c>
      <c r="K138" s="23" t="s">
        <v>1692</v>
      </c>
      <c r="L138" s="23" t="s">
        <v>1690</v>
      </c>
      <c r="N138" s="1" t="s">
        <v>1443</v>
      </c>
      <c r="O138" s="24" t="str">
        <f>テーブル1[[#This Row],[リンク]]&amp;テーブル1[[#This Row],[描画状況]]</f>
        <v>https://inudanuki.wixsite.com/gottaniomotyabako済</v>
      </c>
      <c r="P138" s="17">
        <f>1-(COUNTIF(O:O,_xlfn.TEXTJOIN(",",TRUE,テーブル1[[#This Row],[リンク]],テーブル1[[#This Row],[描画状況]]))/COUNTIF(F:F,テーブル1[[#This Row],[リンク]]))</f>
        <v>1</v>
      </c>
      <c r="Q138" s="16" t="str">
        <f ca="1">IFERROR(IF(テーブル1[[#This Row],[描画状況]]="",RAND()+(テーブル1[[#This Row],[列2]]*100),""),RAND())</f>
        <v/>
      </c>
      <c r="R138" s="1" t="s">
        <v>1193</v>
      </c>
      <c r="S138" s="24" t="str">
        <f ca="1">IF(AND(テーブル1[[#This Row],[描画状況]]="済",テーブル1[[#This Row],[投稿状況]]=""),RAND(),"")</f>
        <v/>
      </c>
      <c r="T138" s="23" t="str">
        <f>"|&amp;image("&amp;テーブル1[[#This Row],[画像]]&amp;".png,width=100,height=100)"</f>
        <v>|&amp;image(katanashi-zu.png,width=100,height=100)</v>
      </c>
      <c r="U138" s="23" t="str">
        <f>"|MIDDLE:​"&amp;テーブル1[[#This Row],[名前]]</f>
        <v>|MIDDLE:​形亡ズゥ</v>
      </c>
      <c r="V138" s="23" t="str">
        <f>"|MIDDLE:​"&amp;テーブル1[[#This Row],[なまえ]]</f>
        <v>|MIDDLE:​かたなし ずぅ</v>
      </c>
      <c r="W138" s="23" t="str">
        <f>"|MIDDLE:​"&amp;テーブル1[[#This Row],[Name]]</f>
        <v>|MIDDLE:​Katanashi zu</v>
      </c>
      <c r="X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4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925</v>
      </c>
      <c r="D139" s="23" t="s">
        <v>926</v>
      </c>
      <c r="E139" s="23" t="s">
        <v>927</v>
      </c>
      <c r="F139" s="2" t="s">
        <v>676</v>
      </c>
      <c r="G139" s="23" t="s">
        <v>677</v>
      </c>
      <c r="M139" s="1" t="s">
        <v>1517</v>
      </c>
      <c r="N139" s="1" t="s">
        <v>1443</v>
      </c>
      <c r="O139" s="24" t="str">
        <f>テーブル1[[#This Row],[リンク]]&amp;テーブル1[[#This Row],[描画状況]]</f>
        <v>https://ametro.jimdofree.com済</v>
      </c>
      <c r="P139" s="17">
        <f>1-(COUNTIF(O:O,_xlfn.TEXTJOIN(",",TRUE,テーブル1[[#This Row],[リンク]],テーブル1[[#This Row],[描画状況]]))/COUNTIF(F:F,テーブル1[[#This Row],[リンク]]))</f>
        <v>1</v>
      </c>
      <c r="Q139" s="16" t="str">
        <f ca="1">IFERROR(IF(テーブル1[[#This Row],[描画状況]]="",RAND()+(テーブル1[[#This Row],[列2]]*100),""),RAND())</f>
        <v/>
      </c>
      <c r="R139" s="1" t="s">
        <v>1193</v>
      </c>
      <c r="S139" s="24" t="str">
        <f ca="1">IF(AND(テーブル1[[#This Row],[描画状況]]="済",テーブル1[[#This Row],[投稿状況]]=""),RAND(),"")</f>
        <v/>
      </c>
      <c r="T139" s="23" t="str">
        <f>"|&amp;image("&amp;テーブル1[[#This Row],[画像]]&amp;".png,width=100,height=100)"</f>
        <v>|&amp;image(ameuta-nimu.png,width=100,height=100)</v>
      </c>
      <c r="U139" s="23" t="str">
        <f>"|MIDDLE:​"&amp;テーブル1[[#This Row],[名前]]</f>
        <v>|MIDDLE:​飴唄ニム</v>
      </c>
      <c r="V139" s="23" t="str">
        <f>"|MIDDLE:​"&amp;テーブル1[[#This Row],[なまえ]]</f>
        <v>|MIDDLE:​あめうた にむ</v>
      </c>
      <c r="W139" s="25" t="str">
        <f>"|MIDDLE:​"&amp;テーブル1[[#This Row],[Name]]</f>
        <v>|MIDDLE:​Ameuta Nimu</v>
      </c>
      <c r="X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4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429</v>
      </c>
      <c r="D140" s="23" t="s">
        <v>430</v>
      </c>
      <c r="E140" s="23" t="s">
        <v>431</v>
      </c>
      <c r="F140" s="2" t="s">
        <v>54</v>
      </c>
      <c r="G140" s="23" t="s">
        <v>55</v>
      </c>
      <c r="M140" s="1" t="s">
        <v>1518</v>
      </c>
      <c r="N140" s="1" t="s">
        <v>1443</v>
      </c>
      <c r="O140" s="24" t="str">
        <f>テーブル1[[#This Row],[リンク]]&amp;テーブル1[[#This Row],[描画状況]]</f>
        <v>https://bellsworks.wixsite.com/bellsworks済</v>
      </c>
      <c r="P140" s="17">
        <f>1-(COUNTIF(O:O,_xlfn.TEXTJOIN(",",TRUE,テーブル1[[#This Row],[リンク]],テーブル1[[#This Row],[描画状況]]))/COUNTIF(F:F,テーブル1[[#This Row],[リンク]]))</f>
        <v>1</v>
      </c>
      <c r="Q140" s="16" t="str">
        <f ca="1">IFERROR(IF(テーブル1[[#This Row],[描画状況]]="",RAND()+(テーブル1[[#This Row],[列2]]*100),""),RAND())</f>
        <v/>
      </c>
      <c r="R140" s="1" t="s">
        <v>1193</v>
      </c>
      <c r="S140" s="24" t="str">
        <f ca="1">IF(AND(テーブル1[[#This Row],[描画状況]]="済",テーブル1[[#This Row],[投稿状況]]=""),RAND(),"")</f>
        <v/>
      </c>
      <c r="T140" s="23" t="str">
        <f>"|&amp;image("&amp;テーブル1[[#This Row],[画像]]&amp;".png,width=100,height=100)"</f>
        <v>|&amp;image(suzuno-shion.png,width=100,height=100)</v>
      </c>
      <c r="U140" s="23" t="str">
        <f>"|MIDDLE:​"&amp;テーブル1[[#This Row],[名前]]</f>
        <v>|MIDDLE:​鈴音シオン</v>
      </c>
      <c r="V140" s="23" t="str">
        <f>"|MIDDLE:​"&amp;テーブル1[[#This Row],[なまえ]]</f>
        <v>|MIDDLE:​すずの しおん</v>
      </c>
      <c r="W140" s="23" t="str">
        <f>"|MIDDLE:​"&amp;テーブル1[[#This Row],[Name]]</f>
        <v>|MIDDLE:​Suzuno Shion</v>
      </c>
      <c r="X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4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551</v>
      </c>
      <c r="D141" s="23" t="s">
        <v>552</v>
      </c>
      <c r="E141" s="23" t="s">
        <v>553</v>
      </c>
      <c r="F141" s="2" t="s">
        <v>554</v>
      </c>
      <c r="G141" s="23" t="s">
        <v>555</v>
      </c>
      <c r="M141" s="1" t="s">
        <v>1517</v>
      </c>
      <c r="N141" s="1" t="s">
        <v>1443</v>
      </c>
      <c r="O141" s="24" t="str">
        <f>テーブル1[[#This Row],[リンク]]&amp;テーブル1[[#This Row],[描画状況]]</f>
        <v>https://bowlroll.net/file/336695済</v>
      </c>
      <c r="P141" s="17">
        <f>1-(COUNTIF(O:O,_xlfn.TEXTJOIN(",",TRUE,テーブル1[[#This Row],[リンク]],テーブル1[[#This Row],[描画状況]]))/COUNTIF(F:F,テーブル1[[#This Row],[リンク]]))</f>
        <v>1</v>
      </c>
      <c r="Q141" s="16" t="str">
        <f ca="1">IFERROR(IF(テーブル1[[#This Row],[描画状況]]="",RAND()+(テーブル1[[#This Row],[列2]]*100),""),RAND())</f>
        <v/>
      </c>
      <c r="R141" s="1" t="s">
        <v>1193</v>
      </c>
      <c r="S141" s="24" t="str">
        <f ca="1">IF(AND(テーブル1[[#This Row],[描画状況]]="済",テーブル1[[#This Row],[投稿状況]]=""),RAND(),"")</f>
        <v/>
      </c>
      <c r="T141" s="23" t="str">
        <f>"|&amp;image("&amp;テーブル1[[#This Row],[画像]]&amp;".png,width=100,height=100)"</f>
        <v>|&amp;image(gakusei-sho.png,width=100,height=100)</v>
      </c>
      <c r="U141" s="23" t="str">
        <f>"|MIDDLE:​"&amp;テーブル1[[#This Row],[名前]]</f>
        <v>|MIDDLE:​学静ショウ</v>
      </c>
      <c r="V141" s="23" t="str">
        <f>"|MIDDLE:​"&amp;テーブル1[[#This Row],[なまえ]]</f>
        <v>|MIDDLE:​がくせい しょう</v>
      </c>
      <c r="W141" s="23" t="str">
        <f>"|MIDDLE:​"&amp;テーブル1[[#This Row],[Name]]</f>
        <v>|MIDDLE:​Gakusei Sho</v>
      </c>
      <c r="X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4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643</v>
      </c>
      <c r="D142" s="23" t="s">
        <v>644</v>
      </c>
      <c r="E142" s="23" t="s">
        <v>645</v>
      </c>
      <c r="F142" s="2" t="s">
        <v>641</v>
      </c>
      <c r="G142" s="23" t="s">
        <v>650</v>
      </c>
      <c r="N142" s="1" t="s">
        <v>1443</v>
      </c>
      <c r="O142" s="24" t="str">
        <f>テーブル1[[#This Row],[リンク]]&amp;テーブル1[[#This Row],[描画状況]]</f>
        <v>https://sites.google.com/view/qsuke-garden/home済</v>
      </c>
      <c r="P142" s="17">
        <f>1-(COUNTIF(O:O,_xlfn.TEXTJOIN(",",TRUE,テーブル1[[#This Row],[リンク]],テーブル1[[#This Row],[描画状況]]))/COUNTIF(F:F,テーブル1[[#This Row],[リンク]]))</f>
        <v>1</v>
      </c>
      <c r="Q142" s="16" t="str">
        <f ca="1">IFERROR(IF(テーブル1[[#This Row],[描画状況]]="",RAND()+(テーブル1[[#This Row],[列2]]*100),""),RAND())</f>
        <v/>
      </c>
      <c r="R142" s="1" t="s">
        <v>1193</v>
      </c>
      <c r="S142" s="24" t="str">
        <f ca="1">IF(AND(テーブル1[[#This Row],[描画状況]]="済",テーブル1[[#This Row],[投稿状況]]=""),RAND(),"")</f>
        <v/>
      </c>
      <c r="T142" s="23" t="str">
        <f>"|&amp;image("&amp;テーブル1[[#This Row],[画像]]&amp;".png,width=100,height=100)"</f>
        <v>|&amp;image(mutsumi-q.png,width=100,height=100)</v>
      </c>
      <c r="U142" s="23" t="str">
        <f>"|MIDDLE:​"&amp;テーブル1[[#This Row],[名前]]</f>
        <v>|MIDDLE:​六見：Ｑ</v>
      </c>
      <c r="V142" s="23" t="str">
        <f>"|MIDDLE:​"&amp;テーブル1[[#This Row],[なまえ]]</f>
        <v>|MIDDLE:​むつみ きゅう</v>
      </c>
      <c r="W142" s="23" t="str">
        <f>"|MIDDLE:​"&amp;テーブル1[[#This Row],[Name]]</f>
        <v>|MIDDLE:​Mutsumi Q</v>
      </c>
      <c r="X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4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560</v>
      </c>
      <c r="D143" s="23" t="s">
        <v>561</v>
      </c>
      <c r="E143" s="23" t="s">
        <v>562</v>
      </c>
      <c r="F143" s="2" t="s">
        <v>559</v>
      </c>
      <c r="G143" s="23" t="str">
        <f>テーブル1[[#This Row],[名前]]&amp;"(UTAU)"</f>
        <v>悪戯清子(UTAU)</v>
      </c>
      <c r="M143" s="1" t="s">
        <v>1517</v>
      </c>
      <c r="N143" s="1" t="s">
        <v>1443</v>
      </c>
      <c r="O143" s="24" t="str">
        <f>テーブル1[[#This Row],[リンク]]&amp;テーブル1[[#This Row],[描画状況]]</f>
        <v>https://bowlroll.net/user/700434済</v>
      </c>
      <c r="P143" s="17">
        <f>1-(COUNTIF(O:O,_xlfn.TEXTJOIN(",",TRUE,テーブル1[[#This Row],[リンク]],テーブル1[[#This Row],[描画状況]]))/COUNTIF(F:F,テーブル1[[#This Row],[リンク]]))</f>
        <v>1</v>
      </c>
      <c r="Q143" s="16" t="str">
        <f ca="1">IFERROR(IF(テーブル1[[#This Row],[描画状況]]="",RAND()+(テーブル1[[#This Row],[列2]]*100),""),RAND())</f>
        <v/>
      </c>
      <c r="R143" s="1" t="s">
        <v>1193</v>
      </c>
      <c r="S143" s="24" t="str">
        <f ca="1">IF(AND(テーブル1[[#This Row],[描画状況]]="済",テーブル1[[#This Row],[投稿状況]]=""),RAND(),"")</f>
        <v/>
      </c>
      <c r="T143" s="23" t="str">
        <f>"|&amp;image("&amp;テーブル1[[#This Row],[画像]]&amp;".png,width=100,height=100)"</f>
        <v>|&amp;image(itazura-seiko.png,width=100,height=100)</v>
      </c>
      <c r="U143" s="23" t="str">
        <f>"|MIDDLE:​"&amp;テーブル1[[#This Row],[名前]]</f>
        <v>|MIDDLE:​悪戯清子</v>
      </c>
      <c r="V143" s="23" t="str">
        <f>"|MIDDLE:​"&amp;テーブル1[[#This Row],[なまえ]]</f>
        <v>|MIDDLE:​いたずら せいこ</v>
      </c>
      <c r="W143" s="23" t="str">
        <f>"|MIDDLE:​"&amp;テーブル1[[#This Row],[Name]]</f>
        <v>|MIDDLE:​Itazura Seiko</v>
      </c>
      <c r="X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4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ufuro-johomau-shifusho</v>
      </c>
      <c r="C144" s="24" t="s">
        <v>1004</v>
      </c>
      <c r="D144" s="23" t="s">
        <v>1009</v>
      </c>
      <c r="E144" s="23" t="s">
        <v>1008</v>
      </c>
      <c r="F144" s="2" t="s">
        <v>64</v>
      </c>
      <c r="G144" s="23" t="s">
        <v>65</v>
      </c>
      <c r="M144" s="1" t="s">
        <v>1517</v>
      </c>
      <c r="N144" s="1" t="s">
        <v>1443</v>
      </c>
      <c r="O144" s="24" t="str">
        <f>テーブル1[[#This Row],[リンク]]&amp;テーブル1[[#This Row],[描画状況]]</f>
        <v>https://bowlroll.net/user/852117/files済</v>
      </c>
      <c r="P144" s="17">
        <f>1-(COUNTIF(O:O,_xlfn.TEXTJOIN(",",TRUE,テーブル1[[#This Row],[リンク]],テーブル1[[#This Row],[描画状況]]))/COUNTIF(F:F,テーブル1[[#This Row],[リンク]]))</f>
        <v>1</v>
      </c>
      <c r="Q144" s="16" t="str">
        <f ca="1">IFERROR(IF(テーブル1[[#This Row],[描画状況]]="",RAND()+(テーブル1[[#This Row],[列2]]*100),""),RAND())</f>
        <v/>
      </c>
      <c r="R144" s="1" t="s">
        <v>1193</v>
      </c>
      <c r="S144" s="24" t="str">
        <f ca="1">IF(AND(テーブル1[[#This Row],[描画状況]]="済",テーブル1[[#This Row],[投稿状況]]=""),RAND(),"")</f>
        <v/>
      </c>
      <c r="T144" s="23" t="str">
        <f>"|&amp;image("&amp;テーブル1[[#This Row],[画像]]&amp;".png,width=100,height=100)"</f>
        <v>|&amp;image(ufuro-johomau-shifusho.png,width=100,height=100)</v>
      </c>
      <c r="U144" s="23" t="str">
        <f>"|MIDDLE:​"&amp;テーブル1[[#This Row],[名前]]</f>
        <v>|MIDDLE:​ウフーロ・ジョホマウ・シフショ</v>
      </c>
      <c r="V144" s="23" t="str">
        <f>"|MIDDLE:​"&amp;テーブル1[[#This Row],[なまえ]]</f>
        <v>|MIDDLE:​うふーろ じょほまう しふしょ</v>
      </c>
      <c r="W144" s="23" t="str">
        <f>"|MIDDLE:​"&amp;テーブル1[[#This Row],[Name]]</f>
        <v>|MIDDLE:​Ufuro Johomau Shifusho</v>
      </c>
      <c r="X144" s="23" t="str">
        <f>"|MIDDLE:​&amp;link(配布所はこちら){​"&amp;テーブル1[[#This Row],[リンク]]&amp;"}|"</f>
        <v>|MIDDLE:​&amp;link(配布所はこちら){​https://bowlroll.net/user/852117/files}|</v>
      </c>
    </row>
    <row r="145" spans="1:24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1508</v>
      </c>
      <c r="D145" s="23" t="s">
        <v>438</v>
      </c>
      <c r="E145" s="23" t="s">
        <v>439</v>
      </c>
      <c r="F145" s="2" t="s">
        <v>54</v>
      </c>
      <c r="G145" s="23" t="s">
        <v>55</v>
      </c>
      <c r="M145" s="1" t="s">
        <v>1518</v>
      </c>
      <c r="N145" s="1" t="s">
        <v>1443</v>
      </c>
      <c r="O145" s="24" t="str">
        <f>テーブル1[[#This Row],[リンク]]&amp;テーブル1[[#This Row],[描画状況]]</f>
        <v>https://bellsworks.wixsite.com/bellsworks済</v>
      </c>
      <c r="P145" s="17">
        <f>1-(COUNTIF(O:O,_xlfn.TEXTJOIN(",",TRUE,テーブル1[[#This Row],[リンク]],テーブル1[[#This Row],[描画状況]]))/COUNTIF(F:F,テーブル1[[#This Row],[リンク]]))</f>
        <v>1</v>
      </c>
      <c r="Q145" s="16" t="str">
        <f ca="1">IFERROR(IF(テーブル1[[#This Row],[描画状況]]="",RAND()+(テーブル1[[#This Row],[列2]]*100),""),RAND())</f>
        <v/>
      </c>
      <c r="R145" s="1" t="s">
        <v>1193</v>
      </c>
      <c r="S145" s="24" t="str">
        <f ca="1">IF(AND(テーブル1[[#This Row],[描画状況]]="済",テーブル1[[#This Row],[投稿状況]]=""),RAND(),"")</f>
        <v/>
      </c>
      <c r="T145" s="23" t="str">
        <f>"|&amp;image("&amp;テーブル1[[#This Row],[画像]]&amp;".png,width=100,height=100)"</f>
        <v>|&amp;image(suzuno-ruon.png,width=100,height=100)</v>
      </c>
      <c r="U145" s="23" t="str">
        <f>"|MIDDLE:​"&amp;テーブル1[[#This Row],[名前]]</f>
        <v>|MIDDLE:​鈴音ルオン</v>
      </c>
      <c r="V145" s="23" t="str">
        <f>"|MIDDLE:​"&amp;テーブル1[[#This Row],[なまえ]]</f>
        <v>|MIDDLE:​すずの るおん</v>
      </c>
      <c r="W145" s="23" t="str">
        <f>"|MIDDLE:​"&amp;テーブル1[[#This Row],[Name]]</f>
        <v>|MIDDLE:​Suzuno Ruon</v>
      </c>
      <c r="X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4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607</v>
      </c>
      <c r="D146" s="23" t="s">
        <v>608</v>
      </c>
      <c r="E146" s="23" t="s">
        <v>609</v>
      </c>
      <c r="F146" s="2" t="s">
        <v>605</v>
      </c>
      <c r="G146" s="23" t="s">
        <v>606</v>
      </c>
      <c r="N146" s="1" t="s">
        <v>1443</v>
      </c>
      <c r="O146" s="24" t="str">
        <f>テーブル1[[#This Row],[リンク]]&amp;テーブル1[[#This Row],[描画状況]]</f>
        <v>https://kairi0utau.wixsite.com/arugamamanouta済</v>
      </c>
      <c r="P146" s="17">
        <f>1-(COUNTIF(O:O,_xlfn.TEXTJOIN(",",TRUE,テーブル1[[#This Row],[リンク]],テーブル1[[#This Row],[描画状況]]))/COUNTIF(F:F,テーブル1[[#This Row],[リンク]]))</f>
        <v>1</v>
      </c>
      <c r="Q146" s="16" t="str">
        <f ca="1">IFERROR(IF(テーブル1[[#This Row],[描画状況]]="",RAND()+(テーブル1[[#This Row],[列2]]*100),""),RAND())</f>
        <v/>
      </c>
      <c r="R146" s="1" t="s">
        <v>1193</v>
      </c>
      <c r="S146" s="24" t="str">
        <f ca="1">IF(AND(テーブル1[[#This Row],[描画状況]]="済",テーブル1[[#This Row],[投稿状況]]=""),RAND(),"")</f>
        <v/>
      </c>
      <c r="T146" s="23" t="str">
        <f>"|&amp;image("&amp;テーブル1[[#This Row],[画像]]&amp;".png,width=100,height=100)"</f>
        <v>|&amp;image(utsumi-akuru.png,width=100,height=100)</v>
      </c>
      <c r="U146" s="23" t="str">
        <f>"|MIDDLE:​"&amp;テーブル1[[#This Row],[名前]]</f>
        <v>|MIDDLE:​空深あくる</v>
      </c>
      <c r="V146" s="23" t="str">
        <f>"|MIDDLE:​"&amp;テーブル1[[#This Row],[なまえ]]</f>
        <v>|MIDDLE:​うつみ あくる</v>
      </c>
      <c r="W146" s="23" t="str">
        <f>"|MIDDLE:​"&amp;テーブル1[[#This Row],[Name]]</f>
        <v>|MIDDLE:​Utsumi Akuru</v>
      </c>
      <c r="X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4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673</v>
      </c>
      <c r="D147" s="23" t="s">
        <v>674</v>
      </c>
      <c r="E147" s="23" t="s">
        <v>675</v>
      </c>
      <c r="F147" s="2" t="s">
        <v>676</v>
      </c>
      <c r="G147" s="23" t="s">
        <v>677</v>
      </c>
      <c r="M147" s="1" t="s">
        <v>1517</v>
      </c>
      <c r="N147" s="1" t="s">
        <v>1443</v>
      </c>
      <c r="O147" s="24" t="str">
        <f>テーブル1[[#This Row],[リンク]]&amp;テーブル1[[#This Row],[描画状況]]</f>
        <v>https://ametro.jimdofree.com済</v>
      </c>
      <c r="P147" s="17">
        <f>1-(COUNTIF(O:O,_xlfn.TEXTJOIN(",",TRUE,テーブル1[[#This Row],[リンク]],テーブル1[[#This Row],[描画状況]]))/COUNTIF(F:F,テーブル1[[#This Row],[リンク]]))</f>
        <v>1</v>
      </c>
      <c r="Q147" s="16" t="str">
        <f ca="1">IFERROR(IF(テーブル1[[#This Row],[描画状況]]="",RAND()+(テーブル1[[#This Row],[列2]]*100),""),RAND())</f>
        <v/>
      </c>
      <c r="R147" s="1" t="s">
        <v>1193</v>
      </c>
      <c r="S147" s="24" t="str">
        <f ca="1">IF(AND(テーブル1[[#This Row],[描画状況]]="済",テーブル1[[#This Row],[投稿状況]]=""),RAND(),"")</f>
        <v/>
      </c>
      <c r="T147" s="23" t="str">
        <f>"|&amp;image("&amp;テーブル1[[#This Row],[画像]]&amp;".png,width=100,height=100)"</f>
        <v>|&amp;image(ameuta-nito.png,width=100,height=100)</v>
      </c>
      <c r="U147" s="23" t="str">
        <f>"|MIDDLE:​"&amp;テーブル1[[#This Row],[名前]]</f>
        <v>|MIDDLE:​飴唄ニト</v>
      </c>
      <c r="V147" s="23" t="str">
        <f>"|MIDDLE:​"&amp;テーブル1[[#This Row],[なまえ]]</f>
        <v>|MIDDLE:​あめうた にと</v>
      </c>
      <c r="W147" s="23" t="str">
        <f>"|MIDDLE:​"&amp;テーブル1[[#This Row],[Name]]</f>
        <v>|MIDDLE:​Ameuta Nito</v>
      </c>
      <c r="X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4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582</v>
      </c>
      <c r="D148" s="23" t="s">
        <v>583</v>
      </c>
      <c r="E148" s="23" t="s">
        <v>584</v>
      </c>
      <c r="F148" s="2" t="s">
        <v>122</v>
      </c>
      <c r="G148" s="23" t="s">
        <v>123</v>
      </c>
      <c r="H148" s="23" t="s">
        <v>1626</v>
      </c>
      <c r="I148" s="23" t="s">
        <v>1636</v>
      </c>
      <c r="L148" s="23" t="s">
        <v>1691</v>
      </c>
      <c r="N148" s="1" t="s">
        <v>1443</v>
      </c>
      <c r="O148" s="24" t="str">
        <f>テーブル1[[#This Row],[リンク]]&amp;テーブル1[[#This Row],[描画状況]]</f>
        <v>https://inudanuki.wixsite.com/gottaniomotyabako済</v>
      </c>
      <c r="P148" s="17">
        <f>1-(COUNTIF(O:O,_xlfn.TEXTJOIN(",",TRUE,テーブル1[[#This Row],[リンク]],テーブル1[[#This Row],[描画状況]]))/COUNTIF(F:F,テーブル1[[#This Row],[リンク]]))</f>
        <v>1</v>
      </c>
      <c r="Q148" s="16" t="str">
        <f ca="1">IFERROR(IF(テーブル1[[#This Row],[描画状況]]="",RAND()+(テーブル1[[#This Row],[列2]]*100),""),RAND())</f>
        <v/>
      </c>
      <c r="R148" s="1" t="s">
        <v>1193</v>
      </c>
      <c r="S148" s="24" t="str">
        <f ca="1">IF(AND(テーブル1[[#This Row],[描画状況]]="済",テーブル1[[#This Row],[投稿状況]]=""),RAND(),"")</f>
        <v/>
      </c>
      <c r="T148" s="23" t="str">
        <f>"|&amp;image("&amp;テーブル1[[#This Row],[画像]]&amp;".png,width=100,height=100)"</f>
        <v>|&amp;image(ameiro-nerune.png,width=100,height=100)</v>
      </c>
      <c r="U148" s="23" t="str">
        <f>"|MIDDLE:​"&amp;テーブル1[[#This Row],[名前]]</f>
        <v>|MIDDLE:​飴彩ねるね</v>
      </c>
      <c r="V148" s="23" t="str">
        <f>"|MIDDLE:​"&amp;テーブル1[[#This Row],[なまえ]]</f>
        <v>|MIDDLE:​あめいろ ねるね</v>
      </c>
      <c r="W148" s="23" t="str">
        <f>"|MIDDLE:​"&amp;テーブル1[[#This Row],[Name]]</f>
        <v>|MIDDLE:​Ameiro Nerune</v>
      </c>
      <c r="X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4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794</v>
      </c>
      <c r="D149" s="23" t="s">
        <v>795</v>
      </c>
      <c r="E149" s="23" t="s">
        <v>802</v>
      </c>
      <c r="F149" s="15" t="s">
        <v>778</v>
      </c>
      <c r="G149" s="23" t="str">
        <f>テーブル1[[#This Row],[名前]]&amp;"(UTAU)"</f>
        <v>クリノクロア(UTAU)</v>
      </c>
      <c r="M149" s="1" t="s">
        <v>1517</v>
      </c>
      <c r="N149" s="1" t="s">
        <v>1443</v>
      </c>
      <c r="O149" s="24" t="str">
        <f>テーブル1[[#This Row],[リンク]]&amp;テーブル1[[#This Row],[描画状況]]</f>
        <v>https://cmamizki.wixsite.com/edelstein済</v>
      </c>
      <c r="P149" s="17">
        <f>1-(COUNTIF(O:O,_xlfn.TEXTJOIN(",",TRUE,テーブル1[[#This Row],[リンク]],テーブル1[[#This Row],[描画状況]]))/COUNTIF(F:F,テーブル1[[#This Row],[リンク]]))</f>
        <v>1</v>
      </c>
      <c r="Q149" s="16" t="str">
        <f ca="1">IFERROR(IF(テーブル1[[#This Row],[描画状況]]="",RAND()+(テーブル1[[#This Row],[列2]]*100),""),RAND())</f>
        <v/>
      </c>
      <c r="R149" s="1" t="s">
        <v>1193</v>
      </c>
      <c r="S149" s="24" t="str">
        <f ca="1">IF(AND(テーブル1[[#This Row],[描画状況]]="済",テーブル1[[#This Row],[投稿状況]]=""),RAND(),"")</f>
        <v/>
      </c>
      <c r="T149" s="23" t="str">
        <f>"|&amp;image("&amp;テーブル1[[#This Row],[画像]]&amp;".png,width=100,height=100)"</f>
        <v>|&amp;image(clinochlore.png,width=100,height=100)</v>
      </c>
      <c r="U149" s="23" t="str">
        <f>"|MIDDLE:​"&amp;テーブル1[[#This Row],[名前]]</f>
        <v>|MIDDLE:​クリノクロア</v>
      </c>
      <c r="V149" s="23" t="str">
        <f>"|MIDDLE:​"&amp;テーブル1[[#This Row],[なまえ]]</f>
        <v>|MIDDLE:​くりのくろあ</v>
      </c>
      <c r="W149" s="23" t="str">
        <f>"|MIDDLE:​"&amp;テーブル1[[#This Row],[Name]]</f>
        <v>|MIDDLE:​Clinochlore</v>
      </c>
      <c r="X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4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1392</v>
      </c>
      <c r="D150" s="23" t="s">
        <v>1393</v>
      </c>
      <c r="E150" s="23" t="s">
        <v>1394</v>
      </c>
      <c r="F150" s="15" t="s">
        <v>1395</v>
      </c>
      <c r="G150" s="23" t="s">
        <v>1396</v>
      </c>
      <c r="M150" s="1" t="s">
        <v>1517</v>
      </c>
      <c r="N150" s="1" t="s">
        <v>1443</v>
      </c>
      <c r="O150" s="24" t="str">
        <f>テーブル1[[#This Row],[リンク]]&amp;テーブル1[[#This Row],[描画状況]]</f>
        <v>https://hinoyuzirenraku.wixsite.com/mu-neneo済</v>
      </c>
      <c r="P150" s="17">
        <f>1-(COUNTIF(O:O,_xlfn.TEXTJOIN(",",TRUE,テーブル1[[#This Row],[リンク]],テーブル1[[#This Row],[描画状況]]))/COUNTIF(F:F,テーブル1[[#This Row],[リンク]]))</f>
        <v>1</v>
      </c>
      <c r="Q150" s="16" t="str">
        <f ca="1">IFERROR(IF(テーブル1[[#This Row],[描画状況]]="",RAND()+(テーブル1[[#This Row],[列2]]*100),""),RAND())</f>
        <v/>
      </c>
      <c r="R150" s="1" t="s">
        <v>1193</v>
      </c>
      <c r="S150" s="24" t="str">
        <f ca="1">IF(AND(テーブル1[[#This Row],[描画状況]]="済",テーブル1[[#This Row],[投稿状況]]=""),RAND(),"")</f>
        <v/>
      </c>
      <c r="T150" s="23" t="str">
        <f>"|&amp;image("&amp;テーブル1[[#This Row],[画像]]&amp;".png,width=100,height=100)"</f>
        <v>|&amp;image(neneo-mu.png,width=100,height=100)</v>
      </c>
      <c r="U150" s="23" t="str">
        <f>"|MIDDLE:​"&amp;テーブル1[[#This Row],[名前]]</f>
        <v>|MIDDLE:​音々尾ミュー</v>
      </c>
      <c r="V150" s="23" t="str">
        <f>"|MIDDLE:​"&amp;テーブル1[[#This Row],[なまえ]]</f>
        <v>|MIDDLE:​ねねお みゅー</v>
      </c>
      <c r="W150" s="23" t="str">
        <f>"|MIDDLE:​"&amp;テーブル1[[#This Row],[Name]]</f>
        <v>|MIDDLE:​Neneo mu</v>
      </c>
      <c r="X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4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687</v>
      </c>
      <c r="D151" s="23" t="s">
        <v>688</v>
      </c>
      <c r="E151" s="23" t="s">
        <v>689</v>
      </c>
      <c r="F151" s="2" t="s">
        <v>690</v>
      </c>
      <c r="G151" s="23" t="s">
        <v>691</v>
      </c>
      <c r="N151" s="1" t="s">
        <v>1443</v>
      </c>
      <c r="O151" s="24" t="str">
        <f>テーブル1[[#This Row],[リンク]]&amp;テーブル1[[#This Row],[描画状況]]</f>
        <v>https://zakrotsukumo.wixsite.com/utau-zerozero済</v>
      </c>
      <c r="P151" s="17">
        <f>1-(COUNTIF(O:O,_xlfn.TEXTJOIN(",",TRUE,テーブル1[[#This Row],[リンク]],テーブル1[[#This Row],[描画状況]]))/COUNTIF(F:F,テーブル1[[#This Row],[リンク]]))</f>
        <v>1</v>
      </c>
      <c r="Q151" s="16" t="str">
        <f ca="1">IFERROR(IF(テーブル1[[#This Row],[描画状況]]="",RAND()+(テーブル1[[#This Row],[列2]]*100),""),RAND())</f>
        <v/>
      </c>
      <c r="R151" s="1" t="s">
        <v>1193</v>
      </c>
      <c r="S151" s="24" t="str">
        <f ca="1">IF(AND(テーブル1[[#This Row],[描画状況]]="済",テーブル1[[#This Row],[投稿状況]]=""),RAND(),"")</f>
        <v/>
      </c>
      <c r="T151" s="23" t="str">
        <f>"|&amp;image("&amp;テーブル1[[#This Row],[画像]]&amp;".png,width=100,height=100)"</f>
        <v>|&amp;image(kurui-neiro.png,width=100,height=100)</v>
      </c>
      <c r="U151" s="23" t="str">
        <f>"|MIDDLE:​"&amp;テーブル1[[#This Row],[名前]]</f>
        <v>|MIDDLE:​狂威ネイロ</v>
      </c>
      <c r="V151" s="23" t="str">
        <f>"|MIDDLE:​"&amp;テーブル1[[#This Row],[なまえ]]</f>
        <v>|MIDDLE:​くるい ねいろ</v>
      </c>
      <c r="W151" s="23" t="str">
        <f>"|MIDDLE:​"&amp;テーブル1[[#This Row],[Name]]</f>
        <v>|MIDDLE:​Kurui Neiro</v>
      </c>
      <c r="X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4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1509</v>
      </c>
      <c r="D152" s="23" t="s">
        <v>459</v>
      </c>
      <c r="E152" s="23" t="s">
        <v>460</v>
      </c>
      <c r="F152" s="2" t="s">
        <v>54</v>
      </c>
      <c r="G152" s="23" t="s">
        <v>55</v>
      </c>
      <c r="M152" s="1" t="s">
        <v>1518</v>
      </c>
      <c r="N152" s="1" t="s">
        <v>1443</v>
      </c>
      <c r="O152" s="24" t="str">
        <f>テーブル1[[#This Row],[リンク]]&amp;テーブル1[[#This Row],[描画状況]]</f>
        <v>https://bellsworks.wixsite.com/bellsworks済</v>
      </c>
      <c r="P152" s="17">
        <f>1-(COUNTIF(O:O,_xlfn.TEXTJOIN(",",TRUE,テーブル1[[#This Row],[リンク]],テーブル1[[#This Row],[描画状況]]))/COUNTIF(F:F,テーブル1[[#This Row],[リンク]]))</f>
        <v>1</v>
      </c>
      <c r="Q152" s="16" t="str">
        <f ca="1">IFERROR(IF(テーブル1[[#This Row],[描画状況]]="",RAND()+(テーブル1[[#This Row],[列2]]*100),""),RAND())</f>
        <v/>
      </c>
      <c r="R152" s="1" t="s">
        <v>1193</v>
      </c>
      <c r="S152" s="24" t="str">
        <f ca="1">IF(AND(テーブル1[[#This Row],[描画状況]]="済",テーブル1[[#This Row],[投稿状況]]=""),RAND(),"")</f>
        <v/>
      </c>
      <c r="T152" s="23" t="str">
        <f>"|&amp;image("&amp;テーブル1[[#This Row],[画像]]&amp;".png,width=100,height=100)"</f>
        <v>|&amp;image(tsurune-reya.png,width=100,height=100)</v>
      </c>
      <c r="U152" s="23" t="str">
        <f>"|MIDDLE:​"&amp;テーブル1[[#This Row],[名前]]</f>
        <v>|MIDDLE:​弦音レーヤ</v>
      </c>
      <c r="V152" s="23" t="str">
        <f>"|MIDDLE:​"&amp;テーブル1[[#This Row],[なまえ]]</f>
        <v>|MIDDLE:​つるね れーや</v>
      </c>
      <c r="W152" s="23" t="str">
        <f>"|MIDDLE:​"&amp;テーブル1[[#This Row],[Name]]</f>
        <v>|MIDDLE:​Tsurune Reya</v>
      </c>
      <c r="X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4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603</v>
      </c>
      <c r="D153" s="23" t="s">
        <v>604</v>
      </c>
      <c r="E153" s="23" t="s">
        <v>603</v>
      </c>
      <c r="F153" s="2" t="s">
        <v>605</v>
      </c>
      <c r="G153" s="23" t="s">
        <v>606</v>
      </c>
      <c r="N153" s="1" t="s">
        <v>1443</v>
      </c>
      <c r="O153" s="24" t="str">
        <f>テーブル1[[#This Row],[リンク]]&amp;テーブル1[[#This Row],[描画状況]]</f>
        <v>https://kairi0utau.wixsite.com/arugamamanouta済</v>
      </c>
      <c r="P153" s="17">
        <f>1-(COUNTIF(O:O,_xlfn.TEXTJOIN(",",TRUE,テーブル1[[#This Row],[リンク]],テーブル1[[#This Row],[描画状況]]))/COUNTIF(F:F,テーブル1[[#This Row],[リンク]]))</f>
        <v>1</v>
      </c>
      <c r="Q153" s="16" t="str">
        <f ca="1">IFERROR(IF(テーブル1[[#This Row],[描画状況]]="",RAND()+(テーブル1[[#This Row],[列2]]*100),""),RAND())</f>
        <v/>
      </c>
      <c r="R153" s="1" t="s">
        <v>1193</v>
      </c>
      <c r="S153" s="24" t="str">
        <f ca="1">IF(AND(テーブル1[[#This Row],[描画状況]]="済",テーブル1[[#This Row],[投稿状況]]=""),RAND(),"")</f>
        <v/>
      </c>
      <c r="T153" s="23" t="str">
        <f>"|&amp;image("&amp;テーブル1[[#This Row],[画像]]&amp;".png,width=100,height=100)"</f>
        <v>|&amp;image(alma.png,width=100,height=100)</v>
      </c>
      <c r="U153" s="23" t="str">
        <f>"|MIDDLE:​"&amp;テーブル1[[#This Row],[名前]]</f>
        <v>|MIDDLE:​Alma</v>
      </c>
      <c r="V153" s="23" t="str">
        <f>"|MIDDLE:​"&amp;テーブル1[[#This Row],[なまえ]]</f>
        <v>|MIDDLE:​あるま</v>
      </c>
      <c r="W153" s="23" t="str">
        <f>"|MIDDLE:​"&amp;テーブル1[[#This Row],[Name]]</f>
        <v>|MIDDLE:​Alma</v>
      </c>
      <c r="X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4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825</v>
      </c>
      <c r="D154" s="23" t="s">
        <v>827</v>
      </c>
      <c r="E154" s="23" t="s">
        <v>826</v>
      </c>
      <c r="F154" s="2" t="s">
        <v>814</v>
      </c>
      <c r="G154" s="23" t="s">
        <v>815</v>
      </c>
      <c r="N154" s="1" t="s">
        <v>1443</v>
      </c>
      <c r="O154" s="24" t="str">
        <f>テーブル1[[#This Row],[リンク]]&amp;テーブル1[[#This Row],[描画状況]]</f>
        <v>https://makurakue.wixsite.com/kemononokemono済</v>
      </c>
      <c r="P154" s="17">
        <f>1-(COUNTIF(O:O,_xlfn.TEXTJOIN(",",TRUE,テーブル1[[#This Row],[リンク]],テーブル1[[#This Row],[描画状況]]))/COUNTIF(F:F,テーブル1[[#This Row],[リンク]]))</f>
        <v>1</v>
      </c>
      <c r="Q154" s="16" t="str">
        <f ca="1">IFERROR(IF(テーブル1[[#This Row],[描画状況]]="",RAND()+(テーブル1[[#This Row],[列2]]*100),""),RAND())</f>
        <v/>
      </c>
      <c r="R154" s="1" t="s">
        <v>1193</v>
      </c>
      <c r="S154" s="24" t="str">
        <f ca="1">IF(AND(テーブル1[[#This Row],[描画状況]]="済",テーブル1[[#This Row],[投稿状況]]=""),RAND(),"")</f>
        <v/>
      </c>
      <c r="T154" s="23" t="str">
        <f>"|&amp;image("&amp;テーブル1[[#This Row],[画像]]&amp;".png,width=100,height=100)"</f>
        <v>|&amp;image(shirazu-hana.png,width=100,height=100)</v>
      </c>
      <c r="U154" s="23" t="str">
        <f>"|MIDDLE:​"&amp;テーブル1[[#This Row],[名前]]</f>
        <v>|MIDDLE:​不知英</v>
      </c>
      <c r="V154" s="23" t="str">
        <f>"|MIDDLE:​"&amp;テーブル1[[#This Row],[なまえ]]</f>
        <v>|MIDDLE:​しらず はな</v>
      </c>
      <c r="W154" s="23" t="str">
        <f>"|MIDDLE:​"&amp;テーブル1[[#This Row],[Name]]</f>
        <v>|MIDDLE:​Shirazu Hana</v>
      </c>
      <c r="X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4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574</v>
      </c>
      <c r="D155" s="23" t="s">
        <v>575</v>
      </c>
      <c r="E155" s="23" t="s">
        <v>576</v>
      </c>
      <c r="F155" s="2" t="s">
        <v>572</v>
      </c>
      <c r="G155" s="23" t="s">
        <v>573</v>
      </c>
      <c r="M155" s="1" t="s">
        <v>1517</v>
      </c>
      <c r="N155" s="1" t="s">
        <v>1443</v>
      </c>
      <c r="O155" s="24" t="str">
        <f>テーブル1[[#This Row],[リンク]]&amp;テーブル1[[#This Row],[描画状況]]</f>
        <v>https://askdance.wixsite.com/monitor-room/monitor-room済</v>
      </c>
      <c r="P155" s="17">
        <f>1-(COUNTIF(O:O,_xlfn.TEXTJOIN(",",TRUE,テーブル1[[#This Row],[リンク]],テーブル1[[#This Row],[描画状況]]))/COUNTIF(F:F,テーブル1[[#This Row],[リンク]]))</f>
        <v>1</v>
      </c>
      <c r="Q155" s="16" t="str">
        <f ca="1">IFERROR(IF(テーブル1[[#This Row],[描画状況]]="",RAND()+(テーブル1[[#This Row],[列2]]*100),""),RAND())</f>
        <v/>
      </c>
      <c r="R155" s="1" t="s">
        <v>1193</v>
      </c>
      <c r="S155" s="24" t="str">
        <f ca="1">IF(AND(テーブル1[[#This Row],[描画状況]]="済",テーブル1[[#This Row],[投稿状況]]=""),RAND(),"")</f>
        <v/>
      </c>
      <c r="T155" s="23" t="str">
        <f>"|&amp;image("&amp;テーブル1[[#This Row],[画像]]&amp;".png,width=100,height=100)"</f>
        <v>|&amp;image(adagoto-kai.png,width=100,height=100)</v>
      </c>
      <c r="U155" s="23" t="str">
        <f>"|MIDDLE:​"&amp;テーブル1[[#This Row],[名前]]</f>
        <v>|MIDDLE:​徒事解</v>
      </c>
      <c r="V155" s="23" t="str">
        <f>"|MIDDLE:​"&amp;テーブル1[[#This Row],[なまえ]]</f>
        <v>|MIDDLE:​あだごと かい</v>
      </c>
      <c r="W155" s="23" t="str">
        <f>"|MIDDLE:​"&amp;テーブル1[[#This Row],[Name]]</f>
        <v>|MIDDLE:​Adagoto Kai</v>
      </c>
      <c r="X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4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505</v>
      </c>
      <c r="D156" s="23" t="s">
        <v>506</v>
      </c>
      <c r="E156" s="23" t="s">
        <v>507</v>
      </c>
      <c r="F156" s="2" t="s">
        <v>135</v>
      </c>
      <c r="G156" s="23" t="s">
        <v>136</v>
      </c>
      <c r="N156" s="1" t="s">
        <v>1443</v>
      </c>
      <c r="O156" s="24" t="str">
        <f>テーブル1[[#This Row],[リンク]]&amp;テーブル1[[#This Row],[描画状況]]</f>
        <v>https://kaitoramma.chu.jp済</v>
      </c>
      <c r="P156" s="17">
        <f>1-(COUNTIF(O:O,_xlfn.TEXTJOIN(",",TRUE,テーブル1[[#This Row],[リンク]],テーブル1[[#This Row],[描画状況]]))/COUNTIF(F:F,テーブル1[[#This Row],[リンク]]))</f>
        <v>1</v>
      </c>
      <c r="Q156" s="16" t="str">
        <f ca="1">IFERROR(IF(テーブル1[[#This Row],[描画状況]]="",RAND()+(テーブル1[[#This Row],[列2]]*100),""),RAND())</f>
        <v/>
      </c>
      <c r="R156" s="1" t="s">
        <v>1193</v>
      </c>
      <c r="S156" s="24" t="str">
        <f ca="1">IF(AND(テーブル1[[#This Row],[描画状況]]="済",テーブル1[[#This Row],[投稿状況]]=""),RAND(),"")</f>
        <v/>
      </c>
      <c r="T156" s="23" t="str">
        <f>"|&amp;image("&amp;テーブル1[[#This Row],[画像]]&amp;".png,width=100,height=100)"</f>
        <v>|&amp;image(karane-kodama.png,width=100,height=100)</v>
      </c>
      <c r="U156" s="23" t="str">
        <f>"|MIDDLE:​"&amp;テーブル1[[#This Row],[名前]]</f>
        <v>|MIDDLE:​空音こだま</v>
      </c>
      <c r="V156" s="23" t="str">
        <f>"|MIDDLE:​"&amp;テーブル1[[#This Row],[なまえ]]</f>
        <v>|MIDDLE:​からね こだま</v>
      </c>
      <c r="W156" s="23" t="str">
        <f>"|MIDDLE:​"&amp;テーブル1[[#This Row],[Name]]</f>
        <v>|MIDDLE:​Karane Kodama</v>
      </c>
      <c r="X156" s="23" t="str">
        <f>"|MIDDLE:​&amp;link(配布所はこちら){​"&amp;テーブル1[[#This Row],[リンク]]&amp;"}|"</f>
        <v>|MIDDLE:​&amp;link(配布所はこちら){​https://kaitoramma.chu.jp}|</v>
      </c>
    </row>
    <row r="157" spans="1:24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501</v>
      </c>
      <c r="D157" s="23" t="s">
        <v>502</v>
      </c>
      <c r="E157" s="23" t="s">
        <v>503</v>
      </c>
      <c r="F157" s="2" t="s">
        <v>499</v>
      </c>
      <c r="G157" s="23" t="s">
        <v>504</v>
      </c>
      <c r="M157" s="1" t="s">
        <v>1517</v>
      </c>
      <c r="N157" s="1" t="s">
        <v>1443</v>
      </c>
      <c r="O157" s="24" t="str">
        <f>テーブル1[[#This Row],[リンク]]&amp;テーブル1[[#This Row],[描画状況]]</f>
        <v>https://bowlroll.net/user/973681済</v>
      </c>
      <c r="P157" s="17">
        <f>1-(COUNTIF(O:O,_xlfn.TEXTJOIN(",",TRUE,テーブル1[[#This Row],[リンク]],テーブル1[[#This Row],[描画状況]]))/COUNTIF(F:F,テーブル1[[#This Row],[リンク]]))</f>
        <v>1</v>
      </c>
      <c r="Q157" s="16" t="str">
        <f ca="1">IFERROR(IF(テーブル1[[#This Row],[描画状況]]="",RAND()+(テーブル1[[#This Row],[列2]]*100),""),RAND())</f>
        <v/>
      </c>
      <c r="R157" s="1" t="s">
        <v>1193</v>
      </c>
      <c r="S157" s="24" t="str">
        <f ca="1">IF(AND(テーブル1[[#This Row],[描画状況]]="済",テーブル1[[#This Row],[投稿状況]]=""),RAND(),"")</f>
        <v/>
      </c>
      <c r="T157" s="23" t="str">
        <f>"|&amp;image("&amp;テーブル1[[#This Row],[画像]]&amp;".png,width=100,height=100)"</f>
        <v>|&amp;image(shinresu-kishiru.png,width=100,height=100)</v>
      </c>
      <c r="U157" s="23" t="str">
        <f>"|MIDDLE:​"&amp;テーブル1[[#This Row],[名前]]</f>
        <v>|MIDDLE:​芯零須キシル</v>
      </c>
      <c r="V157" s="23" t="str">
        <f>"|MIDDLE:​"&amp;テーブル1[[#This Row],[なまえ]]</f>
        <v>|MIDDLE:​しんれす きしる</v>
      </c>
      <c r="W157" s="23" t="str">
        <f>"|MIDDLE:​"&amp;テーブル1[[#This Row],[Name]]</f>
        <v>|MIDDLE:​Shinresu Kishiru</v>
      </c>
      <c r="X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4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711</v>
      </c>
      <c r="D158" s="23" t="s">
        <v>710</v>
      </c>
      <c r="E158" s="23" t="s">
        <v>711</v>
      </c>
      <c r="F158" s="2" t="s">
        <v>256</v>
      </c>
      <c r="G158" s="23" t="s">
        <v>712</v>
      </c>
      <c r="N158" s="1" t="s">
        <v>1443</v>
      </c>
      <c r="O158" s="24" t="str">
        <f>テーブル1[[#This Row],[リンク]]&amp;テーブル1[[#This Row],[描画状況]]</f>
        <v>https://nyaruru.wixsite.com/s-p-w済</v>
      </c>
      <c r="P158" s="17">
        <f>1-(COUNTIF(O:O,_xlfn.TEXTJOIN(",",TRUE,テーブル1[[#This Row],[リンク]],テーブル1[[#This Row],[描画状況]]))/COUNTIF(F:F,テーブル1[[#This Row],[リンク]]))</f>
        <v>1</v>
      </c>
      <c r="Q158" s="16" t="str">
        <f ca="1">IFERROR(IF(テーブル1[[#This Row],[描画状況]]="",RAND()+(テーブル1[[#This Row],[列2]]*100),""),RAND())</f>
        <v/>
      </c>
      <c r="R158" s="1" t="s">
        <v>1193</v>
      </c>
      <c r="S158" s="24" t="str">
        <f ca="1">IF(AND(テーブル1[[#This Row],[描画状況]]="済",テーブル1[[#This Row],[投稿状況]]=""),RAND(),"")</f>
        <v/>
      </c>
      <c r="T158" s="23" t="str">
        <f>"|&amp;image("&amp;テーブル1[[#This Row],[画像]]&amp;".png,width=100,height=100)"</f>
        <v>|&amp;image(key-flow.png,width=100,height=100)</v>
      </c>
      <c r="U158" s="23" t="str">
        <f>"|MIDDLE:​"&amp;テーブル1[[#This Row],[名前]]</f>
        <v>|MIDDLE:​Key.Flow</v>
      </c>
      <c r="V158" s="23" t="str">
        <f>"|MIDDLE:​"&amp;テーブル1[[#This Row],[なまえ]]</f>
        <v>|MIDDLE:​きーふろー</v>
      </c>
      <c r="W158" s="23" t="str">
        <f>"|MIDDLE:​"&amp;テーブル1[[#This Row],[Name]]</f>
        <v>|MIDDLE:​Key.Flow</v>
      </c>
      <c r="X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4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1049</v>
      </c>
      <c r="D159" s="23" t="s">
        <v>1050</v>
      </c>
      <c r="E159" s="24" t="s">
        <v>1049</v>
      </c>
      <c r="F159" s="15" t="s">
        <v>671</v>
      </c>
      <c r="G159" s="23" t="s">
        <v>672</v>
      </c>
      <c r="M159" s="1" t="s">
        <v>1517</v>
      </c>
      <c r="N159" s="1" t="s">
        <v>1443</v>
      </c>
      <c r="O159" s="24" t="str">
        <f>テーブル1[[#This Row],[リンク]]&amp;テーブル1[[#This Row],[描画状況]]</f>
        <v>https://flowerrocklove.wixsite.com/twilight-crisis済</v>
      </c>
      <c r="P159" s="17">
        <f>1-(COUNTIF(O:O,_xlfn.TEXTJOIN(",",TRUE,テーブル1[[#This Row],[リンク]],テーブル1[[#This Row],[描画状況]]))/COUNTIF(F:F,テーブル1[[#This Row],[リンク]]))</f>
        <v>1</v>
      </c>
      <c r="Q159" s="16" t="str">
        <f ca="1">IFERROR(IF(テーブル1[[#This Row],[描画状況]]="",RAND()+(テーブル1[[#This Row],[列2]]*100),""),RAND())</f>
        <v/>
      </c>
      <c r="R159" s="1" t="s">
        <v>1193</v>
      </c>
      <c r="S159" s="24" t="str">
        <f ca="1">IF(AND(テーブル1[[#This Row],[描画状況]]="済",テーブル1[[#This Row],[投稿状況]]=""),RAND(),"")</f>
        <v/>
      </c>
      <c r="T159" s="23" t="str">
        <f>"|&amp;image("&amp;テーブル1[[#This Row],[画像]]&amp;".png,width=100,height=100)"</f>
        <v>|&amp;image(silver-destrudo.png,width=100,height=100)</v>
      </c>
      <c r="U159" s="23" t="str">
        <f>"|MIDDLE:​"&amp;テーブル1[[#This Row],[名前]]</f>
        <v>|MIDDLE:​Silver Destrudo</v>
      </c>
      <c r="V159" s="23" t="str">
        <f>"|MIDDLE:​"&amp;テーブル1[[#This Row],[なまえ]]</f>
        <v>|MIDDLE:​しるばー ですとりゅーどー</v>
      </c>
      <c r="W159" s="23" t="str">
        <f>"|MIDDLE:​"&amp;テーブル1[[#This Row],[Name]]</f>
        <v>|MIDDLE:​Silver Destrudo</v>
      </c>
      <c r="X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4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703</v>
      </c>
      <c r="D160" s="23" t="s">
        <v>704</v>
      </c>
      <c r="E160" s="23" t="s">
        <v>705</v>
      </c>
      <c r="F160" s="2" t="s">
        <v>706</v>
      </c>
      <c r="G160" s="23" t="str">
        <f>テーブル1[[#This Row],[名前]]&amp;"(UTAU)"</f>
        <v>マック音サイ(UTAU)</v>
      </c>
      <c r="N160" s="1" t="s">
        <v>1443</v>
      </c>
      <c r="O160" s="24" t="str">
        <f>テーブル1[[#This Row],[リンク]]&amp;テーブル1[[#This Row],[描画状況]]</f>
        <v>https://www.mackhouse-soft.com済</v>
      </c>
      <c r="P160" s="17">
        <f>1-(COUNTIF(O:O,_xlfn.TEXTJOIN(",",TRUE,テーブル1[[#This Row],[リンク]],テーブル1[[#This Row],[描画状況]]))/COUNTIF(F:F,テーブル1[[#This Row],[リンク]]))</f>
        <v>1</v>
      </c>
      <c r="Q160" s="16" t="str">
        <f ca="1">IFERROR(IF(テーブル1[[#This Row],[描画状況]]="",RAND()+(テーブル1[[#This Row],[列2]]*100),""),RAND())</f>
        <v/>
      </c>
      <c r="R160" s="1" t="s">
        <v>1193</v>
      </c>
      <c r="S160" s="24" t="str">
        <f ca="1">IF(AND(テーブル1[[#This Row],[描画状況]]="済",テーブル1[[#This Row],[投稿状況]]=""),RAND(),"")</f>
        <v/>
      </c>
      <c r="T160" s="23" t="str">
        <f>"|&amp;image("&amp;テーブル1[[#This Row],[画像]]&amp;".png,width=100,height=100)"</f>
        <v>|&amp;image(mackne-sai.png,width=100,height=100)</v>
      </c>
      <c r="U160" s="23" t="str">
        <f>"|MIDDLE:​"&amp;テーブル1[[#This Row],[名前]]</f>
        <v>|MIDDLE:​マック音サイ</v>
      </c>
      <c r="V160" s="23" t="str">
        <f>"|MIDDLE:​"&amp;テーブル1[[#This Row],[なまえ]]</f>
        <v>|MIDDLE:​まっくね さい</v>
      </c>
      <c r="W160" s="23" t="str">
        <f>"|MIDDLE:​"&amp;テーブル1[[#This Row],[Name]]</f>
        <v>|MIDDLE:​Mackne Sai</v>
      </c>
      <c r="X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4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432</v>
      </c>
      <c r="D161" s="23" t="s">
        <v>433</v>
      </c>
      <c r="E161" s="23" t="s">
        <v>434</v>
      </c>
      <c r="F161" s="2" t="s">
        <v>54</v>
      </c>
      <c r="G161" s="23" t="s">
        <v>55</v>
      </c>
      <c r="M161" s="1" t="s">
        <v>1518</v>
      </c>
      <c r="N161" s="1" t="s">
        <v>1443</v>
      </c>
      <c r="O161" s="24" t="str">
        <f>テーブル1[[#This Row],[リンク]]&amp;テーブル1[[#This Row],[描画状況]]</f>
        <v>https://bellsworks.wixsite.com/bellsworks済</v>
      </c>
      <c r="P161" s="17">
        <f>1-(COUNTIF(O:O,_xlfn.TEXTJOIN(",",TRUE,テーブル1[[#This Row],[リンク]],テーブル1[[#This Row],[描画状況]]))/COUNTIF(F:F,テーブル1[[#This Row],[リンク]]))</f>
        <v>1</v>
      </c>
      <c r="Q161" s="16" t="str">
        <f ca="1">IFERROR(IF(テーブル1[[#This Row],[描画状況]]="",RAND()+(テーブル1[[#This Row],[列2]]*100),""),RAND())</f>
        <v/>
      </c>
      <c r="R161" s="1" t="s">
        <v>1193</v>
      </c>
      <c r="S161" s="24" t="str">
        <f ca="1">IF(AND(テーブル1[[#This Row],[描画状況]]="済",テーブル1[[#This Row],[投稿状況]]=""),RAND(),"")</f>
        <v/>
      </c>
      <c r="T161" s="23" t="str">
        <f>"|&amp;image("&amp;テーブル1[[#This Row],[画像]]&amp;".png,width=100,height=100)"</f>
        <v>|&amp;image(suzuno-yuon.png,width=100,height=100)</v>
      </c>
      <c r="U161" s="23" t="str">
        <f>"|MIDDLE:​"&amp;テーブル1[[#This Row],[名前]]</f>
        <v>|MIDDLE:​鈴音ユオン</v>
      </c>
      <c r="V161" s="23" t="str">
        <f>"|MIDDLE:​"&amp;テーブル1[[#This Row],[なまえ]]</f>
        <v>|MIDDLE:​すずの ゆおん</v>
      </c>
      <c r="W161" s="23" t="str">
        <f>"|MIDDLE:​"&amp;テーブル1[[#This Row],[Name]]</f>
        <v>|MIDDLE:​Suzuno Yuon</v>
      </c>
      <c r="X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4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678</v>
      </c>
      <c r="D162" s="23" t="s">
        <v>679</v>
      </c>
      <c r="E162" s="23" t="s">
        <v>680</v>
      </c>
      <c r="F162" s="2" t="s">
        <v>681</v>
      </c>
      <c r="G162" s="23" t="str">
        <f>テーブル1[[#This Row],[名前]]&amp;"(UTAU)"</f>
        <v>澳音ぱす(UTAU)</v>
      </c>
      <c r="N162" s="1" t="s">
        <v>1443</v>
      </c>
      <c r="O162" s="24" t="str">
        <f>テーブル1[[#This Row],[リンク]]&amp;テーブル1[[#This Row],[描画状況]]</f>
        <v>https://teapartyandmugshelf.wixsite.com/my-site-1済</v>
      </c>
      <c r="P162" s="17">
        <f>1-(COUNTIF(O:O,_xlfn.TEXTJOIN(",",TRUE,テーブル1[[#This Row],[リンク]],テーブル1[[#This Row],[描画状況]]))/COUNTIF(F:F,テーブル1[[#This Row],[リンク]]))</f>
        <v>1</v>
      </c>
      <c r="Q162" s="16" t="str">
        <f ca="1">IFERROR(IF(テーブル1[[#This Row],[描画状況]]="",RAND()+(テーブル1[[#This Row],[列2]]*100),""),RAND())</f>
        <v/>
      </c>
      <c r="R162" s="1" t="s">
        <v>1193</v>
      </c>
      <c r="S162" s="24" t="str">
        <f ca="1">IF(AND(テーブル1[[#This Row],[描画状況]]="済",テーブル1[[#This Row],[投稿状況]]=""),RAND(),"")</f>
        <v/>
      </c>
      <c r="T162" s="23" t="str">
        <f>"|&amp;image("&amp;テーブル1[[#This Row],[画像]]&amp;".png,width=100,height=100)"</f>
        <v>|&amp;image(okuto-pasu.png,width=100,height=100)</v>
      </c>
      <c r="U162" s="23" t="str">
        <f>"|MIDDLE:​"&amp;テーブル1[[#This Row],[名前]]</f>
        <v>|MIDDLE:​澳音ぱす</v>
      </c>
      <c r="V162" s="23" t="str">
        <f>"|MIDDLE:​"&amp;テーブル1[[#This Row],[なまえ]]</f>
        <v>|MIDDLE:​おくと ぱす</v>
      </c>
      <c r="W162" s="23" t="str">
        <f>"|MIDDLE:​"&amp;テーブル1[[#This Row],[Name]]</f>
        <v>|MIDDLE:​Okuto Pasu</v>
      </c>
      <c r="X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4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544</v>
      </c>
      <c r="D163" s="23" t="s">
        <v>545</v>
      </c>
      <c r="E163" s="23" t="s">
        <v>546</v>
      </c>
      <c r="F163" s="2" t="s">
        <v>237</v>
      </c>
      <c r="G163" s="23" t="s">
        <v>238</v>
      </c>
      <c r="N163" s="1" t="s">
        <v>1443</v>
      </c>
      <c r="O163" s="24" t="str">
        <f>テーブル1[[#This Row],[リンク]]&amp;テーブル1[[#This Row],[描画状況]]</f>
        <v>https://ne510channel.wixsite.com/website済</v>
      </c>
      <c r="P163" s="17">
        <f>1-(COUNTIF(O:O,_xlfn.TEXTJOIN(",",TRUE,テーブル1[[#This Row],[リンク]],テーブル1[[#This Row],[描画状況]]))/COUNTIF(F:F,テーブル1[[#This Row],[リンク]]))</f>
        <v>1</v>
      </c>
      <c r="Q163" s="16" t="str">
        <f ca="1">IFERROR(IF(テーブル1[[#This Row],[描画状況]]="",RAND()+(テーブル1[[#This Row],[列2]]*100),""),RAND())</f>
        <v/>
      </c>
      <c r="R163" s="1" t="s">
        <v>1193</v>
      </c>
      <c r="S163" s="24" t="str">
        <f ca="1">IF(AND(テーブル1[[#This Row],[描画状況]]="済",テーブル1[[#This Row],[投稿状況]]=""),RAND(),"")</f>
        <v/>
      </c>
      <c r="T163" s="23" t="str">
        <f>"|&amp;image("&amp;テーブル1[[#This Row],[画像]]&amp;".png,width=100,height=100)"</f>
        <v>|&amp;image(pelum.png,width=100,height=100)</v>
      </c>
      <c r="U163" s="23" t="str">
        <f>"|MIDDLE:​"&amp;テーブル1[[#This Row],[名前]]</f>
        <v>|MIDDLE:​ペルム</v>
      </c>
      <c r="V163" s="23" t="str">
        <f>"|MIDDLE:​"&amp;テーブル1[[#This Row],[なまえ]]</f>
        <v>|MIDDLE:​ぺるむ</v>
      </c>
      <c r="W163" s="23" t="str">
        <f>"|MIDDLE:​"&amp;テーブル1[[#This Row],[Name]]</f>
        <v>|MIDDLE:​Pelum</v>
      </c>
      <c r="X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4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1403</v>
      </c>
      <c r="D164" s="23" t="s">
        <v>1301</v>
      </c>
      <c r="E164" s="23" t="s">
        <v>1404</v>
      </c>
      <c r="F164" s="15" t="s">
        <v>1302</v>
      </c>
      <c r="G164" s="23" t="s">
        <v>1303</v>
      </c>
      <c r="N164" s="1" t="s">
        <v>1443</v>
      </c>
      <c r="O164" s="24" t="str">
        <f>テーブル1[[#This Row],[リンク]]&amp;テーブル1[[#This Row],[描画状況]]</f>
        <v>https://inumokoco.wixsite.com/sleep-church済</v>
      </c>
      <c r="P164" s="17">
        <f>1-(COUNTIF(O:O,_xlfn.TEXTJOIN(",",TRUE,テーブル1[[#This Row],[リンク]],テーブル1[[#This Row],[描画状況]]))/COUNTIF(F:F,テーブル1[[#This Row],[リンク]]))</f>
        <v>1</v>
      </c>
      <c r="Q164" s="16" t="str">
        <f ca="1">IFERROR(IF(テーブル1[[#This Row],[描画状況]]="",RAND()+(テーブル1[[#This Row],[列2]]*100),""),RAND())</f>
        <v/>
      </c>
      <c r="R164" s="1" t="s">
        <v>1193</v>
      </c>
      <c r="S164" s="24" t="str">
        <f ca="1">IF(AND(テーブル1[[#This Row],[描画状況]]="済",テーブル1[[#This Row],[投稿状況]]=""),RAND(),"")</f>
        <v/>
      </c>
      <c r="T164" s="23" t="str">
        <f>"|&amp;image("&amp;テーブル1[[#This Row],[画像]]&amp;".png,width=100,height=100)"</f>
        <v>|&amp;image(kani-haku.png,width=100,height=100)</v>
      </c>
      <c r="U164" s="23" t="str">
        <f>"|MIDDLE:​"&amp;テーブル1[[#This Row],[名前]]</f>
        <v>|MIDDLE:​​棺依ハク</v>
      </c>
      <c r="V164" s="23" t="str">
        <f>"|MIDDLE:​"&amp;テーブル1[[#This Row],[なまえ]]</f>
        <v>|MIDDLE:​かんい はく</v>
      </c>
      <c r="W164" s="23" t="str">
        <f>"|MIDDLE:​"&amp;テーブル1[[#This Row],[Name]]</f>
        <v>|MIDDLE:​Kani Haku</v>
      </c>
      <c r="X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4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1397</v>
      </c>
      <c r="D165" s="23" t="s">
        <v>1398</v>
      </c>
      <c r="E165" s="23" t="s">
        <v>1399</v>
      </c>
      <c r="F165" s="2" t="s">
        <v>1400</v>
      </c>
      <c r="G165" s="23" t="s">
        <v>1401</v>
      </c>
      <c r="N165" s="1" t="s">
        <v>1443</v>
      </c>
      <c r="O165" s="24" t="str">
        <f>テーブル1[[#This Row],[リンク]]&amp;テーブル1[[#This Row],[描画状況]]</f>
        <v>https://zaregotohitori.wixsite.com/ritsudokishidoku済</v>
      </c>
      <c r="P165" s="17">
        <f>1-(COUNTIF(O:O,_xlfn.TEXTJOIN(",",TRUE,テーブル1[[#This Row],[リンク]],テーブル1[[#This Row],[描画状況]]))/COUNTIF(F:F,テーブル1[[#This Row],[リンク]]))</f>
        <v>1</v>
      </c>
      <c r="Q165" s="16" t="str">
        <f ca="1">IFERROR(IF(テーブル1[[#This Row],[描画状況]]="",RAND()+(テーブル1[[#This Row],[列2]]*100),""),RAND())</f>
        <v/>
      </c>
      <c r="R165" s="1" t="s">
        <v>1193</v>
      </c>
      <c r="S165" s="24" t="str">
        <f ca="1">IF(AND(テーブル1[[#This Row],[描画状況]]="済",テーブル1[[#This Row],[投稿状況]]=""),RAND(),"")</f>
        <v/>
      </c>
      <c r="T165" s="23" t="str">
        <f>"|&amp;image("&amp;テーブル1[[#This Row],[画像]]&amp;".png,width=100,height=100)"</f>
        <v>|&amp;image(	​ritsudoki-shidoku.png,width=100,height=100)</v>
      </c>
      <c r="U165" s="23" t="str">
        <f>"|MIDDLE:​"&amp;テーブル1[[#This Row],[名前]]</f>
        <v>|MIDDLE:​律時シドク</v>
      </c>
      <c r="V165" s="23" t="str">
        <f>"|MIDDLE:​"&amp;テーブル1[[#This Row],[なまえ]]</f>
        <v>|MIDDLE:​りつどき しどく</v>
      </c>
      <c r="W165" s="23" t="str">
        <f>"|MIDDLE:​"&amp;テーブル1[[#This Row],[Name]]</f>
        <v>|MIDDLE:​	​Ritsudoki Shidoku</v>
      </c>
      <c r="X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4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1128</v>
      </c>
      <c r="D166" s="23" t="s">
        <v>1130</v>
      </c>
      <c r="E166" s="23" t="s">
        <v>1129</v>
      </c>
      <c r="F166" s="15" t="s">
        <v>1143</v>
      </c>
      <c r="G166" s="23" t="str">
        <f>テーブル1[[#This Row],[名前]]&amp;"(UTAU)"</f>
        <v>吟児(UTAU)</v>
      </c>
      <c r="N166" s="1" t="s">
        <v>1443</v>
      </c>
      <c r="O166" s="24" t="str">
        <f>テーブル1[[#This Row],[リンク]]&amp;テーブル1[[#This Row],[描画状況]]</f>
        <v>https://yautau.wixsite.com/0909済</v>
      </c>
      <c r="P166" s="17">
        <f>1-(COUNTIF(O:O,_xlfn.TEXTJOIN(",",TRUE,テーブル1[[#This Row],[リンク]],テーブル1[[#This Row],[描画状況]]))/COUNTIF(F:F,テーブル1[[#This Row],[リンク]]))</f>
        <v>1</v>
      </c>
      <c r="Q166" s="16" t="str">
        <f ca="1">IFERROR(IF(テーブル1[[#This Row],[描画状況]]="",RAND()+(テーブル1[[#This Row],[列2]]*100),""),RAND())</f>
        <v/>
      </c>
      <c r="R166" s="1" t="s">
        <v>1193</v>
      </c>
      <c r="S166" s="24" t="str">
        <f ca="1">IF(AND(テーブル1[[#This Row],[描画状況]]="済",テーブル1[[#This Row],[投稿状況]]=""),RAND(),"")</f>
        <v/>
      </c>
      <c r="T166" s="23" t="str">
        <f>"|&amp;image("&amp;テーブル1[[#This Row],[画像]]&amp;".png,width=100,height=100)"</f>
        <v>|&amp;image(ginji.png,width=100,height=100)</v>
      </c>
      <c r="U166" s="23" t="str">
        <f>"|MIDDLE:​"&amp;テーブル1[[#This Row],[名前]]</f>
        <v>|MIDDLE:​吟児</v>
      </c>
      <c r="V166" s="23" t="str">
        <f>"|MIDDLE:​"&amp;テーブル1[[#This Row],[なまえ]]</f>
        <v>|MIDDLE:​ぎんじ</v>
      </c>
      <c r="W166" s="23" t="str">
        <f>"|MIDDLE:​"&amp;テーブル1[[#This Row],[Name]]</f>
        <v>|MIDDLE:​Ginji</v>
      </c>
      <c r="X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4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1510</v>
      </c>
      <c r="D167" s="23" t="s">
        <v>588</v>
      </c>
      <c r="E167" s="23" t="s">
        <v>589</v>
      </c>
      <c r="F167" s="2" t="s">
        <v>717</v>
      </c>
      <c r="G167" s="23" t="s">
        <v>590</v>
      </c>
      <c r="N167" s="1" t="s">
        <v>1443</v>
      </c>
      <c r="O167" s="24" t="str">
        <f>テーブル1[[#This Row],[リンク]]&amp;テーブル1[[#This Row],[描画状況]]</f>
        <v>https://piku.page/@toitoitoi23済</v>
      </c>
      <c r="P167" s="17">
        <f>1-(COUNTIF(O:O,_xlfn.TEXTJOIN(",",TRUE,テーブル1[[#This Row],[リンク]],テーブル1[[#This Row],[描画状況]]))/COUNTIF(F:F,テーブル1[[#This Row],[リンク]]))</f>
        <v>1</v>
      </c>
      <c r="Q167" s="16" t="str">
        <f ca="1">IFERROR(IF(テーブル1[[#This Row],[描画状況]]="",RAND()+(テーブル1[[#This Row],[列2]]*100),""),RAND())</f>
        <v/>
      </c>
      <c r="R167" s="1" t="s">
        <v>1193</v>
      </c>
      <c r="S167" s="24" t="str">
        <f ca="1">IF(AND(テーブル1[[#This Row],[描画状況]]="済",テーブル1[[#This Row],[投稿状況]]=""),RAND(),"")</f>
        <v/>
      </c>
      <c r="T167" s="23" t="str">
        <f>"|&amp;image("&amp;テーブル1[[#This Row],[画像]]&amp;".png,width=100,height=100)"</f>
        <v>|&amp;image(tamura-shun.png,width=100,height=100)</v>
      </c>
      <c r="U167" s="23" t="str">
        <f>"|MIDDLE:​"&amp;テーブル1[[#This Row],[名前]]</f>
        <v>|MIDDLE:​田村春</v>
      </c>
      <c r="V167" s="23" t="str">
        <f>"|MIDDLE:​"&amp;テーブル1[[#This Row],[なまえ]]</f>
        <v>|MIDDLE:​たむら しゅん</v>
      </c>
      <c r="W167" s="23" t="str">
        <f>"|MIDDLE:​"&amp;テーブル1[[#This Row],[Name]]</f>
        <v>|MIDDLE:​Tamura Shun</v>
      </c>
      <c r="X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4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811</v>
      </c>
      <c r="D168" s="23" t="s">
        <v>813</v>
      </c>
      <c r="E168" s="23" t="s">
        <v>812</v>
      </c>
      <c r="F168" s="2" t="s">
        <v>814</v>
      </c>
      <c r="G168" s="23" t="s">
        <v>815</v>
      </c>
      <c r="N168" s="1" t="s">
        <v>1443</v>
      </c>
      <c r="O168" s="24" t="str">
        <f>テーブル1[[#This Row],[リンク]]&amp;テーブル1[[#This Row],[描画状況]]</f>
        <v>https://makurakue.wixsite.com/kemononokemono済</v>
      </c>
      <c r="P168" s="17">
        <f>1-(COUNTIF(O:O,_xlfn.TEXTJOIN(",",TRUE,テーブル1[[#This Row],[リンク]],テーブル1[[#This Row],[描画状況]]))/COUNTIF(F:F,テーブル1[[#This Row],[リンク]]))</f>
        <v>1</v>
      </c>
      <c r="Q168" s="16" t="str">
        <f ca="1">IFERROR(IF(テーブル1[[#This Row],[描画状況]]="",RAND()+(テーブル1[[#This Row],[列2]]*100),""),RAND())</f>
        <v/>
      </c>
      <c r="R168" s="1" t="s">
        <v>1193</v>
      </c>
      <c r="S168" s="24" t="str">
        <f ca="1">IF(AND(テーブル1[[#This Row],[描画状況]]="済",テーブル1[[#This Row],[投稿状況]]=""),RAND(),"")</f>
        <v/>
      </c>
      <c r="T168" s="23" t="str">
        <f>"|&amp;image("&amp;テーブル1[[#This Row],[画像]]&amp;".png,width=100,height=100)"</f>
        <v>|&amp;image(yakumo-shio.png,width=100,height=100)</v>
      </c>
      <c r="U168" s="23" t="str">
        <f>"|MIDDLE:​"&amp;テーブル1[[#This Row],[名前]]</f>
        <v>|MIDDLE:​八雲しお</v>
      </c>
      <c r="V168" s="23" t="str">
        <f>"|MIDDLE:​"&amp;テーブル1[[#This Row],[なまえ]]</f>
        <v>|MIDDLE:​やくも しお</v>
      </c>
      <c r="W168" s="23" t="str">
        <f>"|MIDDLE:​"&amp;テーブル1[[#This Row],[Name]]</f>
        <v>|MIDDLE:​Yakumo Shio</v>
      </c>
      <c r="X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4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484</v>
      </c>
      <c r="E169" s="23" t="s">
        <v>485</v>
      </c>
      <c r="F169" s="2" t="s">
        <v>486</v>
      </c>
      <c r="G169" s="23" t="s">
        <v>487</v>
      </c>
      <c r="N169" s="1" t="s">
        <v>1443</v>
      </c>
      <c r="O169" s="24" t="str">
        <f>テーブル1[[#This Row],[リンク]]&amp;テーブル1[[#This Row],[描画状況]]</f>
        <v>https://nanarabo626.studio.site済</v>
      </c>
      <c r="P169" s="17">
        <f>1-(COUNTIF(O:O,_xlfn.TEXTJOIN(",",TRUE,テーブル1[[#This Row],[リンク]],テーブル1[[#This Row],[描画状況]]))/COUNTIF(F:F,テーブル1[[#This Row],[リンク]]))</f>
        <v>1</v>
      </c>
      <c r="Q169" s="16" t="str">
        <f ca="1">IFERROR(IF(テーブル1[[#This Row],[描画状況]]="",RAND()+(テーブル1[[#This Row],[列2]]*100),""),RAND())</f>
        <v/>
      </c>
      <c r="R169" s="1" t="s">
        <v>1193</v>
      </c>
      <c r="S169" s="24" t="str">
        <f ca="1">IF(AND(テーブル1[[#This Row],[描画状況]]="済",テーブル1[[#This Row],[投稿状況]]=""),RAND(),"")</f>
        <v/>
      </c>
      <c r="T169" s="23" t="str">
        <f>"|&amp;image("&amp;テーブル1[[#This Row],[画像]]&amp;".png,width=100,height=100)"</f>
        <v>|&amp;image(mutsuro.png,width=100,height=100)</v>
      </c>
      <c r="U169" s="23" t="str">
        <f>"|MIDDLE:​"&amp;テーブル1[[#This Row],[名前]]</f>
        <v>|MIDDLE:​626</v>
      </c>
      <c r="V169" s="23" t="str">
        <f>"|MIDDLE:​"&amp;テーブル1[[#This Row],[なまえ]]</f>
        <v>|MIDDLE:​むつろ</v>
      </c>
      <c r="W169" s="23" t="str">
        <f>"|MIDDLE:​"&amp;テーブル1[[#This Row],[Name]]</f>
        <v>|MIDDLE:​Mutsuro</v>
      </c>
      <c r="X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4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835</v>
      </c>
      <c r="D170" s="23" t="s">
        <v>836</v>
      </c>
      <c r="E170" s="23" t="s">
        <v>837</v>
      </c>
      <c r="F170" s="2" t="s">
        <v>833</v>
      </c>
      <c r="G170" s="23" t="s">
        <v>834</v>
      </c>
      <c r="N170" s="1" t="s">
        <v>1443</v>
      </c>
      <c r="O170" s="24" t="str">
        <f>テーブル1[[#This Row],[リンク]]&amp;テーブル1[[#This Row],[描画状況]]</f>
        <v>https://kaedekatusaki.wixsite.com/yanagiroutyou済</v>
      </c>
      <c r="P170" s="17">
        <f>1-(COUNTIF(O:O,_xlfn.TEXTJOIN(",",TRUE,テーブル1[[#This Row],[リンク]],テーブル1[[#This Row],[描画状況]]))/COUNTIF(F:F,テーブル1[[#This Row],[リンク]]))</f>
        <v>1</v>
      </c>
      <c r="Q170" s="16" t="str">
        <f ca="1">IFERROR(IF(テーブル1[[#This Row],[描画状況]]="",RAND()+(テーブル1[[#This Row],[列2]]*100),""),RAND())</f>
        <v/>
      </c>
      <c r="R170" s="1" t="s">
        <v>1193</v>
      </c>
      <c r="S170" s="24" t="str">
        <f ca="1">IF(AND(テーブル1[[#This Row],[描画状況]]="済",テーブル1[[#This Row],[投稿状況]]=""),RAND(),"")</f>
        <v/>
      </c>
      <c r="T170" s="23" t="str">
        <f>"|&amp;image("&amp;テーブル1[[#This Row],[画像]]&amp;".png,width=100,height=100)"</f>
        <v>|&amp;image(yogen-kore.png,width=100,height=100)</v>
      </c>
      <c r="U170" s="23" t="str">
        <f>"|MIDDLE:​"&amp;テーブル1[[#This Row],[名前]]</f>
        <v>|MIDDLE:​踊弦コレ</v>
      </c>
      <c r="V170" s="23" t="str">
        <f>"|MIDDLE:​"&amp;テーブル1[[#This Row],[なまえ]]</f>
        <v>|MIDDLE:​ようげん これ</v>
      </c>
      <c r="W170" s="23" t="str">
        <f>"|MIDDLE:​"&amp;テーブル1[[#This Row],[Name]]</f>
        <v>|MIDDLE:​Yogen Kore</v>
      </c>
      <c r="X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4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566</v>
      </c>
      <c r="D171" s="23" t="s">
        <v>567</v>
      </c>
      <c r="E171" s="23" t="s">
        <v>568</v>
      </c>
      <c r="F171" s="2" t="s">
        <v>93</v>
      </c>
      <c r="G171" s="23" t="s">
        <v>94</v>
      </c>
      <c r="H171" s="23" t="s">
        <v>1627</v>
      </c>
      <c r="I171" s="23" t="s">
        <v>1650</v>
      </c>
      <c r="K171" s="23" t="s">
        <v>1651</v>
      </c>
      <c r="L171" s="23" t="s">
        <v>1652</v>
      </c>
      <c r="M171" s="1" t="s">
        <v>1518</v>
      </c>
      <c r="N171" s="1" t="s">
        <v>1443</v>
      </c>
      <c r="O171" s="24" t="str">
        <f>テーブル1[[#This Row],[リンク]]&amp;テーブル1[[#This Row],[描画状況]]</f>
        <v>https://cloudcatch1224.wixsite.com/godsfoot済</v>
      </c>
      <c r="P171" s="17">
        <f>1-(COUNTIF(O:O,_xlfn.TEXTJOIN(",",TRUE,テーブル1[[#This Row],[リンク]],テーブル1[[#This Row],[描画状況]]))/COUNTIF(F:F,テーブル1[[#This Row],[リンク]]))</f>
        <v>1</v>
      </c>
      <c r="Q171" s="16" t="str">
        <f ca="1">IFERROR(IF(テーブル1[[#This Row],[描画状況]]="",RAND()+(テーブル1[[#This Row],[列2]]*100),""),RAND())</f>
        <v/>
      </c>
      <c r="R171" s="1" t="s">
        <v>1193</v>
      </c>
      <c r="S171" s="24" t="str">
        <f ca="1">IF(AND(テーブル1[[#This Row],[描画状況]]="済",テーブル1[[#This Row],[投稿状況]]=""),RAND(),"")</f>
        <v/>
      </c>
      <c r="T171" s="23" t="str">
        <f>"|&amp;image("&amp;テーブル1[[#This Row],[画像]]&amp;".png,width=100,height=100)"</f>
        <v>|&amp;image(heiro.png,width=100,height=100)</v>
      </c>
      <c r="U171" s="23" t="str">
        <f>"|MIDDLE:​"&amp;テーブル1[[#This Row],[名前]]</f>
        <v>|MIDDLE:​閉路</v>
      </c>
      <c r="V171" s="23" t="str">
        <f>"|MIDDLE:​"&amp;テーブル1[[#This Row],[なまえ]]</f>
        <v>|MIDDLE:​へいろ</v>
      </c>
      <c r="W171" s="23" t="str">
        <f>"|MIDDLE:​"&amp;テーブル1[[#This Row],[Name]]</f>
        <v>|MIDDLE:​Heiro</v>
      </c>
      <c r="X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4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638</v>
      </c>
      <c r="D172" s="23" t="s">
        <v>639</v>
      </c>
      <c r="E172" s="23" t="s">
        <v>640</v>
      </c>
      <c r="F172" s="2" t="s">
        <v>641</v>
      </c>
      <c r="G172" s="23" t="s">
        <v>642</v>
      </c>
      <c r="N172" s="1" t="s">
        <v>1443</v>
      </c>
      <c r="O172" s="24" t="str">
        <f>テーブル1[[#This Row],[リンク]]&amp;テーブル1[[#This Row],[描画状況]]</f>
        <v>https://sites.google.com/view/qsuke-garden/home済</v>
      </c>
      <c r="P172" s="17">
        <f>1-(COUNTIF(O:O,_xlfn.TEXTJOIN(",",TRUE,テーブル1[[#This Row],[リンク]],テーブル1[[#This Row],[描画状況]]))/COUNTIF(F:F,テーブル1[[#This Row],[リンク]]))</f>
        <v>1</v>
      </c>
      <c r="Q172" s="16" t="str">
        <f ca="1">IFERROR(IF(テーブル1[[#This Row],[描画状況]]="",RAND()+(テーブル1[[#This Row],[列2]]*100),""),RAND())</f>
        <v/>
      </c>
      <c r="R172" s="1" t="s">
        <v>1193</v>
      </c>
      <c r="S172" s="24" t="str">
        <f ca="1">IF(AND(テーブル1[[#This Row],[描画状況]]="済",テーブル1[[#This Row],[投稿状況]]=""),RAND(),"")</f>
        <v/>
      </c>
      <c r="T172" s="23" t="str">
        <f>"|&amp;image("&amp;テーブル1[[#This Row],[画像]]&amp;".png,width=100,height=100)"</f>
        <v>|&amp;image(kyusaku-q.png,width=100,height=100)</v>
      </c>
      <c r="U172" s="23" t="str">
        <f>"|MIDDLE:​"&amp;テーブル1[[#This Row],[名前]]</f>
        <v>|MIDDLE:​九作：Ｑ</v>
      </c>
      <c r="V172" s="23" t="str">
        <f>"|MIDDLE:​"&amp;テーブル1[[#This Row],[なまえ]]</f>
        <v>|MIDDLE:​きゅうさく きゅう</v>
      </c>
      <c r="W172" s="23" t="str">
        <f>"|MIDDLE:​"&amp;テーブル1[[#This Row],[Name]]</f>
        <v>|MIDDLE:​Kyusaku Q</v>
      </c>
      <c r="X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4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488</v>
      </c>
      <c r="E173" s="23" t="s">
        <v>489</v>
      </c>
      <c r="F173" s="2" t="s">
        <v>486</v>
      </c>
      <c r="G173" s="23" t="s">
        <v>490</v>
      </c>
      <c r="N173" s="1" t="s">
        <v>1443</v>
      </c>
      <c r="O173" s="24" t="str">
        <f>テーブル1[[#This Row],[リンク]]&amp;テーブル1[[#This Row],[描画状況]]</f>
        <v>https://nanarabo626.studio.site済</v>
      </c>
      <c r="P173" s="17">
        <f>1-(COUNTIF(O:O,_xlfn.TEXTJOIN(",",TRUE,テーブル1[[#This Row],[リンク]],テーブル1[[#This Row],[描画状況]]))/COUNTIF(F:F,テーブル1[[#This Row],[リンク]]))</f>
        <v>1</v>
      </c>
      <c r="Q173" s="16" t="str">
        <f ca="1">IFERROR(IF(テーブル1[[#This Row],[描画状況]]="",RAND()+(テーブル1[[#This Row],[列2]]*100),""),RAND())</f>
        <v/>
      </c>
      <c r="R173" s="1" t="s">
        <v>1193</v>
      </c>
      <c r="S173" s="24" t="str">
        <f ca="1">IF(AND(テーブル1[[#This Row],[描画状況]]="済",テーブル1[[#This Row],[投稿状況]]=""),RAND(),"")</f>
        <v/>
      </c>
      <c r="T173" s="23" t="str">
        <f>"|&amp;image("&amp;テーブル1[[#This Row],[画像]]&amp;".png,width=100,height=100)"</f>
        <v>|&amp;image(hiiro.png,width=100,height=100)</v>
      </c>
      <c r="U173" s="23" t="str">
        <f>"|MIDDLE:​"&amp;テーブル1[[#This Row],[名前]]</f>
        <v>|MIDDLE:​116</v>
      </c>
      <c r="V173" s="23" t="str">
        <f>"|MIDDLE:​"&amp;テーブル1[[#This Row],[なまえ]]</f>
        <v>|MIDDLE:​ひいろ</v>
      </c>
      <c r="W173" s="23" t="str">
        <f>"|MIDDLE:​"&amp;テーブル1[[#This Row],[Name]]</f>
        <v>|MIDDLE:​Hiiro</v>
      </c>
      <c r="X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4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1356</v>
      </c>
      <c r="D174" s="23" t="s">
        <v>1357</v>
      </c>
      <c r="E174" s="23" t="s">
        <v>1358</v>
      </c>
      <c r="F174" s="15" t="s">
        <v>1402</v>
      </c>
      <c r="G174" s="23" t="s">
        <v>1359</v>
      </c>
      <c r="N174" s="1" t="s">
        <v>1443</v>
      </c>
      <c r="O174" s="24" t="str">
        <f>テーブル1[[#This Row],[リンク]]&amp;テーブル1[[#This Row],[描画状況]]</f>
        <v>https://makaron3264.wixsite.com/utauotoohana済</v>
      </c>
      <c r="P174" s="17">
        <f>1-(COUNTIF(O:O,_xlfn.TEXTJOIN(",",TRUE,テーブル1[[#This Row],[リンク]],テーブル1[[#This Row],[描画状況]]))/COUNTIF(F:F,テーブル1[[#This Row],[リンク]]))</f>
        <v>1</v>
      </c>
      <c r="Q174" s="16" t="str">
        <f ca="1">IFERROR(IF(テーブル1[[#This Row],[描画状況]]="",RAND()+(テーブル1[[#This Row],[列2]]*100),""),RAND())</f>
        <v/>
      </c>
      <c r="R174" s="1" t="s">
        <v>1193</v>
      </c>
      <c r="S174" s="24" t="str">
        <f ca="1">IF(AND(テーブル1[[#This Row],[描画状況]]="済",テーブル1[[#This Row],[投稿状況]]=""),RAND(),"")</f>
        <v/>
      </c>
      <c r="T174" s="23" t="str">
        <f>"|&amp;image("&amp;テーブル1[[#This Row],[画像]]&amp;".png,width=100,height=100)"</f>
        <v>|&amp;image(jido.png,width=100,height=100)</v>
      </c>
      <c r="U174" s="23" t="str">
        <f>"|MIDDLE:​"&amp;テーブル1[[#This Row],[名前]]</f>
        <v>|MIDDLE:​ジド</v>
      </c>
      <c r="V174" s="23" t="str">
        <f>"|MIDDLE:​"&amp;テーブル1[[#This Row],[なまえ]]</f>
        <v>|MIDDLE:​じど</v>
      </c>
      <c r="W174" s="23" t="str">
        <f>"|MIDDLE:​"&amp;テーブル1[[#This Row],[Name]]</f>
        <v>|MIDDLE:​Jido</v>
      </c>
      <c r="X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4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496</v>
      </c>
      <c r="D175" s="23" t="s">
        <v>497</v>
      </c>
      <c r="E175" s="23" t="s">
        <v>498</v>
      </c>
      <c r="F175" s="2" t="s">
        <v>499</v>
      </c>
      <c r="G175" s="23" t="s">
        <v>500</v>
      </c>
      <c r="M175" s="1" t="s">
        <v>1517</v>
      </c>
      <c r="N175" s="1" t="s">
        <v>1443</v>
      </c>
      <c r="O175" s="24" t="str">
        <f>テーブル1[[#This Row],[リンク]]&amp;テーブル1[[#This Row],[描画状況]]</f>
        <v>https://bowlroll.net/user/973681済</v>
      </c>
      <c r="P175" s="17">
        <f>1-(COUNTIF(O:O,_xlfn.TEXTJOIN(",",TRUE,テーブル1[[#This Row],[リンク]],テーブル1[[#This Row],[描画状況]]))/COUNTIF(F:F,テーブル1[[#This Row],[リンク]]))</f>
        <v>1</v>
      </c>
      <c r="Q175" s="16" t="str">
        <f ca="1">IFERROR(IF(テーブル1[[#This Row],[描画状況]]="",RAND()+(テーブル1[[#This Row],[列2]]*100),""),RAND())</f>
        <v/>
      </c>
      <c r="R175" s="1" t="s">
        <v>1193</v>
      </c>
      <c r="S175" s="24" t="str">
        <f ca="1">IF(AND(テーブル1[[#This Row],[描画状況]]="済",テーブル1[[#This Row],[投稿状況]]=""),RAND(),"")</f>
        <v/>
      </c>
      <c r="T175" s="23" t="str">
        <f>"|&amp;image("&amp;テーブル1[[#This Row],[画像]]&amp;".png,width=100,height=100)"</f>
        <v>|&amp;image(shuchika-pino.png,width=100,height=100)</v>
      </c>
      <c r="U175" s="23" t="str">
        <f>"|MIDDLE:​"&amp;テーブル1[[#This Row],[名前]]</f>
        <v>|MIDDLE:​守智歌ピノ</v>
      </c>
      <c r="V175" s="23" t="str">
        <f>"|MIDDLE:​"&amp;テーブル1[[#This Row],[なまえ]]</f>
        <v>|MIDDLE:​しゅちか ぴの</v>
      </c>
      <c r="W175" s="23" t="str">
        <f>"|MIDDLE:​"&amp;テーブル1[[#This Row],[Name]]</f>
        <v>|MIDDLE:​Shuchika Pino</v>
      </c>
      <c r="X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4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893</v>
      </c>
      <c r="D176" s="23" t="s">
        <v>894</v>
      </c>
      <c r="E176" s="23" t="s">
        <v>895</v>
      </c>
      <c r="F176" s="15" t="s">
        <v>1386</v>
      </c>
      <c r="G176" s="23" t="s">
        <v>896</v>
      </c>
      <c r="N176" s="1" t="s">
        <v>1443</v>
      </c>
      <c r="O176" s="24" t="str">
        <f>テーブル1[[#This Row],[リンク]]&amp;テーブル1[[#This Row],[描画状況]]</f>
        <v>https://zsxcvhjnhh.wixsite.com/yukirakira済</v>
      </c>
      <c r="P176" s="17">
        <f>1-(COUNTIF(O:O,_xlfn.TEXTJOIN(",",TRUE,テーブル1[[#This Row],[リンク]],テーブル1[[#This Row],[描画状況]]))/COUNTIF(F:F,テーブル1[[#This Row],[リンク]]))</f>
        <v>1</v>
      </c>
      <c r="Q176" s="16" t="str">
        <f ca="1">IFERROR(IF(テーブル1[[#This Row],[描画状況]]="",RAND()+(テーブル1[[#This Row],[列2]]*100),""),RAND())</f>
        <v/>
      </c>
      <c r="R176" s="1" t="s">
        <v>1193</v>
      </c>
      <c r="S176" s="24" t="str">
        <f ca="1">IF(AND(テーブル1[[#This Row],[描画状況]]="済",テーブル1[[#This Row],[投稿状況]]=""),RAND(),"")</f>
        <v/>
      </c>
      <c r="T176" s="23" t="str">
        <f>"|&amp;image("&amp;テーブル1[[#This Row],[画像]]&amp;".png,width=100,height=100)"</f>
        <v>|&amp;image(gosetsu-machimaru.png,width=100,height=100)</v>
      </c>
      <c r="U176" s="23" t="str">
        <f>"|MIDDLE:​"&amp;テーブル1[[#This Row],[名前]]</f>
        <v>|MIDDLE:​轟雪マチ丸</v>
      </c>
      <c r="V176" s="23" t="str">
        <f>"|MIDDLE:​"&amp;テーブル1[[#This Row],[なまえ]]</f>
        <v>|MIDDLE:​ごうせつ まちまる</v>
      </c>
      <c r="W176" s="23" t="str">
        <f>"|MIDDLE:​"&amp;テーブル1[[#This Row],[Name]]</f>
        <v>|MIDDLE:​Gosetsu Machimaru</v>
      </c>
      <c r="X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4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1387</v>
      </c>
      <c r="D177" s="23" t="s">
        <v>1388</v>
      </c>
      <c r="E177" s="23" t="s">
        <v>1389</v>
      </c>
      <c r="F177" s="15" t="s">
        <v>1390</v>
      </c>
      <c r="G177" s="23" t="s">
        <v>1391</v>
      </c>
      <c r="N177" s="1" t="s">
        <v>1443</v>
      </c>
      <c r="O177" s="24" t="str">
        <f>テーブル1[[#This Row],[リンク]]&amp;テーブル1[[#This Row],[描画状況]]</f>
        <v>https://tropicalsamejima.wixsite.com/oyutau済</v>
      </c>
      <c r="P177" s="17">
        <f>1-(COUNTIF(O:O,_xlfn.TEXTJOIN(",",TRUE,テーブル1[[#This Row],[リンク]],テーブル1[[#This Row],[描画状況]]))/COUNTIF(F:F,テーブル1[[#This Row],[リンク]]))</f>
        <v>1</v>
      </c>
      <c r="Q177" s="16" t="str">
        <f ca="1">IFERROR(IF(テーブル1[[#This Row],[描画状況]]="",RAND()+(テーブル1[[#This Row],[列2]]*100),""),RAND())</f>
        <v/>
      </c>
      <c r="R177" s="1" t="s">
        <v>1193</v>
      </c>
      <c r="S177" s="24" t="str">
        <f ca="1">IF(AND(テーブル1[[#This Row],[描画状況]]="済",テーブル1[[#This Row],[投稿状況]]=""),RAND(),"")</f>
        <v/>
      </c>
      <c r="T177" s="23" t="str">
        <f>"|&amp;image("&amp;テーブル1[[#This Row],[画像]]&amp;".png,width=100,height=100)"</f>
        <v>|&amp;image(momonuma.png,width=100,height=100)</v>
      </c>
      <c r="U177" s="23" t="str">
        <f>"|MIDDLE:​"&amp;テーブル1[[#This Row],[名前]]</f>
        <v>|MIDDLE:​桃沼</v>
      </c>
      <c r="V177" s="23" t="str">
        <f>"|MIDDLE:​"&amp;テーブル1[[#This Row],[なまえ]]</f>
        <v>|MIDDLE:​ももぬま</v>
      </c>
      <c r="W177" s="23" t="str">
        <f>"|MIDDLE:​"&amp;テーブル1[[#This Row],[Name]]</f>
        <v>|MIDDLE:​Momonuma</v>
      </c>
      <c r="X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4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1511</v>
      </c>
      <c r="D178" s="23" t="s">
        <v>455</v>
      </c>
      <c r="E178" s="23" t="s">
        <v>456</v>
      </c>
      <c r="F178" s="2" t="s">
        <v>54</v>
      </c>
      <c r="G178" s="23" t="s">
        <v>55</v>
      </c>
      <c r="M178" s="1" t="s">
        <v>1518</v>
      </c>
      <c r="N178" s="1" t="s">
        <v>1443</v>
      </c>
      <c r="O178" s="24" t="str">
        <f>テーブル1[[#This Row],[リンク]]&amp;テーブル1[[#This Row],[描画状況]]</f>
        <v>https://bellsworks.wixsite.com/bellsworks済</v>
      </c>
      <c r="P178" s="17">
        <f>1-(COUNTIF(O:O,_xlfn.TEXTJOIN(",",TRUE,テーブル1[[#This Row],[リンク]],テーブル1[[#This Row],[描画状況]]))/COUNTIF(F:F,テーブル1[[#This Row],[リンク]]))</f>
        <v>1</v>
      </c>
      <c r="Q178" s="16" t="str">
        <f ca="1">IFERROR(IF(テーブル1[[#This Row],[描画状況]]="",RAND()+(テーブル1[[#This Row],[列2]]*100),""),RAND())</f>
        <v/>
      </c>
      <c r="R178" s="1" t="s">
        <v>1193</v>
      </c>
      <c r="S178" s="24" t="str">
        <f ca="1">IF(AND(テーブル1[[#This Row],[描画状況]]="済",テーブル1[[#This Row],[投稿状況]]=""),RAND(),"")</f>
        <v/>
      </c>
      <c r="T178" s="23" t="str">
        <f>"|&amp;image("&amp;テーブル1[[#This Row],[画像]]&amp;".png,width=100,height=100)"</f>
        <v>|&amp;image(tsuzune-kohaku.png,width=100,height=100)</v>
      </c>
      <c r="U178" s="23" t="str">
        <f>"|MIDDLE:​"&amp;テーブル1[[#This Row],[名前]]</f>
        <v>|MIDDLE:​鼓音コハク</v>
      </c>
      <c r="V178" s="23" t="str">
        <f>"|MIDDLE:​"&amp;テーブル1[[#This Row],[なまえ]]</f>
        <v>|MIDDLE:​つづね こはく</v>
      </c>
      <c r="W178" s="23" t="str">
        <f>"|MIDDLE:​"&amp;テーブル1[[#This Row],[Name]]</f>
        <v>|MIDDLE:​Tsuzune Kohaku</v>
      </c>
      <c r="X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4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707</v>
      </c>
      <c r="D179" s="23" t="s">
        <v>708</v>
      </c>
      <c r="E179" s="23" t="s">
        <v>709</v>
      </c>
      <c r="F179" s="2" t="s">
        <v>706</v>
      </c>
      <c r="G179" s="23" t="str">
        <f>テーブル1[[#This Row],[名前]]&amp;"(UTAU)"</f>
        <v>マック音ヒトキ(UTAU)</v>
      </c>
      <c r="N179" s="1" t="s">
        <v>1443</v>
      </c>
      <c r="O179" s="24" t="str">
        <f>テーブル1[[#This Row],[リンク]]&amp;テーブル1[[#This Row],[描画状況]]</f>
        <v>https://www.mackhouse-soft.com済</v>
      </c>
      <c r="P179" s="17">
        <f>1-(COUNTIF(O:O,_xlfn.TEXTJOIN(",",TRUE,テーブル1[[#This Row],[リンク]],テーブル1[[#This Row],[描画状況]]))/COUNTIF(F:F,テーブル1[[#This Row],[リンク]]))</f>
        <v>1</v>
      </c>
      <c r="Q179" s="16" t="str">
        <f ca="1">IFERROR(IF(テーブル1[[#This Row],[描画状況]]="",RAND()+(テーブル1[[#This Row],[列2]]*100),""),RAND())</f>
        <v/>
      </c>
      <c r="R179" s="1" t="s">
        <v>1193</v>
      </c>
      <c r="S179" s="24" t="str">
        <f ca="1">IF(AND(テーブル1[[#This Row],[描画状況]]="済",テーブル1[[#This Row],[投稿状況]]=""),RAND(),"")</f>
        <v/>
      </c>
      <c r="T179" s="23" t="str">
        <f>"|&amp;image("&amp;テーブル1[[#This Row],[画像]]&amp;".png,width=100,height=100)"</f>
        <v>|&amp;image(mackne-hitoki.png,width=100,height=100)</v>
      </c>
      <c r="U179" s="23" t="str">
        <f>"|MIDDLE:​"&amp;テーブル1[[#This Row],[名前]]</f>
        <v>|MIDDLE:​マック音ヒトキ</v>
      </c>
      <c r="V179" s="23" t="str">
        <f>"|MIDDLE:​"&amp;テーブル1[[#This Row],[なまえ]]</f>
        <v>|MIDDLE:​まっくね ひとき</v>
      </c>
      <c r="W179" s="23" t="str">
        <f>"|MIDDLE:​"&amp;テーブル1[[#This Row],[Name]]</f>
        <v>|MIDDLE:​Mackne Hitoki</v>
      </c>
      <c r="X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4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471</v>
      </c>
      <c r="D180" s="23" t="s">
        <v>472</v>
      </c>
      <c r="E180" s="23" t="s">
        <v>473</v>
      </c>
      <c r="F180" s="2" t="s">
        <v>189</v>
      </c>
      <c r="G180" s="23" t="s">
        <v>474</v>
      </c>
      <c r="N180" s="1" t="s">
        <v>1443</v>
      </c>
      <c r="O180" s="24" t="str">
        <f>テーブル1[[#This Row],[リンク]]&amp;テーブル1[[#This Row],[描画状況]]</f>
        <v>https://lit.link/sereinrain済</v>
      </c>
      <c r="P180" s="17">
        <f>1-(COUNTIF(O:O,_xlfn.TEXTJOIN(",",TRUE,テーブル1[[#This Row],[リンク]],テーブル1[[#This Row],[描画状況]]))/COUNTIF(F:F,テーブル1[[#This Row],[リンク]]))</f>
        <v>1</v>
      </c>
      <c r="Q180" s="16" t="str">
        <f ca="1">IFERROR(IF(テーブル1[[#This Row],[描画状況]]="",RAND()+(テーブル1[[#This Row],[列2]]*100),""),RAND())</f>
        <v/>
      </c>
      <c r="R180" s="1" t="s">
        <v>1193</v>
      </c>
      <c r="S180" s="24" t="str">
        <f ca="1">IF(AND(テーブル1[[#This Row],[描画状況]]="済",テーブル1[[#This Row],[投稿状況]]=""),RAND(),"")</f>
        <v/>
      </c>
      <c r="T180" s="23" t="str">
        <f>"|&amp;image("&amp;テーブル1[[#This Row],[画像]]&amp;".png,width=100,height=100)"</f>
        <v>|&amp;image(yamana.png,width=100,height=100)</v>
      </c>
      <c r="U180" s="23" t="str">
        <f>"|MIDDLE:​"&amp;テーブル1[[#This Row],[名前]]</f>
        <v>|MIDDLE:​山名</v>
      </c>
      <c r="V180" s="23" t="str">
        <f>"|MIDDLE:​"&amp;テーブル1[[#This Row],[なまえ]]</f>
        <v>|MIDDLE:​やまな</v>
      </c>
      <c r="W180" s="23" t="str">
        <f>"|MIDDLE:​"&amp;テーブル1[[#This Row],[Name]]</f>
        <v>|MIDDLE:​Yamana</v>
      </c>
      <c r="X180" s="23" t="str">
        <f>"|MIDDLE:​&amp;link(配布所はこちら){​"&amp;テーブル1[[#This Row],[リンク]]&amp;"}|"</f>
        <v>|MIDDLE:​&amp;link(配布所はこちら){​https://lit.link/sereinrain}|</v>
      </c>
    </row>
    <row r="181" spans="1:24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829</v>
      </c>
      <c r="D181" s="23" t="s">
        <v>830</v>
      </c>
      <c r="E181" s="23" t="s">
        <v>831</v>
      </c>
      <c r="F181" s="15" t="s">
        <v>828</v>
      </c>
      <c r="G181" s="23" t="s">
        <v>832</v>
      </c>
      <c r="N181" s="1" t="s">
        <v>1443</v>
      </c>
      <c r="O181" s="24" t="str">
        <f>テーブル1[[#This Row],[リンク]]&amp;テーブル1[[#This Row],[描画状況]]</f>
        <v>https://ma2bana7.wixsite.com/sssr済</v>
      </c>
      <c r="P181" s="17">
        <f>1-(COUNTIF(O:O,_xlfn.TEXTJOIN(",",TRUE,テーブル1[[#This Row],[リンク]],テーブル1[[#This Row],[描画状況]]))/COUNTIF(F:F,テーブル1[[#This Row],[リンク]]))</f>
        <v>1</v>
      </c>
      <c r="Q181" s="16" t="str">
        <f ca="1">IFERROR(IF(テーブル1[[#This Row],[描画状況]]="",RAND()+(テーブル1[[#This Row],[列2]]*100),""),RAND())</f>
        <v/>
      </c>
      <c r="R181" s="1" t="s">
        <v>1193</v>
      </c>
      <c r="S181" s="24" t="str">
        <f ca="1">IF(AND(テーブル1[[#This Row],[描画状況]]="済",テーブル1[[#This Row],[投稿状況]]=""),RAND(),"")</f>
        <v/>
      </c>
      <c r="T181" s="23" t="str">
        <f>"|&amp;image("&amp;テーブル1[[#This Row],[画像]]&amp;".png,width=100,height=100)"</f>
        <v>|&amp;image(sessou-setsuri.png,width=100,height=100)</v>
      </c>
      <c r="U181" s="23" t="str">
        <f>"|MIDDLE:​"&amp;テーブル1[[#This Row],[名前]]</f>
        <v>|MIDDLE:​刹葬セツリ</v>
      </c>
      <c r="V181" s="23" t="str">
        <f>"|MIDDLE:​"&amp;テーブル1[[#This Row],[なまえ]]</f>
        <v>|MIDDLE:​せっそう せつり</v>
      </c>
      <c r="W181" s="23" t="str">
        <f>"|MIDDLE:​"&amp;テーブル1[[#This Row],[Name]]</f>
        <v>|MIDDLE:​Sessou Setsuri</v>
      </c>
      <c r="X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4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1342</v>
      </c>
      <c r="D182" s="23" t="s">
        <v>1345</v>
      </c>
      <c r="E182" s="23" t="s">
        <v>1344</v>
      </c>
      <c r="F182" s="15" t="s">
        <v>1343</v>
      </c>
      <c r="G182" s="23" t="s">
        <v>1346</v>
      </c>
      <c r="N182" s="1" t="s">
        <v>1443</v>
      </c>
      <c r="O182" s="24" t="str">
        <f>テーブル1[[#This Row],[リンク]]&amp;テーブル1[[#This Row],[描画状況]]</f>
        <v>https://www.canon-voice.com済</v>
      </c>
      <c r="P182" s="17">
        <f>1-(COUNTIF(O:O,_xlfn.TEXTJOIN(",",TRUE,テーブル1[[#This Row],[リンク]],テーブル1[[#This Row],[描画状況]]))/COUNTIF(F:F,テーブル1[[#This Row],[リンク]]))</f>
        <v>1</v>
      </c>
      <c r="Q182" s="16" t="str">
        <f ca="1">IFERROR(IF(テーブル1[[#This Row],[描画状況]]="",RAND()+(テーブル1[[#This Row],[列2]]*100),""),RAND())</f>
        <v/>
      </c>
      <c r="R182" s="1" t="s">
        <v>1193</v>
      </c>
      <c r="S182" s="24" t="str">
        <f ca="1">IF(AND(テーブル1[[#This Row],[描画状況]]="済",テーブル1[[#This Row],[投稿状況]]=""),RAND(),"")</f>
        <v/>
      </c>
      <c r="T182" s="23" t="str">
        <f>"|&amp;image("&amp;テーブル1[[#This Row],[画像]]&amp;".png,width=100,height=100)"</f>
        <v>|&amp;image(namine-ritsu.png,width=100,height=100)</v>
      </c>
      <c r="U182" s="23" t="str">
        <f>"|MIDDLE:​"&amp;テーブル1[[#This Row],[名前]]</f>
        <v>|MIDDLE:​波音リツ</v>
      </c>
      <c r="V182" s="23" t="str">
        <f>"|MIDDLE:​"&amp;テーブル1[[#This Row],[なまえ]]</f>
        <v>|MIDDLE:​なみね りつ</v>
      </c>
      <c r="W182" s="23" t="str">
        <f>"|MIDDLE:​"&amp;テーブル1[[#This Row],[Name]]</f>
        <v>|MIDDLE:​Namine Ritsu</v>
      </c>
      <c r="X182" s="23" t="str">
        <f>"|MIDDLE:​&amp;link(配布所はこちら){​"&amp;テーブル1[[#This Row],[リンク]]&amp;"}|"</f>
        <v>|MIDDLE:​&amp;link(配布所はこちら){​https://www.canon-voice.com}|</v>
      </c>
    </row>
    <row r="183" spans="1:24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1433</v>
      </c>
      <c r="D183" s="23" t="s">
        <v>1435</v>
      </c>
      <c r="E183" s="23" t="s">
        <v>1434</v>
      </c>
      <c r="F183" s="15" t="s">
        <v>1432</v>
      </c>
      <c r="G183" s="23" t="s">
        <v>1441</v>
      </c>
      <c r="N183" s="1" t="s">
        <v>1443</v>
      </c>
      <c r="O183" s="24" t="str">
        <f>テーブル1[[#This Row],[リンク]]&amp;テーブル1[[#This Row],[描画状況]]</f>
        <v>https://todosho1192.wixsite.com/my-site-3済</v>
      </c>
      <c r="P183" s="17">
        <f>1-(COUNTIF(O:O,_xlfn.TEXTJOIN(",",TRUE,テーブル1[[#This Row],[リンク]],テーブル1[[#This Row],[描画状況]]))/COUNTIF(F:F,テーブル1[[#This Row],[リンク]]))</f>
        <v>1</v>
      </c>
      <c r="Q183" s="16" t="str">
        <f ca="1">IFERROR(IF(テーブル1[[#This Row],[描画状況]]="",RAND()+(テーブル1[[#This Row],[列2]]*100),""),RAND())</f>
        <v/>
      </c>
      <c r="R183" s="1" t="s">
        <v>1193</v>
      </c>
      <c r="S183" s="24" t="str">
        <f ca="1">IF(AND(テーブル1[[#This Row],[描画状況]]="済",テーブル1[[#This Row],[投稿状況]]=""),RAND(),"")</f>
        <v/>
      </c>
      <c r="T183" s="23" t="str">
        <f>"|&amp;image("&amp;テーブル1[[#This Row],[画像]]&amp;".png,width=100,height=100)"</f>
        <v>|&amp;image(midorine-hisui.png,width=100,height=100)</v>
      </c>
      <c r="U183" s="23" t="str">
        <f>"|MIDDLE:​"&amp;テーブル1[[#This Row],[名前]]</f>
        <v>|MIDDLE:​緑音翡翠</v>
      </c>
      <c r="V183" s="23" t="str">
        <f>"|MIDDLE:​"&amp;テーブル1[[#This Row],[なまえ]]</f>
        <v>|MIDDLE:​みどりね ひすい</v>
      </c>
      <c r="W183" s="23" t="str">
        <f>"|MIDDLE:​"&amp;テーブル1[[#This Row],[Name]]</f>
        <v>|MIDDLE:​Midorine Hisui</v>
      </c>
      <c r="X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4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928</v>
      </c>
      <c r="D184" s="23" t="s">
        <v>929</v>
      </c>
      <c r="E184" s="23" t="s">
        <v>930</v>
      </c>
      <c r="F184" s="2" t="s">
        <v>676</v>
      </c>
      <c r="G184" s="23" t="s">
        <v>677</v>
      </c>
      <c r="M184" s="1" t="s">
        <v>1517</v>
      </c>
      <c r="N184" s="1" t="s">
        <v>1443</v>
      </c>
      <c r="O184" s="24" t="str">
        <f>テーブル1[[#This Row],[リンク]]&amp;テーブル1[[#This Row],[描画状況]]</f>
        <v>https://ametro.jimdofree.com済</v>
      </c>
      <c r="P184" s="17">
        <f>1-(COUNTIF(O:O,_xlfn.TEXTJOIN(",",TRUE,テーブル1[[#This Row],[リンク]],テーブル1[[#This Row],[描画状況]]))/COUNTIF(F:F,テーブル1[[#This Row],[リンク]]))</f>
        <v>1</v>
      </c>
      <c r="Q184" s="16" t="str">
        <f ca="1">IFERROR(IF(テーブル1[[#This Row],[描画状況]]="",RAND()+(テーブル1[[#This Row],[列2]]*100),""),RAND())</f>
        <v/>
      </c>
      <c r="R184" s="1" t="s">
        <v>1193</v>
      </c>
      <c r="S184" s="24" t="str">
        <f ca="1">IF(AND(テーブル1[[#This Row],[描画状況]]="済",テーブル1[[#This Row],[投稿状況]]=""),RAND(),"")</f>
        <v/>
      </c>
      <c r="T184" s="23" t="str">
        <f>"|&amp;image("&amp;テーブル1[[#This Row],[画像]]&amp;".png,width=100,height=100)"</f>
        <v>|&amp;image(ameuta-nirechi.png,width=100,height=100)</v>
      </c>
      <c r="U184" s="23" t="str">
        <f>"|MIDDLE:​"&amp;テーブル1[[#This Row],[名前]]</f>
        <v>|MIDDLE:​飴唄ニレチ</v>
      </c>
      <c r="V184" s="23" t="str">
        <f>"|MIDDLE:​"&amp;テーブル1[[#This Row],[なまえ]]</f>
        <v>|MIDDLE:​あめうた にれち</v>
      </c>
      <c r="W184" s="23" t="str">
        <f>"|MIDDLE:​"&amp;テーブル1[[#This Row],[Name]]</f>
        <v>|MIDDLE:​Ameuta Nirechi</v>
      </c>
      <c r="X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4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541</v>
      </c>
      <c r="D185" s="23" t="s">
        <v>542</v>
      </c>
      <c r="E185" s="23" t="s">
        <v>543</v>
      </c>
      <c r="F185" s="2" t="s">
        <v>540</v>
      </c>
      <c r="G185" s="23" t="s">
        <v>71</v>
      </c>
      <c r="H185" s="23" t="s">
        <v>1627</v>
      </c>
      <c r="I185" s="23" t="s">
        <v>1636</v>
      </c>
      <c r="J185" s="23" t="s">
        <v>1634</v>
      </c>
      <c r="K185" s="23" t="s">
        <v>1712</v>
      </c>
      <c r="L185" s="23" t="s">
        <v>1660</v>
      </c>
      <c r="M185" s="1" t="s">
        <v>1517</v>
      </c>
      <c r="N185" s="1" t="s">
        <v>1443</v>
      </c>
      <c r="O185" s="24" t="str">
        <f>テーブル1[[#This Row],[リンク]]&amp;テーブル1[[#This Row],[描画状況]]</f>
        <v>https://bowlroll.net/user/980255済</v>
      </c>
      <c r="P185" s="17">
        <f>1-(COUNTIF(O:O,_xlfn.TEXTJOIN(",",TRUE,テーブル1[[#This Row],[リンク]],テーブル1[[#This Row],[描画状況]]))/COUNTIF(F:F,テーブル1[[#This Row],[リンク]]))</f>
        <v>1</v>
      </c>
      <c r="Q185" s="16" t="str">
        <f ca="1">IFERROR(IF(テーブル1[[#This Row],[描画状況]]="",RAND()+(テーブル1[[#This Row],[列2]]*100),""),RAND())</f>
        <v/>
      </c>
      <c r="R185" s="1" t="s">
        <v>1193</v>
      </c>
      <c r="S185" s="24" t="str">
        <f ca="1">IF(AND(テーブル1[[#This Row],[描画状況]]="済",テーブル1[[#This Row],[投稿状況]]=""),RAND(),"")</f>
        <v/>
      </c>
      <c r="T185" s="23" t="str">
        <f>"|&amp;image("&amp;テーブル1[[#This Row],[画像]]&amp;".png,width=100,height=100)"</f>
        <v>|&amp;image(dot-pell.png,width=100,height=100)</v>
      </c>
      <c r="U185" s="23" t="str">
        <f>"|MIDDLE:​"&amp;テーブル1[[#This Row],[名前]]</f>
        <v>|MIDDLE:​ドット・ペル</v>
      </c>
      <c r="V185" s="23" t="str">
        <f>"|MIDDLE:​"&amp;テーブル1[[#This Row],[なまえ]]</f>
        <v>|MIDDLE:​どっと ぺる</v>
      </c>
      <c r="W185" s="23" t="str">
        <f>"|MIDDLE:​"&amp;テーブル1[[#This Row],[Name]]</f>
        <v>|MIDDLE:​Dot Pell</v>
      </c>
      <c r="X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4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435</v>
      </c>
      <c r="D186" s="23" t="s">
        <v>436</v>
      </c>
      <c r="E186" s="23" t="s">
        <v>437</v>
      </c>
      <c r="F186" s="2" t="s">
        <v>54</v>
      </c>
      <c r="G186" s="23" t="s">
        <v>55</v>
      </c>
      <c r="M186" s="1" t="s">
        <v>1518</v>
      </c>
      <c r="N186" s="1" t="s">
        <v>1443</v>
      </c>
      <c r="O186" s="24" t="str">
        <f>テーブル1[[#This Row],[リンク]]&amp;テーブル1[[#This Row],[描画状況]]</f>
        <v>https://bellsworks.wixsite.com/bellsworks済</v>
      </c>
      <c r="P186" s="17">
        <f>1-(COUNTIF(O:O,_xlfn.TEXTJOIN(",",TRUE,テーブル1[[#This Row],[リンク]],テーブル1[[#This Row],[描画状況]]))/COUNTIF(F:F,テーブル1[[#This Row],[リンク]]))</f>
        <v>1</v>
      </c>
      <c r="Q186" s="16" t="str">
        <f ca="1">IFERROR(IF(テーブル1[[#This Row],[描画状況]]="",RAND()+(テーブル1[[#This Row],[列2]]*100),""),RAND())</f>
        <v/>
      </c>
      <c r="R186" s="1" t="s">
        <v>1193</v>
      </c>
      <c r="S186" s="24" t="str">
        <f ca="1">IF(AND(テーブル1[[#This Row],[描画状況]]="済",テーブル1[[#This Row],[投稿状況]]=""),RAND(),"")</f>
        <v/>
      </c>
      <c r="T186" s="23" t="str">
        <f>"|&amp;image("&amp;テーブル1[[#This Row],[画像]]&amp;".png,width=100,height=100)"</f>
        <v>|&amp;image(suzuno-reon.png,width=100,height=100)</v>
      </c>
      <c r="U186" s="23" t="str">
        <f>"|MIDDLE:​"&amp;テーブル1[[#This Row],[名前]]</f>
        <v>|MIDDLE:​鈴音レオン</v>
      </c>
      <c r="V186" s="23" t="str">
        <f>"|MIDDLE:​"&amp;テーブル1[[#This Row],[なまえ]]</f>
        <v>|MIDDLE:​すずの れおん</v>
      </c>
      <c r="W186" s="23" t="str">
        <f>"|MIDDLE:​"&amp;テーブル1[[#This Row],[Name]]</f>
        <v>|MIDDLE:​Suzuno Reon</v>
      </c>
      <c r="X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4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481</v>
      </c>
      <c r="D187" s="23" t="s">
        <v>482</v>
      </c>
      <c r="E187" s="23" t="s">
        <v>483</v>
      </c>
      <c r="F187" s="2" t="s">
        <v>292</v>
      </c>
      <c r="G187" s="23" t="s">
        <v>293</v>
      </c>
      <c r="H187" s="23" t="s">
        <v>1662</v>
      </c>
      <c r="I187" s="23" t="s">
        <v>1676</v>
      </c>
      <c r="J187" s="23" t="s">
        <v>1674</v>
      </c>
      <c r="M187" s="1" t="s">
        <v>1517</v>
      </c>
      <c r="N187" s="1" t="s">
        <v>1443</v>
      </c>
      <c r="O187" s="24" t="str">
        <f>テーブル1[[#This Row],[リンク]]&amp;テーブル1[[#This Row],[描画状況]]</f>
        <v>https://seirentoybox.jimdofree.com済</v>
      </c>
      <c r="P187" s="17">
        <f>1-(COUNTIF(O:O,_xlfn.TEXTJOIN(",",TRUE,テーブル1[[#This Row],[リンク]],テーブル1[[#This Row],[描画状況]]))/COUNTIF(F:F,テーブル1[[#This Row],[リンク]]))</f>
        <v>1</v>
      </c>
      <c r="Q187" s="16" t="str">
        <f ca="1">IFERROR(IF(テーブル1[[#This Row],[描画状況]]="",RAND()+(テーブル1[[#This Row],[列2]]*100),""),RAND())</f>
        <v/>
      </c>
      <c r="R187" s="1" t="s">
        <v>1193</v>
      </c>
      <c r="S187" s="24" t="str">
        <f ca="1">IF(AND(テーブル1[[#This Row],[描画状況]]="済",テーブル1[[#This Row],[投稿状況]]=""),RAND(),"")</f>
        <v/>
      </c>
      <c r="T187" s="23" t="str">
        <f>"|&amp;image("&amp;テーブル1[[#This Row],[画像]]&amp;".png,width=100,height=100)"</f>
        <v>|&amp;image(shirotsume.png,width=100,height=100)</v>
      </c>
      <c r="U187" s="23" t="str">
        <f>"|MIDDLE:​"&amp;テーブル1[[#This Row],[名前]]</f>
        <v>|MIDDLE:​シロツメ</v>
      </c>
      <c r="V187" s="23" t="str">
        <f>"|MIDDLE:​"&amp;テーブル1[[#This Row],[なまえ]]</f>
        <v>|MIDDLE:​しろつめ</v>
      </c>
      <c r="W187" s="23" t="str">
        <f>"|MIDDLE:​"&amp;テーブル1[[#This Row],[Name]]</f>
        <v>|MIDDLE:​Shirotsume</v>
      </c>
      <c r="X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4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1360</v>
      </c>
      <c r="D188" s="23" t="s">
        <v>1361</v>
      </c>
      <c r="E188" s="23" t="s">
        <v>1362</v>
      </c>
      <c r="F188" s="2" t="s">
        <v>1363</v>
      </c>
      <c r="G188" s="23" t="s">
        <v>1364</v>
      </c>
      <c r="N188" s="1" t="s">
        <v>1443</v>
      </c>
      <c r="O188" s="24" t="str">
        <f>テーブル1[[#This Row],[リンク]]&amp;テーブル1[[#This Row],[描画状況]]</f>
        <v>https://maybeanglo0mochi.wixsite.com/mochiyanosouko済</v>
      </c>
      <c r="P188" s="17">
        <f>1-(COUNTIF(O:O,_xlfn.TEXTJOIN(",",TRUE,テーブル1[[#This Row],[リンク]],テーブル1[[#This Row],[描画状況]]))/COUNTIF(F:F,テーブル1[[#This Row],[リンク]]))</f>
        <v>1</v>
      </c>
      <c r="Q188" s="16" t="str">
        <f ca="1">IFERROR(IF(テーブル1[[#This Row],[描画状況]]="",RAND()+(テーブル1[[#This Row],[列2]]*100),""),RAND())</f>
        <v/>
      </c>
      <c r="R188" s="1" t="s">
        <v>1193</v>
      </c>
      <c r="S188" s="24" t="str">
        <f ca="1">IF(AND(テーブル1[[#This Row],[描画状況]]="済",テーブル1[[#This Row],[投稿状況]]=""),RAND(),"")</f>
        <v/>
      </c>
      <c r="T188" s="23" t="str">
        <f>"|&amp;image("&amp;テーブル1[[#This Row],[画像]]&amp;".png,width=100,height=100)"</f>
        <v>|&amp;image(psyche-sally.png,width=100,height=100)</v>
      </c>
      <c r="U188" s="23" t="str">
        <f>"|MIDDLE:​"&amp;テーブル1[[#This Row],[名前]]</f>
        <v>|MIDDLE:​プシュケ＝サリー</v>
      </c>
      <c r="V188" s="23" t="str">
        <f>"|MIDDLE:​"&amp;テーブル1[[#This Row],[なまえ]]</f>
        <v>|MIDDLE:​ぷしゅけ=さりー</v>
      </c>
      <c r="W188" s="23" t="str">
        <f>"|MIDDLE:​"&amp;テーブル1[[#This Row],[Name]]</f>
        <v>|MIDDLE:​Psyche=Sally</v>
      </c>
      <c r="X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4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1512</v>
      </c>
      <c r="D189" s="23" t="s">
        <v>444</v>
      </c>
      <c r="E189" s="23" t="s">
        <v>445</v>
      </c>
      <c r="F189" s="2" t="s">
        <v>54</v>
      </c>
      <c r="G189" s="23" t="s">
        <v>55</v>
      </c>
      <c r="M189" s="1" t="s">
        <v>1518</v>
      </c>
      <c r="N189" s="1" t="s">
        <v>1443</v>
      </c>
      <c r="O189" s="24" t="str">
        <f>テーブル1[[#This Row],[リンク]]&amp;テーブル1[[#This Row],[描画状況]]</f>
        <v>https://bellsworks.wixsite.com/bellsworks済</v>
      </c>
      <c r="P189" s="17">
        <f>1-(COUNTIF(O:O,_xlfn.TEXTJOIN(",",TRUE,テーブル1[[#This Row],[リンク]],テーブル1[[#This Row],[描画状況]]))/COUNTIF(F:F,テーブル1[[#This Row],[リンク]]))</f>
        <v>1</v>
      </c>
      <c r="Q189" s="16" t="str">
        <f ca="1">IFERROR(IF(テーブル1[[#This Row],[描画状況]]="",RAND()+(テーブル1[[#This Row],[列2]]*100),""),RAND())</f>
        <v/>
      </c>
      <c r="R189" s="1" t="s">
        <v>1193</v>
      </c>
      <c r="S189" s="24" t="str">
        <f ca="1">IF(AND(テーブル1[[#This Row],[描画状況]]="済",テーブル1[[#This Row],[投稿状況]]=""),RAND(),"")</f>
        <v/>
      </c>
      <c r="T189" s="23" t="str">
        <f>"|&amp;image("&amp;テーブル1[[#This Row],[画像]]&amp;".png,width=100,height=100)"</f>
        <v>|&amp;image(kotone-resuto.png,width=100,height=100)</v>
      </c>
      <c r="U189" s="23" t="str">
        <f>"|MIDDLE:​"&amp;テーブル1[[#This Row],[名前]]</f>
        <v>|MIDDLE:​琴音レスト</v>
      </c>
      <c r="V189" s="23" t="str">
        <f>"|MIDDLE:​"&amp;テーブル1[[#This Row],[なまえ]]</f>
        <v>|MIDDLE:​ことね れすと</v>
      </c>
      <c r="W189" s="23" t="str">
        <f>"|MIDDLE:​"&amp;テーブル1[[#This Row],[Name]]</f>
        <v>|MIDDLE:​Kotone Resuto</v>
      </c>
      <c r="X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4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1208</v>
      </c>
      <c r="D190" s="23" t="s">
        <v>1210</v>
      </c>
      <c r="E190" s="23" t="s">
        <v>1459</v>
      </c>
      <c r="F190" s="15" t="s">
        <v>1211</v>
      </c>
      <c r="G190" s="23" t="s">
        <v>1209</v>
      </c>
      <c r="M190" s="1" t="s">
        <v>1517</v>
      </c>
      <c r="N190" s="1" t="s">
        <v>1443</v>
      </c>
      <c r="O190" s="24" t="str">
        <f>テーブル1[[#This Row],[リンク]]&amp;テーブル1[[#This Row],[描画状況]]</f>
        <v>https://hakutoujelly.booth.pm/items/6496885済</v>
      </c>
      <c r="P190" s="17">
        <f>1-(COUNTIF(O:O,_xlfn.TEXTJOIN(",",TRUE,テーブル1[[#This Row],[リンク]],テーブル1[[#This Row],[描画状況]]))/COUNTIF(F:F,テーブル1[[#This Row],[リンク]]))</f>
        <v>1</v>
      </c>
      <c r="Q190" s="16" t="str">
        <f ca="1">IFERROR(IF(テーブル1[[#This Row],[描画状況]]="",RAND()+(テーブル1[[#This Row],[列2]]*100),""),RAND())</f>
        <v/>
      </c>
      <c r="R190" s="1" t="s">
        <v>1193</v>
      </c>
      <c r="S190" s="24" t="str">
        <f ca="1">IF(AND(テーブル1[[#This Row],[描画状況]]="済",テーブル1[[#This Row],[投稿状況]]=""),RAND(),"")</f>
        <v/>
      </c>
      <c r="T190" s="23" t="str">
        <f>"|&amp;image("&amp;テーブル1[[#This Row],[画像]]&amp;".png,width=100,height=100)"</f>
        <v>|&amp;image(tetly.png,width=100,height=100)</v>
      </c>
      <c r="U190" s="23" t="str">
        <f>"|MIDDLE:​"&amp;テーブル1[[#This Row],[名前]]</f>
        <v>|MIDDLE:​テトリー</v>
      </c>
      <c r="V190" s="23" t="str">
        <f>"|MIDDLE:​"&amp;テーブル1[[#This Row],[なまえ]]</f>
        <v>|MIDDLE:​てとりー</v>
      </c>
      <c r="W190" s="23" t="str">
        <f>"|MIDDLE:​"&amp;テーブル1[[#This Row],[Name]]</f>
        <v>|MIDDLE:​Tetly</v>
      </c>
      <c r="X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4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719</v>
      </c>
      <c r="D191" s="23" t="s">
        <v>720</v>
      </c>
      <c r="E191" s="23" t="s">
        <v>721</v>
      </c>
      <c r="F191" s="15" t="s">
        <v>725</v>
      </c>
      <c r="G191" s="23" t="s">
        <v>1200</v>
      </c>
      <c r="M191" s="1" t="s">
        <v>1518</v>
      </c>
      <c r="N191" s="1" t="s">
        <v>1443</v>
      </c>
      <c r="O191" s="24" t="str">
        <f>テーブル1[[#This Row],[リンク]]&amp;テーブル1[[#This Row],[描画状況]]</f>
        <v>https://grskmot8.wixsite.com/kdarock済</v>
      </c>
      <c r="P191" s="17">
        <f>1-(COUNTIF(O:O,_xlfn.TEXTJOIN(",",TRUE,テーブル1[[#This Row],[リンク]],テーブル1[[#This Row],[描画状況]]))/COUNTIF(F:F,テーブル1[[#This Row],[リンク]]))</f>
        <v>1</v>
      </c>
      <c r="Q191" s="16" t="str">
        <f ca="1">IFERROR(IF(テーブル1[[#This Row],[描画状況]]="",RAND()+(テーブル1[[#This Row],[列2]]*100),""),RAND())</f>
        <v/>
      </c>
      <c r="R191" s="1" t="s">
        <v>1193</v>
      </c>
      <c r="S191" s="24" t="str">
        <f ca="1">IF(AND(テーブル1[[#This Row],[描画状況]]="済",テーブル1[[#This Row],[投稿状況]]=""),RAND(),"")</f>
        <v/>
      </c>
      <c r="T191" s="23" t="str">
        <f>"|&amp;image("&amp;テーブル1[[#This Row],[画像]]&amp;".png,width=100,height=100)"</f>
        <v>|&amp;image(sawagu-ryosuke.png,width=100,height=100)</v>
      </c>
      <c r="U191" s="23" t="str">
        <f>"|MIDDLE:​"&amp;テーブル1[[#This Row],[名前]]</f>
        <v>|MIDDLE:​騒呂助</v>
      </c>
      <c r="V191" s="23" t="str">
        <f>"|MIDDLE:​"&amp;テーブル1[[#This Row],[なまえ]]</f>
        <v>|MIDDLE:​さわぐ りょすけ</v>
      </c>
      <c r="W191" s="23" t="str">
        <f>"|MIDDLE:​"&amp;テーブル1[[#This Row],[Name]]</f>
        <v>|MIDDLE:​Sawagu Ryosuke</v>
      </c>
      <c r="X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4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467</v>
      </c>
      <c r="D192" s="23" t="s">
        <v>468</v>
      </c>
      <c r="E192" s="23" t="s">
        <v>469</v>
      </c>
      <c r="F192" s="2" t="s">
        <v>189</v>
      </c>
      <c r="G192" s="23" t="s">
        <v>470</v>
      </c>
      <c r="N192" s="1" t="s">
        <v>1443</v>
      </c>
      <c r="O192" s="24" t="str">
        <f>テーブル1[[#This Row],[リンク]]&amp;テーブル1[[#This Row],[描画状況]]</f>
        <v>https://lit.link/sereinrain済</v>
      </c>
      <c r="P192" s="17">
        <f>1-(COUNTIF(O:O,_xlfn.TEXTJOIN(",",TRUE,テーブル1[[#This Row],[リンク]],テーブル1[[#This Row],[描画状況]]))/COUNTIF(F:F,テーブル1[[#This Row],[リンク]]))</f>
        <v>1</v>
      </c>
      <c r="Q192" s="16" t="str">
        <f ca="1">IFERROR(IF(テーブル1[[#This Row],[描画状況]]="",RAND()+(テーブル1[[#This Row],[列2]]*100),""),RAND())</f>
        <v/>
      </c>
      <c r="R192" s="1" t="s">
        <v>1193</v>
      </c>
      <c r="S192" s="24" t="str">
        <f ca="1">IF(AND(テーブル1[[#This Row],[描画状況]]="済",テーブル1[[#This Row],[投稿状況]]=""),RAND(),"")</f>
        <v/>
      </c>
      <c r="T192" s="23" t="str">
        <f>"|&amp;image("&amp;テーブル1[[#This Row],[画像]]&amp;".png,width=100,height=100)"</f>
        <v>|&amp;image(hinode.png,width=100,height=100)</v>
      </c>
      <c r="U192" s="23" t="str">
        <f>"|MIDDLE:​"&amp;テーブル1[[#This Row],[名前]]</f>
        <v>|MIDDLE:​日出</v>
      </c>
      <c r="V192" s="23" t="str">
        <f>"|MIDDLE:​"&amp;テーブル1[[#This Row],[なまえ]]</f>
        <v>|MIDDLE:​ひので</v>
      </c>
      <c r="W192" s="23" t="str">
        <f>"|MIDDLE:​"&amp;テーブル1[[#This Row],[Name]]</f>
        <v>|MIDDLE:​Hinode</v>
      </c>
      <c r="X192" s="23" t="str">
        <f>"|MIDDLE:​&amp;link(配布所はこちら){​"&amp;テーブル1[[#This Row],[リンク]]&amp;"}|"</f>
        <v>|MIDDLE:​&amp;link(配布所はこちら){​https://lit.link/sereinrain}|</v>
      </c>
    </row>
    <row r="193" spans="1:24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1513</v>
      </c>
      <c r="D193" s="23" t="s">
        <v>442</v>
      </c>
      <c r="E193" s="23" t="s">
        <v>443</v>
      </c>
      <c r="F193" s="2" t="s">
        <v>54</v>
      </c>
      <c r="G193" s="23" t="s">
        <v>55</v>
      </c>
      <c r="M193" s="1" t="s">
        <v>1518</v>
      </c>
      <c r="N193" s="1" t="s">
        <v>1443</v>
      </c>
      <c r="O193" s="24" t="str">
        <f>テーブル1[[#This Row],[リンク]]&amp;テーブル1[[#This Row],[描画状況]]</f>
        <v>https://bellsworks.wixsite.com/bellsworks済</v>
      </c>
      <c r="P193" s="17">
        <f>1-(COUNTIF(O:O,_xlfn.TEXTJOIN(",",TRUE,テーブル1[[#This Row],[リンク]],テーブル1[[#This Row],[描画状況]]))/COUNTIF(F:F,テーブル1[[#This Row],[リンク]]))</f>
        <v>1</v>
      </c>
      <c r="Q193" s="16" t="str">
        <f ca="1">IFERROR(IF(テーブル1[[#This Row],[描画状況]]="",RAND()+(テーブル1[[#This Row],[列2]]*100),""),RAND())</f>
        <v/>
      </c>
      <c r="R193" s="1" t="s">
        <v>1193</v>
      </c>
      <c r="S193" s="24" t="str">
        <f ca="1">IF(AND(テーブル1[[#This Row],[描画状況]]="済",テーブル1[[#This Row],[投稿状況]]=""),RAND(),"")</f>
        <v/>
      </c>
      <c r="T193" s="23" t="str">
        <f>"|&amp;image("&amp;テーブル1[[#This Row],[画像]]&amp;".png,width=100,height=100)"</f>
        <v>|&amp;image(suzu-cell.png,width=100,height=100)</v>
      </c>
      <c r="U193" s="23" t="str">
        <f>"|MIDDLE:​"&amp;テーブル1[[#This Row],[名前]]</f>
        <v>|MIDDLE:​Sn&amp;Cl</v>
      </c>
      <c r="V193" s="23" t="str">
        <f>"|MIDDLE:​"&amp;テーブル1[[#This Row],[なまえ]]</f>
        <v>|MIDDLE:​すず &amp; せる</v>
      </c>
      <c r="W193" s="23" t="str">
        <f>"|MIDDLE:​"&amp;テーブル1[[#This Row],[Name]]</f>
        <v>|MIDDLE:​Suzu &amp; Cell</v>
      </c>
      <c r="X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4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525</v>
      </c>
      <c r="D194" s="23" t="s">
        <v>526</v>
      </c>
      <c r="E194" s="23" t="s">
        <v>527</v>
      </c>
      <c r="F194" s="2" t="s">
        <v>219</v>
      </c>
      <c r="G194" s="23" t="s">
        <v>220</v>
      </c>
      <c r="N194" s="1" t="s">
        <v>1443</v>
      </c>
      <c r="O194" s="24" t="str">
        <f>テーブル1[[#This Row],[リンク]]&amp;テーブル1[[#This Row],[描画状況]]</f>
        <v>https://moqujc.wixsite.com/mqtop済</v>
      </c>
      <c r="P194" s="17">
        <f>1-(COUNTIF(O:O,_xlfn.TEXTJOIN(",",TRUE,テーブル1[[#This Row],[リンク]],テーブル1[[#This Row],[描画状況]]))/COUNTIF(F:F,テーブル1[[#This Row],[リンク]]))</f>
        <v>1</v>
      </c>
      <c r="Q194" s="16" t="str">
        <f ca="1">IFERROR(IF(テーブル1[[#This Row],[描画状況]]="",RAND()+(テーブル1[[#This Row],[列2]]*100),""),RAND())</f>
        <v/>
      </c>
      <c r="R194" s="1" t="s">
        <v>1193</v>
      </c>
      <c r="S194" s="24" t="str">
        <f ca="1">IF(AND(テーブル1[[#This Row],[描画状況]]="済",テーブル1[[#This Row],[投稿状況]]=""),RAND(),"")</f>
        <v/>
      </c>
      <c r="T194" s="23" t="str">
        <f>"|&amp;image("&amp;テーブル1[[#This Row],[画像]]&amp;".png,width=100,height=100)"</f>
        <v>|&amp;image(kurage.png,width=100,height=100)</v>
      </c>
      <c r="U194" s="23" t="str">
        <f>"|MIDDLE:​"&amp;テーブル1[[#This Row],[名前]]</f>
        <v>|MIDDLE:​KuragE</v>
      </c>
      <c r="V194" s="23" t="str">
        <f>"|MIDDLE:​"&amp;テーブル1[[#This Row],[なまえ]]</f>
        <v>|MIDDLE:​くらげ</v>
      </c>
      <c r="W194" s="23" t="str">
        <f>"|MIDDLE:​"&amp;テーブル1[[#This Row],[Name]]</f>
        <v>|MIDDLE:​Kurage</v>
      </c>
      <c r="X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4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1514</v>
      </c>
      <c r="D195" s="23" t="s">
        <v>440</v>
      </c>
      <c r="E195" s="23" t="s">
        <v>441</v>
      </c>
      <c r="F195" s="2" t="s">
        <v>54</v>
      </c>
      <c r="G195" s="23" t="s">
        <v>55</v>
      </c>
      <c r="M195" s="1" t="s">
        <v>1518</v>
      </c>
      <c r="N195" s="1" t="s">
        <v>1443</v>
      </c>
      <c r="O195" s="24" t="str">
        <f>テーブル1[[#This Row],[リンク]]&amp;テーブル1[[#This Row],[描画状況]]</f>
        <v>https://bellsworks.wixsite.com/bellsworks済</v>
      </c>
      <c r="P195" s="17">
        <f>1-(COUNTIF(O:O,_xlfn.TEXTJOIN(",",TRUE,テーブル1[[#This Row],[リンク]],テーブル1[[#This Row],[描画状況]]))/COUNTIF(F:F,テーブル1[[#This Row],[リンク]]))</f>
        <v>1</v>
      </c>
      <c r="Q195" s="16" t="str">
        <f ca="1">IFERROR(IF(テーブル1[[#This Row],[描画状況]]="",RAND()+(テーブル1[[#This Row],[列2]]*100),""),RAND())</f>
        <v/>
      </c>
      <c r="R195" s="1" t="s">
        <v>1193</v>
      </c>
      <c r="S195" s="24" t="str">
        <f ca="1">IF(AND(テーブル1[[#This Row],[描画状況]]="済",テーブル1[[#This Row],[投稿状況]]=""),RAND(),"")</f>
        <v/>
      </c>
      <c r="T195" s="23" t="str">
        <f>"|&amp;image("&amp;テーブル1[[#This Row],[画像]]&amp;".png,width=100,height=100)"</f>
        <v>|&amp;image(suzuno-neon.png,width=100,height=100)</v>
      </c>
      <c r="U195" s="23" t="str">
        <f>"|MIDDLE:​"&amp;テーブル1[[#This Row],[名前]]</f>
        <v>|MIDDLE:​鈴音ネオン</v>
      </c>
      <c r="V195" s="23" t="str">
        <f>"|MIDDLE:​"&amp;テーブル1[[#This Row],[なまえ]]</f>
        <v>|MIDDLE:​すずの ねおん</v>
      </c>
      <c r="W195" s="23" t="str">
        <f>"|MIDDLE:​"&amp;テーブル1[[#This Row],[Name]]</f>
        <v>|MIDDLE:​Suzuno Neon</v>
      </c>
      <c r="X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4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647</v>
      </c>
      <c r="D196" s="23" t="s">
        <v>648</v>
      </c>
      <c r="E196" s="23" t="s">
        <v>646</v>
      </c>
      <c r="F196" s="2" t="s">
        <v>649</v>
      </c>
      <c r="G196" s="23" t="s">
        <v>651</v>
      </c>
      <c r="N196" s="1" t="s">
        <v>1443</v>
      </c>
      <c r="O196" s="24" t="str">
        <f>テーブル1[[#This Row],[リンク]]&amp;テーブル1[[#This Row],[描画状況]]</f>
        <v>https://mebisnori.wixsite.com/nori-mebis済</v>
      </c>
      <c r="P196" s="17">
        <f>1-(COUNTIF(O:O,_xlfn.TEXTJOIN(",",TRUE,テーブル1[[#This Row],[リンク]],テーブル1[[#This Row],[描画状況]]))/COUNTIF(F:F,テーブル1[[#This Row],[リンク]]))</f>
        <v>1</v>
      </c>
      <c r="Q196" s="16" t="str">
        <f ca="1">IFERROR(IF(テーブル1[[#This Row],[描画状況]]="",RAND()+(テーブル1[[#This Row],[列2]]*100),""),RAND())</f>
        <v/>
      </c>
      <c r="R196" s="1" t="s">
        <v>1193</v>
      </c>
      <c r="S196" s="24" t="str">
        <f ca="1">IF(AND(テーブル1[[#This Row],[描画状況]]="済",テーブル1[[#This Row],[投稿状況]]=""),RAND(),"")</f>
        <v/>
      </c>
      <c r="T196" s="23" t="str">
        <f>"|&amp;image("&amp;テーブル1[[#This Row],[画像]]&amp;".png,width=100,height=100)"</f>
        <v>|&amp;image(solisia.png,width=100,height=100)</v>
      </c>
      <c r="U196" s="23" t="str">
        <f>"|MIDDLE:​"&amp;テーブル1[[#This Row],[名前]]</f>
        <v>|MIDDLE:​ソリシア</v>
      </c>
      <c r="V196" s="23" t="str">
        <f>"|MIDDLE:​"&amp;テーブル1[[#This Row],[なまえ]]</f>
        <v>|MIDDLE:​そりしあ</v>
      </c>
      <c r="W196" s="23" t="str">
        <f>"|MIDDLE:​"&amp;テーブル1[[#This Row],[Name]]</f>
        <v>|MIDDLE:​Solisia</v>
      </c>
      <c r="X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4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655</v>
      </c>
      <c r="D197" s="23" t="s">
        <v>656</v>
      </c>
      <c r="E197" s="23" t="s">
        <v>657</v>
      </c>
      <c r="F197" s="2" t="s">
        <v>658</v>
      </c>
      <c r="G197" s="23" t="s">
        <v>662</v>
      </c>
      <c r="N197" s="1" t="s">
        <v>1443</v>
      </c>
      <c r="O197" s="24" t="str">
        <f>テーブル1[[#This Row],[リンク]]&amp;テーブル1[[#This Row],[描画状況]]</f>
        <v>https://mashimo0330.wixsite.com/awaka-utau済</v>
      </c>
      <c r="P197" s="17">
        <f>1-(COUNTIF(O:O,_xlfn.TEXTJOIN(",",TRUE,テーブル1[[#This Row],[リンク]],テーブル1[[#This Row],[描画状況]]))/COUNTIF(F:F,テーブル1[[#This Row],[リンク]]))</f>
        <v>1</v>
      </c>
      <c r="Q197" s="16" t="str">
        <f ca="1">IFERROR(IF(テーブル1[[#This Row],[描画状況]]="",RAND()+(テーブル1[[#This Row],[列2]]*100),""),RAND())</f>
        <v/>
      </c>
      <c r="R197" s="1" t="s">
        <v>1193</v>
      </c>
      <c r="S197" s="24" t="str">
        <f ca="1">IF(AND(テーブル1[[#This Row],[描画状況]]="済",テーブル1[[#This Row],[投稿状況]]=""),RAND(),"")</f>
        <v/>
      </c>
      <c r="T197" s="23" t="str">
        <f>"|&amp;image("&amp;テーブル1[[#This Row],[画像]]&amp;".png,width=100,height=100)"</f>
        <v>|&amp;image(awaka-makana.png,width=100,height=100)</v>
      </c>
      <c r="U197" s="23" t="str">
        <f>"|MIDDLE:​"&amp;テーブル1[[#This Row],[名前]]</f>
        <v>|MIDDLE:​泡歌マカナ</v>
      </c>
      <c r="V197" s="23" t="str">
        <f>"|MIDDLE:​"&amp;テーブル1[[#This Row],[なまえ]]</f>
        <v>|MIDDLE:​あわか まかな</v>
      </c>
      <c r="W197" s="23" t="str">
        <f>"|MIDDLE:​"&amp;テーブル1[[#This Row],[Name]]</f>
        <v>|MIDDLE:​Awaka Makana</v>
      </c>
      <c r="X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4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426</v>
      </c>
      <c r="D198" s="23" t="s">
        <v>427</v>
      </c>
      <c r="E198" s="23" t="s">
        <v>428</v>
      </c>
      <c r="F198" s="2" t="s">
        <v>54</v>
      </c>
      <c r="G198" s="23" t="s">
        <v>55</v>
      </c>
      <c r="M198" s="1" t="s">
        <v>1518</v>
      </c>
      <c r="N198" s="1" t="s">
        <v>1443</v>
      </c>
      <c r="O198" s="24" t="str">
        <f>テーブル1[[#This Row],[リンク]]&amp;テーブル1[[#This Row],[描画状況]]</f>
        <v>https://bellsworks.wixsite.com/bellsworks済</v>
      </c>
      <c r="P198" s="17">
        <f>1-(COUNTIF(O:O,_xlfn.TEXTJOIN(",",TRUE,テーブル1[[#This Row],[リンク]],テーブル1[[#This Row],[描画状況]]))/COUNTIF(F:F,テーブル1[[#This Row],[リンク]]))</f>
        <v>1</v>
      </c>
      <c r="Q198" s="16" t="str">
        <f ca="1">IFERROR(IF(テーブル1[[#This Row],[描画状況]]="",RAND()+(テーブル1[[#This Row],[列2]]*100),""),RAND())</f>
        <v/>
      </c>
      <c r="R198" s="1" t="s">
        <v>1193</v>
      </c>
      <c r="S198" s="24" t="str">
        <f ca="1">IF(AND(テーブル1[[#This Row],[描画状況]]="済",テーブル1[[#This Row],[投稿状況]]=""),RAND(),"")</f>
        <v/>
      </c>
      <c r="T198" s="23" t="str">
        <f>"|&amp;image("&amp;テーブル1[[#This Row],[画像]]&amp;".png,width=100,height=100)"</f>
        <v>|&amp;image(suzuno-rion.png,width=100,height=100)</v>
      </c>
      <c r="U198" s="23" t="str">
        <f>"|MIDDLE:​"&amp;テーブル1[[#This Row],[名前]]</f>
        <v>|MIDDLE:​鈴音リオン</v>
      </c>
      <c r="V198" s="23" t="str">
        <f>"|MIDDLE:​"&amp;テーブル1[[#This Row],[なまえ]]</f>
        <v>|MIDDLE:​すずの りおん</v>
      </c>
      <c r="W198" s="23" t="str">
        <f>"|MIDDLE:​"&amp;テーブル1[[#This Row],[Name]]</f>
        <v>|MIDDLE:​Suzuno Rion</v>
      </c>
      <c r="X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4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753</v>
      </c>
      <c r="D199" s="23" t="s">
        <v>754</v>
      </c>
      <c r="E199" s="23" t="s">
        <v>755</v>
      </c>
      <c r="F199" s="15" t="s">
        <v>756</v>
      </c>
      <c r="G199" s="23" t="s">
        <v>760</v>
      </c>
      <c r="M199" s="1" t="s">
        <v>1517</v>
      </c>
      <c r="N199" s="1" t="s">
        <v>1443</v>
      </c>
      <c r="O199" s="24" t="str">
        <f>テーブル1[[#This Row],[リンク]]&amp;テーブル1[[#This Row],[描画状況]]</f>
        <v>http://shadeofgreen.web.fc2.com済</v>
      </c>
      <c r="P199" s="17">
        <f>1-(COUNTIF(O:O,_xlfn.TEXTJOIN(",",TRUE,テーブル1[[#This Row],[リンク]],テーブル1[[#This Row],[描画状況]]))/COUNTIF(F:F,テーブル1[[#This Row],[リンク]]))</f>
        <v>1</v>
      </c>
      <c r="Q199" s="16" t="str">
        <f ca="1">IFERROR(IF(テーブル1[[#This Row],[描画状況]]="",RAND()+(テーブル1[[#This Row],[列2]]*100),""),RAND())</f>
        <v/>
      </c>
      <c r="R199" s="1" t="s">
        <v>1193</v>
      </c>
      <c r="S199" s="24" t="str">
        <f ca="1">IF(AND(テーブル1[[#This Row],[描画状況]]="済",テーブル1[[#This Row],[投稿状況]]=""),RAND(),"")</f>
        <v/>
      </c>
      <c r="T199" s="23" t="str">
        <f>"|&amp;image("&amp;テーブル1[[#This Row],[画像]]&amp;".png,width=100,height=100)"</f>
        <v>|&amp;image(aoba-ao.png,width=100,height=100)</v>
      </c>
      <c r="U199" s="23" t="str">
        <f>"|MIDDLE:​"&amp;テーブル1[[#This Row],[名前]]</f>
        <v>|MIDDLE:​青葉アオ</v>
      </c>
      <c r="V199" s="23" t="str">
        <f>"|MIDDLE:​"&amp;テーブル1[[#This Row],[なまえ]]</f>
        <v>|MIDDLE:​あおば あお</v>
      </c>
      <c r="W199" s="23" t="str">
        <f>"|MIDDLE:​"&amp;テーブル1[[#This Row],[Name]]</f>
        <v>|MIDDLE:​Aoba Ao</v>
      </c>
      <c r="X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4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1086</v>
      </c>
      <c r="D200" s="23" t="s">
        <v>1087</v>
      </c>
      <c r="E200" s="23" t="s">
        <v>1088</v>
      </c>
      <c r="F200" s="15" t="s">
        <v>1066</v>
      </c>
      <c r="G200" s="23" t="s">
        <v>1067</v>
      </c>
      <c r="N200" s="1" t="s">
        <v>1443</v>
      </c>
      <c r="O200" s="24" t="str">
        <f>テーブル1[[#This Row],[リンク]]&amp;テーブル1[[#This Row],[描画状況]]</f>
        <v>https://yukimiyashimusho.jimdofree.com済</v>
      </c>
      <c r="P200" s="17">
        <f>1-(COUNTIF(O:O,_xlfn.TEXTJOIN(",",TRUE,テーブル1[[#This Row],[リンク]],テーブル1[[#This Row],[描画状況]]))/COUNTIF(F:F,テーブル1[[#This Row],[リンク]]))</f>
        <v>1</v>
      </c>
      <c r="Q200" s="16" t="str">
        <f ca="1">IFERROR(IF(テーブル1[[#This Row],[描画状況]]="",RAND()+(テーブル1[[#This Row],[列2]]*100),""),RAND())</f>
        <v/>
      </c>
      <c r="R200" s="1" t="s">
        <v>1193</v>
      </c>
      <c r="S200" s="24" t="str">
        <f ca="1">IF(AND(テーブル1[[#This Row],[描画状況]]="済",テーブル1[[#This Row],[投稿状況]]=""),RAND(),"")</f>
        <v/>
      </c>
      <c r="T200" s="23" t="str">
        <f>"|&amp;image("&amp;テーブル1[[#This Row],[画像]]&amp;".png,width=100,height=100)"</f>
        <v>|&amp;image(sousaki-reani.png,width=100,height=100)</v>
      </c>
      <c r="U200" s="23" t="str">
        <f>"|MIDDLE:​"&amp;テーブル1[[#This Row],[名前]]</f>
        <v>|MIDDLE:​霜咲れあに</v>
      </c>
      <c r="V200" s="23" t="str">
        <f>"|MIDDLE:​"&amp;テーブル1[[#This Row],[なまえ]]</f>
        <v>|MIDDLE:​そうさき れあに</v>
      </c>
      <c r="W200" s="23" t="str">
        <f>"|MIDDLE:​"&amp;テーブル1[[#This Row],[Name]]</f>
        <v>|MIDDLE:​Sousaki Reani</v>
      </c>
      <c r="X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4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1318</v>
      </c>
      <c r="D201" s="23" t="s">
        <v>1320</v>
      </c>
      <c r="E201" s="23" t="s">
        <v>1319</v>
      </c>
      <c r="F201" s="15" t="s">
        <v>1321</v>
      </c>
      <c r="G201" s="23" t="s">
        <v>1322</v>
      </c>
      <c r="N201" s="1" t="s">
        <v>1443</v>
      </c>
      <c r="O201" s="24" t="str">
        <f>テーブル1[[#This Row],[リンク]]&amp;テーブル1[[#This Row],[描画状況]]</f>
        <v>https://jiwajiwakirinn.wixsite.com/sakurada済</v>
      </c>
      <c r="P201" s="17">
        <f>1-(COUNTIF(O:O,_xlfn.TEXTJOIN(",",TRUE,テーブル1[[#This Row],[リンク]],テーブル1[[#This Row],[描画状況]]))/COUNTIF(F:F,テーブル1[[#This Row],[リンク]]))</f>
        <v>1</v>
      </c>
      <c r="Q201" s="16" t="str">
        <f ca="1">IFERROR(IF(テーブル1[[#This Row],[描画状況]]="",RAND()+(テーブル1[[#This Row],[列2]]*100),""),RAND())</f>
        <v/>
      </c>
      <c r="R201" s="1" t="s">
        <v>1193</v>
      </c>
      <c r="S201" s="24" t="str">
        <f ca="1">IF(AND(テーブル1[[#This Row],[描画状況]]="済",テーブル1[[#This Row],[投稿状況]]=""),RAND(),"")</f>
        <v/>
      </c>
      <c r="T201" s="23" t="str">
        <f>"|&amp;image("&amp;テーブル1[[#This Row],[画像]]&amp;".png,width=100,height=100)"</f>
        <v>|&amp;image(akita.png,width=100,height=100)</v>
      </c>
      <c r="U201" s="23" t="str">
        <f>"|MIDDLE:​"&amp;テーブル1[[#This Row],[名前]]</f>
        <v>|MIDDLE:​秋太</v>
      </c>
      <c r="V201" s="23" t="str">
        <f>"|MIDDLE:​"&amp;テーブル1[[#This Row],[なまえ]]</f>
        <v>|MIDDLE:​あきた</v>
      </c>
      <c r="W201" s="23" t="str">
        <f>"|MIDDLE:​"&amp;テーブル1[[#This Row],[Name]]</f>
        <v>|MIDDLE:​Akita</v>
      </c>
      <c r="X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4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1498</v>
      </c>
      <c r="D202" s="23" t="s">
        <v>1499</v>
      </c>
      <c r="E202" s="23" t="s">
        <v>1500</v>
      </c>
      <c r="F202" s="2" t="s">
        <v>1501</v>
      </c>
      <c r="G202" s="23" t="s">
        <v>1502</v>
      </c>
      <c r="N202" s="1" t="s">
        <v>1443</v>
      </c>
      <c r="O202" s="24" t="str">
        <f>テーブル1[[#This Row],[リンク]]&amp;テーブル1[[#This Row],[描画状況]]</f>
        <v>https://m.blog.naver.com/string_legacy/224045016399済</v>
      </c>
      <c r="P202" s="17">
        <f>1-(COUNTIF(O:O,_xlfn.TEXTJOIN(",",TRUE,テーブル1[[#This Row],[リンク]],テーブル1[[#This Row],[描画状況]]))/COUNTIF(F:F,テーブル1[[#This Row],[リンク]]))</f>
        <v>1</v>
      </c>
      <c r="Q202" s="16" t="str">
        <f ca="1">IFERROR(IF(テーブル1[[#This Row],[描画状況]]="",RAND()+(テーブル1[[#This Row],[列2]]*100),""),RAND())</f>
        <v/>
      </c>
      <c r="R202" s="1" t="s">
        <v>1193</v>
      </c>
      <c r="S202" s="24" t="str">
        <f ca="1">IF(AND(テーブル1[[#This Row],[描画状況]]="済",テーブル1[[#This Row],[投稿状況]]=""),RAND(),"")</f>
        <v/>
      </c>
      <c r="T202" s="23" t="str">
        <f>"|&amp;image("&amp;テーブル1[[#This Row],[画像]]&amp;".png,width=100,height=100)"</f>
        <v>|&amp;image(chine-yan.png,width=100,height=100)</v>
      </c>
      <c r="U202" s="23" t="str">
        <f>"|MIDDLE:​"&amp;テーブル1[[#This Row],[名前]]</f>
        <v>|MIDDLE:​血音ヤン</v>
      </c>
      <c r="V202" s="23" t="str">
        <f>"|MIDDLE:​"&amp;テーブル1[[#This Row],[なまえ]]</f>
        <v>|MIDDLE:​ちぬ やん</v>
      </c>
      <c r="W202" s="23" t="str">
        <f>"|MIDDLE:​"&amp;テーブル1[[#This Row],[Name]]</f>
        <v>|MIDDLE:​Chine Yan</v>
      </c>
      <c r="X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4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1468</v>
      </c>
      <c r="D203" s="23" t="s">
        <v>1469</v>
      </c>
      <c r="E203" s="23" t="s">
        <v>1470</v>
      </c>
      <c r="F203" s="15" t="s">
        <v>1471</v>
      </c>
      <c r="G203" s="23" t="s">
        <v>1472</v>
      </c>
      <c r="M203" s="1" t="s">
        <v>1517</v>
      </c>
      <c r="N203" s="1" t="s">
        <v>1443</v>
      </c>
      <c r="O203" s="24" t="str">
        <f>テーブル1[[#This Row],[リンク]]&amp;テーブル1[[#This Row],[描画状況]]</f>
        <v>https://abiencearray.carrd.co済</v>
      </c>
      <c r="P203" s="17">
        <f>1-(COUNTIF(O:O,_xlfn.TEXTJOIN(",",TRUE,テーブル1[[#This Row],[リンク]],テーブル1[[#This Row],[描画状況]]))/COUNTIF(F:F,テーブル1[[#This Row],[リンク]]))</f>
        <v>1</v>
      </c>
      <c r="Q203" s="16" t="str">
        <f ca="1">IFERROR(IF(テーブル1[[#This Row],[描画状況]]="",RAND()+(テーブル1[[#This Row],[列2]]*100),""),RAND())</f>
        <v/>
      </c>
      <c r="R203" s="1" t="s">
        <v>1193</v>
      </c>
      <c r="S203" s="24" t="str">
        <f ca="1">IF(AND(テーブル1[[#This Row],[描画状況]]="済",テーブル1[[#This Row],[投稿状況]]=""),RAND(),"")</f>
        <v/>
      </c>
      <c r="T203" s="23" t="str">
        <f>"|&amp;image("&amp;テーブル1[[#This Row],[画像]]&amp;".png,width=100,height=100)"</f>
        <v>|&amp;image(nayane-blue.png,width=100,height=100)</v>
      </c>
      <c r="U203" s="23" t="str">
        <f>"|MIDDLE:​"&amp;テーブル1[[#This Row],[名前]]</f>
        <v>|MIDDLE:​悩音Blue</v>
      </c>
      <c r="V203" s="23" t="str">
        <f>"|MIDDLE:​"&amp;テーブル1[[#This Row],[なまえ]]</f>
        <v>|MIDDLE:​なやね ぶるー</v>
      </c>
      <c r="W203" s="23" t="str">
        <f>"|MIDDLE:​"&amp;テーブル1[[#This Row],[Name]]</f>
        <v>|MIDDLE:​Nayane Blue</v>
      </c>
      <c r="X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4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1436</v>
      </c>
      <c r="D204" s="23" t="s">
        <v>1437</v>
      </c>
      <c r="E204" s="23" t="s">
        <v>1438</v>
      </c>
      <c r="F204" s="15" t="s">
        <v>1432</v>
      </c>
      <c r="G204" s="23" t="s">
        <v>1442</v>
      </c>
      <c r="N204" s="1" t="s">
        <v>1443</v>
      </c>
      <c r="O204" s="24" t="str">
        <f>テーブル1[[#This Row],[リンク]]&amp;テーブル1[[#This Row],[描画状況]]</f>
        <v>https://todosho1192.wixsite.com/my-site-3済</v>
      </c>
      <c r="P204" s="17">
        <f>1-(COUNTIF(O:O,_xlfn.TEXTJOIN(",",TRUE,テーブル1[[#This Row],[リンク]],テーブル1[[#This Row],[描画状況]]))/COUNTIF(F:F,テーブル1[[#This Row],[リンク]]))</f>
        <v>1</v>
      </c>
      <c r="Q204" s="16" t="str">
        <f ca="1">IFERROR(IF(テーブル1[[#This Row],[描画状況]]="",RAND()+(テーブル1[[#This Row],[列2]]*100),""),RAND())</f>
        <v/>
      </c>
      <c r="R204" s="1" t="s">
        <v>1193</v>
      </c>
      <c r="S204" s="24" t="str">
        <f ca="1">IF(AND(テーブル1[[#This Row],[描画状況]]="済",テーブル1[[#This Row],[投稿状況]]=""),RAND(),"")</f>
        <v/>
      </c>
      <c r="T204" s="23" t="str">
        <f>"|&amp;image("&amp;テーブル1[[#This Row],[画像]]&amp;".png,width=100,height=100)"</f>
        <v>|&amp;image(gu.png,width=100,height=100)</v>
      </c>
      <c r="U204" s="23" t="str">
        <f>"|MIDDLE:​"&amp;テーブル1[[#This Row],[名前]]</f>
        <v>|MIDDLE:​グウ</v>
      </c>
      <c r="V204" s="23" t="str">
        <f>"|MIDDLE:​"&amp;テーブル1[[#This Row],[なまえ]]</f>
        <v>|MIDDLE:​ぐう</v>
      </c>
      <c r="W204" s="23" t="str">
        <f>"|MIDDLE:​"&amp;テーブル1[[#This Row],[Name]]</f>
        <v>|MIDDLE:​Gu</v>
      </c>
      <c r="X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4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1493</v>
      </c>
      <c r="D205" s="23" t="s">
        <v>1495</v>
      </c>
      <c r="E205" s="23" t="s">
        <v>1494</v>
      </c>
      <c r="F205" s="2" t="s">
        <v>1496</v>
      </c>
      <c r="G205" s="23" t="s">
        <v>1497</v>
      </c>
      <c r="N205" s="1" t="s">
        <v>1443</v>
      </c>
      <c r="O205" s="24" t="str">
        <f>テーブル1[[#This Row],[リンク]]&amp;テーブル1[[#This Row],[描画状況]]</f>
        <v>https://twisibi.notion.site/1e947481a8ac80a59110fa6b43bf6319済</v>
      </c>
      <c r="P205" s="17">
        <f>1-(COUNTIF(O:O,_xlfn.TEXTJOIN(",",TRUE,テーブル1[[#This Row],[リンク]],テーブル1[[#This Row],[描画状況]]))/COUNTIF(F:F,テーブル1[[#This Row],[リンク]]))</f>
        <v>1</v>
      </c>
      <c r="Q205" s="16" t="str">
        <f ca="1">IFERROR(IF(テーブル1[[#This Row],[描画状況]]="",RAND()+(テーブル1[[#This Row],[列2]]*100),""),RAND())</f>
        <v/>
      </c>
      <c r="R205" s="1" t="s">
        <v>1193</v>
      </c>
      <c r="S205" s="24" t="str">
        <f ca="1">IF(AND(テーブル1[[#This Row],[描画状況]]="済",テーブル1[[#This Row],[投稿状況]]=""),RAND(),"")</f>
        <v/>
      </c>
      <c r="T205" s="23" t="str">
        <f>"|&amp;image("&amp;テーブル1[[#This Row],[画像]]&amp;".png,width=100,height=100)"</f>
        <v>|&amp;image(shin-min-hye.png,width=100,height=100)</v>
      </c>
      <c r="U205" s="23" t="str">
        <f>"|MIDDLE:​"&amp;テーブル1[[#This Row],[名前]]</f>
        <v>|MIDDLE:​申暋慧</v>
      </c>
      <c r="V205" s="23" t="str">
        <f>"|MIDDLE:​"&amp;テーブル1[[#This Row],[なまえ]]</f>
        <v>|MIDDLE:​しん みんへ</v>
      </c>
      <c r="W205" s="23" t="str">
        <f>"|MIDDLE:​"&amp;テーブル1[[#This Row],[Name]]</f>
        <v>|MIDDLE:​Shin Min Hye</v>
      </c>
      <c r="X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4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1439</v>
      </c>
      <c r="D206" s="23" t="s">
        <v>1430</v>
      </c>
      <c r="E206" s="23" t="s">
        <v>1431</v>
      </c>
      <c r="F206" s="15" t="s">
        <v>1432</v>
      </c>
      <c r="G206" s="23" t="s">
        <v>1440</v>
      </c>
      <c r="L206" s="23" t="s">
        <v>1687</v>
      </c>
      <c r="N206" s="1" t="s">
        <v>1443</v>
      </c>
      <c r="O206" s="24" t="str">
        <f>テーブル1[[#This Row],[リンク]]&amp;テーブル1[[#This Row],[描画状況]]</f>
        <v>https://todosho1192.wixsite.com/my-site-3済</v>
      </c>
      <c r="P206" s="17">
        <f>1-(COUNTIF(O:O,_xlfn.TEXTJOIN(",",TRUE,テーブル1[[#This Row],[リンク]],テーブル1[[#This Row],[描画状況]]))/COUNTIF(F:F,テーブル1[[#This Row],[リンク]]))</f>
        <v>1</v>
      </c>
      <c r="Q206" s="16" t="str">
        <f ca="1">IFERROR(IF(テーブル1[[#This Row],[描画状況]]="",RAND()+(テーブル1[[#This Row],[列2]]*100),""),RAND())</f>
        <v/>
      </c>
      <c r="R206" s="1" t="s">
        <v>1193</v>
      </c>
      <c r="S206" s="24" t="str">
        <f ca="1">IF(AND(テーブル1[[#This Row],[描画状況]]="済",テーブル1[[#This Row],[投稿状況]]=""),RAND(),"")</f>
        <v/>
      </c>
      <c r="T206" s="23" t="str">
        <f>"|&amp;image("&amp;テーブル1[[#This Row],[画像]]&amp;".png,width=100,height=100)"</f>
        <v>|&amp;image(gouon-roki.png,width=100,height=100)</v>
      </c>
      <c r="U206" s="23" t="str">
        <f>"|MIDDLE:​"&amp;テーブル1[[#This Row],[名前]]</f>
        <v>|MIDDLE:​轟音ロキ</v>
      </c>
      <c r="V206" s="23" t="str">
        <f>"|MIDDLE:​"&amp;テーブル1[[#This Row],[なまえ]]</f>
        <v>|MIDDLE:​ごうおん ろき</v>
      </c>
      <c r="W206" s="23" t="str">
        <f>"|MIDDLE:​"&amp;テーブル1[[#This Row],[Name]]</f>
        <v>|MIDDLE:​Gouon Roki</v>
      </c>
      <c r="X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4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1464</v>
      </c>
      <c r="D207" s="23" t="s">
        <v>1467</v>
      </c>
      <c r="E207" s="23" t="s">
        <v>1465</v>
      </c>
      <c r="F207" s="15" t="s">
        <v>1466</v>
      </c>
      <c r="G207" s="23" t="str">
        <f>テーブル1[[#This Row],[名前]]&amp;"(UTAU)"</f>
        <v>16号(UTAU)</v>
      </c>
      <c r="N207" s="1" t="s">
        <v>1443</v>
      </c>
      <c r="O207" s="24" t="str">
        <f>テーブル1[[#This Row],[リンク]]&amp;テーブル1[[#This Row],[描画状況]]</f>
        <v>https://sites.google.com/view/ronku99済</v>
      </c>
      <c r="P207" s="17">
        <f>1-(COUNTIF(O:O,_xlfn.TEXTJOIN(",",TRUE,テーブル1[[#This Row],[リンク]],テーブル1[[#This Row],[描画状況]]))/COUNTIF(F:F,テーブル1[[#This Row],[リンク]]))</f>
        <v>1</v>
      </c>
      <c r="Q207" s="16" t="str">
        <f ca="1">IFERROR(IF(テーブル1[[#This Row],[描画状況]]="",RAND()+(テーブル1[[#This Row],[列2]]*100),""),RAND())</f>
        <v/>
      </c>
      <c r="R207" s="1" t="s">
        <v>1193</v>
      </c>
      <c r="S207" s="24" t="str">
        <f ca="1">IF(AND(テーブル1[[#This Row],[描画状況]]="済",テーブル1[[#This Row],[投稿状況]]=""),RAND(),"")</f>
        <v/>
      </c>
      <c r="T207" s="23" t="str">
        <f>"|&amp;image("&amp;テーブル1[[#This Row],[画像]]&amp;".png,width=100,height=100)"</f>
        <v>|&amp;image(no-16.png,width=100,height=100)</v>
      </c>
      <c r="U207" s="23" t="str">
        <f>"|MIDDLE:​"&amp;テーブル1[[#This Row],[名前]]</f>
        <v>|MIDDLE:​16号</v>
      </c>
      <c r="V207" s="23" t="str">
        <f>"|MIDDLE:​"&amp;テーブル1[[#This Row],[なまえ]]</f>
        <v>|MIDDLE:​じゅうろくごう</v>
      </c>
      <c r="W207" s="23" t="str">
        <f>"|MIDDLE:​"&amp;テーブル1[[#This Row],[Name]]</f>
        <v>|MIDDLE:​No.16</v>
      </c>
      <c r="X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4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1460</v>
      </c>
      <c r="D208" s="23" t="s">
        <v>1461</v>
      </c>
      <c r="E208" s="23" t="s">
        <v>1462</v>
      </c>
      <c r="F208" s="15" t="s">
        <v>1463</v>
      </c>
      <c r="G208" s="23" t="str">
        <f>テーブル1[[#This Row],[名前]]&amp;"(UTAU)"</f>
        <v>シズルう(UTAU)</v>
      </c>
      <c r="N208" s="1" t="s">
        <v>1443</v>
      </c>
      <c r="O208" s="24" t="str">
        <f>テーブル1[[#This Row],[リンク]]&amp;テーブル1[[#This Row],[描画状況]]</f>
        <v>https://utau.fandom.com/wiki/Shizuruu済</v>
      </c>
      <c r="P208" s="17">
        <f>1-(COUNTIF(O:O,_xlfn.TEXTJOIN(",",TRUE,テーブル1[[#This Row],[リンク]],テーブル1[[#This Row],[描画状況]]))/COUNTIF(F:F,テーブル1[[#This Row],[リンク]]))</f>
        <v>1</v>
      </c>
      <c r="Q208" s="16" t="str">
        <f ca="1">IFERROR(IF(テーブル1[[#This Row],[描画状況]]="",RAND()+(テーブル1[[#This Row],[列2]]*100),""),RAND())</f>
        <v/>
      </c>
      <c r="R208" s="1" t="s">
        <v>1193</v>
      </c>
      <c r="S208" s="24" t="str">
        <f ca="1">IF(AND(テーブル1[[#This Row],[描画状況]]="済",テーブル1[[#This Row],[投稿状況]]=""),RAND(),"")</f>
        <v/>
      </c>
      <c r="T208" s="23" t="str">
        <f>"|&amp;image("&amp;テーブル1[[#This Row],[画像]]&amp;".png,width=100,height=100)"</f>
        <v>|&amp;image(shizuruu.png,width=100,height=100)</v>
      </c>
      <c r="U208" s="23" t="str">
        <f>"|MIDDLE:​"&amp;テーブル1[[#This Row],[名前]]</f>
        <v>|MIDDLE:​シズルう</v>
      </c>
      <c r="V208" s="23" t="str">
        <f>"|MIDDLE:​"&amp;テーブル1[[#This Row],[なまえ]]</f>
        <v>|MIDDLE:​しずるう</v>
      </c>
      <c r="W208" s="23" t="str">
        <f>"|MIDDLE:​"&amp;テーブル1[[#This Row],[Name]]</f>
        <v>|MIDDLE:​Shizuruu</v>
      </c>
      <c r="X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4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446</v>
      </c>
      <c r="D209" s="23" t="s">
        <v>447</v>
      </c>
      <c r="E209" s="23" t="s">
        <v>448</v>
      </c>
      <c r="F209" s="2" t="s">
        <v>54</v>
      </c>
      <c r="G209" s="23" t="s">
        <v>55</v>
      </c>
      <c r="M209" s="1" t="s">
        <v>1518</v>
      </c>
      <c r="N209" s="1" t="s">
        <v>1443</v>
      </c>
      <c r="O209" s="24" t="str">
        <f>テーブル1[[#This Row],[リンク]]&amp;テーブル1[[#This Row],[描画状況]]</f>
        <v>https://bellsworks.wixsite.com/bellsworks済</v>
      </c>
      <c r="P209" s="17">
        <f>1-(COUNTIF(O:O,_xlfn.TEXTJOIN(",",TRUE,テーブル1[[#This Row],[リンク]],テーブル1[[#This Row],[描画状況]]))/COUNTIF(F:F,テーブル1[[#This Row],[リンク]]))</f>
        <v>1</v>
      </c>
      <c r="Q209" s="16" t="str">
        <f ca="1">IFERROR(IF(テーブル1[[#This Row],[描画状況]]="",RAND()+(テーブル1[[#This Row],[列2]]*100),""),RAND())</f>
        <v/>
      </c>
      <c r="R209" s="1" t="s">
        <v>1193</v>
      </c>
      <c r="S209" s="24" t="str">
        <f ca="1">IF(AND(テーブル1[[#This Row],[描画状況]]="済",テーブル1[[#This Row],[投稿状況]]=""),RAND(),"")</f>
        <v/>
      </c>
      <c r="T209" s="23" t="str">
        <f>"|&amp;image("&amp;テーブル1[[#This Row],[画像]]&amp;".png,width=100,height=100)"</f>
        <v>|&amp;image(kotone-koto.png,width=100,height=100)</v>
      </c>
      <c r="U209" s="23" t="str">
        <f>"|MIDDLE:​"&amp;テーブル1[[#This Row],[名前]]</f>
        <v>|MIDDLE:​琴音コト</v>
      </c>
      <c r="V209" s="23" t="str">
        <f>"|MIDDLE:​"&amp;テーブル1[[#This Row],[なまえ]]</f>
        <v>|MIDDLE:​ことね こと</v>
      </c>
      <c r="W209" s="23" t="str">
        <f>"|MIDDLE:​"&amp;テーブル1[[#This Row],[Name]]</f>
        <v>|MIDDLE:​Kotone Koto</v>
      </c>
      <c r="X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4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1473</v>
      </c>
      <c r="D210" s="23" t="s">
        <v>1475</v>
      </c>
      <c r="E210" s="23" t="s">
        <v>1474</v>
      </c>
      <c r="F210" s="15" t="s">
        <v>1466</v>
      </c>
      <c r="G210" s="23" t="str">
        <f>テーブル1[[#This Row],[名前]]&amp;"(UTAU)"</f>
        <v>ろんく1号(UTAU)</v>
      </c>
      <c r="N210" s="1" t="s">
        <v>1443</v>
      </c>
      <c r="O210" s="24" t="str">
        <f>テーブル1[[#This Row],[リンク]]&amp;テーブル1[[#This Row],[描画状況]]</f>
        <v>https://sites.google.com/view/ronku99済</v>
      </c>
      <c r="P210" s="17">
        <f>1-(COUNTIF(O:O,_xlfn.TEXTJOIN(",",TRUE,テーブル1[[#This Row],[リンク]],テーブル1[[#This Row],[描画状況]]))/COUNTIF(F:F,テーブル1[[#This Row],[リンク]]))</f>
        <v>1</v>
      </c>
      <c r="Q210" s="16" t="str">
        <f ca="1">IFERROR(IF(テーブル1[[#This Row],[描画状況]]="",RAND()+(テーブル1[[#This Row],[列2]]*100),""),RAND())</f>
        <v/>
      </c>
      <c r="R210" s="1" t="s">
        <v>1193</v>
      </c>
      <c r="S210" s="24" t="str">
        <f ca="1">IF(AND(テーブル1[[#This Row],[描画状況]]="済",テーブル1[[#This Row],[投稿状況]]=""),RAND(),"")</f>
        <v/>
      </c>
      <c r="T210" s="23" t="str">
        <f>"|&amp;image("&amp;テーブル1[[#This Row],[画像]]&amp;".png,width=100,height=100)"</f>
        <v>|&amp;image(ronku-no-1.png,width=100,height=100)</v>
      </c>
      <c r="U210" s="23" t="str">
        <f>"|MIDDLE:​"&amp;テーブル1[[#This Row],[名前]]</f>
        <v>|MIDDLE:​ろんく1号</v>
      </c>
      <c r="V210" s="23" t="str">
        <f>"|MIDDLE:​"&amp;テーブル1[[#This Row],[なまえ]]</f>
        <v>|MIDDLE:​ろんく いちごう</v>
      </c>
      <c r="W210" s="23" t="str">
        <f>"|MIDDLE:​"&amp;テーブル1[[#This Row],[Name]]</f>
        <v>|MIDDLE:​Ronku No.1</v>
      </c>
      <c r="X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4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1521</v>
      </c>
      <c r="D211" s="23" t="s">
        <v>1520</v>
      </c>
      <c r="E211" s="23" t="s">
        <v>1522</v>
      </c>
      <c r="F211" s="26" t="s">
        <v>1531</v>
      </c>
      <c r="G211" s="23" t="s">
        <v>1523</v>
      </c>
      <c r="M211" s="1" t="s">
        <v>1517</v>
      </c>
      <c r="N211" s="1" t="s">
        <v>1443</v>
      </c>
      <c r="O211" s="24" t="str">
        <f>テーブル1[[#This Row],[リンク]]&amp;テーブル1[[#This Row],[描画状況]]</f>
        <v>https://cgamy40.wixsite.com/tsuraiuroyoi済</v>
      </c>
      <c r="P211" s="17">
        <f>1-(COUNTIF(O:O,_xlfn.TEXTJOIN(",",TRUE,テーブル1[[#This Row],[リンク]],テーブル1[[#This Row],[描画状況]]))/COUNTIF(F:F,テーブル1[[#This Row],[リンク]]))</f>
        <v>1</v>
      </c>
      <c r="Q211" s="16" t="str">
        <f ca="1">IFERROR(IF(テーブル1[[#This Row],[描画状況]]="",RAND()+(テーブル1[[#This Row],[列2]]*100),""),RAND())</f>
        <v/>
      </c>
      <c r="R211" s="1" t="s">
        <v>1193</v>
      </c>
      <c r="S211" s="24" t="str">
        <f ca="1">IF(AND(テーブル1[[#This Row],[描画状況]]="済",テーブル1[[#This Row],[投稿状況]]=""),RAND(),"")</f>
        <v/>
      </c>
      <c r="T211" s="23" t="str">
        <f>"|&amp;image("&amp;テーブル1[[#This Row],[画像]]&amp;".png,width=100,height=100)"</f>
        <v>|&amp;image(orokameshi.png,width=100,height=100)</v>
      </c>
      <c r="U211" s="23" t="str">
        <f>"|MIDDLE:​"&amp;テーブル1[[#This Row],[名前]]</f>
        <v>|MIDDLE:​おろかめし</v>
      </c>
      <c r="V211" s="23" t="str">
        <f>"|MIDDLE:​"&amp;テーブル1[[#This Row],[なまえ]]</f>
        <v>|MIDDLE:​おろかめし</v>
      </c>
      <c r="W211" s="23" t="str">
        <f>"|MIDDLE:​"&amp;テーブル1[[#This Row],[Name]]</f>
        <v>|MIDDLE:​Orokameshi</v>
      </c>
      <c r="X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4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1760</v>
      </c>
      <c r="D212" s="23" t="s">
        <v>1525</v>
      </c>
      <c r="E212" s="23" t="s">
        <v>1526</v>
      </c>
      <c r="F212" s="15" t="s">
        <v>1527</v>
      </c>
      <c r="G212" s="23" t="s">
        <v>1530</v>
      </c>
      <c r="H212" s="23" t="s">
        <v>1627</v>
      </c>
      <c r="I212" s="23" t="s">
        <v>1636</v>
      </c>
      <c r="K212" s="23" t="s">
        <v>1694</v>
      </c>
      <c r="M212" s="1" t="s">
        <v>1518</v>
      </c>
      <c r="N212" s="1" t="s">
        <v>1443</v>
      </c>
      <c r="O212" s="24" t="str">
        <f>テーブル1[[#This Row],[リンク]]&amp;テーブル1[[#This Row],[描画状況]]</f>
        <v>https://mackerel178.wixsite.com/yuusensuizokukan済</v>
      </c>
      <c r="P212" s="17">
        <f>1-(COUNTIF(O:O,_xlfn.TEXTJOIN(",",TRUE,テーブル1[[#This Row],[リンク]],テーブル1[[#This Row],[描画状況]]))/COUNTIF(F:F,テーブル1[[#This Row],[リンク]]))</f>
        <v>1</v>
      </c>
      <c r="Q212" s="16" t="str">
        <f ca="1">IFERROR(IF(テーブル1[[#This Row],[描画状況]]="",RAND()+(テーブル1[[#This Row],[列2]]*100),""),RAND())</f>
        <v/>
      </c>
      <c r="R212" s="1" t="s">
        <v>1193</v>
      </c>
      <c r="S212" s="24" t="str">
        <f ca="1">IF(AND(テーブル1[[#This Row],[描画状況]]="済",テーブル1[[#This Row],[投稿状況]]=""),RAND(),"")</f>
        <v/>
      </c>
      <c r="T212" s="23" t="str">
        <f>"|&amp;image("&amp;テーブル1[[#This Row],[画像]]&amp;".png,width=100,height=100)"</f>
        <v>|&amp;image(t-kun.png,width=100,height=100)</v>
      </c>
      <c r="U212" s="23" t="str">
        <f>"|MIDDLE:​"&amp;テーブル1[[#This Row],[名前]]</f>
        <v>|MIDDLE:​Tくん</v>
      </c>
      <c r="V212" s="23" t="str">
        <f>"|MIDDLE:​"&amp;テーブル1[[#This Row],[なまえ]]</f>
        <v>|MIDDLE:​てぃーくん</v>
      </c>
      <c r="W212" s="23" t="str">
        <f>"|MIDDLE:​"&amp;テーブル1[[#This Row],[Name]]</f>
        <v>|MIDDLE:​T kun</v>
      </c>
      <c r="X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4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1528</v>
      </c>
      <c r="E213" s="23" t="s">
        <v>1529</v>
      </c>
      <c r="F213" s="15" t="s">
        <v>1527</v>
      </c>
      <c r="G213" s="23" t="s">
        <v>1530</v>
      </c>
      <c r="H213" s="23" t="s">
        <v>1663</v>
      </c>
      <c r="I213" s="23" t="s">
        <v>1761</v>
      </c>
      <c r="K213" s="23" t="s">
        <v>1729</v>
      </c>
      <c r="L213" s="23" t="s">
        <v>1759</v>
      </c>
      <c r="M213" s="1" t="s">
        <v>1518</v>
      </c>
      <c r="N213" s="1" t="s">
        <v>1443</v>
      </c>
      <c r="O213" s="24" t="str">
        <f>テーブル1[[#This Row],[リンク]]&amp;テーブル1[[#This Row],[描画状況]]</f>
        <v>https://mackerel178.wixsite.com/yuusensuizokukan済</v>
      </c>
      <c r="P213" s="17">
        <f>1-(COUNTIF(O:O,_xlfn.TEXTJOIN(",",TRUE,テーブル1[[#This Row],[リンク]],テーブル1[[#This Row],[描画状況]]))/COUNTIF(F:F,テーブル1[[#This Row],[リンク]]))</f>
        <v>1</v>
      </c>
      <c r="Q213" s="16" t="str">
        <f ca="1">IFERROR(IF(テーブル1[[#This Row],[描画状況]]="",RAND()+(テーブル1[[#This Row],[列2]]*100),""),RAND())</f>
        <v/>
      </c>
      <c r="R213" s="1" t="s">
        <v>1193</v>
      </c>
      <c r="S213" s="24" t="str">
        <f ca="1">IF(AND(テーブル1[[#This Row],[描画状況]]="済",テーブル1[[#This Row],[投稿状況]]=""),RAND(),"")</f>
        <v/>
      </c>
      <c r="T213" s="23" t="str">
        <f>"|&amp;image("&amp;テーブル1[[#This Row],[画像]]&amp;".png,width=100,height=100)"</f>
        <v>|&amp;image(sairo.png,width=100,height=100)</v>
      </c>
      <c r="U213" s="23" t="str">
        <f>"|MIDDLE:​"&amp;テーブル1[[#This Row],[名前]]</f>
        <v>|MIDDLE:​316</v>
      </c>
      <c r="V213" s="23" t="str">
        <f>"|MIDDLE:​"&amp;テーブル1[[#This Row],[なまえ]]</f>
        <v>|MIDDLE:​さいろ</v>
      </c>
      <c r="W213" s="23" t="str">
        <f>"|MIDDLE:​"&amp;テーブル1[[#This Row],[Name]]</f>
        <v>|MIDDLE:​Sairo</v>
      </c>
      <c r="X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4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1532</v>
      </c>
      <c r="D214" s="23" t="s">
        <v>1533</v>
      </c>
      <c r="E214" s="23" t="s">
        <v>1534</v>
      </c>
      <c r="F214" s="15" t="s">
        <v>1536</v>
      </c>
      <c r="G214" s="23" t="s">
        <v>1535</v>
      </c>
      <c r="M214" s="1" t="s">
        <v>1517</v>
      </c>
      <c r="N214" s="1" t="s">
        <v>1443</v>
      </c>
      <c r="O214" s="24" t="str">
        <f>テーブル1[[#This Row],[リンク]]&amp;テーブル1[[#This Row],[描画状況]]</f>
        <v>https://komagatabone.fc2.page済</v>
      </c>
      <c r="P214" s="17">
        <f>1-(COUNTIF(O:O,_xlfn.TEXTJOIN(",",TRUE,テーブル1[[#This Row],[リンク]],テーブル1[[#This Row],[描画状況]]))/COUNTIF(F:F,テーブル1[[#This Row],[リンク]]))</f>
        <v>1</v>
      </c>
      <c r="Q214" s="16" t="str">
        <f ca="1">IFERROR(IF(テーブル1[[#This Row],[描画状況]]="",RAND()+(テーブル1[[#This Row],[列2]]*100),""),RAND())</f>
        <v/>
      </c>
      <c r="R214" s="1" t="s">
        <v>1193</v>
      </c>
      <c r="S214" s="24" t="str">
        <f ca="1">IF(AND(テーブル1[[#This Row],[描画状況]]="済",テーブル1[[#This Row],[投稿状況]]=""),RAND(),"")</f>
        <v/>
      </c>
      <c r="T214" s="23" t="str">
        <f>"|&amp;image("&amp;テーブル1[[#This Row],[画像]]&amp;".png,width=100,height=100)"</f>
        <v>|&amp;image(fukami-marine.png,width=100,height=100)</v>
      </c>
      <c r="U214" s="23" t="str">
        <f>"|MIDDLE:​"&amp;テーブル1[[#This Row],[名前]]</f>
        <v>|MIDDLE:​深海マリン</v>
      </c>
      <c r="V214" s="23" t="str">
        <f>"|MIDDLE:​"&amp;テーブル1[[#This Row],[なまえ]]</f>
        <v>|MIDDLE:​ふかみ まりん</v>
      </c>
      <c r="W214" s="23" t="str">
        <f>"|MIDDLE:​"&amp;テーブル1[[#This Row],[Name]]</f>
        <v>|MIDDLE:​Fukami Marine</v>
      </c>
      <c r="X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4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1538</v>
      </c>
      <c r="D215" s="23" t="s">
        <v>1547</v>
      </c>
      <c r="E215" s="23" t="s">
        <v>1539</v>
      </c>
      <c r="F215" s="15" t="s">
        <v>1610</v>
      </c>
      <c r="G215" s="23" t="s">
        <v>1540</v>
      </c>
      <c r="M215" s="1" t="s">
        <v>1517</v>
      </c>
      <c r="N215" s="1" t="s">
        <v>1443</v>
      </c>
      <c r="O215" s="24" t="str">
        <f>テーブル1[[#This Row],[リンク]]&amp;テーブル1[[#This Row],[描画状況]]</f>
        <v>https://bowlroll.net/user/946776済</v>
      </c>
      <c r="P215" s="17">
        <f>1-(COUNTIF(O:O,_xlfn.TEXTJOIN(",",TRUE,テーブル1[[#This Row],[リンク]],テーブル1[[#This Row],[描画状況]]))/COUNTIF(F:F,テーブル1[[#This Row],[リンク]]))</f>
        <v>1</v>
      </c>
      <c r="Q215" s="16" t="str">
        <f ca="1">IFERROR(IF(テーブル1[[#This Row],[描画状況]]="",RAND()+(テーブル1[[#This Row],[列2]]*100),""),RAND())</f>
        <v/>
      </c>
      <c r="R215" s="1" t="s">
        <v>1193</v>
      </c>
      <c r="S215" s="24" t="str">
        <f ca="1">IF(AND(テーブル1[[#This Row],[描画状況]]="済",テーブル1[[#This Row],[投稿状況]]=""),RAND(),"")</f>
        <v/>
      </c>
      <c r="T215" s="23" t="str">
        <f>"|&amp;image("&amp;テーブル1[[#This Row],[画像]]&amp;".png,width=100,height=100)"</f>
        <v>|&amp;image(colorful-sugar-sprinkle.png,width=100,height=100)</v>
      </c>
      <c r="U215" s="23" t="str">
        <f>"|MIDDLE:​"&amp;テーブル1[[#This Row],[名前]]</f>
        <v>|MIDDLE:​カラフル・シュガースプリンクル</v>
      </c>
      <c r="V215" s="23" t="str">
        <f>"|MIDDLE:​"&amp;テーブル1[[#This Row],[なまえ]]</f>
        <v>|MIDDLE:​からふる しゅがーすぷりんくる</v>
      </c>
      <c r="W215" s="23" t="str">
        <f>"|MIDDLE:​"&amp;テーブル1[[#This Row],[Name]]</f>
        <v>|MIDDLE:​Colorful Sugar Sprinkle</v>
      </c>
      <c r="X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4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537</v>
      </c>
      <c r="D216" s="23" t="s">
        <v>538</v>
      </c>
      <c r="E216" s="23" t="s">
        <v>539</v>
      </c>
      <c r="F216" s="2" t="s">
        <v>540</v>
      </c>
      <c r="G216" s="23" t="s">
        <v>71</v>
      </c>
      <c r="H216" s="23" t="s">
        <v>1627</v>
      </c>
      <c r="I216" s="23" t="s">
        <v>1649</v>
      </c>
      <c r="K216" s="23" t="s">
        <v>1637</v>
      </c>
      <c r="L216" s="23" t="s">
        <v>1714</v>
      </c>
      <c r="M216" s="1" t="s">
        <v>1517</v>
      </c>
      <c r="N216" s="1" t="s">
        <v>1443</v>
      </c>
      <c r="O216" s="24" t="str">
        <f>テーブル1[[#This Row],[リンク]]&amp;テーブル1[[#This Row],[描画状況]]</f>
        <v>https://bowlroll.net/user/980255済</v>
      </c>
      <c r="P216" s="17">
        <f>1-(COUNTIF(O:O,_xlfn.TEXTJOIN(",",TRUE,テーブル1[[#This Row],[リンク]],テーブル1[[#This Row],[描画状況]]))/COUNTIF(F:F,テーブル1[[#This Row],[リンク]]))</f>
        <v>1</v>
      </c>
      <c r="Q216" s="16" t="str">
        <f ca="1">IFERROR(IF(テーブル1[[#This Row],[描画状況]]="",RAND()+(テーブル1[[#This Row],[列2]]*100),""),RAND())</f>
        <v/>
      </c>
      <c r="R216" s="1" t="s">
        <v>1193</v>
      </c>
      <c r="S216" s="24" t="str">
        <f ca="1">IF(AND(テーブル1[[#This Row],[描画状況]]="済",テーブル1[[#This Row],[投稿状況]]=""),RAND(),"")</f>
        <v/>
      </c>
      <c r="T216" s="23" t="str">
        <f>"|&amp;image("&amp;テーブル1[[#This Row],[画像]]&amp;".png,width=100,height=100)"</f>
        <v>|&amp;image(kyakuyose-riley.png,width=100,height=100)</v>
      </c>
      <c r="U216" s="23" t="str">
        <f>"|MIDDLE:​"&amp;テーブル1[[#This Row],[名前]]</f>
        <v>|MIDDLE:​客寄せRiley</v>
      </c>
      <c r="V216" s="23" t="str">
        <f>"|MIDDLE:​"&amp;テーブル1[[#This Row],[なまえ]]</f>
        <v>|MIDDLE:​きゃくよせ らいりー</v>
      </c>
      <c r="W216" s="23" t="str">
        <f>"|MIDDLE:​"&amp;テーブル1[[#This Row],[Name]]</f>
        <v>|MIDDLE:​Kyakuyose Riley</v>
      </c>
      <c r="X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4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1541</v>
      </c>
      <c r="D217" s="23" t="s">
        <v>1542</v>
      </c>
      <c r="E217" s="23" t="s">
        <v>1543</v>
      </c>
      <c r="F217" s="15" t="s">
        <v>1544</v>
      </c>
      <c r="G217" s="23" t="s">
        <v>1545</v>
      </c>
      <c r="M217" s="1" t="s">
        <v>1517</v>
      </c>
      <c r="N217" s="1" t="s">
        <v>1443</v>
      </c>
      <c r="O217" s="24" t="str">
        <f>テーブル1[[#This Row],[リンク]]&amp;テーブル1[[#This Row],[描画状況]]</f>
        <v>https://piku.page/@toitoitoi23済</v>
      </c>
      <c r="P217" s="17">
        <f>1-(COUNTIF(O:O,_xlfn.TEXTJOIN(",",TRUE,テーブル1[[#This Row],[リンク]],テーブル1[[#This Row],[描画状況]]))/COUNTIF(F:F,テーブル1[[#This Row],[リンク]]))</f>
        <v>1</v>
      </c>
      <c r="Q217" s="16" t="str">
        <f ca="1">IFERROR(IF(テーブル1[[#This Row],[描画状況]]="",RAND()+(テーブル1[[#This Row],[列2]]*100),""),RAND())</f>
        <v/>
      </c>
      <c r="R217" s="1" t="s">
        <v>1193</v>
      </c>
      <c r="S217" s="24" t="str">
        <f ca="1">IF(AND(テーブル1[[#This Row],[描画状況]]="済",テーブル1[[#This Row],[投稿状況]]=""),RAND(),"")</f>
        <v/>
      </c>
      <c r="T217" s="23" t="str">
        <f>"|&amp;image("&amp;テーブル1[[#This Row],[画像]]&amp;".png,width=100,height=100)"</f>
        <v>|&amp;image(nekonari.png,width=100,height=100)</v>
      </c>
      <c r="U217" s="23" t="str">
        <f>"|MIDDLE:​"&amp;テーブル1[[#This Row],[名前]]</f>
        <v>|MIDDLE:​ネコナリ</v>
      </c>
      <c r="V217" s="23" t="str">
        <f>"|MIDDLE:​"&amp;テーブル1[[#This Row],[なまえ]]</f>
        <v>|MIDDLE:​ねこなり</v>
      </c>
      <c r="W217" s="23" t="str">
        <f>"|MIDDLE:​"&amp;テーブル1[[#This Row],[Name]]</f>
        <v>|MIDDLE:​Nekonari</v>
      </c>
      <c r="X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4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1546</v>
      </c>
      <c r="D218" s="23" t="s">
        <v>1548</v>
      </c>
      <c r="E218" s="23" t="s">
        <v>1549</v>
      </c>
      <c r="F218" s="15" t="s">
        <v>292</v>
      </c>
      <c r="G218" s="23" t="s">
        <v>293</v>
      </c>
      <c r="H218" s="23" t="s">
        <v>1627</v>
      </c>
      <c r="I218" s="23" t="s">
        <v>1636</v>
      </c>
      <c r="J218" s="23" t="s">
        <v>1634</v>
      </c>
      <c r="K218" s="23" t="s">
        <v>1637</v>
      </c>
      <c r="L218" s="23" t="s">
        <v>1677</v>
      </c>
      <c r="M218" s="1" t="s">
        <v>1517</v>
      </c>
      <c r="N218" s="1" t="s">
        <v>1443</v>
      </c>
      <c r="O218" s="24" t="str">
        <f>テーブル1[[#This Row],[リンク]]&amp;テーブル1[[#This Row],[描画状況]]</f>
        <v>https://seirentoybox.jimdofree.com済</v>
      </c>
      <c r="P218" s="17">
        <f>1-(COUNTIF(O:O,_xlfn.TEXTJOIN(",",TRUE,テーブル1[[#This Row],[リンク]],テーブル1[[#This Row],[描画状況]]))/COUNTIF(F:F,テーブル1[[#This Row],[リンク]]))</f>
        <v>1</v>
      </c>
      <c r="Q218" s="16" t="str">
        <f ca="1">IFERROR(IF(テーブル1[[#This Row],[描画状況]]="",RAND()+(テーブル1[[#This Row],[列2]]*100),""),RAND())</f>
        <v/>
      </c>
      <c r="R218" s="1" t="s">
        <v>1193</v>
      </c>
      <c r="S218" s="24" t="str">
        <f ca="1">IF(AND(テーブル1[[#This Row],[描画状況]]="済",テーブル1[[#This Row],[投稿状況]]=""),RAND(),"")</f>
        <v/>
      </c>
      <c r="T218" s="23" t="str">
        <f>"|&amp;image("&amp;テーブル1[[#This Row],[画像]]&amp;".png,width=100,height=100)"</f>
        <v>|&amp;image(meganeko-mikketa.png,width=100,height=100)</v>
      </c>
      <c r="U218" s="23" t="str">
        <f>"|MIDDLE:​"&amp;テーブル1[[#This Row],[名前]]</f>
        <v>|MIDDLE:​メガネコ・ミッケタ</v>
      </c>
      <c r="V218" s="23" t="str">
        <f>"|MIDDLE:​"&amp;テーブル1[[#This Row],[なまえ]]</f>
        <v>|MIDDLE:​めがねこ みっけた</v>
      </c>
      <c r="W218" s="23" t="str">
        <f>"|MIDDLE:​"&amp;テーブル1[[#This Row],[Name]]</f>
        <v>|MIDDLE:​Meganeko Mikketa</v>
      </c>
      <c r="X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4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1564</v>
      </c>
      <c r="D219" s="23" t="s">
        <v>1566</v>
      </c>
      <c r="E219" s="23" t="s">
        <v>1565</v>
      </c>
      <c r="F219" s="2" t="s">
        <v>215</v>
      </c>
      <c r="G219" s="23" t="s">
        <v>216</v>
      </c>
      <c r="M219" s="1" t="s">
        <v>1517</v>
      </c>
      <c r="N219" s="1" t="s">
        <v>1443</v>
      </c>
      <c r="O219" s="24" t="str">
        <f>テーブル1[[#This Row],[リンク]]&amp;テーブル1[[#This Row],[描画状況]]</f>
        <v>https://mitoristu.wixsite.com/kousaibako済</v>
      </c>
      <c r="P219" s="17">
        <f>1-(COUNTIF(O:O,_xlfn.TEXTJOIN(",",TRUE,テーブル1[[#This Row],[リンク]],テーブル1[[#This Row],[描画状況]]))/COUNTIF(F:F,テーブル1[[#This Row],[リンク]]))</f>
        <v>1</v>
      </c>
      <c r="Q219" s="16" t="str">
        <f ca="1">IFERROR(IF(テーブル1[[#This Row],[描画状況]]="",RAND()+(テーブル1[[#This Row],[列2]]*100),""),RAND())</f>
        <v/>
      </c>
      <c r="R219" s="1" t="s">
        <v>1193</v>
      </c>
      <c r="S219" s="24" t="str">
        <f ca="1">IF(AND(テーブル1[[#This Row],[描画状況]]="済",テーブル1[[#This Row],[投稿状況]]=""),RAND(),"")</f>
        <v/>
      </c>
      <c r="T219" s="23" t="str">
        <f>"|&amp;image("&amp;テーブル1[[#This Row],[画像]]&amp;".png,width=100,height=100)"</f>
        <v>|&amp;image(aster-flores.png,width=100,height=100)</v>
      </c>
      <c r="U219" s="23" t="str">
        <f>"|MIDDLE:​"&amp;テーブル1[[#This Row],[名前]]</f>
        <v>|MIDDLE:​アスター・フローレス</v>
      </c>
      <c r="V219" s="23" t="str">
        <f>"|MIDDLE:​"&amp;テーブル1[[#This Row],[なまえ]]</f>
        <v>|MIDDLE:​あすたー ふろーれす</v>
      </c>
      <c r="W219" s="23" t="str">
        <f>"|MIDDLE:​"&amp;テーブル1[[#This Row],[Name]]</f>
        <v>|MIDDLE:​Aster・Flores</v>
      </c>
      <c r="X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4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1575</v>
      </c>
      <c r="D220" s="23" t="s">
        <v>1578</v>
      </c>
      <c r="E220" s="23" t="s">
        <v>1579</v>
      </c>
      <c r="F220" s="15" t="s">
        <v>1537</v>
      </c>
      <c r="G220" s="23" t="s">
        <v>414</v>
      </c>
      <c r="H220" s="23" t="s">
        <v>1626</v>
      </c>
      <c r="I220" s="23" t="s">
        <v>1649</v>
      </c>
      <c r="K220" s="23" t="s">
        <v>1701</v>
      </c>
      <c r="M220" s="1" t="s">
        <v>1517</v>
      </c>
      <c r="N220" s="1" t="s">
        <v>1443</v>
      </c>
      <c r="O220" s="24" t="str">
        <f>テーブル1[[#This Row],[リンク]]&amp;テーブル1[[#This Row],[描画状況]]</f>
        <v>https://vividseekers.utau.sorairomarch.com済</v>
      </c>
      <c r="P220" s="17">
        <f>1-(COUNTIF(O:O,_xlfn.TEXTJOIN(",",TRUE,テーブル1[[#This Row],[リンク]],テーブル1[[#This Row],[描画状況]]))/COUNTIF(F:F,テーブル1[[#This Row],[リンク]]))</f>
        <v>1</v>
      </c>
      <c r="Q220" s="16" t="str">
        <f ca="1">IFERROR(IF(テーブル1[[#This Row],[描画状況]]="",RAND()+(テーブル1[[#This Row],[列2]]*100),""),RAND())</f>
        <v/>
      </c>
      <c r="R220" s="1" t="s">
        <v>1193</v>
      </c>
      <c r="S220" s="24" t="str">
        <f ca="1">IF(AND(テーブル1[[#This Row],[描画状況]]="済",テーブル1[[#This Row],[投稿状況]]=""),RAND(),"")</f>
        <v/>
      </c>
      <c r="T220" s="23" t="str">
        <f>"|&amp;image("&amp;テーブル1[[#This Row],[画像]]&amp;".png,width=100,height=100)"</f>
        <v>|&amp;image(yoizuki-mikumo.png,width=100,height=100)</v>
      </c>
      <c r="U220" s="23" t="str">
        <f>"|MIDDLE:​"&amp;テーブル1[[#This Row],[名前]]</f>
        <v>|MIDDLE:​宵月未雲</v>
      </c>
      <c r="V220" s="23" t="str">
        <f>"|MIDDLE:​"&amp;テーブル1[[#This Row],[なまえ]]</f>
        <v>|MIDDLE:​よいづき みくも</v>
      </c>
      <c r="W220" s="23" t="str">
        <f>"|MIDDLE:​"&amp;テーブル1[[#This Row],[Name]]</f>
        <v>|MIDDLE:​Yoizuki Mikumo</v>
      </c>
      <c r="X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4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1584</v>
      </c>
      <c r="D221" s="23" t="s">
        <v>1585</v>
      </c>
      <c r="E221" s="23" t="s">
        <v>1586</v>
      </c>
      <c r="F221" s="15" t="s">
        <v>1587</v>
      </c>
      <c r="G221" s="23" t="s">
        <v>1588</v>
      </c>
      <c r="M221" s="1" t="s">
        <v>1589</v>
      </c>
      <c r="N221" s="1" t="s">
        <v>1443</v>
      </c>
      <c r="O221" s="24" t="str">
        <f>テーブル1[[#This Row],[リンク]]&amp;テーブル1[[#This Row],[描画状況]]</f>
        <v>https://magnawitch.wixsite.com/seong-ah済</v>
      </c>
      <c r="P221" s="17">
        <f>1-(COUNTIF(O:O,_xlfn.TEXTJOIN(",",TRUE,テーブル1[[#This Row],[リンク]],テーブル1[[#This Row],[描画状況]]))/COUNTIF(F:F,テーブル1[[#This Row],[リンク]]))</f>
        <v>1</v>
      </c>
      <c r="Q221" s="16" t="str">
        <f ca="1">IFERROR(IF(テーブル1[[#This Row],[描画状況]]="",RAND()+(テーブル1[[#This Row],[列2]]*100),""),RAND())</f>
        <v/>
      </c>
      <c r="R221" s="1" t="s">
        <v>1193</v>
      </c>
      <c r="S221" s="24" t="str">
        <f ca="1">IF(AND(テーブル1[[#This Row],[描画状況]]="済",テーブル1[[#This Row],[投稿状況]]=""),RAND(),"")</f>
        <v/>
      </c>
      <c r="T221" s="23" t="str">
        <f>"|&amp;image("&amp;テーブル1[[#This Row],[画像]]&amp;".png,width=100,height=100)"</f>
        <v>|&amp;image(kang-unshim.png,width=100,height=100)</v>
      </c>
      <c r="U221" s="23" t="str">
        <f>"|MIDDLE:​"&amp;テーブル1[[#This Row],[名前]]</f>
        <v>|MIDDLE:​姜運心</v>
      </c>
      <c r="V221" s="23" t="str">
        <f>"|MIDDLE:​"&amp;テーブル1[[#This Row],[なまえ]]</f>
        <v>|MIDDLE:​かん うんしむ</v>
      </c>
      <c r="W221" s="23" t="str">
        <f>"|MIDDLE:​"&amp;テーブル1[[#This Row],[Name]]</f>
        <v>|MIDDLE:​Kang Unshim</v>
      </c>
      <c r="X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4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1590</v>
      </c>
      <c r="D222" s="23" t="s">
        <v>1591</v>
      </c>
      <c r="E222" s="23" t="s">
        <v>1592</v>
      </c>
      <c r="F222" s="15" t="s">
        <v>1587</v>
      </c>
      <c r="G222" s="23" t="s">
        <v>1593</v>
      </c>
      <c r="M222" s="1" t="s">
        <v>1589</v>
      </c>
      <c r="N222" s="1" t="s">
        <v>1443</v>
      </c>
      <c r="O222" s="24" t="str">
        <f>テーブル1[[#This Row],[リンク]]&amp;テーブル1[[#This Row],[描画状況]]</f>
        <v>https://magnawitch.wixsite.com/seong-ah済</v>
      </c>
      <c r="P222" s="17">
        <f>1-(COUNTIF(O:O,_xlfn.TEXTJOIN(",",TRUE,テーブル1[[#This Row],[リンク]],テーブル1[[#This Row],[描画状況]]))/COUNTIF(F:F,テーブル1[[#This Row],[リンク]]))</f>
        <v>1</v>
      </c>
      <c r="Q222" s="16" t="str">
        <f ca="1">IFERROR(IF(テーブル1[[#This Row],[描画状況]]="",RAND()+(テーブル1[[#This Row],[列2]]*100),""),RAND())</f>
        <v/>
      </c>
      <c r="R222" s="1" t="s">
        <v>1193</v>
      </c>
      <c r="S222" s="24" t="str">
        <f ca="1">IF(AND(テーブル1[[#This Row],[描画状況]]="済",テーブル1[[#This Row],[投稿状況]]=""),RAND(),"")</f>
        <v/>
      </c>
      <c r="T222" s="23" t="str">
        <f>"|&amp;image("&amp;テーブル1[[#This Row],[画像]]&amp;".png,width=100,height=100)"</f>
        <v>|&amp;image(optima-215.png,width=100,height=100)</v>
      </c>
      <c r="U222" s="23" t="str">
        <f>"|MIDDLE:​"&amp;テーブル1[[#This Row],[名前]]</f>
        <v>|MIDDLE:​オプティマ-215</v>
      </c>
      <c r="V222" s="23" t="str">
        <f>"|MIDDLE:​"&amp;テーブル1[[#This Row],[なまえ]]</f>
        <v>|MIDDLE:​おぷてぃま-215</v>
      </c>
      <c r="W222" s="23" t="str">
        <f>"|MIDDLE:​"&amp;テーブル1[[#This Row],[Name]]</f>
        <v>|MIDDLE:​OPTIMA-215</v>
      </c>
      <c r="X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4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1594</v>
      </c>
      <c r="D223" s="23" t="s">
        <v>1595</v>
      </c>
      <c r="E223" s="23" t="s">
        <v>1596</v>
      </c>
      <c r="F223" s="15" t="s">
        <v>1587</v>
      </c>
      <c r="G223" s="23" t="str">
        <f>テーブル1[[#This Row],[名前]]&amp;"(UTAU)"</f>
        <v>カイル・タイラー(UTAU)</v>
      </c>
      <c r="M223" s="1" t="s">
        <v>1589</v>
      </c>
      <c r="N223" s="1" t="s">
        <v>1443</v>
      </c>
      <c r="O223" s="24" t="str">
        <f>テーブル1[[#This Row],[リンク]]&amp;テーブル1[[#This Row],[描画状況]]</f>
        <v>https://magnawitch.wixsite.com/seong-ah済</v>
      </c>
      <c r="P223" s="17">
        <f>1-(COUNTIF(O:O,_xlfn.TEXTJOIN(",",TRUE,テーブル1[[#This Row],[リンク]],テーブル1[[#This Row],[描画状況]]))/COUNTIF(F:F,テーブル1[[#This Row],[リンク]]))</f>
        <v>1</v>
      </c>
      <c r="Q223" s="16" t="str">
        <f ca="1">IFERROR(IF(テーブル1[[#This Row],[描画状況]]="",RAND()+(テーブル1[[#This Row],[列2]]*100),""),RAND())</f>
        <v/>
      </c>
      <c r="R223" s="1" t="s">
        <v>1193</v>
      </c>
      <c r="S223" s="24" t="str">
        <f ca="1">IF(AND(テーブル1[[#This Row],[描画状況]]="済",テーブル1[[#This Row],[投稿状況]]=""),RAND(),"")</f>
        <v/>
      </c>
      <c r="T223" s="23" t="str">
        <f>"|&amp;image("&amp;テーブル1[[#This Row],[画像]]&amp;".png,width=100,height=100)"</f>
        <v>|&amp;image(kyle-tyler.png,width=100,height=100)</v>
      </c>
      <c r="U223" s="23" t="str">
        <f>"|MIDDLE:​"&amp;テーブル1[[#This Row],[名前]]</f>
        <v>|MIDDLE:​カイル・タイラー</v>
      </c>
      <c r="V223" s="23" t="str">
        <f>"|MIDDLE:​"&amp;テーブル1[[#This Row],[なまえ]]</f>
        <v>|MIDDLE:​かいる たいらー</v>
      </c>
      <c r="W223" s="23" t="str">
        <f>"|MIDDLE:​"&amp;テーブル1[[#This Row],[Name]]</f>
        <v>|MIDDLE:​Kyle Tyler</v>
      </c>
      <c r="X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4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1597</v>
      </c>
      <c r="D224" s="23" t="s">
        <v>1598</v>
      </c>
      <c r="E224" s="23" t="s">
        <v>1599</v>
      </c>
      <c r="F224" s="15" t="s">
        <v>1600</v>
      </c>
      <c r="G224" s="23" t="s">
        <v>1601</v>
      </c>
      <c r="N224" s="1" t="s">
        <v>1443</v>
      </c>
      <c r="O224" s="24" t="str">
        <f>テーブル1[[#This Row],[リンク]]&amp;テーブル1[[#This Row],[描画状況]]</f>
        <v>https://toooru421.booth.pm/items/8151791済</v>
      </c>
      <c r="P224" s="17">
        <f>1-(COUNTIF(O:O,_xlfn.TEXTJOIN(",",TRUE,テーブル1[[#This Row],[リンク]],テーブル1[[#This Row],[描画状況]]))/COUNTIF(F:F,テーブル1[[#This Row],[リンク]]))</f>
        <v>1</v>
      </c>
      <c r="Q224" s="16" t="str">
        <f ca="1">IFERROR(IF(テーブル1[[#This Row],[描画状況]]="",RAND()+(テーブル1[[#This Row],[列2]]*100),""),RAND())</f>
        <v/>
      </c>
      <c r="R224" s="1" t="s">
        <v>1193</v>
      </c>
      <c r="S224" s="24" t="str">
        <f ca="1">IF(AND(テーブル1[[#This Row],[描画状況]]="済",テーブル1[[#This Row],[投稿状況]]=""),RAND(),"")</f>
        <v/>
      </c>
      <c r="T224" s="23" t="str">
        <f>"|&amp;image("&amp;テーブル1[[#This Row],[画像]]&amp;".png,width=100,height=100)"</f>
        <v>|&amp;image(tone-too.png,width=100,height=100)</v>
      </c>
      <c r="U224" s="23" t="str">
        <f>"|MIDDLE:​"&amp;テーブル1[[#This Row],[名前]]</f>
        <v>|MIDDLE:​通音トオ</v>
      </c>
      <c r="V224" s="23" t="str">
        <f>"|MIDDLE:​"&amp;テーブル1[[#This Row],[なまえ]]</f>
        <v>|MIDDLE:​とおね とお</v>
      </c>
      <c r="W224" s="23" t="str">
        <f>"|MIDDLE:​"&amp;テーブル1[[#This Row],[Name]]</f>
        <v>|MIDDLE:​Tone Too</v>
      </c>
      <c r="X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4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1602</v>
      </c>
      <c r="D225" s="23" t="s">
        <v>1603</v>
      </c>
      <c r="E225" s="23" t="s">
        <v>1604</v>
      </c>
      <c r="F225" s="15" t="s">
        <v>1605</v>
      </c>
      <c r="G225" s="23" t="s">
        <v>1606</v>
      </c>
      <c r="M225" s="1" t="s">
        <v>1589</v>
      </c>
      <c r="N225" s="1" t="s">
        <v>1443</v>
      </c>
      <c r="O225" s="24" t="str">
        <f>テーブル1[[#This Row],[リンク]]&amp;テーブル1[[#This Row],[描画状況]]</f>
        <v>https://strife-horizon.weebly.com済</v>
      </c>
      <c r="P225" s="17">
        <f>1-(COUNTIF(O:O,_xlfn.TEXTJOIN(",",TRUE,テーブル1[[#This Row],[リンク]],テーブル1[[#This Row],[描画状況]]))/COUNTIF(F:F,テーブル1[[#This Row],[リンク]]))</f>
        <v>1</v>
      </c>
      <c r="Q225" s="16" t="str">
        <f ca="1">IFERROR(IF(テーブル1[[#This Row],[描画状況]]="",RAND()+(テーブル1[[#This Row],[列2]]*100),""),RAND())</f>
        <v/>
      </c>
      <c r="R225" s="1" t="s">
        <v>1193</v>
      </c>
      <c r="S225" s="24" t="str">
        <f ca="1">IF(AND(テーブル1[[#This Row],[描画状況]]="済",テーブル1[[#This Row],[投稿状況]]=""),RAND(),"")</f>
        <v/>
      </c>
      <c r="T225" s="23" t="str">
        <f>"|&amp;image("&amp;テーブル1[[#This Row],[画像]]&amp;".png,width=100,height=100)"</f>
        <v>|&amp;image(fuwa-maria.png,width=100,height=100)</v>
      </c>
      <c r="U225" s="23" t="str">
        <f>"|MIDDLE:​"&amp;テーブル1[[#This Row],[名前]]</f>
        <v>|MIDDLE:​不破マリア</v>
      </c>
      <c r="V225" s="23" t="str">
        <f>"|MIDDLE:​"&amp;テーブル1[[#This Row],[なまえ]]</f>
        <v>|MIDDLE:​ふわ まりあ</v>
      </c>
      <c r="W225" s="23" t="str">
        <f>"|MIDDLE:​"&amp;テーブル1[[#This Row],[Name]]</f>
        <v>|MIDDLE:​Fuwa Maria</v>
      </c>
      <c r="X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4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1607</v>
      </c>
      <c r="D226" s="23" t="s">
        <v>1608</v>
      </c>
      <c r="E226" s="23" t="s">
        <v>1609</v>
      </c>
      <c r="F226" s="15" t="s">
        <v>1610</v>
      </c>
      <c r="G226" s="23" t="s">
        <v>1611</v>
      </c>
      <c r="M226" s="1" t="s">
        <v>1589</v>
      </c>
      <c r="N226" s="1" t="s">
        <v>1443</v>
      </c>
      <c r="O226" s="24" t="str">
        <f>テーブル1[[#This Row],[リンク]]&amp;テーブル1[[#This Row],[描画状況]]</f>
        <v>https://bowlroll.net/user/946776済</v>
      </c>
      <c r="P226" s="17">
        <f>1-(COUNTIF(O:O,_xlfn.TEXTJOIN(",",TRUE,テーブル1[[#This Row],[リンク]],テーブル1[[#This Row],[描画状況]]))/COUNTIF(F:F,テーブル1[[#This Row],[リンク]]))</f>
        <v>1</v>
      </c>
      <c r="Q226" s="16" t="str">
        <f ca="1">IFERROR(IF(テーブル1[[#This Row],[描画状況]]="",RAND()+(テーブル1[[#This Row],[列2]]*100),""),RAND())</f>
        <v/>
      </c>
      <c r="R226" s="1" t="s">
        <v>1193</v>
      </c>
      <c r="S226" s="24" t="str">
        <f ca="1">IF(AND(テーブル1[[#This Row],[描画状況]]="済",テーブル1[[#This Row],[投稿状況]]=""),RAND(),"")</f>
        <v/>
      </c>
      <c r="T226" s="23" t="str">
        <f>"|&amp;image("&amp;テーブル1[[#This Row],[画像]]&amp;".png,width=100,height=100)"</f>
        <v>|&amp;image(maruaria.png,width=100,height=100)</v>
      </c>
      <c r="U226" s="23" t="str">
        <f>"|MIDDLE:​"&amp;テーブル1[[#This Row],[名前]]</f>
        <v>|MIDDLE:​マルアリア</v>
      </c>
      <c r="V226" s="23" t="str">
        <f>"|MIDDLE:​"&amp;テーブル1[[#This Row],[なまえ]]</f>
        <v>|MIDDLE:​あるまりあ</v>
      </c>
      <c r="W226" s="23" t="str">
        <f>"|MIDDLE:​"&amp;テーブル1[[#This Row],[Name]]</f>
        <v>|MIDDLE:​Maruaria</v>
      </c>
      <c r="X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4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1612</v>
      </c>
      <c r="D227" s="23" t="s">
        <v>1613</v>
      </c>
      <c r="E227" s="23" t="s">
        <v>1614</v>
      </c>
      <c r="F227" s="15" t="s">
        <v>1610</v>
      </c>
      <c r="G227" s="23" t="s">
        <v>1615</v>
      </c>
      <c r="M227" s="1" t="s">
        <v>1589</v>
      </c>
      <c r="N227" s="1" t="s">
        <v>1443</v>
      </c>
      <c r="O227" s="24" t="str">
        <f>テーブル1[[#This Row],[リンク]]&amp;テーブル1[[#This Row],[描画状況]]</f>
        <v>https://bowlroll.net/user/946776済</v>
      </c>
      <c r="P227" s="17">
        <f>1-(COUNTIF(O:O,_xlfn.TEXTJOIN(",",TRUE,テーブル1[[#This Row],[リンク]],テーブル1[[#This Row],[描画状況]]))/COUNTIF(F:F,テーブル1[[#This Row],[リンク]]))</f>
        <v>1</v>
      </c>
      <c r="Q227" s="16" t="str">
        <f ca="1">IFERROR(IF(テーブル1[[#This Row],[描画状況]]="",RAND()+(テーブル1[[#This Row],[列2]]*100),""),RAND())</f>
        <v/>
      </c>
      <c r="R227" s="1" t="s">
        <v>1193</v>
      </c>
      <c r="S227" s="24" t="str">
        <f ca="1">IF(AND(テーブル1[[#This Row],[描画状況]]="済",テーブル1[[#This Row],[投稿状況]]=""),RAND(),"")</f>
        <v/>
      </c>
      <c r="T227" s="23" t="str">
        <f>"|&amp;image("&amp;テーブル1[[#This Row],[画像]]&amp;".png,width=100,height=100)"</f>
        <v>|&amp;image(sanity-doyou.png,width=100,height=100)</v>
      </c>
      <c r="U227" s="23" t="str">
        <f>"|MIDDLE:​"&amp;テーブル1[[#This Row],[名前]]</f>
        <v>|MIDDLE:​サニティ・ドゥーユー</v>
      </c>
      <c r="V227" s="23" t="str">
        <f>"|MIDDLE:​"&amp;テーブル1[[#This Row],[なまえ]]</f>
        <v>|MIDDLE:​さにてぃ・どぅーゆー</v>
      </c>
      <c r="W227" s="23" t="str">
        <f>"|MIDDLE:​"&amp;テーブル1[[#This Row],[Name]]</f>
        <v>|MIDDLE:​Sanity Doyou</v>
      </c>
      <c r="X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4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1717</v>
      </c>
      <c r="D228" s="23" t="s">
        <v>1718</v>
      </c>
      <c r="E228" s="23" t="s">
        <v>1719</v>
      </c>
      <c r="F228" s="15" t="s">
        <v>1720</v>
      </c>
      <c r="G228" s="23" t="s">
        <v>1721</v>
      </c>
      <c r="H228" s="23" t="s">
        <v>1626</v>
      </c>
      <c r="I228" s="23" t="s">
        <v>1649</v>
      </c>
      <c r="J228" s="23" t="s">
        <v>1722</v>
      </c>
      <c r="K228" s="23" t="s">
        <v>1723</v>
      </c>
      <c r="L228" s="23" t="s">
        <v>1737</v>
      </c>
      <c r="M228" s="1" t="s">
        <v>1589</v>
      </c>
      <c r="N228" s="1" t="s">
        <v>1443</v>
      </c>
      <c r="O228" s="24" t="str">
        <f>テーブル1[[#This Row],[リンク]]&amp;テーブル1[[#This Row],[描画状況]]</f>
        <v>https://lclcofficial6565.wixsite.com/lclc済</v>
      </c>
      <c r="P228" s="17">
        <f>1-(COUNTIF(O:O,_xlfn.TEXTJOIN(",",TRUE,テーブル1[[#This Row],[リンク]],テーブル1[[#This Row],[描画状況]]))/COUNTIF(F:F,テーブル1[[#This Row],[リンク]]))</f>
        <v>1</v>
      </c>
      <c r="Q228" s="16" t="str">
        <f ca="1">IFERROR(IF(テーブル1[[#This Row],[描画状況]]="",RAND()+(テーブル1[[#This Row],[列2]]*100),""),RAND())</f>
        <v/>
      </c>
      <c r="R228" s="1" t="s">
        <v>1193</v>
      </c>
      <c r="S228" s="24" t="str">
        <f ca="1">IF(AND(テーブル1[[#This Row],[描画状況]]="済",テーブル1[[#This Row],[投稿状況]]=""),RAND(),"")</f>
        <v/>
      </c>
      <c r="T228" s="23" t="str">
        <f>"|&amp;image("&amp;テーブル1[[#This Row],[画像]]&amp;".png,width=100,height=100)"</f>
        <v>|&amp;image(iruya-rui.png,width=100,height=100)</v>
      </c>
      <c r="U228" s="23" t="str">
        <f>"|MIDDLE:​"&amp;テーブル1[[#This Row],[名前]]</f>
        <v>|MIDDLE:​いるやるい</v>
      </c>
      <c r="V228" s="23" t="str">
        <f>"|MIDDLE:​"&amp;テーブル1[[#This Row],[なまえ]]</f>
        <v>|MIDDLE:​いるや るい</v>
      </c>
      <c r="W228" s="23" t="str">
        <f>"|MIDDLE:​"&amp;テーブル1[[#This Row],[Name]]</f>
        <v>|MIDDLE:​Iruya Rui</v>
      </c>
      <c r="X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4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1724</v>
      </c>
      <c r="D229" s="23" t="s">
        <v>1725</v>
      </c>
      <c r="E229" s="23" t="s">
        <v>1726</v>
      </c>
      <c r="F229" s="3" t="s">
        <v>1727</v>
      </c>
      <c r="G229" s="23" t="s">
        <v>1728</v>
      </c>
      <c r="H229" s="23" t="s">
        <v>1626</v>
      </c>
      <c r="I229" s="23" t="s">
        <v>1636</v>
      </c>
      <c r="K229" s="23" t="s">
        <v>1729</v>
      </c>
      <c r="M229" s="1" t="s">
        <v>1730</v>
      </c>
      <c r="N229" s="1" t="s">
        <v>1443</v>
      </c>
      <c r="O229" s="24" t="str">
        <f>テーブル1[[#This Row],[リンク]]&amp;テーブル1[[#This Row],[描画状況]]</f>
        <v>​https://kagerou009.hatenablog.com済</v>
      </c>
      <c r="P229" s="17">
        <f>1-(COUNTIF(O:O,_xlfn.TEXTJOIN(",",TRUE,テーブル1[[#This Row],[リンク]],テーブル1[[#This Row],[描画状況]]))/COUNTIF(F:F,テーブル1[[#This Row],[リンク]]))</f>
        <v>1</v>
      </c>
      <c r="Q229" s="16" t="str">
        <f ca="1">IFERROR(IF(テーブル1[[#This Row],[描画状況]]="",RAND()+(テーブル1[[#This Row],[列2]]*100),""),RAND())</f>
        <v/>
      </c>
      <c r="R229" s="1" t="s">
        <v>1193</v>
      </c>
      <c r="S229" s="24" t="str">
        <f ca="1">IF(AND(テーブル1[[#This Row],[描画状況]]="済",テーブル1[[#This Row],[投稿状況]]=""),RAND(),"")</f>
        <v/>
      </c>
      <c r="T229" s="23" t="str">
        <f>"|&amp;image("&amp;テーブル1[[#This Row],[画像]]&amp;".png,width=100,height=100)"</f>
        <v>|&amp;image(​hagane-meta.png,width=100,height=100)</v>
      </c>
      <c r="U229" s="23" t="str">
        <f>"|MIDDLE:​"&amp;テーブル1[[#This Row],[名前]]</f>
        <v>|MIDDLE:​刃華音メタ</v>
      </c>
      <c r="V229" s="23" t="str">
        <f>"|MIDDLE:​"&amp;テーブル1[[#This Row],[なまえ]]</f>
        <v>|MIDDLE:​はがね めた</v>
      </c>
      <c r="W229" s="23" t="str">
        <f>"|MIDDLE:​"&amp;テーブル1[[#This Row],[Name]]</f>
        <v>|MIDDLE:​​Hagane Meta</v>
      </c>
      <c r="X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4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1742</v>
      </c>
      <c r="D230" s="23" t="s">
        <v>1743</v>
      </c>
      <c r="E230" s="23" t="s">
        <v>1744</v>
      </c>
      <c r="F230" s="30" t="s">
        <v>1750</v>
      </c>
      <c r="G230" s="23" t="s">
        <v>1746</v>
      </c>
      <c r="H230" s="23" t="s">
        <v>1662</v>
      </c>
      <c r="I230" s="23" t="s">
        <v>1636</v>
      </c>
      <c r="J230" s="23" t="s">
        <v>1745</v>
      </c>
      <c r="M230" s="1" t="s">
        <v>1589</v>
      </c>
      <c r="N230" s="1" t="s">
        <v>1443</v>
      </c>
      <c r="O230" s="24" t="str">
        <f>テーブル1[[#This Row],[リンク]]&amp;テーブル1[[#This Row],[描画状況]]</f>
        <v>https://pessieuph.wixsite.com/meusycaseuphoria済</v>
      </c>
      <c r="P230" s="17">
        <f>1-(COUNTIF(O:O,_xlfn.TEXTJOIN(",",TRUE,テーブル1[[#This Row],[リンク]],テーブル1[[#This Row],[描画状況]]))/COUNTIF(F:F,テーブル1[[#This Row],[リンク]]))</f>
        <v>1</v>
      </c>
      <c r="Q230" s="16" t="str">
        <f ca="1">IFERROR(IF(テーブル1[[#This Row],[描画状況]]="",RAND()+(テーブル1[[#This Row],[列2]]*100),""),RAND())</f>
        <v/>
      </c>
      <c r="R230" s="1" t="s">
        <v>1193</v>
      </c>
      <c r="S230" s="24" t="str">
        <f ca="1">IF(AND(テーブル1[[#This Row],[描画状況]]="済",テーブル1[[#This Row],[投稿状況]]=""),RAND(),"")</f>
        <v/>
      </c>
      <c r="T230" s="23" t="str">
        <f>"|&amp;image("&amp;テーブル1[[#This Row],[画像]]&amp;".png,width=100,height=100)"</f>
        <v>|&amp;image(the-bard-euphoria.png,width=100,height=100)</v>
      </c>
      <c r="U230" s="23" t="str">
        <f>"|MIDDLE:​"&amp;テーブル1[[#This Row],[名前]]</f>
        <v>|MIDDLE:​さすらいのユーフォリア</v>
      </c>
      <c r="V230" s="23" t="str">
        <f>"|MIDDLE:​"&amp;テーブル1[[#This Row],[なまえ]]</f>
        <v>|MIDDLE:​さすらいのゆーふぉりあ</v>
      </c>
      <c r="W230" s="23" t="str">
        <f>"|MIDDLE:​"&amp;テーブル1[[#This Row],[Name]]</f>
        <v>|MIDDLE:​The Bard Euphoria</v>
      </c>
      <c r="X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4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1751</v>
      </c>
      <c r="D231" s="23" t="s">
        <v>1752</v>
      </c>
      <c r="E231" s="23" t="s">
        <v>1753</v>
      </c>
      <c r="F231" s="30" t="s">
        <v>1754</v>
      </c>
      <c r="G231" s="23" t="s">
        <v>1755</v>
      </c>
      <c r="H231" s="23" t="s">
        <v>1627</v>
      </c>
      <c r="I231" s="23" t="s">
        <v>1756</v>
      </c>
      <c r="K231" s="23" t="s">
        <v>1758</v>
      </c>
      <c r="L231" s="23" t="s">
        <v>1757</v>
      </c>
      <c r="M231" s="1" t="s">
        <v>1589</v>
      </c>
      <c r="N231" s="1" t="s">
        <v>1443</v>
      </c>
      <c r="O231" s="24" t="str">
        <f>テーブル1[[#This Row],[リンク]]&amp;テーブル1[[#This Row],[描画状況]]</f>
        <v>https://arujinesarasa.wixsite.com/official済</v>
      </c>
      <c r="P231" s="17">
        <f>1-(COUNTIF(O:O,_xlfn.TEXTJOIN(",",TRUE,テーブル1[[#This Row],[リンク]],テーブル1[[#This Row],[描画状況]]))/COUNTIF(F:F,テーブル1[[#This Row],[リンク]]))</f>
        <v>1</v>
      </c>
      <c r="Q231" s="16" t="str">
        <f ca="1">IFERROR(IF(テーブル1[[#This Row],[描画状況]]="",RAND()+(テーブル1[[#This Row],[列2]]*100),""),RAND())</f>
        <v/>
      </c>
      <c r="R231" s="1" t="s">
        <v>1193</v>
      </c>
      <c r="S231" s="24" t="str">
        <f ca="1">IF(AND(テーブル1[[#This Row],[描画状況]]="済",テーブル1[[#This Row],[投稿状況]]=""),RAND(),"")</f>
        <v/>
      </c>
      <c r="T231" s="23" t="str">
        <f>"|&amp;image("&amp;テーブル1[[#This Row],[画像]]&amp;".png,width=100,height=100)"</f>
        <v>|&amp;image(arujine-sarasa.png,width=100,height=100)</v>
      </c>
      <c r="U231" s="23" t="str">
        <f>"|MIDDLE:​"&amp;テーブル1[[#This Row],[名前]]</f>
        <v>|MIDDLE:​主音サラサ</v>
      </c>
      <c r="V231" s="23" t="str">
        <f>"|MIDDLE:​"&amp;テーブル1[[#This Row],[なまえ]]</f>
        <v>|MIDDLE:​あるじね さらさ</v>
      </c>
      <c r="W231" s="23" t="str">
        <f>"|MIDDLE:​"&amp;テーブル1[[#This Row],[Name]]</f>
        <v>|MIDDLE:​Arujine Sarasa</v>
      </c>
      <c r="X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4" ht="20.149999999999999" customHeight="1" x14ac:dyDescent="0.35">
      <c r="B232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2" s="24" t="s">
        <v>1747</v>
      </c>
      <c r="D232" s="23" t="s">
        <v>1748</v>
      </c>
      <c r="E232" s="23" t="s">
        <v>1749</v>
      </c>
      <c r="F232" s="3" t="s">
        <v>1750</v>
      </c>
      <c r="G232" s="23" t="s">
        <v>1746</v>
      </c>
      <c r="H232" s="23" t="s">
        <v>1626</v>
      </c>
      <c r="I232" s="23" t="s">
        <v>1636</v>
      </c>
      <c r="M232" s="1" t="s">
        <v>1589</v>
      </c>
      <c r="O232" s="24" t="str">
        <f>テーブル1[[#This Row],[リンク]]&amp;テーブル1[[#This Row],[描画状況]]</f>
        <v>https://pessieuph.wixsite.com/meusycaseuphoria</v>
      </c>
      <c r="P232" s="17">
        <f>1-(COUNTIF(O:O,_xlfn.TEXTJOIN(",",TRUE,テーブル1[[#This Row],[リンク]],テーブル1[[#This Row],[描画状況]]))/COUNTIF(F:F,テーブル1[[#This Row],[リンク]]))</f>
        <v>0.5</v>
      </c>
      <c r="Q232" s="16">
        <f ca="1">IFERROR(IF(テーブル1[[#This Row],[描画状況]]="",RAND()+(テーブル1[[#This Row],[列2]]*100),""),RAND())</f>
        <v>50.505607332199496</v>
      </c>
      <c r="S232" s="24" t="str">
        <f ca="1">IF(AND(テーブル1[[#This Row],[描画状況]]="済",テーブル1[[#This Row],[投稿状況]]=""),RAND(),"")</f>
        <v/>
      </c>
      <c r="T232" s="23" t="str">
        <f>"|&amp;image("&amp;テーブル1[[#This Row],[画像]]&amp;".png,width=100,height=100)"</f>
        <v>|&amp;image(aira.png,width=100,height=100)</v>
      </c>
      <c r="U232" s="23" t="str">
        <f>"|MIDDLE:​"&amp;テーブル1[[#This Row],[名前]]</f>
        <v>|MIDDLE:​アイラ</v>
      </c>
      <c r="V232" s="23" t="str">
        <f>"|MIDDLE:​"&amp;テーブル1[[#This Row],[なまえ]]</f>
        <v>|MIDDLE:​あいら</v>
      </c>
      <c r="W232" s="23" t="str">
        <f>"|MIDDLE:​"&amp;テーブル1[[#This Row],[Name]]</f>
        <v>|MIDDLE:​Aira</v>
      </c>
      <c r="X232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3" spans="1:24" ht="20.149999999999999" customHeight="1" x14ac:dyDescent="0.35">
      <c r="B233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3" s="24" t="s">
        <v>1576</v>
      </c>
      <c r="D233" s="23" t="s">
        <v>1581</v>
      </c>
      <c r="E233" s="23" t="s">
        <v>1580</v>
      </c>
      <c r="F233" s="2" t="s">
        <v>1537</v>
      </c>
      <c r="G233" s="23" t="s">
        <v>414</v>
      </c>
      <c r="H233" s="23" t="s">
        <v>1626</v>
      </c>
      <c r="I233" s="23" t="s">
        <v>1649</v>
      </c>
      <c r="L233" s="23" t="s">
        <v>1672</v>
      </c>
      <c r="M233" s="1" t="s">
        <v>1517</v>
      </c>
      <c r="O233" s="24" t="str">
        <f>テーブル1[[#This Row],[リンク]]&amp;テーブル1[[#This Row],[描画状況]]</f>
        <v>https://vividseekers.utau.sorairomarch.com</v>
      </c>
      <c r="P233" s="17">
        <f>1-(COUNTIF(O:O,_xlfn.TEXTJOIN(",",TRUE,テーブル1[[#This Row],[リンク]],テーブル1[[#This Row],[描画状況]]))/COUNTIF(F:F,テーブル1[[#This Row],[リンク]]))</f>
        <v>0.6</v>
      </c>
      <c r="Q233" s="16">
        <f ca="1">IFERROR(IF(テーブル1[[#This Row],[描画状況]]="",RAND()+(テーブル1[[#This Row],[列2]]*100),""),RAND())</f>
        <v>60.379739512700837</v>
      </c>
      <c r="S233" s="24" t="str">
        <f ca="1">IF(AND(テーブル1[[#This Row],[描画状況]]="済",テーブル1[[#This Row],[投稿状況]]=""),RAND(),"")</f>
        <v/>
      </c>
      <c r="T233" s="23" t="str">
        <f>"|&amp;image("&amp;テーブル1[[#This Row],[画像]]&amp;".png,width=100,height=100)"</f>
        <v>|&amp;image(kagetsuki-reine.png,width=100,height=100)</v>
      </c>
      <c r="U233" s="23" t="str">
        <f>"|MIDDLE:​"&amp;テーブル1[[#This Row],[名前]]</f>
        <v>|MIDDLE:​影月澪音</v>
      </c>
      <c r="V233" s="23" t="str">
        <f>"|MIDDLE:​"&amp;テーブル1[[#This Row],[なまえ]]</f>
        <v>|MIDDLE:​かげつき れいね</v>
      </c>
      <c r="W233" s="23" t="str">
        <f>"|MIDDLE:​"&amp;テーブル1[[#This Row],[Name]]</f>
        <v>|MIDDLE:​Kagetsuki Reine</v>
      </c>
      <c r="X233" s="23" t="str">
        <f>"|MIDDLE:​&amp;link(配布所はこちら){​"&amp;テーブル1[[#This Row],[リンク]]&amp;"}|"</f>
        <v>|MIDDLE:​&amp;link(配布所はこちら){​https://vividseekers.utau.sorairomarch.com}|</v>
      </c>
    </row>
    <row r="234" spans="1:24" ht="20.149999999999999" customHeight="1" x14ac:dyDescent="0.35">
      <c r="B234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4" s="24" t="s">
        <v>1577</v>
      </c>
      <c r="D234" s="23" t="s">
        <v>1583</v>
      </c>
      <c r="E234" s="23" t="s">
        <v>1582</v>
      </c>
      <c r="F234" s="2" t="s">
        <v>1537</v>
      </c>
      <c r="G234" s="23" t="s">
        <v>414</v>
      </c>
      <c r="H234" s="23" t="s">
        <v>1627</v>
      </c>
      <c r="I234" s="23" t="s">
        <v>1649</v>
      </c>
      <c r="M234" s="1" t="s">
        <v>1517</v>
      </c>
      <c r="O234" s="24" t="str">
        <f>テーブル1[[#This Row],[リンク]]&amp;テーブル1[[#This Row],[描画状況]]</f>
        <v>https://vividseekers.utau.sorairomarch.com</v>
      </c>
      <c r="P234" s="17">
        <f>1-(COUNTIF(O:O,_xlfn.TEXTJOIN(",",TRUE,テーブル1[[#This Row],[リンク]],テーブル1[[#This Row],[描画状況]]))/COUNTIF(F:F,テーブル1[[#This Row],[リンク]]))</f>
        <v>0.6</v>
      </c>
      <c r="Q234" s="16">
        <f ca="1">IFERROR(IF(テーブル1[[#This Row],[描画状況]]="",RAND()+(テーブル1[[#This Row],[列2]]*100),""),RAND())</f>
        <v>60.761685497965345</v>
      </c>
      <c r="S234" s="24" t="str">
        <f ca="1">IF(AND(テーブル1[[#This Row],[描画状況]]="済",テーブル1[[#This Row],[投稿状況]]=""),RAND(),"")</f>
        <v/>
      </c>
      <c r="T234" s="23" t="str">
        <f>"|&amp;image("&amp;テーブル1[[#This Row],[画像]]&amp;".png,width=100,height=100)"</f>
        <v>|&amp;image(akatsuki-haruki.png,width=100,height=100)</v>
      </c>
      <c r="U234" s="23" t="str">
        <f>"|MIDDLE:​"&amp;テーブル1[[#This Row],[名前]]</f>
        <v>|MIDDLE:​暁月陽輝</v>
      </c>
      <c r="V234" s="23" t="str">
        <f>"|MIDDLE:​"&amp;テーブル1[[#This Row],[なまえ]]</f>
        <v>|MIDDLE:​あかつき はるき</v>
      </c>
      <c r="W234" s="23" t="str">
        <f>"|MIDDLE:​"&amp;テーブル1[[#This Row],[Name]]</f>
        <v>|MIDDLE:​Akatsuki Haruki</v>
      </c>
      <c r="X234" s="23" t="str">
        <f>"|MIDDLE:​&amp;link(配布所はこちら){​"&amp;テーブル1[[#This Row],[リンク]]&amp;"}|"</f>
        <v>|MIDDLE:​&amp;link(配布所はこちら){​https://vividseekers.utau.sorairomarch.com}|</v>
      </c>
    </row>
    <row r="235" spans="1:24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5" s="24" t="s">
        <v>1040</v>
      </c>
      <c r="D235" s="23" t="s">
        <v>1041</v>
      </c>
      <c r="E235" s="23" t="s">
        <v>1042</v>
      </c>
      <c r="F235" s="2" t="s">
        <v>520</v>
      </c>
      <c r="G235" s="23" t="s">
        <v>521</v>
      </c>
      <c r="M235" s="1" t="s">
        <v>1517</v>
      </c>
      <c r="O235" s="24" t="str">
        <f>テーブル1[[#This Row],[リンク]]&amp;テーブル1[[#This Row],[描画状況]]</f>
        <v>https://coyukimachi.wixsite.com/my-site</v>
      </c>
      <c r="P235" s="17">
        <f>1-(COUNTIF(O:O,_xlfn.TEXTJOIN(",",TRUE,テーブル1[[#This Row],[リンク]],テーブル1[[#This Row],[描画状況]]))/COUNTIF(F:F,テーブル1[[#This Row],[リンク]]))</f>
        <v>0</v>
      </c>
      <c r="Q235" s="16">
        <f ca="1">IFERROR(IF(テーブル1[[#This Row],[描画状況]]="",RAND()+(テーブル1[[#This Row],[列2]]*100),""),RAND())</f>
        <v>3.6847691650474745E-2</v>
      </c>
      <c r="S235" s="24" t="str">
        <f ca="1">IF(AND(テーブル1[[#This Row],[描画状況]]="済",テーブル1[[#This Row],[投稿状況]]=""),RAND(),"")</f>
        <v/>
      </c>
      <c r="T235" s="23" t="str">
        <f>"|&amp;image("&amp;テーブル1[[#This Row],[画像]]&amp;".png,width=100,height=100)"</f>
        <v>|&amp;image(asahibashi-nagisa.png,width=100,height=100)</v>
      </c>
      <c r="U235" s="23" t="str">
        <f>"|MIDDLE:​"&amp;テーブル1[[#This Row],[名前]]</f>
        <v>|MIDDLE:​旭橋渚</v>
      </c>
      <c r="V235" s="23" t="str">
        <f>"|MIDDLE:​"&amp;テーブル1[[#This Row],[なまえ]]</f>
        <v>|MIDDLE:​​あさひばし なぎさ</v>
      </c>
      <c r="W235" s="23" t="str">
        <f>"|MIDDLE:​"&amp;テーブル1[[#This Row],[Name]]</f>
        <v>|MIDDLE:​Asahibashi Nagisa</v>
      </c>
      <c r="X235" s="23" t="str">
        <f>"|MIDDLE:​&amp;link(配布所はこちら){​"&amp;テーブル1[[#This Row],[リンク]]&amp;"}|"</f>
        <v>|MIDDLE:​&amp;link(配布所はこちら){​https://coyukimachi.wixsite.com/my-site}|</v>
      </c>
    </row>
    <row r="236" spans="1:24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6" s="24" t="s">
        <v>766</v>
      </c>
      <c r="D236" s="23" t="s">
        <v>767</v>
      </c>
      <c r="E236" s="23" t="s">
        <v>768</v>
      </c>
      <c r="F236" s="15" t="s">
        <v>756</v>
      </c>
      <c r="G236" s="23" t="s">
        <v>760</v>
      </c>
      <c r="M236" s="1" t="s">
        <v>1517</v>
      </c>
      <c r="O236" s="24" t="str">
        <f>テーブル1[[#This Row],[リンク]]&amp;テーブル1[[#This Row],[描画状況]]</f>
        <v>http://shadeofgreen.web.fc2.com</v>
      </c>
      <c r="P236" s="17">
        <f>1-(COUNTIF(O:O,_xlfn.TEXTJOIN(",",TRUE,テーブル1[[#This Row],[リンク]],テーブル1[[#This Row],[描画状況]]))/COUNTIF(F:F,テーブル1[[#This Row],[リンク]]))</f>
        <v>0.33333333333333337</v>
      </c>
      <c r="Q236" s="16">
        <f ca="1">IFERROR(IF(テーブル1[[#This Row],[描画状況]]="",RAND()+(テーブル1[[#This Row],[列2]]*100),""),RAND())</f>
        <v>33.553816205173106</v>
      </c>
      <c r="S236" s="24" t="str">
        <f ca="1">IF(AND(テーブル1[[#This Row],[描画状況]]="済",テーブル1[[#This Row],[投稿状況]]=""),RAND(),"")</f>
        <v/>
      </c>
      <c r="T236" s="23" t="str">
        <f>"|&amp;image("&amp;テーブル1[[#This Row],[画像]]&amp;".png,width=100,height=100)"</f>
        <v>|&amp;image(aoba-shin.png,width=100,height=100)</v>
      </c>
      <c r="U236" s="23" t="str">
        <f>"|MIDDLE:​"&amp;テーブル1[[#This Row],[名前]]</f>
        <v>|MIDDLE:​青葉シン</v>
      </c>
      <c r="V236" s="23" t="str">
        <f>"|MIDDLE:​"&amp;テーブル1[[#This Row],[なまえ]]</f>
        <v>|MIDDLE:​あおば しん</v>
      </c>
      <c r="W236" s="23" t="str">
        <f>"|MIDDLE:​"&amp;テーブル1[[#This Row],[Name]]</f>
        <v>|MIDDLE:​Aoba Shin</v>
      </c>
      <c r="X236" s="23" t="str">
        <f>"|MIDDLE:​&amp;link(配布所はこちら){​"&amp;テーブル1[[#This Row],[リンク]]&amp;"}|"</f>
        <v>|MIDDLE:​&amp;link(配布所はこちら){​http://shadeofgreen.web.fc2.com}|</v>
      </c>
    </row>
    <row r="237" spans="1:24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37" s="24" t="s">
        <v>757</v>
      </c>
      <c r="D237" s="23" t="s">
        <v>758</v>
      </c>
      <c r="E237" s="23" t="s">
        <v>759</v>
      </c>
      <c r="F237" s="15" t="s">
        <v>756</v>
      </c>
      <c r="G237" s="23" t="s">
        <v>760</v>
      </c>
      <c r="M237" s="1" t="s">
        <v>1517</v>
      </c>
      <c r="O237" s="24" t="str">
        <f>テーブル1[[#This Row],[リンク]]&amp;テーブル1[[#This Row],[描画状況]]</f>
        <v>http://shadeofgreen.web.fc2.com</v>
      </c>
      <c r="P237" s="17">
        <f>1-(COUNTIF(O:O,_xlfn.TEXTJOIN(",",TRUE,テーブル1[[#This Row],[リンク]],テーブル1[[#This Row],[描画状況]]))/COUNTIF(F:F,テーブル1[[#This Row],[リンク]]))</f>
        <v>0.33333333333333337</v>
      </c>
      <c r="Q237" s="16">
        <f ca="1">IFERROR(IF(テーブル1[[#This Row],[描画状況]]="",RAND()+(テーブル1[[#This Row],[列2]]*100),""),RAND())</f>
        <v>33.748046259823312</v>
      </c>
      <c r="S237" s="24" t="str">
        <f ca="1">IF(AND(テーブル1[[#This Row],[描画状況]]="済",テーブル1[[#This Row],[投稿状況]]=""),RAND(),"")</f>
        <v/>
      </c>
      <c r="T237" s="23" t="str">
        <f>"|&amp;image("&amp;テーブル1[[#This Row],[画像]]&amp;".png,width=100,height=100)"</f>
        <v>|&amp;image(aoba-ryoku.png,width=100,height=100)</v>
      </c>
      <c r="U237" s="23" t="str">
        <f>"|MIDDLE:​"&amp;テーブル1[[#This Row],[名前]]</f>
        <v>|MIDDLE:​青葉リョク</v>
      </c>
      <c r="V237" s="23" t="str">
        <f>"|MIDDLE:​"&amp;テーブル1[[#This Row],[なまえ]]</f>
        <v>|MIDDLE:​あおば りょく</v>
      </c>
      <c r="W237" s="23" t="str">
        <f>"|MIDDLE:​"&amp;テーブル1[[#This Row],[Name]]</f>
        <v>|MIDDLE:​Aoba Ryoku</v>
      </c>
      <c r="X237" s="23" t="str">
        <f>"|MIDDLE:​&amp;link(配布所はこちら){​"&amp;テーブル1[[#This Row],[リンク]]&amp;"}|"</f>
        <v>|MIDDLE:​&amp;link(配布所はこちら){​http://shadeofgreen.web.fc2.com}|</v>
      </c>
    </row>
    <row r="238" spans="1:24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38" s="24" t="s">
        <v>1380</v>
      </c>
      <c r="D238" s="23" t="s">
        <v>1382</v>
      </c>
      <c r="E238" s="23" t="s">
        <v>1381</v>
      </c>
      <c r="F238" s="2" t="s">
        <v>1363</v>
      </c>
      <c r="G238" s="23" t="s">
        <v>1364</v>
      </c>
      <c r="O238" s="24" t="str">
        <f>テーブル1[[#This Row],[リンク]]&amp;テーブル1[[#This Row],[描画状況]]</f>
        <v>https://maybeanglo0mochi.wixsite.com/mochiyanosouko</v>
      </c>
      <c r="P238" s="17">
        <f>1-(COUNTIF(O:O,_xlfn.TEXTJOIN(",",TRUE,テーブル1[[#This Row],[リンク]],テーブル1[[#This Row],[描画状況]]))/COUNTIF(F:F,テーブル1[[#This Row],[リンク]]))</f>
        <v>0.125</v>
      </c>
      <c r="Q238" s="16">
        <f ca="1">IFERROR(IF(テーブル1[[#This Row],[描画状況]]="",RAND()+(テーブル1[[#This Row],[列2]]*100),""),RAND())</f>
        <v>12.600196744112752</v>
      </c>
      <c r="S238" s="24" t="str">
        <f ca="1">IF(AND(テーブル1[[#This Row],[描画状況]]="済",テーブル1[[#This Row],[投稿状況]]=""),RAND(),"")</f>
        <v/>
      </c>
      <c r="T238" s="23" t="str">
        <f>"|&amp;image("&amp;テーブル1[[#This Row],[画像]]&amp;".png,width=100,height=100)"</f>
        <v>|&amp;image(akasha＝sophia.png,width=100,height=100)</v>
      </c>
      <c r="U238" s="23" t="str">
        <f>"|MIDDLE:​"&amp;テーブル1[[#This Row],[名前]]</f>
        <v>|MIDDLE:​アカシャ＝ソフィア</v>
      </c>
      <c r="V238" s="23" t="str">
        <f>"|MIDDLE:​"&amp;テーブル1[[#This Row],[なまえ]]</f>
        <v>|MIDDLE:​あかしゃ＝そふぃあ</v>
      </c>
      <c r="W238" s="23" t="str">
        <f>"|MIDDLE:​"&amp;テーブル1[[#This Row],[Name]]</f>
        <v>|MIDDLE:​Akasha＝Sophia</v>
      </c>
      <c r="X23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39" spans="1:24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39" s="24" t="s">
        <v>984</v>
      </c>
      <c r="D239" s="23" t="s">
        <v>985</v>
      </c>
      <c r="E239" s="23" t="s">
        <v>986</v>
      </c>
      <c r="F239" s="2" t="s">
        <v>572</v>
      </c>
      <c r="G239" s="23" t="s">
        <v>573</v>
      </c>
      <c r="M239" s="1" t="s">
        <v>1517</v>
      </c>
      <c r="O239" s="24" t="str">
        <f>テーブル1[[#This Row],[リンク]]&amp;テーブル1[[#This Row],[描画状況]]</f>
        <v>https://askdance.wixsite.com/monitor-room/monitor-room</v>
      </c>
      <c r="P239" s="17">
        <f>1-(COUNTIF(O:O,_xlfn.TEXTJOIN(",",TRUE,テーブル1[[#This Row],[リンク]],テーブル1[[#This Row],[描画状況]]))/COUNTIF(F:F,テーブル1[[#This Row],[リンク]]))</f>
        <v>9.9999999999999978E-2</v>
      </c>
      <c r="Q239" s="16">
        <f ca="1">IFERROR(IF(テーブル1[[#This Row],[描画状況]]="",RAND()+(テーブル1[[#This Row],[列2]]*100),""),RAND())</f>
        <v>10.801227369943678</v>
      </c>
      <c r="S239" s="24" t="str">
        <f ca="1">IF(AND(テーブル1[[#This Row],[描画状況]]="済",テーブル1[[#This Row],[投稿状況]]=""),RAND(),"")</f>
        <v/>
      </c>
      <c r="T239" s="23" t="str">
        <f>"|&amp;image("&amp;テーブル1[[#This Row],[画像]]&amp;".png,width=100,height=100)"</f>
        <v>|&amp;image(akaruiji-satsu.png,width=100,height=100)</v>
      </c>
      <c r="U239" s="23" t="str">
        <f>"|MIDDLE:​"&amp;テーブル1[[#This Row],[名前]]</f>
        <v>|MIDDLE:​明泪寺早津</v>
      </c>
      <c r="V239" s="23" t="str">
        <f>"|MIDDLE:​"&amp;テーブル1[[#This Row],[なまえ]]</f>
        <v>|MIDDLE:​あかるいじ さつ</v>
      </c>
      <c r="W239" s="23" t="str">
        <f>"|MIDDLE:​"&amp;テーブル1[[#This Row],[Name]]</f>
        <v>|MIDDLE:​Akaruiji Satsu</v>
      </c>
      <c r="X23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0" spans="1:24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0" s="24" t="s">
        <v>619</v>
      </c>
      <c r="D240" s="23" t="s">
        <v>620</v>
      </c>
      <c r="E240" s="23" t="s">
        <v>621</v>
      </c>
      <c r="F240" s="2" t="s">
        <v>215</v>
      </c>
      <c r="G240" s="23" t="s">
        <v>216</v>
      </c>
      <c r="M240" s="1" t="s">
        <v>1517</v>
      </c>
      <c r="O240" s="24" t="str">
        <f>テーブル1[[#This Row],[リンク]]&amp;テーブル1[[#This Row],[描画状況]]</f>
        <v>https://mitoristu.wixsite.com/kousaibako</v>
      </c>
      <c r="P240" s="17">
        <f>1-(COUNTIF(O:O,_xlfn.TEXTJOIN(",",TRUE,テーブル1[[#This Row],[リンク]],テーブル1[[#This Row],[描画状況]]))/COUNTIF(F:F,テーブル1[[#This Row],[リンク]]))</f>
        <v>0.19999999999999996</v>
      </c>
      <c r="Q240" s="16">
        <f ca="1">IFERROR(IF(テーブル1[[#This Row],[描画状況]]="",RAND()+(テーブル1[[#This Row],[列2]]*100),""),RAND())</f>
        <v>20.236481888558565</v>
      </c>
      <c r="S240" s="24" t="str">
        <f ca="1">IF(AND(テーブル1[[#This Row],[描画状況]]="済",テーブル1[[#This Row],[投稿状況]]=""),RAND(),"")</f>
        <v/>
      </c>
      <c r="T240" s="23" t="str">
        <f>"|&amp;image("&amp;テーブル1[[#This Row],[画像]]&amp;".png,width=100,height=100)"</f>
        <v>|&amp;image(amatsuka-yuki.png,width=100,height=100)</v>
      </c>
      <c r="U240" s="23" t="str">
        <f>"|MIDDLE:​"&amp;テーブル1[[#This Row],[名前]]</f>
        <v>|MIDDLE:​天使雪</v>
      </c>
      <c r="V240" s="23" t="str">
        <f>"|MIDDLE:​"&amp;テーブル1[[#This Row],[なまえ]]</f>
        <v>|MIDDLE:​あまつか ゆき</v>
      </c>
      <c r="W240" s="23" t="str">
        <f>"|MIDDLE:​"&amp;テーブル1[[#This Row],[Name]]</f>
        <v>|MIDDLE:​Amatsuka Yuki</v>
      </c>
      <c r="X240" s="23" t="str">
        <f>"|MIDDLE:​&amp;link(配布所はこちら){​"&amp;テーブル1[[#This Row],[リンク]]&amp;"}|"</f>
        <v>|MIDDLE:​&amp;link(配布所はこちら){​https://mitoristu.wixsite.com/kousaibako}|</v>
      </c>
    </row>
    <row r="241" spans="2:24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1" s="24" t="s">
        <v>1270</v>
      </c>
      <c r="D241" s="23" t="s">
        <v>1272</v>
      </c>
      <c r="E241" s="23" t="s">
        <v>1271</v>
      </c>
      <c r="F241" s="15" t="s">
        <v>177</v>
      </c>
      <c r="G241" s="24" t="s">
        <v>1290</v>
      </c>
      <c r="H241" s="24"/>
      <c r="I241" s="24"/>
      <c r="J241" s="24"/>
      <c r="K241" s="24"/>
      <c r="L241" s="24"/>
      <c r="O241" s="24" t="str">
        <f>テーブル1[[#This Row],[リンク]]&amp;テーブル1[[#This Row],[描画状況]]</f>
        <v>https://lenskkpb.wixsite.com/len-sakaki-official</v>
      </c>
      <c r="P241" s="17">
        <f>1-(COUNTIF(O:O,_xlfn.TEXTJOIN(",",TRUE,テーブル1[[#This Row],[リンク]],テーブル1[[#This Row],[描画状況]]))/COUNTIF(F:F,テーブル1[[#This Row],[リンク]]))</f>
        <v>0.125</v>
      </c>
      <c r="Q241" s="16">
        <f ca="1">IFERROR(IF(テーブル1[[#This Row],[描画状況]]="",RAND()+(テーブル1[[#This Row],[列2]]*100),""),RAND())</f>
        <v>12.744148905322785</v>
      </c>
      <c r="S241" s="24" t="str">
        <f ca="1">IF(AND(テーブル1[[#This Row],[描画状況]]="済",テーブル1[[#This Row],[投稿状況]]=""),RAND(),"")</f>
        <v/>
      </c>
      <c r="T241" s="23" t="str">
        <f>"|&amp;image("&amp;テーブル1[[#This Row],[画像]]&amp;".png,width=100,height=100)"</f>
        <v>|&amp;image(amatsuji-azuma.png,width=100,height=100)</v>
      </c>
      <c r="U241" s="23" t="str">
        <f>"|MIDDLE:​"&amp;テーブル1[[#This Row],[名前]]</f>
        <v>|MIDDLE:​天辻雷</v>
      </c>
      <c r="V241" s="23" t="str">
        <f>"|MIDDLE:​"&amp;テーブル1[[#This Row],[なまえ]]</f>
        <v>|MIDDLE:​あまつじ あずま</v>
      </c>
      <c r="W241" s="23" t="str">
        <f>"|MIDDLE:​"&amp;テーブル1[[#This Row],[Name]]</f>
        <v>|MIDDLE:​Amatsuji Azuma</v>
      </c>
      <c r="X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2:24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2" s="24" t="s">
        <v>850</v>
      </c>
      <c r="D242" s="23" t="s">
        <v>851</v>
      </c>
      <c r="E242" s="23" t="s">
        <v>852</v>
      </c>
      <c r="F242" s="2" t="s">
        <v>833</v>
      </c>
      <c r="G242" s="23" t="s">
        <v>834</v>
      </c>
      <c r="O242" s="24" t="str">
        <f>テーブル1[[#This Row],[リンク]]&amp;テーブル1[[#This Row],[描画状況]]</f>
        <v>https://kaedekatusaki.wixsite.com/yanagiroutyou</v>
      </c>
      <c r="P242" s="17">
        <f>1-(COUNTIF(O:O,_xlfn.TEXTJOIN(",",TRUE,テーブル1[[#This Row],[リンク]],テーブル1[[#This Row],[描画状況]]))/COUNTIF(F:F,テーブル1[[#This Row],[リンク]]))</f>
        <v>0.125</v>
      </c>
      <c r="Q242" s="16">
        <f ca="1">IFERROR(IF(テーブル1[[#This Row],[描画状況]]="",RAND()+(テーブル1[[#This Row],[列2]]*100),""),RAND())</f>
        <v>13.163728957297048</v>
      </c>
      <c r="S242" s="24" t="str">
        <f ca="1">IF(AND(テーブル1[[#This Row],[描画状況]]="済",テーブル1[[#This Row],[投稿状況]]=""),RAND(),"")</f>
        <v/>
      </c>
      <c r="T242" s="23" t="str">
        <f>"|&amp;image("&amp;テーブル1[[#This Row],[画像]]&amp;".png,width=100,height=100)"</f>
        <v>|&amp;image(amatsuroid.png,width=100,height=100)</v>
      </c>
      <c r="U242" s="23" t="str">
        <f>"|MIDDLE:​"&amp;テーブル1[[#This Row],[名前]]</f>
        <v>|MIDDLE:​アマツロイド</v>
      </c>
      <c r="V242" s="23" t="str">
        <f>"|MIDDLE:​"&amp;テーブル1[[#This Row],[なまえ]]</f>
        <v>|MIDDLE:​あまつろいど</v>
      </c>
      <c r="W242" s="23" t="str">
        <f>"|MIDDLE:​"&amp;テーブル1[[#This Row],[Name]]</f>
        <v>|MIDDLE:​Amatsuroid</v>
      </c>
      <c r="X24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3" spans="2:24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3" s="24" t="s">
        <v>994</v>
      </c>
      <c r="D243" s="23" t="s">
        <v>995</v>
      </c>
      <c r="E243" s="23" t="s">
        <v>996</v>
      </c>
      <c r="F243" s="2" t="s">
        <v>572</v>
      </c>
      <c r="G243" s="23" t="s">
        <v>573</v>
      </c>
      <c r="M243" s="1" t="s">
        <v>1517</v>
      </c>
      <c r="O243" s="24" t="str">
        <f>テーブル1[[#This Row],[リンク]]&amp;テーブル1[[#This Row],[描画状況]]</f>
        <v>https://askdance.wixsite.com/monitor-room/monitor-room</v>
      </c>
      <c r="P243" s="17">
        <f>1-(COUNTIF(O:O,_xlfn.TEXTJOIN(",",TRUE,テーブル1[[#This Row],[リンク]],テーブル1[[#This Row],[描画状況]]))/COUNTIF(F:F,テーブル1[[#This Row],[リンク]]))</f>
        <v>9.9999999999999978E-2</v>
      </c>
      <c r="Q243" s="16">
        <f ca="1">IFERROR(IF(テーブル1[[#This Row],[描画状況]]="",RAND()+(テーブル1[[#This Row],[列2]]*100),""),RAND())</f>
        <v>10.759946349612452</v>
      </c>
      <c r="S243" s="24" t="str">
        <f ca="1">IF(AND(テーブル1[[#This Row],[描画状況]]="済",テーブル1[[#This Row],[投稿状況]]=""),RAND(),"")</f>
        <v/>
      </c>
      <c r="T243" s="23" t="str">
        <f>"|&amp;image("&amp;テーブル1[[#This Row],[画像]]&amp;".png,width=100,height=100)"</f>
        <v>|&amp;image(ameaya-nano.png,width=100,height=100)</v>
      </c>
      <c r="U243" s="23" t="str">
        <f>"|MIDDLE:​"&amp;テーブル1[[#This Row],[名前]]</f>
        <v>|MIDDLE:​天彩渚乃</v>
      </c>
      <c r="V243" s="23" t="str">
        <f>"|MIDDLE:​"&amp;テーブル1[[#This Row],[なまえ]]</f>
        <v>|MIDDLE:​あめあや なの</v>
      </c>
      <c r="W243" s="23" t="str">
        <f>"|MIDDLE:​"&amp;テーブル1[[#This Row],[Name]]</f>
        <v>|MIDDLE:​Ameaya Nano</v>
      </c>
      <c r="X24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4" spans="2:24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amaze</v>
      </c>
      <c r="C244" s="24" t="s">
        <v>1178</v>
      </c>
      <c r="D244" s="23" t="s">
        <v>1180</v>
      </c>
      <c r="E244" s="23" t="s">
        <v>1179</v>
      </c>
      <c r="F244" s="2" t="s">
        <v>100</v>
      </c>
      <c r="G244" s="23" t="s">
        <v>101</v>
      </c>
      <c r="M244" s="1" t="s">
        <v>1517</v>
      </c>
      <c r="O244" s="24" t="str">
        <f>テーブル1[[#This Row],[リンク]]&amp;テーブル1[[#This Row],[描画状況]]</f>
        <v>https://hinagitsune-utau.wixsite.com/utaukokorone</v>
      </c>
      <c r="P244" s="17">
        <f>1-(COUNTIF(O:O,_xlfn.TEXTJOIN(",",TRUE,テーブル1[[#This Row],[リンク]],テーブル1[[#This Row],[描画状況]]))/COUNTIF(F:F,テーブル1[[#This Row],[リンク]]))</f>
        <v>0.19999999999999996</v>
      </c>
      <c r="Q244" s="16">
        <f ca="1">IFERROR(IF(テーブル1[[#This Row],[描画状況]]="",RAND()+(テーブル1[[#This Row],[列2]]*100),""),RAND())</f>
        <v>20.76747554676993</v>
      </c>
      <c r="S244" s="24" t="str">
        <f ca="1">IF(AND(テーブル1[[#This Row],[描画状況]]="済",テーブル1[[#This Row],[投稿状況]]=""),RAND(),"")</f>
        <v/>
      </c>
      <c r="T244" s="23" t="str">
        <f>"|&amp;image("&amp;テーブル1[[#This Row],[画像]]&amp;".png,width=100,height=100)"</f>
        <v>|&amp;image(amaze.png,width=100,height=100)</v>
      </c>
      <c r="U244" s="23" t="str">
        <f>"|MIDDLE:​"&amp;テーブル1[[#This Row],[名前]]</f>
        <v>|MIDDLE:​アメイズ</v>
      </c>
      <c r="V244" s="23" t="str">
        <f>"|MIDDLE:​"&amp;テーブル1[[#This Row],[なまえ]]</f>
        <v>|MIDDLE:​あめいず</v>
      </c>
      <c r="W244" s="23" t="str">
        <f>"|MIDDLE:​"&amp;テーブル1[[#This Row],[Name]]</f>
        <v>|MIDDLE:​Amaze</v>
      </c>
      <c r="X244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5" spans="2:24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5" s="24" t="s">
        <v>952</v>
      </c>
      <c r="D245" s="23" t="s">
        <v>953</v>
      </c>
      <c r="E245" s="23" t="s">
        <v>954</v>
      </c>
      <c r="F245" s="2" t="s">
        <v>676</v>
      </c>
      <c r="G245" s="23" t="s">
        <v>677</v>
      </c>
      <c r="M245" s="1" t="s">
        <v>1517</v>
      </c>
      <c r="O245" s="24" t="str">
        <f>テーブル1[[#This Row],[リンク]]&amp;テーブル1[[#This Row],[描画状況]]</f>
        <v>https://ametro.jimdofree.com</v>
      </c>
      <c r="P245" s="17">
        <f>1-(COUNTIF(O:O,_xlfn.TEXTJOIN(",",TRUE,テーブル1[[#This Row],[リンク]],テーブル1[[#This Row],[描画状況]]))/COUNTIF(F:F,テーブル1[[#This Row],[リンク]]))</f>
        <v>0.19999999999999996</v>
      </c>
      <c r="Q245" s="16">
        <f ca="1">IFERROR(IF(テーブル1[[#This Row],[描画状況]]="",RAND()+(テーブル1[[#This Row],[列2]]*100),""),RAND())</f>
        <v>20.54147063192276</v>
      </c>
      <c r="S245" s="24" t="str">
        <f ca="1">IF(AND(テーブル1[[#This Row],[描画状況]]="済",テーブル1[[#This Row],[投稿状況]]=""),RAND(),"")</f>
        <v/>
      </c>
      <c r="T245" s="23" t="str">
        <f>"|&amp;image("&amp;テーブル1[[#This Row],[画像]]&amp;".png,width=100,height=100)"</f>
        <v>|&amp;image(ameuta-nives.png,width=100,height=100)</v>
      </c>
      <c r="U245" s="23" t="str">
        <f>"|MIDDLE:​"&amp;テーブル1[[#This Row],[名前]]</f>
        <v>|MIDDLE:​飴唄ニーヴェス</v>
      </c>
      <c r="V245" s="23" t="str">
        <f>"|MIDDLE:​"&amp;テーブル1[[#This Row],[なまえ]]</f>
        <v>|MIDDLE:​あめうた にーゔぇす</v>
      </c>
      <c r="W245" s="23" t="str">
        <f>"|MIDDLE:​"&amp;テーブル1[[#This Row],[Name]]</f>
        <v>|MIDDLE:​Ameuta Nives</v>
      </c>
      <c r="X245" s="23" t="str">
        <f>"|MIDDLE:​&amp;link(配布所はこちら){​"&amp;テーブル1[[#This Row],[リンク]]&amp;"}|"</f>
        <v>|MIDDLE:​&amp;link(配布所はこちら){​https://ametro.jimdofree.com}|</v>
      </c>
    </row>
    <row r="246" spans="2:24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6" s="24" t="s">
        <v>931</v>
      </c>
      <c r="D246" s="23" t="s">
        <v>932</v>
      </c>
      <c r="E246" s="23" t="s">
        <v>933</v>
      </c>
      <c r="F246" s="2" t="s">
        <v>676</v>
      </c>
      <c r="G246" s="23" t="s">
        <v>677</v>
      </c>
      <c r="M246" s="1" t="s">
        <v>1517</v>
      </c>
      <c r="O246" s="24" t="str">
        <f>テーブル1[[#This Row],[リンク]]&amp;テーブル1[[#This Row],[描画状況]]</f>
        <v>https://ametro.jimdofree.com</v>
      </c>
      <c r="P246" s="17">
        <f>1-(COUNTIF(O:O,_xlfn.TEXTJOIN(",",TRUE,テーブル1[[#This Row],[リンク]],テーブル1[[#This Row],[描画状況]]))/COUNTIF(F:F,テーブル1[[#This Row],[リンク]]))</f>
        <v>0.19999999999999996</v>
      </c>
      <c r="Q246" s="16">
        <f ca="1">IFERROR(IF(テーブル1[[#This Row],[描画状況]]="",RAND()+(テーブル1[[#This Row],[列2]]*100),""),RAND())</f>
        <v>20.294052252975913</v>
      </c>
      <c r="S246" s="24" t="str">
        <f ca="1">IF(AND(テーブル1[[#This Row],[描画状況]]="済",テーブル1[[#This Row],[投稿状況]]=""),RAND(),"")</f>
        <v/>
      </c>
      <c r="T246" s="23" t="str">
        <f>"|&amp;image("&amp;テーブル1[[#This Row],[画像]]&amp;".png,width=100,height=100)"</f>
        <v>|&amp;image(ameuta-niko.png,width=100,height=100)</v>
      </c>
      <c r="U246" s="23" t="str">
        <f>"|MIDDLE:​"&amp;テーブル1[[#This Row],[名前]]</f>
        <v>|MIDDLE:​飴唄仁胡</v>
      </c>
      <c r="V246" s="23" t="str">
        <f>"|MIDDLE:​"&amp;テーブル1[[#This Row],[なまえ]]</f>
        <v>|MIDDLE:​あめうた にこ</v>
      </c>
      <c r="W246" s="23" t="str">
        <f>"|MIDDLE:​"&amp;テーブル1[[#This Row],[Name]]</f>
        <v>|MIDDLE:​Ameuta Niko</v>
      </c>
      <c r="X246" s="23" t="str">
        <f>"|MIDDLE:​&amp;link(配布所はこちら){​"&amp;テーブル1[[#This Row],[リンク]]&amp;"}|"</f>
        <v>|MIDDLE:​&amp;link(配布所はこちら){​https://ametro.jimdofree.com}|</v>
      </c>
    </row>
    <row r="247" spans="2:24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47" s="24" t="s">
        <v>937</v>
      </c>
      <c r="D247" s="23" t="s">
        <v>938</v>
      </c>
      <c r="E247" s="23" t="s">
        <v>939</v>
      </c>
      <c r="F247" s="2" t="s">
        <v>676</v>
      </c>
      <c r="G247" s="23" t="s">
        <v>677</v>
      </c>
      <c r="M247" s="1" t="s">
        <v>1517</v>
      </c>
      <c r="O247" s="24" t="str">
        <f>テーブル1[[#This Row],[リンク]]&amp;テーブル1[[#This Row],[描画状況]]</f>
        <v>https://ametro.jimdofree.com</v>
      </c>
      <c r="P247" s="17">
        <f>1-(COUNTIF(O:O,_xlfn.TEXTJOIN(",",TRUE,テーブル1[[#This Row],[リンク]],テーブル1[[#This Row],[描画状況]]))/COUNTIF(F:F,テーブル1[[#This Row],[リンク]]))</f>
        <v>0.19999999999999996</v>
      </c>
      <c r="Q247" s="16">
        <f ca="1">IFERROR(IF(テーブル1[[#This Row],[描画状況]]="",RAND()+(テーブル1[[#This Row],[列2]]*100),""),RAND())</f>
        <v>20.55634091617474</v>
      </c>
      <c r="S247" s="24" t="str">
        <f ca="1">IF(AND(テーブル1[[#This Row],[描画状況]]="済",テーブル1[[#This Row],[投稿状況]]=""),RAND(),"")</f>
        <v/>
      </c>
      <c r="T247" s="23" t="str">
        <f>"|&amp;image("&amp;テーブル1[[#This Row],[画像]]&amp;".png,width=100,height=100)"</f>
        <v>|&amp;image(ameuta-nije.png,width=100,height=100)</v>
      </c>
      <c r="U247" s="23" t="str">
        <f>"|MIDDLE:​"&amp;テーブル1[[#This Row],[名前]]</f>
        <v>|MIDDLE:​飴唄ニジェ</v>
      </c>
      <c r="V247" s="23" t="str">
        <f>"|MIDDLE:​"&amp;テーブル1[[#This Row],[なまえ]]</f>
        <v>|MIDDLE:​あめうた にじぇ</v>
      </c>
      <c r="W247" s="23" t="str">
        <f>"|MIDDLE:​"&amp;テーブル1[[#This Row],[Name]]</f>
        <v>|MIDDLE:​Ameuta Nije</v>
      </c>
      <c r="X247" s="23" t="str">
        <f>"|MIDDLE:​&amp;link(配布所はこちら){​"&amp;テーブル1[[#This Row],[リンク]]&amp;"}|"</f>
        <v>|MIDDLE:​&amp;link(配布所はこちら){​https://ametro.jimdofree.com}|</v>
      </c>
    </row>
    <row r="248" spans="2:24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48" s="24" t="s">
        <v>955</v>
      </c>
      <c r="D248" s="23" t="s">
        <v>956</v>
      </c>
      <c r="E248" s="23" t="s">
        <v>957</v>
      </c>
      <c r="F248" s="2" t="s">
        <v>676</v>
      </c>
      <c r="G248" s="23" t="s">
        <v>677</v>
      </c>
      <c r="M248" s="1" t="s">
        <v>1517</v>
      </c>
      <c r="O248" s="24" t="str">
        <f>テーブル1[[#This Row],[リンク]]&amp;テーブル1[[#This Row],[描画状況]]</f>
        <v>https://ametro.jimdofree.com</v>
      </c>
      <c r="P248" s="17">
        <f>1-(COUNTIF(O:O,_xlfn.TEXTJOIN(",",TRUE,テーブル1[[#This Row],[リンク]],テーブル1[[#This Row],[描画状況]]))/COUNTIF(F:F,テーブル1[[#This Row],[リンク]]))</f>
        <v>0.19999999999999996</v>
      </c>
      <c r="Q248" s="16">
        <f ca="1">IFERROR(IF(テーブル1[[#This Row],[描画状況]]="",RAND()+(テーブル1[[#This Row],[列2]]*100),""),RAND())</f>
        <v>20.241643881731068</v>
      </c>
      <c r="S248" s="24" t="str">
        <f ca="1">IF(AND(テーブル1[[#This Row],[描画状況]]="済",テーブル1[[#This Row],[投稿状況]]=""),RAND(),"")</f>
        <v/>
      </c>
      <c r="T248" s="23" t="str">
        <f>"|&amp;image("&amp;テーブル1[[#This Row],[画像]]&amp;".png,width=100,height=100)"</f>
        <v>|&amp;image(ameuta-nisen.png,width=100,height=100)</v>
      </c>
      <c r="U248" s="23" t="str">
        <f>"|MIDDLE:​"&amp;テーブル1[[#This Row],[名前]]</f>
        <v>|MIDDLE:​飴唄2000</v>
      </c>
      <c r="V248" s="23" t="str">
        <f>"|MIDDLE:​"&amp;テーブル1[[#This Row],[なまえ]]</f>
        <v>|MIDDLE:​あめうた にせん</v>
      </c>
      <c r="W248" s="23" t="str">
        <f>"|MIDDLE:​"&amp;テーブル1[[#This Row],[Name]]</f>
        <v>|MIDDLE:​Ameuta Nisen</v>
      </c>
      <c r="X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4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49" s="24" t="s">
        <v>940</v>
      </c>
      <c r="D249" s="23" t="s">
        <v>941</v>
      </c>
      <c r="E249" s="23" t="s">
        <v>942</v>
      </c>
      <c r="F249" s="2" t="s">
        <v>676</v>
      </c>
      <c r="G249" s="23" t="s">
        <v>677</v>
      </c>
      <c r="M249" s="1" t="s">
        <v>1517</v>
      </c>
      <c r="O249" s="24" t="str">
        <f>テーブル1[[#This Row],[リンク]]&amp;テーブル1[[#This Row],[描画状況]]</f>
        <v>https://ametro.jimdofree.com</v>
      </c>
      <c r="P249" s="17">
        <f>1-(COUNTIF(O:O,_xlfn.TEXTJOIN(",",TRUE,テーブル1[[#This Row],[リンク]],テーブル1[[#This Row],[描画状況]]))/COUNTIF(F:F,テーブル1[[#This Row],[リンク]]))</f>
        <v>0.19999999999999996</v>
      </c>
      <c r="Q249" s="16">
        <f ca="1">IFERROR(IF(テーブル1[[#This Row],[描画状況]]="",RAND()+(テーブル1[[#This Row],[列2]]*100),""),RAND())</f>
        <v>20.876848128224914</v>
      </c>
      <c r="S249" s="24" t="str">
        <f ca="1">IF(AND(テーブル1[[#This Row],[描画状況]]="済",テーブル1[[#This Row],[投稿状況]]=""),RAND(),"")</f>
        <v/>
      </c>
      <c r="T249" s="23" t="str">
        <f>"|&amp;image("&amp;テーブル1[[#This Row],[画像]]&amp;".png,width=100,height=100)"</f>
        <v>|&amp;image(ameuta-nina.png,width=100,height=100)</v>
      </c>
      <c r="U249" s="23" t="str">
        <f>"|MIDDLE:​"&amp;テーブル1[[#This Row],[名前]]</f>
        <v>|MIDDLE:​飴唄ニナ</v>
      </c>
      <c r="V249" s="23" t="str">
        <f>"|MIDDLE:​"&amp;テーブル1[[#This Row],[なまえ]]</f>
        <v>|MIDDLE:​あめうた にな</v>
      </c>
      <c r="W249" s="23" t="str">
        <f>"|MIDDLE:​"&amp;テーブル1[[#This Row],[Name]]</f>
        <v>|MIDDLE:​Ameuta Nina</v>
      </c>
      <c r="X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4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0" s="24" t="s">
        <v>949</v>
      </c>
      <c r="D250" s="23" t="s">
        <v>950</v>
      </c>
      <c r="E250" s="23" t="s">
        <v>951</v>
      </c>
      <c r="F250" s="2" t="s">
        <v>676</v>
      </c>
      <c r="G250" s="23" t="s">
        <v>677</v>
      </c>
      <c r="M250" s="1" t="s">
        <v>1517</v>
      </c>
      <c r="O250" s="24" t="str">
        <f>テーブル1[[#This Row],[リンク]]&amp;テーブル1[[#This Row],[描画状況]]</f>
        <v>https://ametro.jimdofree.com</v>
      </c>
      <c r="P250" s="17">
        <f>1-(COUNTIF(O:O,_xlfn.TEXTJOIN(",",TRUE,テーブル1[[#This Row],[リンク]],テーブル1[[#This Row],[描画状況]]))/COUNTIF(F:F,テーブル1[[#This Row],[リンク]]))</f>
        <v>0.19999999999999996</v>
      </c>
      <c r="Q250" s="16">
        <f ca="1">IFERROR(IF(テーブル1[[#This Row],[描画状況]]="",RAND()+(テーブル1[[#This Row],[列2]]*100),""),RAND())</f>
        <v>20.601577740571482</v>
      </c>
      <c r="S250" s="24" t="str">
        <f ca="1">IF(AND(テーブル1[[#This Row],[描画状況]]="済",テーブル1[[#This Row],[投稿状況]]=""),RAND(),"")</f>
        <v/>
      </c>
      <c r="T250" s="23" t="str">
        <f>"|&amp;image("&amp;テーブル1[[#This Row],[画像]]&amp;".png,width=100,height=100)"</f>
        <v>|&amp;image(ameuta-ninon.png,width=100,height=100)</v>
      </c>
      <c r="U250" s="23" t="str">
        <f>"|MIDDLE:​"&amp;テーブル1[[#This Row],[名前]]</f>
        <v>|MIDDLE:​飴唄ニノン</v>
      </c>
      <c r="V250" s="23" t="str">
        <f>"|MIDDLE:​"&amp;テーブル1[[#This Row],[なまえ]]</f>
        <v>|MIDDLE:​あめうた にのん</v>
      </c>
      <c r="W250" s="23" t="str">
        <f>"|MIDDLE:​"&amp;テーブル1[[#This Row],[Name]]</f>
        <v>|MIDDLE:​Ameuta Ninon</v>
      </c>
      <c r="X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4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1" s="24" t="s">
        <v>769</v>
      </c>
      <c r="D251" s="23" t="s">
        <v>770</v>
      </c>
      <c r="E251" s="23" t="s">
        <v>771</v>
      </c>
      <c r="F251" s="2" t="s">
        <v>676</v>
      </c>
      <c r="G251" s="23" t="s">
        <v>677</v>
      </c>
      <c r="M251" s="1" t="s">
        <v>1517</v>
      </c>
      <c r="O251" s="24" t="str">
        <f>テーブル1[[#This Row],[リンク]]&amp;テーブル1[[#This Row],[描画状況]]</f>
        <v>https://ametro.jimdofree.com</v>
      </c>
      <c r="P251" s="17">
        <f>1-(COUNTIF(O:O,_xlfn.TEXTJOIN(",",TRUE,テーブル1[[#This Row],[リンク]],テーブル1[[#This Row],[描画状況]]))/COUNTIF(F:F,テーブル1[[#This Row],[リンク]]))</f>
        <v>0.19999999999999996</v>
      </c>
      <c r="Q251" s="16">
        <f ca="1">IFERROR(IF(テーブル1[[#This Row],[描画状況]]="",RAND()+(テーブル1[[#This Row],[列2]]*100),""),RAND())</f>
        <v>20.921289336430242</v>
      </c>
      <c r="S251" s="24" t="str">
        <f ca="1">IF(AND(テーブル1[[#This Row],[描画状況]]="済",テーブル1[[#This Row],[投稿状況]]=""),RAND(),"")</f>
        <v/>
      </c>
      <c r="T251" s="23" t="str">
        <f>"|&amp;image("&amp;テーブル1[[#This Row],[画像]]&amp;".png,width=100,height=100)"</f>
        <v>|&amp;image(ameuta-nihito.png,width=100,height=100)</v>
      </c>
      <c r="U251" s="23" t="str">
        <f>"|MIDDLE:​"&amp;テーブル1[[#This Row],[名前]]</f>
        <v>|MIDDLE:​飴唄ニヒト</v>
      </c>
      <c r="V251" s="23" t="str">
        <f>"|MIDDLE:​"&amp;テーブル1[[#This Row],[なまえ]]</f>
        <v>|MIDDLE:​あめうた にひと</v>
      </c>
      <c r="W251" s="23" t="str">
        <f>"|MIDDLE:​"&amp;テーブル1[[#This Row],[Name]]</f>
        <v>|MIDDLE:​Ameuta Nihito</v>
      </c>
      <c r="X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4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2" s="24" t="s">
        <v>922</v>
      </c>
      <c r="D252" s="23" t="s">
        <v>923</v>
      </c>
      <c r="E252" s="23" t="s">
        <v>924</v>
      </c>
      <c r="F252" s="2" t="s">
        <v>676</v>
      </c>
      <c r="G252" s="23" t="s">
        <v>677</v>
      </c>
      <c r="M252" s="1" t="s">
        <v>1517</v>
      </c>
      <c r="O252" s="24" t="str">
        <f>テーブル1[[#This Row],[リンク]]&amp;テーブル1[[#This Row],[描画状況]]</f>
        <v>https://ametro.jimdofree.com</v>
      </c>
      <c r="P252" s="17">
        <f>1-(COUNTIF(O:O,_xlfn.TEXTJOIN(",",TRUE,テーブル1[[#This Row],[リンク]],テーブル1[[#This Row],[描画状況]]))/COUNTIF(F:F,テーブル1[[#This Row],[リンク]]))</f>
        <v>0.19999999999999996</v>
      </c>
      <c r="Q252" s="16">
        <f ca="1">IFERROR(IF(テーブル1[[#This Row],[描画状況]]="",RAND()+(テーブル1[[#This Row],[列2]]*100),""),RAND())</f>
        <v>20.827787313882833</v>
      </c>
      <c r="S252" s="24" t="str">
        <f ca="1">IF(AND(テーブル1[[#This Row],[描画状況]]="済",テーブル1[[#This Row],[投稿状況]]=""),RAND(),"")</f>
        <v/>
      </c>
      <c r="T252" s="23" t="str">
        <f>"|&amp;image("&amp;テーブル1[[#This Row],[画像]]&amp;".png,width=100,height=100)"</f>
        <v>|&amp;image(ameuta-nipo.png,width=100,height=100)</v>
      </c>
      <c r="U252" s="23" t="str">
        <f>"|MIDDLE:​"&amp;テーブル1[[#This Row],[名前]]</f>
        <v>|MIDDLE:​飴唄にぽ</v>
      </c>
      <c r="V252" s="23" t="str">
        <f>"|MIDDLE:​"&amp;テーブル1[[#This Row],[なまえ]]</f>
        <v>|MIDDLE:​あめうた にぽ</v>
      </c>
      <c r="W252" s="23" t="str">
        <f>"|MIDDLE:​"&amp;テーブル1[[#This Row],[Name]]</f>
        <v>|MIDDLE:​Ameuta Nipo</v>
      </c>
      <c r="X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4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3" s="24" t="s">
        <v>946</v>
      </c>
      <c r="D253" s="23" t="s">
        <v>947</v>
      </c>
      <c r="E253" s="23" t="s">
        <v>948</v>
      </c>
      <c r="F253" s="2" t="s">
        <v>676</v>
      </c>
      <c r="G253" s="23" t="s">
        <v>677</v>
      </c>
      <c r="M253" s="1" t="s">
        <v>1517</v>
      </c>
      <c r="O253" s="24" t="str">
        <f>テーブル1[[#This Row],[リンク]]&amp;テーブル1[[#This Row],[描画状況]]</f>
        <v>https://ametro.jimdofree.com</v>
      </c>
      <c r="P253" s="17">
        <f>1-(COUNTIF(O:O,_xlfn.TEXTJOIN(",",TRUE,テーブル1[[#This Row],[リンク]],テーブル1[[#This Row],[描画状況]]))/COUNTIF(F:F,テーブル1[[#This Row],[リンク]]))</f>
        <v>0.19999999999999996</v>
      </c>
      <c r="Q253" s="16">
        <f ca="1">IFERROR(IF(テーブル1[[#This Row],[描画状況]]="",RAND()+(テーブル1[[#This Row],[列2]]*100),""),RAND())</f>
        <v>20.400826340699119</v>
      </c>
      <c r="S253" s="24" t="str">
        <f ca="1">IF(AND(テーブル1[[#This Row],[描画状況]]="済",テーブル1[[#This Row],[投稿状況]]=""),RAND(),"")</f>
        <v/>
      </c>
      <c r="T253" s="23" t="str">
        <f>"|&amp;image("&amp;テーブル1[[#This Row],[画像]]&amp;".png,width=100,height=100)"</f>
        <v>|&amp;image(ameuta-niyusu.png,width=100,height=100)</v>
      </c>
      <c r="U253" s="23" t="str">
        <f>"|MIDDLE:​"&amp;テーブル1[[#This Row],[名前]]</f>
        <v>|MIDDLE:​飴唄ニユス</v>
      </c>
      <c r="V253" s="23" t="str">
        <f>"|MIDDLE:​"&amp;テーブル1[[#This Row],[なまえ]]</f>
        <v>|MIDDLE:​あめうた にゆす</v>
      </c>
      <c r="W253" s="23" t="str">
        <f>"|MIDDLE:​"&amp;テーブル1[[#This Row],[Name]]</f>
        <v>|MIDDLE:​Ameuta Niyusu</v>
      </c>
      <c r="X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4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4" s="24" t="s">
        <v>943</v>
      </c>
      <c r="D254" s="23" t="s">
        <v>944</v>
      </c>
      <c r="E254" s="23" t="s">
        <v>945</v>
      </c>
      <c r="F254" s="2" t="s">
        <v>676</v>
      </c>
      <c r="G254" s="23" t="s">
        <v>677</v>
      </c>
      <c r="M254" s="1" t="s">
        <v>1517</v>
      </c>
      <c r="O254" s="24" t="str">
        <f>テーブル1[[#This Row],[リンク]]&amp;テーブル1[[#This Row],[描画状況]]</f>
        <v>https://ametro.jimdofree.com</v>
      </c>
      <c r="P254" s="17">
        <f>1-(COUNTIF(O:O,_xlfn.TEXTJOIN(",",TRUE,テーブル1[[#This Row],[リンク]],テーブル1[[#This Row],[描画状況]]))/COUNTIF(F:F,テーブル1[[#This Row],[リンク]]))</f>
        <v>0.19999999999999996</v>
      </c>
      <c r="Q254" s="16">
        <f ca="1">IFERROR(IF(テーブル1[[#This Row],[描画状況]]="",RAND()+(テーブル1[[#This Row],[列2]]*100),""),RAND())</f>
        <v>20.227377896992486</v>
      </c>
      <c r="S254" s="24" t="str">
        <f ca="1">IF(AND(テーブル1[[#This Row],[描画状況]]="済",テーブル1[[#This Row],[投稿状況]]=""),RAND(),"")</f>
        <v/>
      </c>
      <c r="T254" s="23" t="str">
        <f>"|&amp;image("&amp;テーブル1[[#This Row],[画像]]&amp;".png,width=100,height=100)"</f>
        <v>|&amp;image(ameuta-niriya.png,width=100,height=100)</v>
      </c>
      <c r="U254" s="23" t="str">
        <f>"|MIDDLE:​"&amp;テーブル1[[#This Row],[名前]]</f>
        <v>|MIDDLE:​飴唄ニリヤ</v>
      </c>
      <c r="V254" s="23" t="str">
        <f>"|MIDDLE:​"&amp;テーブル1[[#This Row],[なまえ]]</f>
        <v>|MIDDLE:​あめうた にりや</v>
      </c>
      <c r="W254" s="23" t="str">
        <f>"|MIDDLE:​"&amp;テーブル1[[#This Row],[Name]]</f>
        <v>|MIDDLE:​Ameuta Niriya</v>
      </c>
      <c r="X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4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5" s="24" t="s">
        <v>934</v>
      </c>
      <c r="D255" s="23" t="s">
        <v>935</v>
      </c>
      <c r="E255" s="23" t="s">
        <v>936</v>
      </c>
      <c r="F255" s="2" t="s">
        <v>676</v>
      </c>
      <c r="G255" s="23" t="s">
        <v>677</v>
      </c>
      <c r="M255" s="1" t="s">
        <v>1517</v>
      </c>
      <c r="O255" s="24" t="str">
        <f>テーブル1[[#This Row],[リンク]]&amp;テーブル1[[#This Row],[描画状況]]</f>
        <v>https://ametro.jimdofree.com</v>
      </c>
      <c r="P255" s="17">
        <f>1-(COUNTIF(O:O,_xlfn.TEXTJOIN(",",TRUE,テーブル1[[#This Row],[リンク]],テーブル1[[#This Row],[描画状況]]))/COUNTIF(F:F,テーブル1[[#This Row],[リンク]]))</f>
        <v>0.19999999999999996</v>
      </c>
      <c r="Q255" s="16">
        <f ca="1">IFERROR(IF(テーブル1[[#This Row],[描画状況]]="",RAND()+(テーブル1[[#This Row],[列2]]*100),""),RAND())</f>
        <v>20.363099930158619</v>
      </c>
      <c r="S255" s="24" t="str">
        <f ca="1">IF(AND(テーブル1[[#This Row],[描画状況]]="済",テーブル1[[#This Row],[投稿状況]]=""),RAND(),"")</f>
        <v/>
      </c>
      <c r="T255" s="23" t="str">
        <f>"|&amp;image("&amp;テーブル1[[#This Row],[画像]]&amp;".png,width=100,height=100)"</f>
        <v>|&amp;image(ameuta-niru.png,width=100,height=100)</v>
      </c>
      <c r="U255" s="23" t="str">
        <f>"|MIDDLE:​"&amp;テーブル1[[#This Row],[名前]]</f>
        <v>|MIDDLE:​飴唄ニル</v>
      </c>
      <c r="V255" s="23" t="str">
        <f>"|MIDDLE:​"&amp;テーブル1[[#This Row],[なまえ]]</f>
        <v>|MIDDLE:​あめうた にる</v>
      </c>
      <c r="W255" s="23" t="str">
        <f>"|MIDDLE:​"&amp;テーブル1[[#This Row],[Name]]</f>
        <v>|MIDDLE:​Ameuta Niru</v>
      </c>
      <c r="X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4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6" s="24" t="s">
        <v>1125</v>
      </c>
      <c r="D256" s="23" t="s">
        <v>1127</v>
      </c>
      <c r="E256" s="23" t="s">
        <v>1126</v>
      </c>
      <c r="F256" s="15" t="s">
        <v>1143</v>
      </c>
      <c r="G256" s="23" t="str">
        <f>テーブル1[[#This Row],[名前]]&amp;"(UTAU)"</f>
        <v>斐音ハチカ(UTAU)</v>
      </c>
      <c r="O256" s="24" t="str">
        <f>テーブル1[[#This Row],[リンク]]&amp;テーブル1[[#This Row],[描画状況]]</f>
        <v>https://yautau.wixsite.com/0909</v>
      </c>
      <c r="P256" s="17">
        <f>1-(COUNTIF(O:O,_xlfn.TEXTJOIN(",",TRUE,テーブル1[[#This Row],[リンク]],テーブル1[[#This Row],[描画状況]]))/COUNTIF(F:F,テーブル1[[#This Row],[リンク]]))</f>
        <v>0.125</v>
      </c>
      <c r="Q256" s="16">
        <f ca="1">IFERROR(IF(テーブル1[[#This Row],[描画状況]]="",RAND()+(テーブル1[[#This Row],[列2]]*100),""),RAND())</f>
        <v>13.019108266830987</v>
      </c>
      <c r="S256" s="24" t="str">
        <f ca="1">IF(AND(テーブル1[[#This Row],[描画状況]]="済",テーブル1[[#This Row],[投稿状況]]=""),RAND(),"")</f>
        <v/>
      </c>
      <c r="T256" s="23" t="str">
        <f>"|&amp;image("&amp;テーブル1[[#This Row],[画像]]&amp;".png,width=100,height=100)"</f>
        <v>|&amp;image(ayarune-hachika.png,width=100,height=100)</v>
      </c>
      <c r="U256" s="23" t="str">
        <f>"|MIDDLE:​"&amp;テーブル1[[#This Row],[名前]]</f>
        <v>|MIDDLE:​斐音ハチカ</v>
      </c>
      <c r="V256" s="23" t="str">
        <f>"|MIDDLE:​"&amp;テーブル1[[#This Row],[なまえ]]</f>
        <v>|MIDDLE:​あやるね はちか</v>
      </c>
      <c r="W256" s="23" t="str">
        <f>"|MIDDLE:​"&amp;テーブル1[[#This Row],[Name]]</f>
        <v>|MIDDLE:​Ayarune Hachika</v>
      </c>
      <c r="X256" s="23" t="str">
        <f>"|MIDDLE:​&amp;link(配布所はこちら){​"&amp;テーブル1[[#This Row],[リンク]]&amp;"}|"</f>
        <v>|MIDDLE:​&amp;link(配布所はこちら){​https://yautau.wixsite.com/0909}|</v>
      </c>
    </row>
    <row r="257" spans="2:24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57" s="24" t="s">
        <v>822</v>
      </c>
      <c r="D257" s="23" t="s">
        <v>823</v>
      </c>
      <c r="E257" s="23" t="s">
        <v>824</v>
      </c>
      <c r="F257" s="2" t="s">
        <v>814</v>
      </c>
      <c r="G257" s="23" t="s">
        <v>815</v>
      </c>
      <c r="O257" s="24" t="str">
        <f>テーブル1[[#This Row],[リンク]]&amp;テーブル1[[#This Row],[描画状況]]</f>
        <v>https://makurakue.wixsite.com/kemononokemono</v>
      </c>
      <c r="P257" s="17">
        <f>1-(COUNTIF(O:O,_xlfn.TEXTJOIN(",",TRUE,テーブル1[[#This Row],[リンク]],テーブル1[[#This Row],[描画状況]]))/COUNTIF(F:F,テーブル1[[#This Row],[リンク]]))</f>
        <v>0.4</v>
      </c>
      <c r="Q257" s="16">
        <f ca="1">IFERROR(IF(テーブル1[[#This Row],[描画状況]]="",RAND()+(テーブル1[[#This Row],[列2]]*100),""),RAND())</f>
        <v>40.862023503965752</v>
      </c>
      <c r="S257" s="24" t="str">
        <f ca="1">IF(AND(テーブル1[[#This Row],[描画状況]]="済",テーブル1[[#This Row],[投稿状況]]=""),RAND(),"")</f>
        <v/>
      </c>
      <c r="T257" s="23" t="str">
        <f>"|&amp;image("&amp;テーブル1[[#This Row],[画像]]&amp;".png,width=100,height=100)"</f>
        <v>|&amp;image(alia.png,width=100,height=100)</v>
      </c>
      <c r="U257" s="23" t="str">
        <f>"|MIDDLE:​"&amp;テーブル1[[#This Row],[名前]]</f>
        <v>|MIDDLE:​アリア</v>
      </c>
      <c r="V257" s="23" t="str">
        <f>"|MIDDLE:​"&amp;テーブル1[[#This Row],[なまえ]]</f>
        <v>|MIDDLE:​ありあ</v>
      </c>
      <c r="W257" s="23" t="str">
        <f>"|MIDDLE:​"&amp;テーブル1[[#This Row],[Name]]</f>
        <v>|MIDDLE:​Alia</v>
      </c>
      <c r="X257" s="23" t="str">
        <f>"|MIDDLE:​&amp;link(配布所はこちら){​"&amp;テーブル1[[#This Row],[リンク]]&amp;"}|"</f>
        <v>|MIDDLE:​&amp;link(配布所はこちら){​https://makurakue.wixsite.com/kemononokemono}|</v>
      </c>
    </row>
    <row r="258" spans="2:24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58" s="24" t="s">
        <v>1080</v>
      </c>
      <c r="D258" s="23" t="s">
        <v>1081</v>
      </c>
      <c r="E258" s="23" t="s">
        <v>1082</v>
      </c>
      <c r="F258" s="15" t="s">
        <v>1066</v>
      </c>
      <c r="G258" s="23" t="s">
        <v>1067</v>
      </c>
      <c r="O258" s="24" t="str">
        <f>テーブル1[[#This Row],[リンク]]&amp;テーブル1[[#This Row],[描画状況]]</f>
        <v>https://yukimiyashimusho.jimdofree.com</v>
      </c>
      <c r="P258" s="17">
        <f>1-(COUNTIF(O:O,_xlfn.TEXTJOIN(",",TRUE,テーブル1[[#This Row],[リンク]],テーブル1[[#This Row],[描画状況]]))/COUNTIF(F:F,テーブル1[[#This Row],[リンク]]))</f>
        <v>7.1428571428571397E-2</v>
      </c>
      <c r="Q258" s="16">
        <f ca="1">IFERROR(IF(テーブル1[[#This Row],[描画状況]]="",RAND()+(テーブル1[[#This Row],[列2]]*100),""),RAND())</f>
        <v>7.8716226887227219</v>
      </c>
      <c r="S258" s="24" t="str">
        <f ca="1">IF(AND(テーブル1[[#This Row],[描画状況]]="済",テーブル1[[#This Row],[投稿状況]]=""),RAND(),"")</f>
        <v/>
      </c>
      <c r="T258" s="23" t="str">
        <f>"|&amp;image("&amp;テーブル1[[#This Row],[画像]]&amp;".png,width=100,height=100)"</f>
        <v>|&amp;image(awaawa-chan.png,width=100,height=100)</v>
      </c>
      <c r="U258" s="23" t="str">
        <f>"|MIDDLE:​"&amp;テーブル1[[#This Row],[名前]]</f>
        <v>|MIDDLE:​粟沫ちゃん</v>
      </c>
      <c r="V258" s="23" t="str">
        <f>"|MIDDLE:​"&amp;テーブル1[[#This Row],[なまえ]]</f>
        <v>|MIDDLE:​あわあわちゃん</v>
      </c>
      <c r="W258" s="23" t="str">
        <f>"|MIDDLE:​"&amp;テーブル1[[#This Row],[Name]]</f>
        <v>|MIDDLE:​Awaawa-chan</v>
      </c>
      <c r="X258" s="23" t="str">
        <f>"|MIDDLE:​&amp;link(配布所はこちら){​"&amp;テーブル1[[#This Row],[リンク]]&amp;"}|"</f>
        <v>|MIDDLE:​&amp;link(配布所はこちら){​https://yukimiyashimusho.jimdofree.com}|</v>
      </c>
    </row>
    <row r="259" spans="2:24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59" s="24" t="s">
        <v>659</v>
      </c>
      <c r="D259" s="23" t="s">
        <v>660</v>
      </c>
      <c r="E259" s="23" t="s">
        <v>661</v>
      </c>
      <c r="F259" s="2" t="s">
        <v>658</v>
      </c>
      <c r="G259" s="23" t="s">
        <v>662</v>
      </c>
      <c r="O259" s="24" t="str">
        <f>テーブル1[[#This Row],[リンク]]&amp;テーブル1[[#This Row],[描画状況]]</f>
        <v>https://mashimo0330.wixsite.com/awaka-utau</v>
      </c>
      <c r="P259" s="17">
        <f>1-(COUNTIF(O:O,_xlfn.TEXTJOIN(",",TRUE,テーブル1[[#This Row],[リンク]],テーブル1[[#This Row],[描画状況]]))/COUNTIF(F:F,テーブル1[[#This Row],[リンク]]))</f>
        <v>0.5</v>
      </c>
      <c r="Q259" s="16">
        <f ca="1">IFERROR(IF(テーブル1[[#This Row],[描画状況]]="",RAND()+(テーブル1[[#This Row],[列2]]*100),""),RAND())</f>
        <v>50.363600526426005</v>
      </c>
      <c r="S259" s="24" t="str">
        <f ca="1">IF(AND(テーブル1[[#This Row],[描画状況]]="済",テーブル1[[#This Row],[投稿状況]]=""),RAND(),"")</f>
        <v/>
      </c>
      <c r="T259" s="23" t="str">
        <f>"|&amp;image("&amp;テーブル1[[#This Row],[画像]]&amp;".png,width=100,height=100)"</f>
        <v>|&amp;image(awaka-mizuha.png,width=100,height=100)</v>
      </c>
      <c r="U259" s="23" t="str">
        <f>"|MIDDLE:​"&amp;テーブル1[[#This Row],[名前]]</f>
        <v>|MIDDLE:​泡歌ミズハ</v>
      </c>
      <c r="V259" s="23" t="str">
        <f>"|MIDDLE:​"&amp;テーブル1[[#This Row],[なまえ]]</f>
        <v>|MIDDLE:​あわか みずは</v>
      </c>
      <c r="W259" s="23" t="str">
        <f>"|MIDDLE:​"&amp;テーブル1[[#This Row],[Name]]</f>
        <v>|MIDDLE:​Awaka Mizuha</v>
      </c>
      <c r="X259" s="23" t="str">
        <f>"|MIDDLE:​&amp;link(配布所はこちら){​"&amp;テーブル1[[#This Row],[リンク]]&amp;"}|"</f>
        <v>|MIDDLE:​&amp;link(配布所はこちら){​https://mashimo0330.wixsite.com/awaka-utau}|</v>
      </c>
    </row>
    <row r="260" spans="2:24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0" s="24" t="s">
        <v>1151</v>
      </c>
      <c r="D260" s="23" t="s">
        <v>1152</v>
      </c>
      <c r="E260" s="23" t="s">
        <v>1153</v>
      </c>
      <c r="F260" s="15" t="s">
        <v>1144</v>
      </c>
      <c r="G260" s="23" t="s">
        <v>1157</v>
      </c>
      <c r="O260" s="24" t="str">
        <f>テーブル1[[#This Row],[リンク]]&amp;テーブル1[[#This Row],[描画状況]]</f>
        <v>https://sites.google.com/view/report1023</v>
      </c>
      <c r="P260" s="17">
        <f>1-(COUNTIF(O:O,_xlfn.TEXTJOIN(",",TRUE,テーブル1[[#This Row],[リンク]],テーブル1[[#This Row],[描画状況]]))/COUNTIF(F:F,テーブル1[[#This Row],[リンク]]))</f>
        <v>0</v>
      </c>
      <c r="Q260" s="16">
        <f ca="1">IFERROR(IF(テーブル1[[#This Row],[描画状況]]="",RAND()+(テーブル1[[#This Row],[列2]]*100),""),RAND())</f>
        <v>0.42927306868497828</v>
      </c>
      <c r="S260" s="24" t="str">
        <f ca="1">IF(AND(テーブル1[[#This Row],[描画状況]]="済",テーブル1[[#This Row],[投稿状況]]=""),RAND(),"")</f>
        <v/>
      </c>
      <c r="T260" s="23" t="str">
        <f>"|&amp;image("&amp;テーブル1[[#This Row],[画像]]&amp;".png,width=100,height=100)"</f>
        <v>|&amp;image(ion-moka.png,width=100,height=100)</v>
      </c>
      <c r="U260" s="23" t="str">
        <f>"|MIDDLE:​"&amp;テーブル1[[#This Row],[名前]]</f>
        <v>|MIDDLE:​唯音文歌</v>
      </c>
      <c r="V260" s="23" t="str">
        <f>"|MIDDLE:​"&amp;テーブル1[[#This Row],[なまえ]]</f>
        <v>|MIDDLE:​いおん もか</v>
      </c>
      <c r="W260" s="23" t="str">
        <f>"|MIDDLE:​"&amp;テーブル1[[#This Row],[Name]]</f>
        <v>|MIDDLE:​Ion Moka</v>
      </c>
      <c r="X260" s="23" t="str">
        <f>"|MIDDLE:​&amp;link(配布所はこちら){​"&amp;テーブル1[[#This Row],[リンク]]&amp;"}|"</f>
        <v>|MIDDLE:​&amp;link(配布所はこちら){​https://sites.google.com/view/report1023}|</v>
      </c>
    </row>
    <row r="261" spans="2:24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1" s="24" t="s">
        <v>1145</v>
      </c>
      <c r="D261" s="23" t="s">
        <v>1146</v>
      </c>
      <c r="E261" s="23" t="s">
        <v>1147</v>
      </c>
      <c r="F261" s="15" t="s">
        <v>1144</v>
      </c>
      <c r="G261" s="23" t="s">
        <v>1157</v>
      </c>
      <c r="O261" s="24" t="str">
        <f>テーブル1[[#This Row],[リンク]]&amp;テーブル1[[#This Row],[描画状況]]</f>
        <v>https://sites.google.com/view/report1023</v>
      </c>
      <c r="P261" s="17">
        <f>1-(COUNTIF(O:O,_xlfn.TEXTJOIN(",",TRUE,テーブル1[[#This Row],[リンク]],テーブル1[[#This Row],[描画状況]]))/COUNTIF(F:F,テーブル1[[#This Row],[リンク]]))</f>
        <v>0</v>
      </c>
      <c r="Q261" s="16">
        <f ca="1">IFERROR(IF(テーブル1[[#This Row],[描画状況]]="",RAND()+(テーブル1[[#This Row],[列2]]*100),""),RAND())</f>
        <v>0.89495362663275346</v>
      </c>
      <c r="S261" s="24" t="str">
        <f ca="1">IF(AND(テーブル1[[#This Row],[描画状況]]="済",テーブル1[[#This Row],[投稿状況]]=""),RAND(),"")</f>
        <v/>
      </c>
      <c r="T261" s="23" t="str">
        <f>"|&amp;image("&amp;テーブル1[[#This Row],[画像]]&amp;".png,width=100,height=100)"</f>
        <v>|&amp;image(ion-rika.png,width=100,height=100)</v>
      </c>
      <c r="U261" s="23" t="str">
        <f>"|MIDDLE:​"&amp;テーブル1[[#This Row],[名前]]</f>
        <v>|MIDDLE:​唯音理歌</v>
      </c>
      <c r="V261" s="23" t="str">
        <f>"|MIDDLE:​"&amp;テーブル1[[#This Row],[なまえ]]</f>
        <v>|MIDDLE:​いおん りか</v>
      </c>
      <c r="W261" s="23" t="str">
        <f>"|MIDDLE:​"&amp;テーブル1[[#This Row],[Name]]</f>
        <v>|MIDDLE:​Ion Rika</v>
      </c>
      <c r="X261" s="23" t="str">
        <f>"|MIDDLE:​&amp;link(配布所はこちら){​"&amp;テーブル1[[#This Row],[リンク]]&amp;"}|"</f>
        <v>|MIDDLE:​&amp;link(配布所はこちら){​https://sites.google.com/view/report1023}|</v>
      </c>
    </row>
    <row r="262" spans="2:24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2" s="24" t="s">
        <v>1101</v>
      </c>
      <c r="D262" s="23" t="s">
        <v>1102</v>
      </c>
      <c r="E262" s="23" t="s">
        <v>1103</v>
      </c>
      <c r="F262" s="15" t="s">
        <v>1066</v>
      </c>
      <c r="G262" s="23" t="s">
        <v>1067</v>
      </c>
      <c r="O262" s="24" t="str">
        <f>テーブル1[[#This Row],[リンク]]&amp;テーブル1[[#This Row],[描画状況]]</f>
        <v>https://yukimiyashimusho.jimdofree.com</v>
      </c>
      <c r="P262" s="17">
        <f>1-(COUNTIF(O:O,_xlfn.TEXTJOIN(",",TRUE,テーブル1[[#This Row],[リンク]],テーブル1[[#This Row],[描画状況]]))/COUNTIF(F:F,テーブル1[[#This Row],[リンク]]))</f>
        <v>7.1428571428571397E-2</v>
      </c>
      <c r="Q262" s="16">
        <f ca="1">IFERROR(IF(テーブル1[[#This Row],[描画状況]]="",RAND()+(テーブル1[[#This Row],[列2]]*100),""),RAND())</f>
        <v>7.8121697112288579</v>
      </c>
      <c r="S262" s="24" t="str">
        <f ca="1">IF(AND(テーブル1[[#This Row],[描画状況]]="済",テーブル1[[#This Row],[投稿状況]]=""),RAND(),"")</f>
        <v/>
      </c>
      <c r="T262" s="23" t="str">
        <f>"|&amp;image("&amp;テーブル1[[#This Row],[画像]]&amp;".png,width=100,height=100)"</f>
        <v>|&amp;image(ikuuta-sein.png,width=100,height=100)</v>
      </c>
      <c r="U262" s="23" t="str">
        <f>"|MIDDLE:​"&amp;テーブル1[[#This Row],[名前]]</f>
        <v>|MIDDLE:​郁歌セイン</v>
      </c>
      <c r="V262" s="23" t="str">
        <f>"|MIDDLE:​"&amp;テーブル1[[#This Row],[なまえ]]</f>
        <v>|MIDDLE:​いくうた せいん</v>
      </c>
      <c r="W262" s="23" t="str">
        <f>"|MIDDLE:​"&amp;テーブル1[[#This Row],[Name]]</f>
        <v>|MIDDLE:​Ikuuta Sein</v>
      </c>
      <c r="X262" s="23" t="str">
        <f>"|MIDDLE:​&amp;link(配布所はこちら){​"&amp;テーブル1[[#This Row],[リンク]]&amp;"}|"</f>
        <v>|MIDDLE:​&amp;link(配布所はこちら){​https://yukimiyashimusho.jimdofree.com}|</v>
      </c>
    </row>
    <row r="263" spans="2:24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3" s="24" t="s">
        <v>556</v>
      </c>
      <c r="D263" s="23" t="s">
        <v>557</v>
      </c>
      <c r="E263" s="23" t="s">
        <v>558</v>
      </c>
      <c r="F263" s="2" t="s">
        <v>559</v>
      </c>
      <c r="G263" s="23" t="str">
        <f>テーブル1[[#This Row],[名前]]&amp;"(UTAU)"</f>
        <v>悪戯セト(UTAU)</v>
      </c>
      <c r="M263" s="1" t="s">
        <v>1517</v>
      </c>
      <c r="O263" s="24" t="str">
        <f>テーブル1[[#This Row],[リンク]]&amp;テーブル1[[#This Row],[描画状況]]</f>
        <v>https://bowlroll.net/user/700434</v>
      </c>
      <c r="P263" s="17">
        <f>1-(COUNTIF(O:O,_xlfn.TEXTJOIN(",",TRUE,テーブル1[[#This Row],[リンク]],テーブル1[[#This Row],[描画状況]]))/COUNTIF(F:F,テーブル1[[#This Row],[リンク]]))</f>
        <v>0.5</v>
      </c>
      <c r="Q263" s="16">
        <f ca="1">IFERROR(IF(テーブル1[[#This Row],[描画状況]]="",RAND()+(テーブル1[[#This Row],[列2]]*100),""),RAND())</f>
        <v>50.159399366455091</v>
      </c>
      <c r="S263" s="24" t="str">
        <f ca="1">IF(AND(テーブル1[[#This Row],[描画状況]]="済",テーブル1[[#This Row],[投稿状況]]=""),RAND(),"")</f>
        <v/>
      </c>
      <c r="T263" s="23" t="str">
        <f>"|&amp;image("&amp;テーブル1[[#This Row],[画像]]&amp;".png,width=100,height=100)"</f>
        <v>|&amp;image(itazura-seto.png,width=100,height=100)</v>
      </c>
      <c r="U263" s="23" t="str">
        <f>"|MIDDLE:​"&amp;テーブル1[[#This Row],[名前]]</f>
        <v>|MIDDLE:​悪戯セト</v>
      </c>
      <c r="V263" s="23" t="str">
        <f>"|MIDDLE:​"&amp;テーブル1[[#This Row],[なまえ]]</f>
        <v>|MIDDLE:​いたずら せと</v>
      </c>
      <c r="W263" s="23" t="str">
        <f>"|MIDDLE:​"&amp;テーブル1[[#This Row],[Name]]</f>
        <v>|MIDDLE:​Itazura Seto</v>
      </c>
      <c r="X263" s="23" t="str">
        <f>"|MIDDLE:​&amp;link(配布所はこちら){​"&amp;テーブル1[[#This Row],[リンク]]&amp;"}|"</f>
        <v>|MIDDLE:​&amp;link(配布所はこちら){​https://bowlroll.net/user/700434}|</v>
      </c>
    </row>
    <row r="264" spans="2:24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4" s="24" t="s">
        <v>918</v>
      </c>
      <c r="D264" s="23" t="s">
        <v>920</v>
      </c>
      <c r="E264" s="23" t="s">
        <v>921</v>
      </c>
      <c r="F264" s="23" t="s">
        <v>421</v>
      </c>
      <c r="G264" s="23" t="s">
        <v>919</v>
      </c>
      <c r="O264" s="24" t="str">
        <f>テーブル1[[#This Row],[リンク]]&amp;テーブル1[[#This Row],[描画状況]]</f>
        <v>-</v>
      </c>
      <c r="P264" s="17">
        <f>1-(COUNTIF(O:O,_xlfn.TEXTJOIN(",",TRUE,テーブル1[[#This Row],[リンク]],テーブル1[[#This Row],[描画状況]]))/COUNTIF(F:F,テーブル1[[#This Row],[リンク]]))</f>
        <v>0.33333333333333337</v>
      </c>
      <c r="Q264" s="16">
        <f ca="1">IFERROR(IF(テーブル1[[#This Row],[描画状況]]="",RAND()+(テーブル1[[#This Row],[列2]]*100),""),RAND())</f>
        <v>34.15273129108764</v>
      </c>
      <c r="S264" s="24" t="str">
        <f ca="1">IF(AND(テーブル1[[#This Row],[描画状況]]="済",テーブル1[[#This Row],[投稿状況]]=""),RAND(),"")</f>
        <v/>
      </c>
      <c r="T264" s="23" t="str">
        <f>"|&amp;image("&amp;テーブル1[[#This Row],[画像]]&amp;".png,width=100,height=100)"</f>
        <v>|&amp;image(itokuri-samayu.png,width=100,height=100)</v>
      </c>
      <c r="U264" s="23" t="str">
        <f>"|MIDDLE:​"&amp;テーブル1[[#This Row],[名前]]</f>
        <v>|MIDDLE:​糸來さまゆ</v>
      </c>
      <c r="V264" s="23" t="str">
        <f>"|MIDDLE:​"&amp;テーブル1[[#This Row],[なまえ]]</f>
        <v>|MIDDLE:​いとくり さまゆ</v>
      </c>
      <c r="W264" s="23" t="str">
        <f>"|MIDDLE:​"&amp;テーブル1[[#This Row],[Name]]</f>
        <v>|MIDDLE:​Itokuri Samayu</v>
      </c>
      <c r="X264" s="23" t="str">
        <f>"|MIDDLE:​&amp;link(配布所はこちら){​"&amp;テーブル1[[#This Row],[リンク]]&amp;"}|"</f>
        <v>|MIDDLE:​&amp;link(配布所はこちら){​-}|</v>
      </c>
    </row>
    <row r="265" spans="2:24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5" s="24" t="s">
        <v>1063</v>
      </c>
      <c r="D265" s="23" t="s">
        <v>1064</v>
      </c>
      <c r="E265" s="23" t="s">
        <v>1065</v>
      </c>
      <c r="F265" s="15" t="s">
        <v>1066</v>
      </c>
      <c r="G265" s="23" t="s">
        <v>1067</v>
      </c>
      <c r="O265" s="24" t="str">
        <f>テーブル1[[#This Row],[リンク]]&amp;テーブル1[[#This Row],[描画状況]]</f>
        <v>https://yukimiyashimusho.jimdofree.com</v>
      </c>
      <c r="P265" s="17">
        <f>1-(COUNTIF(O:O,_xlfn.TEXTJOIN(",",TRUE,テーブル1[[#This Row],[リンク]],テーブル1[[#This Row],[描画状況]]))/COUNTIF(F:F,テーブル1[[#This Row],[リンク]]))</f>
        <v>7.1428571428571397E-2</v>
      </c>
      <c r="Q265" s="16">
        <f ca="1">IFERROR(IF(テーブル1[[#This Row],[描画状況]]="",RAND()+(テーブル1[[#This Row],[列2]]*100),""),RAND())</f>
        <v>7.3148100908519362</v>
      </c>
      <c r="S265" s="24" t="str">
        <f ca="1">IF(AND(テーブル1[[#This Row],[描画状況]]="済",テーブル1[[#This Row],[投稿状況]]=""),RAND(),"")</f>
        <v/>
      </c>
      <c r="T265" s="23" t="str">
        <f>"|&amp;image("&amp;テーブル1[[#This Row],[画像]]&amp;".png,width=100,height=100)"</f>
        <v>|&amp;image(usone-kuro.png,width=100,height=100)</v>
      </c>
      <c r="U265" s="23" t="str">
        <f>"|MIDDLE:​"&amp;テーブル1[[#This Row],[名前]]</f>
        <v>|MIDDLE:​噓音クロ</v>
      </c>
      <c r="V265" s="23" t="str">
        <f>"|MIDDLE:​"&amp;テーブル1[[#This Row],[なまえ]]</f>
        <v>|MIDDLE:​うそね くろ</v>
      </c>
      <c r="W265" s="23" t="str">
        <f>"|MIDDLE:​"&amp;テーブル1[[#This Row],[Name]]</f>
        <v>|MIDDLE:​Usone Kuro</v>
      </c>
      <c r="X265" s="23" t="str">
        <f>"|MIDDLE:​&amp;link(配布所はこちら){​"&amp;テーブル1[[#This Row],[リンク]]&amp;"}|"</f>
        <v>|MIDDLE:​&amp;link(配布所はこちら){​https://yukimiyashimusho.jimdofree.com}|</v>
      </c>
    </row>
    <row r="266" spans="2:24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6" s="24" t="s">
        <v>1214</v>
      </c>
      <c r="D266" s="23" t="s">
        <v>1230</v>
      </c>
      <c r="E266" s="23" t="s">
        <v>1229</v>
      </c>
      <c r="F266" s="15" t="s">
        <v>339</v>
      </c>
      <c r="G266" s="23" t="s">
        <v>340</v>
      </c>
      <c r="O266" s="24" t="str">
        <f>テーブル1[[#This Row],[リンク]]&amp;テーブル1[[#This Row],[描画状況]]</f>
        <v>https://torinosu-hikikomori.jimdofree.com</v>
      </c>
      <c r="P266" s="17">
        <f>1-(COUNTIF(O:O,_xlfn.TEXTJOIN(",",TRUE,テーブル1[[#This Row],[リンク]],テーブル1[[#This Row],[描画状況]]))/COUNTIF(F:F,テーブル1[[#This Row],[リンク]]))</f>
        <v>0.125</v>
      </c>
      <c r="Q266" s="16">
        <f ca="1">IFERROR(IF(テーブル1[[#This Row],[描画状況]]="",RAND()+(テーブル1[[#This Row],[列2]]*100),""),RAND())</f>
        <v>13.285674487660776</v>
      </c>
      <c r="S266" s="24" t="str">
        <f ca="1">IF(AND(テーブル1[[#This Row],[描画状況]]="済",テーブル1[[#This Row],[投稿状況]]=""),RAND(),"")</f>
        <v/>
      </c>
      <c r="T266" s="23" t="str">
        <f>"|&amp;image("&amp;テーブル1[[#This Row],[画像]]&amp;".png,width=100,height=100)"</f>
        <v>|&amp;image(uta-senshi.png,width=100,height=100)</v>
      </c>
      <c r="U266" s="23" t="str">
        <f>"|MIDDLE:​"&amp;テーブル1[[#This Row],[名前]]</f>
        <v>|MIDDLE:​UTA戦死</v>
      </c>
      <c r="V266" s="23" t="str">
        <f>"|MIDDLE:​"&amp;テーブル1[[#This Row],[なまえ]]</f>
        <v>|MIDDLE:​うた せんし</v>
      </c>
      <c r="W266" s="23" t="str">
        <f>"|MIDDLE:​"&amp;テーブル1[[#This Row],[Name]]</f>
        <v>|MIDDLE:​Uta Senshi</v>
      </c>
      <c r="X266" s="23" t="str">
        <f>"|MIDDLE:​&amp;link(配布所はこちら){​"&amp;テーブル1[[#This Row],[リンク]]&amp;"}|"</f>
        <v>|MIDDLE:​&amp;link(配布所はこちら){​https://torinosu-hikikomori.jimdofree.com}|</v>
      </c>
    </row>
    <row r="267" spans="2:24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67" s="24" t="s">
        <v>1213</v>
      </c>
      <c r="D267" s="23" t="s">
        <v>1228</v>
      </c>
      <c r="E267" s="23" t="s">
        <v>1227</v>
      </c>
      <c r="F267" s="15" t="s">
        <v>339</v>
      </c>
      <c r="G267" s="23" t="s">
        <v>340</v>
      </c>
      <c r="O267" s="24" t="str">
        <f>テーブル1[[#This Row],[リンク]]&amp;テーブル1[[#This Row],[描画状況]]</f>
        <v>https://torinosu-hikikomori.jimdofree.com</v>
      </c>
      <c r="P267" s="17">
        <f>1-(COUNTIF(O:O,_xlfn.TEXTJOIN(",",TRUE,テーブル1[[#This Row],[リンク]],テーブル1[[#This Row],[描画状況]]))/COUNTIF(F:F,テーブル1[[#This Row],[リンク]]))</f>
        <v>0.125</v>
      </c>
      <c r="Q267" s="16">
        <f ca="1">IFERROR(IF(テーブル1[[#This Row],[描画状況]]="",RAND()+(テーブル1[[#This Row],[列2]]*100),""),RAND())</f>
        <v>12.563655017480718</v>
      </c>
      <c r="S267" s="24" t="str">
        <f ca="1">IF(AND(テーブル1[[#This Row],[描画状況]]="済",テーブル1[[#This Row],[投稿状況]]=""),RAND(),"")</f>
        <v/>
      </c>
      <c r="T267" s="23" t="str">
        <f>"|&amp;image("&amp;テーブル1[[#This Row],[画像]]&amp;".png,width=100,height=100)"</f>
        <v>|&amp;image(uta-tuufuu.png,width=100,height=100)</v>
      </c>
      <c r="U267" s="23" t="str">
        <f>"|MIDDLE:​"&amp;テーブル1[[#This Row],[名前]]</f>
        <v>|MIDDLE:​UTA痛風</v>
      </c>
      <c r="V267" s="23" t="str">
        <f>"|MIDDLE:​"&amp;テーブル1[[#This Row],[なまえ]]</f>
        <v>|MIDDLE:​うた つうふう</v>
      </c>
      <c r="W267" s="23" t="str">
        <f>"|MIDDLE:​"&amp;テーブル1[[#This Row],[Name]]</f>
        <v>|MIDDLE:​Uta Tuufuu</v>
      </c>
      <c r="X267" s="23" t="str">
        <f>"|MIDDLE:​&amp;link(配布所はこちら){​"&amp;テーブル1[[#This Row],[リンク]]&amp;"}|"</f>
        <v>|MIDDLE:​&amp;link(配布所はこちら){​https://torinosu-hikikomori.jimdofree.com}|</v>
      </c>
    </row>
    <row r="268" spans="2:24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68" s="24" t="s">
        <v>1212</v>
      </c>
      <c r="D268" s="23" t="s">
        <v>1225</v>
      </c>
      <c r="E268" s="23" t="s">
        <v>1224</v>
      </c>
      <c r="F268" s="15" t="s">
        <v>339</v>
      </c>
      <c r="G268" s="23" t="s">
        <v>340</v>
      </c>
      <c r="O268" s="24" t="str">
        <f>テーブル1[[#This Row],[リンク]]&amp;テーブル1[[#This Row],[描画状況]]</f>
        <v>https://torinosu-hikikomori.jimdofree.com</v>
      </c>
      <c r="P268" s="17">
        <f>1-(COUNTIF(O:O,_xlfn.TEXTJOIN(",",TRUE,テーブル1[[#This Row],[リンク]],テーブル1[[#This Row],[描画状況]]))/COUNTIF(F:F,テーブル1[[#This Row],[リンク]]))</f>
        <v>0.125</v>
      </c>
      <c r="Q268" s="16">
        <f ca="1">IFERROR(IF(テーブル1[[#This Row],[描画状況]]="",RAND()+(テーブル1[[#This Row],[列2]]*100),""),RAND())</f>
        <v>13.065589078640542</v>
      </c>
      <c r="S268" s="24" t="str">
        <f ca="1">IF(AND(テーブル1[[#This Row],[描画状況]]="済",テーブル1[[#This Row],[投稿状況]]=""),RAND(),"")</f>
        <v/>
      </c>
      <c r="T268" s="23" t="str">
        <f>"|&amp;image("&amp;テーブル1[[#This Row],[画像]]&amp;".png,width=100,height=100)"</f>
        <v>|&amp;image(uta-naitou.png,width=100,height=100)</v>
      </c>
      <c r="U268" s="23" t="str">
        <f>"|MIDDLE:​"&amp;テーブル1[[#This Row],[名前]]</f>
        <v>|MIDDLE:​UTA内藤</v>
      </c>
      <c r="V268" s="23" t="str">
        <f>"|MIDDLE:​"&amp;テーブル1[[#This Row],[なまえ]]</f>
        <v>|MIDDLE:​うた ないとう</v>
      </c>
      <c r="W268" s="23" t="str">
        <f>"|MIDDLE:​"&amp;テーブル1[[#This Row],[Name]]</f>
        <v>|MIDDLE:​Uta Naitou</v>
      </c>
      <c r="X268" s="23" t="str">
        <f>"|MIDDLE:​&amp;link(配布所はこちら){​"&amp;テーブル1[[#This Row],[リンク]]&amp;"}|"</f>
        <v>|MIDDLE:​&amp;link(配布所はこちら){​https://torinosu-hikikomori.jimdofree.com}|</v>
      </c>
    </row>
    <row r="269" spans="2:24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69" s="24" t="s">
        <v>528</v>
      </c>
      <c r="D269" s="23" t="s">
        <v>529</v>
      </c>
      <c r="E269" s="28" t="s">
        <v>530</v>
      </c>
      <c r="F269" s="2" t="s">
        <v>219</v>
      </c>
      <c r="G269" s="23" t="s">
        <v>220</v>
      </c>
      <c r="O269" s="24" t="str">
        <f>テーブル1[[#This Row],[リンク]]&amp;テーブル1[[#This Row],[描画状況]]</f>
        <v>https://moqujc.wixsite.com/mqtop</v>
      </c>
      <c r="P269" s="17">
        <f>1-(COUNTIF(O:O,_xlfn.TEXTJOIN(",",TRUE,テーブル1[[#This Row],[リンク]],テーブル1[[#This Row],[描画状況]]))/COUNTIF(F:F,テーブル1[[#This Row],[リンク]]))</f>
        <v>0.75</v>
      </c>
      <c r="Q269" s="16">
        <f ca="1">IFERROR(IF(テーブル1[[#This Row],[描画状況]]="",RAND()+(テーブル1[[#This Row],[列2]]*100),""),RAND())</f>
        <v>75.692836953828305</v>
      </c>
      <c r="S269" s="24" t="str">
        <f ca="1">IF(AND(テーブル1[[#This Row],[描画状況]]="済",テーブル1[[#This Row],[投稿状況]]=""),RAND(),"")</f>
        <v/>
      </c>
      <c r="T269" s="23" t="str">
        <f>"|&amp;image("&amp;テーブル1[[#This Row],[画像]]&amp;".png,width=100,height=100)"</f>
        <v>|&amp;image(eke.png,width=100,height=100)</v>
      </c>
      <c r="U269" s="23" t="str">
        <f>"|MIDDLE:​"&amp;テーブル1[[#This Row],[名前]]</f>
        <v>|MIDDLE:​Akerr</v>
      </c>
      <c r="V269" s="23" t="str">
        <f>"|MIDDLE:​"&amp;テーブル1[[#This Row],[なまえ]]</f>
        <v>|MIDDLE:​えーけー</v>
      </c>
      <c r="W269" s="23" t="str">
        <f>"|MIDDLE:​"&amp;テーブル1[[#This Row],[Name]]</f>
        <v>|MIDDLE:​eke</v>
      </c>
      <c r="X269" s="23" t="str">
        <f>"|MIDDLE:​&amp;link(配布所はこちら){​"&amp;テーブル1[[#This Row],[リンク]]&amp;"}|"</f>
        <v>|MIDDLE:​&amp;link(配布所はこちら){​https://moqujc.wixsite.com/mqtop}|</v>
      </c>
    </row>
    <row r="270" spans="2:24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0" s="24" t="s">
        <v>853</v>
      </c>
      <c r="D270" s="23" t="s">
        <v>854</v>
      </c>
      <c r="E270" s="23" t="s">
        <v>857</v>
      </c>
      <c r="F270" s="2" t="s">
        <v>833</v>
      </c>
      <c r="G270" s="23" t="s">
        <v>834</v>
      </c>
      <c r="O270" s="24" t="str">
        <f>テーブル1[[#This Row],[リンク]]&amp;テーブル1[[#This Row],[描画状況]]</f>
        <v>https://kaedekatusaki.wixsite.com/yanagiroutyou</v>
      </c>
      <c r="P270" s="17">
        <f>1-(COUNTIF(O:O,_xlfn.TEXTJOIN(",",TRUE,テーブル1[[#This Row],[リンク]],テーブル1[[#This Row],[描画状況]]))/COUNTIF(F:F,テーブル1[[#This Row],[リンク]]))</f>
        <v>0.125</v>
      </c>
      <c r="Q270" s="16">
        <f ca="1">IFERROR(IF(テーブル1[[#This Row],[描画状況]]="",RAND()+(テーブル1[[#This Row],[列2]]*100),""),RAND())</f>
        <v>12.884278208867073</v>
      </c>
      <c r="S270" s="24" t="str">
        <f ca="1">IF(AND(テーブル1[[#This Row],[描画状況]]="済",テーブル1[[#This Row],[投稿状況]]=""),RAND(),"")</f>
        <v/>
      </c>
      <c r="T270" s="23" t="str">
        <f>"|&amp;image("&amp;テーブル1[[#This Row],[画像]]&amp;".png,width=100,height=100)"</f>
        <v>|&amp;image(ekida-mari.png,width=100,height=100)</v>
      </c>
      <c r="U270" s="23" t="str">
        <f>"|MIDDLE:​"&amp;テーブル1[[#This Row],[名前]]</f>
        <v>|MIDDLE:​柄木田真理</v>
      </c>
      <c r="V270" s="23" t="str">
        <f>"|MIDDLE:​"&amp;テーブル1[[#This Row],[なまえ]]</f>
        <v>|MIDDLE:​えきだ まり</v>
      </c>
      <c r="W270" s="23" t="str">
        <f>"|MIDDLE:​"&amp;テーブル1[[#This Row],[Name]]</f>
        <v>|MIDDLE:​Ekida Mari</v>
      </c>
      <c r="X2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1" spans="2:24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1" s="24" t="s">
        <v>855</v>
      </c>
      <c r="D271" s="23" t="s">
        <v>856</v>
      </c>
      <c r="E271" s="23" t="s">
        <v>858</v>
      </c>
      <c r="F271" s="2" t="s">
        <v>833</v>
      </c>
      <c r="G271" s="23" t="s">
        <v>834</v>
      </c>
      <c r="O271" s="24" t="str">
        <f>テーブル1[[#This Row],[リンク]]&amp;テーブル1[[#This Row],[描画状況]]</f>
        <v>https://kaedekatusaki.wixsite.com/yanagiroutyou</v>
      </c>
      <c r="P271" s="17">
        <f>1-(COUNTIF(O:O,_xlfn.TEXTJOIN(",",TRUE,テーブル1[[#This Row],[リンク]],テーブル1[[#This Row],[描画状況]]))/COUNTIF(F:F,テーブル1[[#This Row],[リンク]]))</f>
        <v>0.125</v>
      </c>
      <c r="Q271" s="16">
        <f ca="1">IFERROR(IF(テーブル1[[#This Row],[描画状況]]="",RAND()+(テーブル1[[#This Row],[列2]]*100),""),RAND())</f>
        <v>12.539185959864758</v>
      </c>
      <c r="S271" s="24" t="str">
        <f ca="1">IF(AND(テーブル1[[#This Row],[描画状況]]="済",テーブル1[[#This Row],[投稿状況]]=""),RAND(),"")</f>
        <v/>
      </c>
      <c r="T271" s="23" t="str">
        <f>"|&amp;image("&amp;テーブル1[[#This Row],[画像]]&amp;".png,width=100,height=100)"</f>
        <v>|&amp;image(ekida-rima.png,width=100,height=100)</v>
      </c>
      <c r="U271" s="23" t="str">
        <f>"|MIDDLE:​"&amp;テーブル1[[#This Row],[名前]]</f>
        <v>|MIDDLE:​柄木田理真</v>
      </c>
      <c r="V271" s="23" t="str">
        <f>"|MIDDLE:​"&amp;テーブル1[[#This Row],[なまえ]]</f>
        <v>|MIDDLE:​えきだ りま</v>
      </c>
      <c r="W271" s="23" t="str">
        <f>"|MIDDLE:​"&amp;テーブル1[[#This Row],[Name]]</f>
        <v>|MIDDLE:​Ekida Rima</v>
      </c>
      <c r="X27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2" spans="2:24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2" s="24" t="s">
        <v>1452</v>
      </c>
      <c r="D272" s="23" t="s">
        <v>1452</v>
      </c>
      <c r="E272" s="23" t="s">
        <v>1453</v>
      </c>
      <c r="F272" s="15" t="s">
        <v>1447</v>
      </c>
      <c r="G272" s="23" t="s">
        <v>1448</v>
      </c>
      <c r="O272" s="24" t="str">
        <f>テーブル1[[#This Row],[リンク]]&amp;テーブル1[[#This Row],[描画状況]]</f>
        <v>https://bowlroll.net/user/992955</v>
      </c>
      <c r="P272" s="17">
        <f>1-(COUNTIF(O:O,_xlfn.TEXTJOIN(",",TRUE,テーブル1[[#This Row],[リンク]],テーブル1[[#This Row],[描画状況]]))/COUNTIF(F:F,テーブル1[[#This Row],[リンク]]))</f>
        <v>0</v>
      </c>
      <c r="Q272" s="16">
        <f ca="1">IFERROR(IF(テーブル1[[#This Row],[描画状況]]="",RAND()+(テーブル1[[#This Row],[列2]]*100),""),RAND())</f>
        <v>0.96239675487816589</v>
      </c>
      <c r="S272" s="24" t="str">
        <f ca="1">IF(AND(テーブル1[[#This Row],[描画状況]]="済",テーブル1[[#This Row],[投稿状況]]=""),RAND(),"")</f>
        <v/>
      </c>
      <c r="T272" s="23" t="str">
        <f>"|&amp;image("&amp;テーブル1[[#This Row],[画像]]&amp;".png,width=100,height=100)"</f>
        <v>|&amp;image(elmarie.png,width=100,height=100)</v>
      </c>
      <c r="U272" s="23" t="str">
        <f>"|MIDDLE:​"&amp;テーブル1[[#This Row],[名前]]</f>
        <v>|MIDDLE:​えるまりー</v>
      </c>
      <c r="V272" s="23" t="str">
        <f>"|MIDDLE:​"&amp;テーブル1[[#This Row],[なまえ]]</f>
        <v>|MIDDLE:​えるまりー</v>
      </c>
      <c r="W272" s="23" t="str">
        <f>"|MIDDLE:​"&amp;テーブル1[[#This Row],[Name]]</f>
        <v>|MIDDLE:​Elmarie</v>
      </c>
      <c r="X272" s="23" t="str">
        <f>"|MIDDLE:​&amp;link(配布所はこちら){​"&amp;テーブル1[[#This Row],[リンク]]&amp;"}|"</f>
        <v>|MIDDLE:​&amp;link(配布所はこちら){​https://bowlroll.net/user/992955}|</v>
      </c>
    </row>
    <row r="273" spans="2:24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3" s="24" t="s">
        <v>1347</v>
      </c>
      <c r="D273" s="23" t="s">
        <v>1348</v>
      </c>
      <c r="E273" s="23" t="s">
        <v>1349</v>
      </c>
      <c r="F273" s="23" t="s">
        <v>421</v>
      </c>
      <c r="G273" s="23" t="s">
        <v>1350</v>
      </c>
      <c r="O273" s="24" t="str">
        <f>テーブル1[[#This Row],[リンク]]&amp;テーブル1[[#This Row],[描画状況]]</f>
        <v>-</v>
      </c>
      <c r="P273" s="17">
        <f>1-(COUNTIF(O:O,_xlfn.TEXTJOIN(",",TRUE,テーブル1[[#This Row],[リンク]],テーブル1[[#This Row],[描画状況]]))/COUNTIF(F:F,テーブル1[[#This Row],[リンク]]))</f>
        <v>0.33333333333333337</v>
      </c>
      <c r="Q273" s="16">
        <f ca="1">IFERROR(IF(テーブル1[[#This Row],[描画状況]]="",RAND()+(テーブル1[[#This Row],[列2]]*100),""),RAND())</f>
        <v>33.47376924721928</v>
      </c>
      <c r="S273" s="24" t="str">
        <f ca="1">IF(AND(テーブル1[[#This Row],[描画状況]]="済",テーブル1[[#This Row],[投稿状況]]=""),RAND(),"")</f>
        <v/>
      </c>
      <c r="T273" s="23" t="str">
        <f>"|&amp;image("&amp;テーブル1[[#This Row],[画像]]&amp;".png,width=100,height=100)"</f>
        <v>|&amp;image(ouka-arisu.png,width=100,height=100)</v>
      </c>
      <c r="U273" s="23" t="str">
        <f>"|MIDDLE:​"&amp;テーブル1[[#This Row],[名前]]</f>
        <v>|MIDDLE:​櫻花アリス</v>
      </c>
      <c r="V273" s="23" t="str">
        <f>"|MIDDLE:​"&amp;テーブル1[[#This Row],[なまえ]]</f>
        <v>|MIDDLE:​おうか ありす</v>
      </c>
      <c r="W273" s="23" t="str">
        <f>"|MIDDLE:​"&amp;テーブル1[[#This Row],[Name]]</f>
        <v>|MIDDLE:​Ouka Arisu</v>
      </c>
      <c r="X273" s="23" t="str">
        <f>"|MIDDLE:​&amp;link(配布所はこちら){​"&amp;テーブル1[[#This Row],[リンク]]&amp;"}|"</f>
        <v>|MIDDLE:​&amp;link(配布所はこちら){​-}|</v>
      </c>
    </row>
    <row r="274" spans="2:24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4" s="24" t="s">
        <v>847</v>
      </c>
      <c r="D274" s="23" t="s">
        <v>848</v>
      </c>
      <c r="E274" s="23" t="s">
        <v>849</v>
      </c>
      <c r="F274" s="2" t="s">
        <v>833</v>
      </c>
      <c r="G274" s="23" t="s">
        <v>834</v>
      </c>
      <c r="O274" s="24" t="str">
        <f>テーブル1[[#This Row],[リンク]]&amp;テーブル1[[#This Row],[描画状況]]</f>
        <v>https://kaedekatusaki.wixsite.com/yanagiroutyou</v>
      </c>
      <c r="P274" s="17">
        <f>1-(COUNTIF(O:O,_xlfn.TEXTJOIN(",",TRUE,テーブル1[[#This Row],[リンク]],テーブル1[[#This Row],[描画状況]]))/COUNTIF(F:F,テーブル1[[#This Row],[リンク]]))</f>
        <v>0.125</v>
      </c>
      <c r="Q274" s="16">
        <f ca="1">IFERROR(IF(テーブル1[[#This Row],[描画状況]]="",RAND()+(テーブル1[[#This Row],[列2]]*100),""),RAND())</f>
        <v>12.653752968922811</v>
      </c>
      <c r="S274" s="24" t="str">
        <f ca="1">IF(AND(テーブル1[[#This Row],[描画状況]]="済",テーブル1[[#This Row],[投稿状況]]=""),RAND(),"")</f>
        <v/>
      </c>
      <c r="T274" s="23" t="str">
        <f>"|&amp;image("&amp;テーブル1[[#This Row],[画像]]&amp;".png,width=100,height=100)"</f>
        <v>|&amp;image(okashiikun.png,width=100,height=100)</v>
      </c>
      <c r="U274" s="23" t="str">
        <f>"|MIDDLE:​"&amp;テーブル1[[#This Row],[名前]]</f>
        <v>|MIDDLE:​おｋしいくん</v>
      </c>
      <c r="V274" s="23" t="str">
        <f>"|MIDDLE:​"&amp;テーブル1[[#This Row],[なまえ]]</f>
        <v>|MIDDLE:​おかしいくん</v>
      </c>
      <c r="W274" s="23" t="str">
        <f>"|MIDDLE:​"&amp;テーブル1[[#This Row],[Name]]</f>
        <v>|MIDDLE:​Okashiikun</v>
      </c>
      <c r="X27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5" spans="2:24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5" s="24" t="s">
        <v>1219</v>
      </c>
      <c r="D275" s="23" t="s">
        <v>1240</v>
      </c>
      <c r="E275" s="23" t="s">
        <v>1239</v>
      </c>
      <c r="F275" s="15" t="s">
        <v>339</v>
      </c>
      <c r="G275" s="23" t="s">
        <v>340</v>
      </c>
      <c r="O275" s="24" t="str">
        <f>テーブル1[[#This Row],[リンク]]&amp;テーブル1[[#This Row],[描画状況]]</f>
        <v>https://torinosu-hikikomori.jimdofree.com</v>
      </c>
      <c r="P275" s="17">
        <f>1-(COUNTIF(O:O,_xlfn.TEXTJOIN(",",TRUE,テーブル1[[#This Row],[リンク]],テーブル1[[#This Row],[描画状況]]))/COUNTIF(F:F,テーブル1[[#This Row],[リンク]]))</f>
        <v>0.125</v>
      </c>
      <c r="Q275" s="16">
        <f ca="1">IFERROR(IF(テーブル1[[#This Row],[描画状況]]="",RAND()+(テーブル1[[#This Row],[列2]]*100),""),RAND())</f>
        <v>12.760978725125243</v>
      </c>
      <c r="S275" s="24" t="str">
        <f ca="1">IF(AND(テーブル1[[#This Row],[描画状況]]="済",テーブル1[[#This Row],[投稿状況]]=""),RAND(),"")</f>
        <v/>
      </c>
      <c r="T275" s="23" t="str">
        <f>"|&amp;image("&amp;テーブル1[[#This Row],[画像]]&amp;".png,width=100,height=100)"</f>
        <v>|&amp;image(ohgi-fuki.png,width=100,height=100)</v>
      </c>
      <c r="U275" s="23" t="str">
        <f>"|MIDDLE:​"&amp;テーブル1[[#This Row],[名前]]</f>
        <v>|MIDDLE:​オーギ・フーキ</v>
      </c>
      <c r="V275" s="23" t="str">
        <f>"|MIDDLE:​"&amp;テーブル1[[#This Row],[なまえ]]</f>
        <v>|MIDDLE:​おぎ ふき</v>
      </c>
      <c r="W275" s="23" t="str">
        <f>"|MIDDLE:​"&amp;テーブル1[[#This Row],[Name]]</f>
        <v>|MIDDLE:​Ohgi Fuki</v>
      </c>
      <c r="X275" s="23" t="str">
        <f>"|MIDDLE:​&amp;link(配布所はこちら){​"&amp;テーブル1[[#This Row],[リンク]]&amp;"}|"</f>
        <v>|MIDDLE:​&amp;link(配布所はこちら){​https://torinosu-hikikomori.jimdofree.com}|</v>
      </c>
    </row>
    <row r="276" spans="2:24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6" s="24" t="s">
        <v>511</v>
      </c>
      <c r="D276" s="23" t="s">
        <v>512</v>
      </c>
      <c r="E276" s="23" t="s">
        <v>513</v>
      </c>
      <c r="F276" s="2" t="s">
        <v>36</v>
      </c>
      <c r="G276" s="23" t="s">
        <v>514</v>
      </c>
      <c r="M276" s="1" t="s">
        <v>1517</v>
      </c>
      <c r="O276" s="24" t="str">
        <f>テーブル1[[#This Row],[リンク]]&amp;テーブル1[[#This Row],[描画状況]]</f>
        <v>https://666not.wixsite.com/partition-voyage</v>
      </c>
      <c r="P276" s="17">
        <f>1-(COUNTIF(O:O,_xlfn.TEXTJOIN(",",TRUE,テーブル1[[#This Row],[リンク]],テーブル1[[#This Row],[描画状況]]))/COUNTIF(F:F,テーブル1[[#This Row],[リンク]]))</f>
        <v>0.5</v>
      </c>
      <c r="Q276" s="16">
        <f ca="1">IFERROR(IF(テーブル1[[#This Row],[描画状況]]="",RAND()+(テーブル1[[#This Row],[列2]]*100),""),RAND())</f>
        <v>50.667118032572851</v>
      </c>
      <c r="S276" s="24" t="str">
        <f ca="1">IF(AND(テーブル1[[#This Row],[描画状況]]="済",テーブル1[[#This Row],[投稿状況]]=""),RAND(),"")</f>
        <v/>
      </c>
      <c r="T276" s="23" t="str">
        <f>"|&amp;image("&amp;テーブル1[[#This Row],[画像]]&amp;".png,width=100,height=100)"</f>
        <v>|&amp;image(oshiro-tabi.png,width=100,height=100)</v>
      </c>
      <c r="U276" s="23" t="str">
        <f>"|MIDDLE:​"&amp;テーブル1[[#This Row],[名前]]</f>
        <v>|MIDDLE:​嗚代タビ</v>
      </c>
      <c r="V276" s="23" t="str">
        <f>"|MIDDLE:​"&amp;テーブル1[[#This Row],[なまえ]]</f>
        <v>|MIDDLE:​おしろ たび</v>
      </c>
      <c r="W276" s="23" t="str">
        <f>"|MIDDLE:​"&amp;テーブル1[[#This Row],[Name]]</f>
        <v>|MIDDLE:​Oshiro Tabi</v>
      </c>
      <c r="X276" s="23" t="str">
        <f>"|MIDDLE:​&amp;link(配布所はこちら){​"&amp;テーブル1[[#This Row],[リンク]]&amp;"}|"</f>
        <v>|MIDDLE:​&amp;link(配布所はこちら){​https://666not.wixsite.com/partition-voyage}|</v>
      </c>
    </row>
    <row r="277" spans="2:24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77" s="24" t="s">
        <v>761</v>
      </c>
      <c r="D277" s="23" t="s">
        <v>762</v>
      </c>
      <c r="E277" s="23" t="s">
        <v>763</v>
      </c>
      <c r="F277" s="15" t="s">
        <v>764</v>
      </c>
      <c r="G277" s="23" t="s">
        <v>765</v>
      </c>
      <c r="O277" s="24" t="str">
        <f>テーブル1[[#This Row],[リンク]]&amp;テーブル1[[#This Row],[描画状況]]</f>
        <v>https://bowlroll.net/user/634941</v>
      </c>
      <c r="P277" s="17">
        <f>1-(COUNTIF(O:O,_xlfn.TEXTJOIN(",",TRUE,テーブル1[[#This Row],[リンク]],テーブル1[[#This Row],[描画状況]]))/COUNTIF(F:F,テーブル1[[#This Row],[リンク]]))</f>
        <v>0</v>
      </c>
      <c r="Q277" s="16">
        <f ca="1">IFERROR(IF(テーブル1[[#This Row],[描画状況]]="",RAND()+(テーブル1[[#This Row],[列2]]*100),""),RAND())</f>
        <v>0.29342687512017862</v>
      </c>
      <c r="S277" s="24" t="str">
        <f ca="1">IF(AND(テーブル1[[#This Row],[描画状況]]="済",テーブル1[[#This Row],[投稿状況]]=""),RAND(),"")</f>
        <v/>
      </c>
      <c r="T277" s="23" t="str">
        <f>"|&amp;image("&amp;テーブル1[[#This Row],[画像]]&amp;".png,width=100,height=100)"</f>
        <v>|&amp;image(oda-maki.png,width=100,height=100)</v>
      </c>
      <c r="U277" s="23" t="str">
        <f>"|MIDDLE:​"&amp;テーブル1[[#This Row],[名前]]</f>
        <v>|MIDDLE:​苧田マキ</v>
      </c>
      <c r="V277" s="23" t="str">
        <f>"|MIDDLE:​"&amp;テーブル1[[#This Row],[なまえ]]</f>
        <v>|MIDDLE:​おだ まき</v>
      </c>
      <c r="W277" s="23" t="str">
        <f>"|MIDDLE:​"&amp;テーブル1[[#This Row],[Name]]</f>
        <v>|MIDDLE:​Oda Maki</v>
      </c>
      <c r="X277" s="23" t="str">
        <f>"|MIDDLE:​&amp;link(配布所はこちら){​"&amp;テーブル1[[#This Row],[リンク]]&amp;"}|"</f>
        <v>|MIDDLE:​&amp;link(配布所はこちら){​https://bowlroll.net/user/634941}|</v>
      </c>
    </row>
    <row r="278" spans="2:24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78" s="24" t="s">
        <v>598</v>
      </c>
      <c r="D278" s="23" t="s">
        <v>599</v>
      </c>
      <c r="E278" s="23" t="s">
        <v>600</v>
      </c>
      <c r="F278" s="2" t="s">
        <v>601</v>
      </c>
      <c r="G278" s="23" t="s">
        <v>602</v>
      </c>
      <c r="O278" s="24" t="str">
        <f>テーブル1[[#This Row],[リンク]]&amp;テーブル1[[#This Row],[描画状況]]</f>
        <v>https://bowlroll.net/user/253605</v>
      </c>
      <c r="P278" s="17">
        <f>1-(COUNTIF(O:O,_xlfn.TEXTJOIN(",",TRUE,テーブル1[[#This Row],[リンク]],テーブル1[[#This Row],[描画状況]]))/COUNTIF(F:F,テーブル1[[#This Row],[リンク]]))</f>
        <v>0</v>
      </c>
      <c r="Q278" s="16">
        <f ca="1">IFERROR(IF(テーブル1[[#This Row],[描画状況]]="",RAND()+(テーブル1[[#This Row],[列2]]*100),""),RAND())</f>
        <v>0.42866372387114249</v>
      </c>
      <c r="S278" s="24" t="str">
        <f ca="1">IF(AND(テーブル1[[#This Row],[描画状況]]="済",テーブル1[[#This Row],[投稿状況]]=""),RAND(),"")</f>
        <v/>
      </c>
      <c r="T278" s="23" t="str">
        <f>"|&amp;image("&amp;テーブル1[[#This Row],[画像]]&amp;".png,width=100,height=100)"</f>
        <v>|&amp;image(otoori-kouji.png,width=100,height=100)</v>
      </c>
      <c r="U278" s="23" t="str">
        <f>"|MIDDLE:​"&amp;テーブル1[[#This Row],[名前]]</f>
        <v>|MIDDLE:​音通コウジ</v>
      </c>
      <c r="V278" s="23" t="str">
        <f>"|MIDDLE:​"&amp;テーブル1[[#This Row],[なまえ]]</f>
        <v>|MIDDLE:​おとおり こうじ</v>
      </c>
      <c r="W278" s="23" t="str">
        <f>"|MIDDLE:​"&amp;テーブル1[[#This Row],[Name]]</f>
        <v>|MIDDLE:​Otoori Kouji</v>
      </c>
      <c r="X278" s="23" t="str">
        <f>"|MIDDLE:​&amp;link(配布所はこちら){​"&amp;テーブル1[[#This Row],[リンク]]&amp;"}|"</f>
        <v>|MIDDLE:​&amp;link(配布所はこちら){​https://bowlroll.net/user/253605}|</v>
      </c>
    </row>
    <row r="279" spans="2:24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79" s="24" t="s">
        <v>805</v>
      </c>
      <c r="D279" s="23" t="s">
        <v>807</v>
      </c>
      <c r="E279" s="23" t="s">
        <v>806</v>
      </c>
      <c r="F279" s="15" t="s">
        <v>778</v>
      </c>
      <c r="G279" s="23" t="str">
        <f>テーブル1[[#This Row],[名前]]&amp;"(UTAU)"</f>
        <v>音偽ユウ(UTAU)</v>
      </c>
      <c r="M279" s="1" t="s">
        <v>1517</v>
      </c>
      <c r="O279" s="24" t="str">
        <f>テーブル1[[#This Row],[リンク]]&amp;テーブル1[[#This Row],[描画状況]]</f>
        <v>https://cmamizki.wixsite.com/edelstein</v>
      </c>
      <c r="P279" s="17">
        <f>1-(COUNTIF(O:O,_xlfn.TEXTJOIN(",",TRUE,テーブル1[[#This Row],[リンク]],テーブル1[[#This Row],[描画状況]]))/COUNTIF(F:F,テーブル1[[#This Row],[リンク]]))</f>
        <v>9.0909090909090939E-2</v>
      </c>
      <c r="Q279" s="16">
        <f ca="1">IFERROR(IF(テーブル1[[#This Row],[描画状況]]="",RAND()+(テーブル1[[#This Row],[列2]]*100),""),RAND())</f>
        <v>9.85104960497228</v>
      </c>
      <c r="S279" s="24" t="str">
        <f ca="1">IF(AND(テーブル1[[#This Row],[描画状況]]="済",テーブル1[[#This Row],[投稿状況]]=""),RAND(),"")</f>
        <v/>
      </c>
      <c r="T279" s="23" t="str">
        <f>"|&amp;image("&amp;テーブル1[[#This Row],[画像]]&amp;".png,width=100,height=100)"</f>
        <v>|&amp;image(otogi-yu.png,width=100,height=100)</v>
      </c>
      <c r="U279" s="23" t="str">
        <f>"|MIDDLE:​"&amp;テーブル1[[#This Row],[名前]]</f>
        <v>|MIDDLE:​音偽ユウ</v>
      </c>
      <c r="V279" s="23" t="str">
        <f>"|MIDDLE:​"&amp;テーブル1[[#This Row],[なまえ]]</f>
        <v>|MIDDLE:​おとぎ ゆう</v>
      </c>
      <c r="W279" s="23" t="str">
        <f>"|MIDDLE:​"&amp;テーブル1[[#This Row],[Name]]</f>
        <v>|MIDDLE:​Otogi Yu</v>
      </c>
      <c r="X279" s="23" t="str">
        <f>"|MIDDLE:​&amp;link(配布所はこちら){​"&amp;テーブル1[[#This Row],[リンク]]&amp;"}|"</f>
        <v>|MIDDLE:​&amp;link(配布所はこちら){​https://cmamizki.wixsite.com/edelstein}|</v>
      </c>
    </row>
    <row r="280" spans="2:24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0" s="24" t="s">
        <v>1017</v>
      </c>
      <c r="D280" s="23" t="s">
        <v>1020</v>
      </c>
      <c r="E280" s="23" t="s">
        <v>1021</v>
      </c>
      <c r="F280" s="2" t="s">
        <v>540</v>
      </c>
      <c r="G280" s="23" t="s">
        <v>1013</v>
      </c>
      <c r="H280" s="23" t="s">
        <v>1626</v>
      </c>
      <c r="I280" s="23" t="s">
        <v>1654</v>
      </c>
      <c r="J280" s="23" t="s">
        <v>1716</v>
      </c>
      <c r="K280" s="23" t="s">
        <v>1694</v>
      </c>
      <c r="O280" s="24" t="str">
        <f>テーブル1[[#This Row],[リンク]]&amp;テーブル1[[#This Row],[描画状況]]</f>
        <v>https://bowlroll.net/user/980255</v>
      </c>
      <c r="P280" s="17">
        <f>1-(COUNTIF(O:O,_xlfn.TEXTJOIN(",",TRUE,テーブル1[[#This Row],[リンク]],テーブル1[[#This Row],[描画状況]]))/COUNTIF(F:F,テーブル1[[#This Row],[リンク]]))</f>
        <v>0.5714285714285714</v>
      </c>
      <c r="Q280" s="16">
        <f ca="1">IFERROR(IF(テーブル1[[#This Row],[描画状況]]="",RAND()+(テーブル1[[#This Row],[列2]]*100),""),RAND())</f>
        <v>58.072498992451344</v>
      </c>
      <c r="S280" s="24" t="str">
        <f ca="1">IF(AND(テーブル1[[#This Row],[描画状況]]="済",テーブル1[[#This Row],[投稿状況]]=""),RAND(),"")</f>
        <v/>
      </c>
      <c r="T280" s="23" t="str">
        <f>"|&amp;image("&amp;テーブル1[[#This Row],[画像]]&amp;".png,width=100,height=100)"</f>
        <v>|&amp;image(otonashi-kae.png,width=100,height=100)</v>
      </c>
      <c r="U280" s="23" t="str">
        <f>"|MIDDLE:​"&amp;テーブル1[[#This Row],[名前]]</f>
        <v>|MIDDLE:​於菟無カエ</v>
      </c>
      <c r="V280" s="23" t="str">
        <f>"|MIDDLE:​"&amp;テーブル1[[#This Row],[なまえ]]</f>
        <v>|MIDDLE:​おとなし かえ</v>
      </c>
      <c r="W280" s="23" t="str">
        <f>"|MIDDLE:​"&amp;テーブル1[[#This Row],[Name]]</f>
        <v>|MIDDLE:​Otonashi Kae</v>
      </c>
      <c r="X280" s="23" t="str">
        <f>"|MIDDLE:​&amp;link(配布所はこちら){​"&amp;テーブル1[[#This Row],[リンク]]&amp;"}|"</f>
        <v>|MIDDLE:​&amp;link(配布所はこちら){​https://bowlroll.net/user/980255}|</v>
      </c>
    </row>
    <row r="281" spans="2:24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1" s="24" t="s">
        <v>1333</v>
      </c>
      <c r="D281" s="23" t="s">
        <v>1335</v>
      </c>
      <c r="E281" s="23" t="s">
        <v>1334</v>
      </c>
      <c r="F281" s="15" t="s">
        <v>1321</v>
      </c>
      <c r="G281" s="23" t="str">
        <f>テーブル1[[#This Row],[名前]]&amp;"(UTAU)"</f>
        <v>オトワシグレ(UTAU)</v>
      </c>
      <c r="O281" s="24" t="str">
        <f>テーブル1[[#This Row],[リンク]]&amp;テーブル1[[#This Row],[描画状況]]</f>
        <v>https://jiwajiwakirinn.wixsite.com/sakurada</v>
      </c>
      <c r="P281" s="17">
        <f>1-(COUNTIF(O:O,_xlfn.TEXTJOIN(",",TRUE,テーブル1[[#This Row],[リンク]],テーブル1[[#This Row],[描画状況]]))/COUNTIF(F:F,テーブル1[[#This Row],[リンク]]))</f>
        <v>0.19999999999999996</v>
      </c>
      <c r="Q281" s="16">
        <f ca="1">IFERROR(IF(テーブル1[[#This Row],[描画状況]]="",RAND()+(テーブル1[[#This Row],[列2]]*100),""),RAND())</f>
        <v>20.929513670916119</v>
      </c>
      <c r="S281" s="24" t="str">
        <f ca="1">IF(AND(テーブル1[[#This Row],[描画状況]]="済",テーブル1[[#This Row],[投稿状況]]=""),RAND(),"")</f>
        <v/>
      </c>
      <c r="T281" s="23" t="str">
        <f>"|&amp;image("&amp;テーブル1[[#This Row],[画像]]&amp;".png,width=100,height=100)"</f>
        <v>|&amp;image(otowa-shigure.png,width=100,height=100)</v>
      </c>
      <c r="U281" s="23" t="str">
        <f>"|MIDDLE:​"&amp;テーブル1[[#This Row],[名前]]</f>
        <v>|MIDDLE:​オトワシグレ</v>
      </c>
      <c r="V281" s="23" t="str">
        <f>"|MIDDLE:​"&amp;テーブル1[[#This Row],[なまえ]]</f>
        <v>|MIDDLE:​おとわ しぐれ</v>
      </c>
      <c r="W281" s="23" t="str">
        <f>"|MIDDLE:​"&amp;テーブル1[[#This Row],[Name]]</f>
        <v>|MIDDLE:​Otowa Shigure</v>
      </c>
      <c r="X281" s="23" t="str">
        <f>"|MIDDLE:​&amp;link(配布所はこちら){​"&amp;テーブル1[[#This Row],[リンク]]&amp;"}|"</f>
        <v>|MIDDLE:​&amp;link(配布所はこちら){​https://jiwajiwakirinn.wixsite.com/sakurada}|</v>
      </c>
    </row>
    <row r="282" spans="2:24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2" s="24" t="s">
        <v>911</v>
      </c>
      <c r="D282" s="23" t="s">
        <v>913</v>
      </c>
      <c r="E282" s="23" t="s">
        <v>912</v>
      </c>
      <c r="F282" s="15" t="s">
        <v>904</v>
      </c>
      <c r="G282" s="23" t="s">
        <v>917</v>
      </c>
      <c r="O282" s="24" t="str">
        <f>テーブル1[[#This Row],[リンク]]&amp;テーブル1[[#This Row],[描画状況]]</f>
        <v>https://suukedayo.wixsite.com/shiawasefairu</v>
      </c>
      <c r="P282" s="17">
        <f>1-(COUNTIF(O:O,_xlfn.TEXTJOIN(",",TRUE,テーブル1[[#This Row],[リンク]],テーブル1[[#This Row],[描画状況]]))/COUNTIF(F:F,テーブル1[[#This Row],[リンク]]))</f>
        <v>0</v>
      </c>
      <c r="Q282" s="16">
        <f ca="1">IFERROR(IF(テーブル1[[#This Row],[描画状況]]="",RAND()+(テーブル1[[#This Row],[列2]]*100),""),RAND())</f>
        <v>0.7111454928111286</v>
      </c>
      <c r="S282" s="24" t="str">
        <f ca="1">IF(AND(テーブル1[[#This Row],[描画状況]]="済",テーブル1[[#This Row],[投稿状況]]=""),RAND(),"")</f>
        <v/>
      </c>
      <c r="T282" s="23" t="str">
        <f>"|&amp;image("&amp;テーブル1[[#This Row],[画像]]&amp;".png,width=100,height=100)"</f>
        <v>|&amp;image(kaiko-rito.png,width=100,height=100)</v>
      </c>
      <c r="U282" s="23" t="str">
        <f>"|MIDDLE:​"&amp;テーブル1[[#This Row],[名前]]</f>
        <v>|MIDDLE:​开狐リト</v>
      </c>
      <c r="V282" s="23" t="str">
        <f>"|MIDDLE:​"&amp;テーブル1[[#This Row],[なまえ]]</f>
        <v>|MIDDLE:​かいこ りと</v>
      </c>
      <c r="W282" s="23" t="str">
        <f>"|MIDDLE:​"&amp;テーブル1[[#This Row],[Name]]</f>
        <v>|MIDDLE:​Kaiko Rito</v>
      </c>
      <c r="X282" s="23" t="str">
        <f>"|MIDDLE:​&amp;link(配布所はこちら){​"&amp;テーブル1[[#This Row],[リンク]]&amp;"}|"</f>
        <v>|MIDDLE:​&amp;link(配布所はこちら){​https://suukedayo.wixsite.com/shiawasefairu}|</v>
      </c>
    </row>
    <row r="283" spans="2:24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3" s="24" t="s">
        <v>990</v>
      </c>
      <c r="D283" s="23" t="s">
        <v>993</v>
      </c>
      <c r="E283" s="23" t="s">
        <v>991</v>
      </c>
      <c r="F283" s="2" t="s">
        <v>572</v>
      </c>
      <c r="G283" s="23" t="s">
        <v>573</v>
      </c>
      <c r="M283" s="1" t="s">
        <v>1517</v>
      </c>
      <c r="O283" s="24" t="str">
        <f>テーブル1[[#This Row],[リンク]]&amp;テーブル1[[#This Row],[描画状況]]</f>
        <v>https://askdance.wixsite.com/monitor-room/monitor-room</v>
      </c>
      <c r="P283" s="17">
        <f>1-(COUNTIF(O:O,_xlfn.TEXTJOIN(",",TRUE,テーブル1[[#This Row],[リンク]],テーブル1[[#This Row],[描画状況]]))/COUNTIF(F:F,テーブル1[[#This Row],[リンク]]))</f>
        <v>9.9999999999999978E-2</v>
      </c>
      <c r="Q283" s="16">
        <f ca="1">IFERROR(IF(テーブル1[[#This Row],[描画状況]]="",RAND()+(テーブル1[[#This Row],[列2]]*100),""),RAND())</f>
        <v>10.575091841546062</v>
      </c>
      <c r="S283" s="24" t="str">
        <f ca="1">IF(AND(テーブル1[[#This Row],[描画状況]]="済",テーブル1[[#This Row],[投稿状況]]=""),RAND(),"")</f>
        <v/>
      </c>
      <c r="T283" s="23" t="str">
        <f>"|&amp;image("&amp;テーブル1[[#This Row],[画像]]&amp;".png,width=100,height=100)"</f>
        <v>|&amp;image(gaitou-nashi.png,width=100,height=100)</v>
      </c>
      <c r="U283" s="23" t="str">
        <f>"|MIDDLE:​"&amp;テーブル1[[#This Row],[名前]]</f>
        <v>|MIDDLE:​該当ナシ</v>
      </c>
      <c r="V283" s="23" t="str">
        <f>"|MIDDLE:​"&amp;テーブル1[[#This Row],[なまえ]]</f>
        <v>|MIDDLE:​がいとう なし</v>
      </c>
      <c r="W283" s="23" t="str">
        <f>"|MIDDLE:​"&amp;テーブル1[[#This Row],[Name]]</f>
        <v>|MIDDLE:​Gaitou Nashi</v>
      </c>
      <c r="X28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4" spans="2:24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4" s="24" t="s">
        <v>1034</v>
      </c>
      <c r="D284" s="23" t="s">
        <v>1036</v>
      </c>
      <c r="E284" s="23" t="s">
        <v>1035</v>
      </c>
      <c r="F284" s="2" t="s">
        <v>93</v>
      </c>
      <c r="G284" s="23" t="s">
        <v>94</v>
      </c>
      <c r="H284" s="23" t="s">
        <v>1626</v>
      </c>
      <c r="I284" s="23" t="s">
        <v>1650</v>
      </c>
      <c r="K284" s="23" t="s">
        <v>1653</v>
      </c>
      <c r="M284" s="1" t="s">
        <v>1518</v>
      </c>
      <c r="O284" s="24" t="str">
        <f>テーブル1[[#This Row],[リンク]]&amp;テーブル1[[#This Row],[描画状況]]</f>
        <v>https://cloudcatch1224.wixsite.com/godsfoot</v>
      </c>
      <c r="P284" s="17">
        <f>1-(COUNTIF(O:O,_xlfn.TEXTJOIN(",",TRUE,テーブル1[[#This Row],[リンク]],テーブル1[[#This Row],[描画状況]]))/COUNTIF(F:F,テーブル1[[#This Row],[リンク]]))</f>
        <v>0.8</v>
      </c>
      <c r="Q284" s="16">
        <f ca="1">IFERROR(IF(テーブル1[[#This Row],[描画状況]]="",RAND()+(テーブル1[[#This Row],[列2]]*100),""),RAND())</f>
        <v>80.327031586752639</v>
      </c>
      <c r="S284" s="24" t="str">
        <f ca="1">IF(AND(テーブル1[[#This Row],[描画状況]]="済",テーブル1[[#This Row],[投稿状況]]=""),RAND(),"")</f>
        <v/>
      </c>
      <c r="T284" s="23" t="str">
        <f>"|&amp;image("&amp;テーブル1[[#This Row],[画像]]&amp;".png,width=100,height=100)"</f>
        <v>|&amp;image(kagibako-moka.png,width=100,height=100)</v>
      </c>
      <c r="U284" s="23" t="str">
        <f>"|MIDDLE:​"&amp;テーブル1[[#This Row],[名前]]</f>
        <v>|MIDDLE:​鍵箱モカ</v>
      </c>
      <c r="V284" s="23" t="str">
        <f>"|MIDDLE:​"&amp;テーブル1[[#This Row],[なまえ]]</f>
        <v>|MIDDLE:​かぎばこ もか</v>
      </c>
      <c r="W284" s="23" t="str">
        <f>"|MIDDLE:​"&amp;テーブル1[[#This Row],[Name]]</f>
        <v>|MIDDLE:​Kagibako Moka</v>
      </c>
      <c r="X284" s="23" t="str">
        <f>"|MIDDLE:​&amp;link(配布所はこちら){​"&amp;テーブル1[[#This Row],[リンク]]&amp;"}|"</f>
        <v>|MIDDLE:​&amp;link(配布所はこちら){​https://cloudcatch1224.wixsite.com/godsfoot}|</v>
      </c>
    </row>
    <row r="285" spans="2:24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5" s="24" t="s">
        <v>1074</v>
      </c>
      <c r="D285" s="23" t="s">
        <v>1075</v>
      </c>
      <c r="E285" s="23" t="s">
        <v>1076</v>
      </c>
      <c r="F285" s="15" t="s">
        <v>1066</v>
      </c>
      <c r="G285" s="23" t="s">
        <v>1067</v>
      </c>
      <c r="O285" s="24" t="str">
        <f>テーブル1[[#This Row],[リンク]]&amp;テーブル1[[#This Row],[描画状況]]</f>
        <v>https://yukimiyashimusho.jimdofree.com</v>
      </c>
      <c r="P285" s="17">
        <f>1-(COUNTIF(O:O,_xlfn.TEXTJOIN(",",TRUE,テーブル1[[#This Row],[リンク]],テーブル1[[#This Row],[描画状況]]))/COUNTIF(F:F,テーブル1[[#This Row],[リンク]]))</f>
        <v>7.1428571428571397E-2</v>
      </c>
      <c r="Q285" s="16">
        <f ca="1">IFERROR(IF(テーブル1[[#This Row],[描画状況]]="",RAND()+(テーブル1[[#This Row],[列2]]*100),""),RAND())</f>
        <v>7.8108017882645457</v>
      </c>
      <c r="S285" s="24" t="str">
        <f ca="1">IF(AND(テーブル1[[#This Row],[描画状況]]="済",テーブル1[[#This Row],[投稿状況]]=""),RAND(),"")</f>
        <v/>
      </c>
      <c r="T285" s="23" t="str">
        <f>"|&amp;image("&amp;テーブル1[[#This Row],[画像]]&amp;".png,width=100,height=100)"</f>
        <v>|&amp;image(kashihara-xavier.png,width=100,height=100)</v>
      </c>
      <c r="U285" s="23" t="str">
        <f>"|MIDDLE:​"&amp;テーブル1[[#This Row],[名前]]</f>
        <v>|MIDDLE:​橿原ザビエル</v>
      </c>
      <c r="V285" s="23" t="str">
        <f>"|MIDDLE:​"&amp;テーブル1[[#This Row],[なまえ]]</f>
        <v>|MIDDLE:​かしはら ざびえる</v>
      </c>
      <c r="W285" s="23" t="str">
        <f>"|MIDDLE:​"&amp;テーブル1[[#This Row],[Name]]</f>
        <v>|MIDDLE:​Kashihara Xavier</v>
      </c>
      <c r="X285" s="23" t="str">
        <f>"|MIDDLE:​&amp;link(配布所はこちら){​"&amp;テーブル1[[#This Row],[リンク]]&amp;"}|"</f>
        <v>|MIDDLE:​&amp;link(配布所はこちら){​https://yukimiyashimusho.jimdofree.com}|</v>
      </c>
    </row>
    <row r="286" spans="2:24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6" s="24" t="s">
        <v>1215</v>
      </c>
      <c r="D286" s="23" t="s">
        <v>1232</v>
      </c>
      <c r="E286" s="23" t="s">
        <v>1231</v>
      </c>
      <c r="F286" s="15" t="s">
        <v>339</v>
      </c>
      <c r="G286" s="23" t="s">
        <v>340</v>
      </c>
      <c r="O286" s="24" t="str">
        <f>テーブル1[[#This Row],[リンク]]&amp;テーブル1[[#This Row],[描画状況]]</f>
        <v>https://torinosu-hikikomori.jimdofree.com</v>
      </c>
      <c r="P286" s="17">
        <f>1-(COUNTIF(O:O,_xlfn.TEXTJOIN(",",TRUE,テーブル1[[#This Row],[リンク]],テーブル1[[#This Row],[描画状況]]))/COUNTIF(F:F,テーブル1[[#This Row],[リンク]]))</f>
        <v>0.125</v>
      </c>
      <c r="Q286" s="16">
        <f ca="1">IFERROR(IF(テーブル1[[#This Row],[描画状況]]="",RAND()+(テーブル1[[#This Row],[列2]]*100),""),RAND())</f>
        <v>12.907269447359893</v>
      </c>
      <c r="S286" s="24" t="str">
        <f ca="1">IF(AND(テーブル1[[#This Row],[描画状況]]="済",テーブル1[[#This Row],[投稿状況]]=""),RAND(),"")</f>
        <v/>
      </c>
      <c r="T286" s="23" t="str">
        <f>"|&amp;image("&amp;テーブル1[[#This Row],[画像]]&amp;".png,width=100,height=100)"</f>
        <v>|&amp;image(cutter-knife-girl-in-love.png,width=100,height=100)</v>
      </c>
      <c r="U286" s="23" t="str">
        <f>"|MIDDLE:​"&amp;テーブル1[[#This Row],[名前]]</f>
        <v>|MIDDLE:​カッターナイフと恋する少女</v>
      </c>
      <c r="V286" s="23" t="str">
        <f>"|MIDDLE:​"&amp;テーブル1[[#This Row],[なまえ]]</f>
        <v>|MIDDLE:​かったーないふとこいするしょうじょ</v>
      </c>
      <c r="W286" s="23" t="str">
        <f>"|MIDDLE:​"&amp;テーブル1[[#This Row],[Name]]</f>
        <v>|MIDDLE:​Cutter Knife &amp; Girl in Love</v>
      </c>
      <c r="X286" s="23" t="str">
        <f>"|MIDDLE:​&amp;link(配布所はこちら){​"&amp;テーブル1[[#This Row],[リンク]]&amp;"}|"</f>
        <v>|MIDDLE:​&amp;link(配布所はこちら){​https://torinosu-hikikomori.jimdofree.com}|</v>
      </c>
    </row>
    <row r="287" spans="2:24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87" s="24" t="s">
        <v>782</v>
      </c>
      <c r="D287" s="23" t="s">
        <v>783</v>
      </c>
      <c r="E287" s="23" t="s">
        <v>785</v>
      </c>
      <c r="F287" s="15" t="s">
        <v>778</v>
      </c>
      <c r="G287" s="23" t="s">
        <v>784</v>
      </c>
      <c r="M287" s="1" t="s">
        <v>1517</v>
      </c>
      <c r="O287" s="24" t="str">
        <f>テーブル1[[#This Row],[リンク]]&amp;テーブル1[[#This Row],[描画状況]]</f>
        <v>https://cmamizki.wixsite.com/edelstein</v>
      </c>
      <c r="P287" s="17">
        <f>1-(COUNTIF(O:O,_xlfn.TEXTJOIN(",",TRUE,テーブル1[[#This Row],[リンク]],テーブル1[[#This Row],[描画状況]]))/COUNTIF(F:F,テーブル1[[#This Row],[リンク]]))</f>
        <v>9.0909090909090939E-2</v>
      </c>
      <c r="Q287" s="16">
        <f ca="1">IFERROR(IF(テーブル1[[#This Row],[描画状況]]="",RAND()+(テーブル1[[#This Row],[列2]]*100),""),RAND())</f>
        <v>10.052739782889818</v>
      </c>
      <c r="S287" s="24" t="str">
        <f ca="1">IF(AND(テーブル1[[#This Row],[描画状況]]="済",テーブル1[[#This Row],[投稿状況]]=""),RAND(),"")</f>
        <v/>
      </c>
      <c r="T287" s="23" t="str">
        <f>"|&amp;image("&amp;テーブル1[[#This Row],[画像]]&amp;".png,width=100,height=100)"</f>
        <v>|&amp;image(caffin.png,width=100,height=100)</v>
      </c>
      <c r="U287" s="23" t="str">
        <f>"|MIDDLE:​"&amp;テーブル1[[#This Row],[名前]]</f>
        <v>|MIDDLE:​カフィン</v>
      </c>
      <c r="V287" s="23" t="str">
        <f>"|MIDDLE:​"&amp;テーブル1[[#This Row],[なまえ]]</f>
        <v>|MIDDLE:​かふぃん</v>
      </c>
      <c r="W287" s="23" t="str">
        <f>"|MIDDLE:​"&amp;テーブル1[[#This Row],[Name]]</f>
        <v>|MIDDLE:​Caffin</v>
      </c>
      <c r="X287" s="23" t="str">
        <f>"|MIDDLE:​&amp;link(配布所はこちら){​"&amp;テーブル1[[#This Row],[リンク]]&amp;"}|"</f>
        <v>|MIDDLE:​&amp;link(配布所はこちら){​https://cmamizki.wixsite.com/edelstein}|</v>
      </c>
    </row>
    <row r="288" spans="2:24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88" s="24" t="s">
        <v>1182</v>
      </c>
      <c r="D288" s="23" t="s">
        <v>1183</v>
      </c>
      <c r="E288" s="23" t="s">
        <v>1184</v>
      </c>
      <c r="F288" s="15" t="s">
        <v>1181</v>
      </c>
      <c r="G288" s="23" t="s">
        <v>1185</v>
      </c>
      <c r="O288" s="24" t="str">
        <f>テーブル1[[#This Row],[リンク]]&amp;テーブル1[[#This Row],[描画状況]]</f>
        <v>http://lunacalan.com</v>
      </c>
      <c r="P288" s="17">
        <f>1-(COUNTIF(O:O,_xlfn.TEXTJOIN(",",TRUE,テーブル1[[#This Row],[リンク]],テーブル1[[#This Row],[描画状況]]))/COUNTIF(F:F,テーブル1[[#This Row],[リンク]]))</f>
        <v>0</v>
      </c>
      <c r="Q288" s="16">
        <f ca="1">IFERROR(IF(テーブル1[[#This Row],[描画状況]]="",RAND()+(テーブル1[[#This Row],[列2]]*100),""),RAND())</f>
        <v>0.18718799119007179</v>
      </c>
      <c r="S288" s="24" t="str">
        <f ca="1">IF(AND(テーブル1[[#This Row],[描画状況]]="済",テーブル1[[#This Row],[投稿状況]]=""),RAND(),"")</f>
        <v/>
      </c>
      <c r="T288" s="23" t="str">
        <f>"|&amp;image("&amp;テーブル1[[#This Row],[画像]]&amp;".png,width=100,height=100)"</f>
        <v>|&amp;image(karan-runa.png,width=100,height=100)</v>
      </c>
      <c r="U288" s="23" t="str">
        <f>"|MIDDLE:​"&amp;テーブル1[[#This Row],[名前]]</f>
        <v>|MIDDLE:​花蘭るな</v>
      </c>
      <c r="V288" s="23" t="str">
        <f>"|MIDDLE:​"&amp;テーブル1[[#This Row],[なまえ]]</f>
        <v>|MIDDLE:​からん るな</v>
      </c>
      <c r="W288" s="23" t="str">
        <f>"|MIDDLE:​"&amp;テーブル1[[#This Row],[Name]]</f>
        <v>|MIDDLE:​Karan Runa</v>
      </c>
      <c r="X288" s="23" t="str">
        <f>"|MIDDLE:​&amp;link(配布所はこちら){​"&amp;テーブル1[[#This Row],[リンク]]&amp;"}|"</f>
        <v>|MIDDLE:​&amp;link(配布所はこちら){​http://lunacalan.com}|</v>
      </c>
    </row>
    <row r="289" spans="2:24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89" s="24" t="s">
        <v>1016</v>
      </c>
      <c r="D289" s="23" t="s">
        <v>1018</v>
      </c>
      <c r="E289" s="23" t="s">
        <v>1019</v>
      </c>
      <c r="F289" s="2" t="s">
        <v>540</v>
      </c>
      <c r="G289" s="23" t="s">
        <v>1013</v>
      </c>
      <c r="H289" s="23" t="s">
        <v>1627</v>
      </c>
      <c r="I289" s="23" t="s">
        <v>1636</v>
      </c>
      <c r="J289" s="23" t="s">
        <v>1716</v>
      </c>
      <c r="K289" s="23" t="s">
        <v>1637</v>
      </c>
      <c r="O289" s="24" t="str">
        <f>テーブル1[[#This Row],[リンク]]&amp;テーブル1[[#This Row],[描画状況]]</f>
        <v>https://bowlroll.net/user/980255</v>
      </c>
      <c r="P289" s="17">
        <f>1-(COUNTIF(O:O,_xlfn.TEXTJOIN(",",TRUE,テーブル1[[#This Row],[リンク]],テーブル1[[#This Row],[描画状況]]))/COUNTIF(F:F,テーブル1[[#This Row],[リンク]]))</f>
        <v>0.5714285714285714</v>
      </c>
      <c r="Q289" s="16">
        <f ca="1">IFERROR(IF(テーブル1[[#This Row],[描画状況]]="",RAND()+(テーブル1[[#This Row],[列2]]*100),""),RAND())</f>
        <v>57.802313011755835</v>
      </c>
      <c r="S289" s="24" t="str">
        <f ca="1">IF(AND(テーブル1[[#This Row],[描画状況]]="済",テーブル1[[#This Row],[投稿状況]]=""),RAND(),"")</f>
        <v/>
      </c>
      <c r="T289" s="23" t="str">
        <f>"|&amp;image("&amp;テーブル1[[#This Row],[画像]]&amp;".png,width=100,height=100)"</f>
        <v>|&amp;image(karuta-koya.png,width=100,height=100)</v>
      </c>
      <c r="U289" s="23" t="str">
        <f>"|MIDDLE:​"&amp;テーブル1[[#This Row],[名前]]</f>
        <v>|MIDDLE:​歌留多耕也</v>
      </c>
      <c r="V289" s="23" t="str">
        <f>"|MIDDLE:​"&amp;テーブル1[[#This Row],[なまえ]]</f>
        <v>|MIDDLE:​かるた こうや</v>
      </c>
      <c r="W289" s="23" t="str">
        <f>"|MIDDLE:​"&amp;テーブル1[[#This Row],[Name]]</f>
        <v>|MIDDLE:​Karuta Koya</v>
      </c>
      <c r="X289" s="23" t="str">
        <f>"|MIDDLE:​&amp;link(配布所はこちら){​"&amp;テーブル1[[#This Row],[リンク]]&amp;"}|"</f>
        <v>|MIDDLE:​&amp;link(配布所はこちら){​https://bowlroll.net/user/980255}|</v>
      </c>
    </row>
    <row r="290" spans="2:24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0" s="24" t="s">
        <v>844</v>
      </c>
      <c r="D290" s="23" t="s">
        <v>845</v>
      </c>
      <c r="E290" s="23" t="s">
        <v>846</v>
      </c>
      <c r="F290" s="2" t="s">
        <v>833</v>
      </c>
      <c r="G290" s="23" t="s">
        <v>834</v>
      </c>
      <c r="O290" s="24" t="str">
        <f>テーブル1[[#This Row],[リンク]]&amp;テーブル1[[#This Row],[描画状況]]</f>
        <v>https://kaedekatusaki.wixsite.com/yanagiroutyou</v>
      </c>
      <c r="P290" s="17">
        <f>1-(COUNTIF(O:O,_xlfn.TEXTJOIN(",",TRUE,テーブル1[[#This Row],[リンク]],テーブル1[[#This Row],[描画状況]]))/COUNTIF(F:F,テーブル1[[#This Row],[リンク]]))</f>
        <v>0.125</v>
      </c>
      <c r="Q290" s="16">
        <f ca="1">IFERROR(IF(テーブル1[[#This Row],[描画状況]]="",RAND()+(テーブル1[[#This Row],[列2]]*100),""),RAND())</f>
        <v>12.657432988738165</v>
      </c>
      <c r="S290" s="24" t="str">
        <f ca="1">IF(AND(テーブル1[[#This Row],[描画状況]]="済",テーブル1[[#This Row],[投稿状況]]=""),RAND(),"")</f>
        <v/>
      </c>
      <c r="T290" s="23" t="str">
        <f>"|&amp;image("&amp;テーブル1[[#This Row],[画像]]&amp;".png,width=100,height=100)"</f>
        <v>|&amp;image(kido-on.png,width=100,height=100)</v>
      </c>
      <c r="U290" s="23" t="str">
        <f>"|MIDDLE:​"&amp;テーブル1[[#This Row],[名前]]</f>
        <v>|MIDDLE:​​機動穏</v>
      </c>
      <c r="V290" s="23" t="str">
        <f>"|MIDDLE:​"&amp;テーブル1[[#This Row],[なまえ]]</f>
        <v>|MIDDLE:​きどう おん</v>
      </c>
      <c r="W290" s="23" t="str">
        <f>"|MIDDLE:​"&amp;テーブル1[[#This Row],[Name]]</f>
        <v>|MIDDLE:​Kido On</v>
      </c>
      <c r="X29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1" spans="2:24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1" s="24" t="s">
        <v>1060</v>
      </c>
      <c r="D291" s="23" t="s">
        <v>1061</v>
      </c>
      <c r="E291" s="23" t="s">
        <v>1062</v>
      </c>
      <c r="F291" s="15" t="s">
        <v>671</v>
      </c>
      <c r="G291" s="23" t="s">
        <v>672</v>
      </c>
      <c r="M291" s="1" t="s">
        <v>1517</v>
      </c>
      <c r="O291" s="24" t="str">
        <f>テーブル1[[#This Row],[リンク]]&amp;テーブル1[[#This Row],[描画状況]]</f>
        <v>https://flowerrocklove.wixsite.com/twilight-crisis</v>
      </c>
      <c r="P291" s="17">
        <f>1-(COUNTIF(O:O,_xlfn.TEXTJOIN(",",TRUE,テーブル1[[#This Row],[リンク]],テーブル1[[#This Row],[描画状況]]))/COUNTIF(F:F,テーブル1[[#This Row],[リンク]]))</f>
        <v>0.22222222222222221</v>
      </c>
      <c r="Q291" s="16">
        <f ca="1">IFERROR(IF(テーブル1[[#This Row],[描画状況]]="",RAND()+(テーブル1[[#This Row],[列2]]*100),""),RAND())</f>
        <v>22.66494282707124</v>
      </c>
      <c r="S291" s="24" t="str">
        <f ca="1">IF(AND(テーブル1[[#This Row],[描画状況]]="済",テーブル1[[#This Row],[投稿状況]]=""),RAND(),"")</f>
        <v/>
      </c>
      <c r="T291" s="23" t="str">
        <f>"|&amp;image("&amp;テーブル1[[#This Row],[画像]]&amp;".png,width=100,height=100)"</f>
        <v>|&amp;image(gitorasan.png,width=100,height=100)</v>
      </c>
      <c r="U291" s="23" t="str">
        <f>"|MIDDLE:​"&amp;テーブル1[[#This Row],[名前]]</f>
        <v>|MIDDLE:​ギトラさん</v>
      </c>
      <c r="V291" s="23" t="str">
        <f>"|MIDDLE:​"&amp;テーブル1[[#This Row],[なまえ]]</f>
        <v>|MIDDLE:​ぎとらさん</v>
      </c>
      <c r="W291" s="23" t="str">
        <f>"|MIDDLE:​"&amp;テーブル1[[#This Row],[Name]]</f>
        <v>|MIDDLE:​Gitorasan</v>
      </c>
      <c r="X29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2" spans="2:24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2" s="24" t="s">
        <v>1003</v>
      </c>
      <c r="D292" s="23" t="s">
        <v>1006</v>
      </c>
      <c r="E292" s="23" t="s">
        <v>1007</v>
      </c>
      <c r="F292" s="2" t="s">
        <v>64</v>
      </c>
      <c r="G292" s="23" t="s">
        <v>65</v>
      </c>
      <c r="M292" s="1" t="s">
        <v>1517</v>
      </c>
      <c r="O292" s="24" t="str">
        <f>テーブル1[[#This Row],[リンク]]&amp;テーブル1[[#This Row],[描画状況]]</f>
        <v>https://bowlroll.net/user/852117/files</v>
      </c>
      <c r="P292" s="17">
        <f>1-(COUNTIF(O:O,_xlfn.TEXTJOIN(",",TRUE,テーブル1[[#This Row],[リンク]],テーブル1[[#This Row],[描画状況]]))/COUNTIF(F:F,テーブル1[[#This Row],[リンク]]))</f>
        <v>0.6</v>
      </c>
      <c r="Q292" s="16">
        <f ca="1">IFERROR(IF(テーブル1[[#This Row],[描画状況]]="",RAND()+(テーブル1[[#This Row],[列2]]*100),""),RAND())</f>
        <v>60.44351925151097</v>
      </c>
      <c r="S292" s="24" t="str">
        <f ca="1">IF(AND(テーブル1[[#This Row],[描画状況]]="済",テーブル1[[#This Row],[投稿状況]]=""),RAND(),"")</f>
        <v/>
      </c>
      <c r="T292" s="23" t="str">
        <f>"|&amp;image("&amp;テーブル1[[#This Row],[画像]]&amp;".png,width=100,height=100)"</f>
        <v>|&amp;image(kinone-moto.png,width=100,height=100)</v>
      </c>
      <c r="U292" s="23" t="str">
        <f>"|MIDDLE:​"&amp;テーブル1[[#This Row],[名前]]</f>
        <v>|MIDDLE:​きの音もと</v>
      </c>
      <c r="V292" s="23" t="str">
        <f>"|MIDDLE:​"&amp;テーブル1[[#This Row],[なまえ]]</f>
        <v>|MIDDLE:​きのね もと</v>
      </c>
      <c r="W292" s="23" t="str">
        <f>"|MIDDLE:​"&amp;テーブル1[[#This Row],[Name]]</f>
        <v>|MIDDLE:​Kinone Moto</v>
      </c>
      <c r="X292" s="23" t="str">
        <f>"|MIDDLE:​&amp;link(配布所はこちら){​"&amp;テーブル1[[#This Row],[リンク]]&amp;"}|"</f>
        <v>|MIDDLE:​&amp;link(配布所はこちら){​https://bowlroll.net/user/852117/files}|</v>
      </c>
    </row>
    <row r="293" spans="2:24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3" s="24" t="s">
        <v>1444</v>
      </c>
      <c r="D293" s="23" t="s">
        <v>1445</v>
      </c>
      <c r="E293" s="23" t="s">
        <v>1446</v>
      </c>
      <c r="F293" s="15" t="s">
        <v>1447</v>
      </c>
      <c r="G293" s="23" t="s">
        <v>1448</v>
      </c>
      <c r="O293" s="24" t="str">
        <f>テーブル1[[#This Row],[リンク]]&amp;テーブル1[[#This Row],[描画状況]]</f>
        <v>https://bowlroll.net/user/992955</v>
      </c>
      <c r="P293" s="17">
        <f>1-(COUNTIF(O:O,_xlfn.TEXTJOIN(",",TRUE,テーブル1[[#This Row],[リンク]],テーブル1[[#This Row],[描画状況]]))/COUNTIF(F:F,テーブル1[[#This Row],[リンク]]))</f>
        <v>0</v>
      </c>
      <c r="Q293" s="16">
        <f ca="1">IFERROR(IF(テーブル1[[#This Row],[描画状況]]="",RAND()+(テーブル1[[#This Row],[列2]]*100),""),RAND())</f>
        <v>0.35448288397834782</v>
      </c>
      <c r="S293" s="24" t="str">
        <f ca="1">IF(AND(テーブル1[[#This Row],[描画状況]]="済",テーブル1[[#This Row],[投稿状況]]=""),RAND(),"")</f>
        <v/>
      </c>
      <c r="T293" s="23" t="str">
        <f>"|&amp;image("&amp;テーブル1[[#This Row],[画像]]&amp;".png,width=100,height=100)"</f>
        <v>|&amp;image(giba-yorika.png,width=100,height=100)</v>
      </c>
      <c r="U293" s="23" t="str">
        <f>"|MIDDLE:​"&amp;テーブル1[[#This Row],[名前]]</f>
        <v>|MIDDLE:​義羽よりか</v>
      </c>
      <c r="V293" s="23" t="str">
        <f>"|MIDDLE:​"&amp;テーブル1[[#This Row],[なまえ]]</f>
        <v>|MIDDLE:​ぎば よりか</v>
      </c>
      <c r="W293" s="23" t="str">
        <f>"|MIDDLE:​"&amp;テーブル1[[#This Row],[Name]]</f>
        <v>|MIDDLE:​Giba Yorika</v>
      </c>
      <c r="X293" s="23" t="str">
        <f>"|MIDDLE:​&amp;link(配布所はこちら){​"&amp;テーブル1[[#This Row],[リンク]]&amp;"}|"</f>
        <v>|MIDDLE:​&amp;link(配布所はこちら){​https://bowlroll.net/user/992955}|</v>
      </c>
    </row>
    <row r="294" spans="2:24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4" s="24" t="s">
        <v>730</v>
      </c>
      <c r="D294" s="23" t="s">
        <v>732</v>
      </c>
      <c r="E294" s="23" t="s">
        <v>731</v>
      </c>
      <c r="F294" s="2" t="s">
        <v>729</v>
      </c>
      <c r="G294" s="23" t="s">
        <v>728</v>
      </c>
      <c r="O294" s="24" t="str">
        <f>テーブル1[[#This Row],[リンク]]&amp;テーブル1[[#This Row],[描画状況]]</f>
        <v>https://shiromeneko162.wixsite.com/shiromean-official</v>
      </c>
      <c r="P294" s="17">
        <f>1-(COUNTIF(O:O,_xlfn.TEXTJOIN(",",TRUE,テーブル1[[#This Row],[リンク]],テーブル1[[#This Row],[描画状況]]))/COUNTIF(F:F,テーブル1[[#This Row],[リンク]]))</f>
        <v>0.5</v>
      </c>
      <c r="Q294" s="16">
        <f ca="1">IFERROR(IF(テーブル1[[#This Row],[描画状況]]="",RAND()+(テーブル1[[#This Row],[列2]]*100),""),RAND())</f>
        <v>50.912154310231287</v>
      </c>
      <c r="S294" s="24" t="str">
        <f ca="1">IF(AND(テーブル1[[#This Row],[描画状況]]="済",テーブル1[[#This Row],[投稿状況]]=""),RAND(),"")</f>
        <v/>
      </c>
      <c r="T294" s="23" t="str">
        <f>"|&amp;image("&amp;テーブル1[[#This Row],[画像]]&amp;".png,width=100,height=100)"</f>
        <v>|&amp;image(gyokuto.png,width=100,height=100)</v>
      </c>
      <c r="U294" s="23" t="str">
        <f>"|MIDDLE:​"&amp;テーブル1[[#This Row],[名前]]</f>
        <v>|MIDDLE:​​玉兎</v>
      </c>
      <c r="V294" s="23" t="str">
        <f>"|MIDDLE:​"&amp;テーブル1[[#This Row],[なまえ]]</f>
        <v>|MIDDLE:​ぎょくと</v>
      </c>
      <c r="W294" s="23" t="str">
        <f>"|MIDDLE:​"&amp;テーブル1[[#This Row],[Name]]</f>
        <v>|MIDDLE:​Gyokuto</v>
      </c>
      <c r="X294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5" spans="2:24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5" s="24" t="s">
        <v>981</v>
      </c>
      <c r="D295" s="23" t="s">
        <v>983</v>
      </c>
      <c r="E295" s="23" t="s">
        <v>982</v>
      </c>
      <c r="F295" s="2" t="s">
        <v>572</v>
      </c>
      <c r="G295" s="23" t="s">
        <v>573</v>
      </c>
      <c r="M295" s="1" t="s">
        <v>1517</v>
      </c>
      <c r="O295" s="24" t="str">
        <f>テーブル1[[#This Row],[リンク]]&amp;テーブル1[[#This Row],[描画状況]]</f>
        <v>https://askdance.wixsite.com/monitor-room/monitor-room</v>
      </c>
      <c r="P295" s="17">
        <f>1-(COUNTIF(O:O,_xlfn.TEXTJOIN(",",TRUE,テーブル1[[#This Row],[リンク]],テーブル1[[#This Row],[描画状況]]))/COUNTIF(F:F,テーブル1[[#This Row],[リンク]]))</f>
        <v>9.9999999999999978E-2</v>
      </c>
      <c r="Q295" s="16">
        <f ca="1">IFERROR(IF(テーブル1[[#This Row],[描画状況]]="",RAND()+(テーブル1[[#This Row],[列2]]*100),""),RAND())</f>
        <v>10.809357212872804</v>
      </c>
      <c r="S295" s="24" t="str">
        <f ca="1">IF(AND(テーブル1[[#This Row],[描画状況]]="済",テーブル1[[#This Row],[投稿状況]]=""),RAND(),"")</f>
        <v/>
      </c>
      <c r="T295" s="23" t="str">
        <f>"|&amp;image("&amp;テーブル1[[#This Row],[画像]]&amp;".png,width=100,height=100)"</f>
        <v>|&amp;image(kusuzato-kimeru.png,width=100,height=100)</v>
      </c>
      <c r="U295" s="23" t="str">
        <f>"|MIDDLE:​"&amp;テーブル1[[#This Row],[名前]]</f>
        <v xml:space="preserve">|MIDDLE:​楠里極 </v>
      </c>
      <c r="V295" s="23" t="str">
        <f>"|MIDDLE:​"&amp;テーブル1[[#This Row],[なまえ]]</f>
        <v>|MIDDLE:​くすざと きめる</v>
      </c>
      <c r="W295" s="23" t="str">
        <f>"|MIDDLE:​"&amp;テーブル1[[#This Row],[Name]]</f>
        <v>|MIDDLE:​Kusuzato Kimeru</v>
      </c>
      <c r="X29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6" spans="2:24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6" s="24" t="s">
        <v>1262</v>
      </c>
      <c r="D296" s="23" t="s">
        <v>1263</v>
      </c>
      <c r="E296" s="23" t="s">
        <v>1264</v>
      </c>
      <c r="F296" s="15" t="s">
        <v>1265</v>
      </c>
      <c r="G296" s="23" t="s">
        <v>1266</v>
      </c>
      <c r="O296" s="24" t="str">
        <f>テーブル1[[#This Row],[リンク]]&amp;テーブル1[[#This Row],[描画状況]]</f>
        <v>https://bowlroll.net/user/934800</v>
      </c>
      <c r="P296" s="17">
        <f>1-(COUNTIF(O:O,_xlfn.TEXTJOIN(",",TRUE,テーブル1[[#This Row],[リンク]],テーブル1[[#This Row],[描画状況]]))/COUNTIF(F:F,テーブル1[[#This Row],[リンク]]))</f>
        <v>0</v>
      </c>
      <c r="Q296" s="16">
        <f ca="1">IFERROR(IF(テーブル1[[#This Row],[描画状況]]="",RAND()+(テーブル1[[#This Row],[列2]]*100),""),RAND())</f>
        <v>0.96725752563173162</v>
      </c>
      <c r="S296" s="24" t="str">
        <f ca="1">IF(AND(テーブル1[[#This Row],[描画状況]]="済",テーブル1[[#This Row],[投稿状況]]=""),RAND(),"")</f>
        <v/>
      </c>
      <c r="T296" s="23" t="str">
        <f>"|&amp;image("&amp;テーブル1[[#This Row],[画像]]&amp;".png,width=100,height=100)"</f>
        <v>|&amp;image(kuzuhira-tsumari.png,width=100,height=100)</v>
      </c>
      <c r="U296" s="23" t="str">
        <f>"|MIDDLE:​"&amp;テーブル1[[#This Row],[名前]]</f>
        <v>|MIDDLE:​葛平ツマリ</v>
      </c>
      <c r="V296" s="23" t="str">
        <f>"|MIDDLE:​"&amp;テーブル1[[#This Row],[なまえ]]</f>
        <v>|MIDDLE:​くずひら つまり</v>
      </c>
      <c r="W296" s="23" t="str">
        <f>"|MIDDLE:​"&amp;テーブル1[[#This Row],[Name]]</f>
        <v>|MIDDLE:​Kuzuhira tsumari</v>
      </c>
      <c r="X296" s="23" t="str">
        <f>"|MIDDLE:​&amp;link(配布所はこちら){​"&amp;テーブル1[[#This Row],[リンク]]&amp;"}|"</f>
        <v>|MIDDLE:​&amp;link(配布所はこちら){​https://bowlroll.net/user/934800}|</v>
      </c>
    </row>
    <row r="297" spans="2:24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297" s="24" t="s">
        <v>522</v>
      </c>
      <c r="D297" s="23" t="s">
        <v>523</v>
      </c>
      <c r="E297" s="23" t="s">
        <v>524</v>
      </c>
      <c r="F297" s="2" t="s">
        <v>520</v>
      </c>
      <c r="G297" s="23" t="s">
        <v>521</v>
      </c>
      <c r="M297" s="1" t="s">
        <v>1517</v>
      </c>
      <c r="O297" s="24" t="str">
        <f>テーブル1[[#This Row],[リンク]]&amp;テーブル1[[#This Row],[描画状況]]</f>
        <v>https://coyukimachi.wixsite.com/my-site</v>
      </c>
      <c r="P297" s="17">
        <f>1-(COUNTIF(O:O,_xlfn.TEXTJOIN(",",TRUE,テーブル1[[#This Row],[リンク]],テーブル1[[#This Row],[描画状況]]))/COUNTIF(F:F,テーブル1[[#This Row],[リンク]]))</f>
        <v>0</v>
      </c>
      <c r="Q297" s="16">
        <f ca="1">IFERROR(IF(テーブル1[[#This Row],[描画状況]]="",RAND()+(テーブル1[[#This Row],[列2]]*100),""),RAND())</f>
        <v>0.59639176790913384</v>
      </c>
      <c r="S297" s="24" t="str">
        <f ca="1">IF(AND(テーブル1[[#This Row],[描画状況]]="済",テーブル1[[#This Row],[投稿状況]]=""),RAND(),"")</f>
        <v/>
      </c>
      <c r="T297" s="23" t="str">
        <f>"|&amp;image("&amp;テーブル1[[#This Row],[画像]]&amp;".png,width=100,height=100)"</f>
        <v>|&amp;image(kunisue-kiyomasa.png,width=100,height=100)</v>
      </c>
      <c r="U297" s="23" t="str">
        <f>"|MIDDLE:​"&amp;テーブル1[[#This Row],[名前]]</f>
        <v>|MIDDLE:​​國居清正</v>
      </c>
      <c r="V297" s="23" t="str">
        <f>"|MIDDLE:​"&amp;テーブル1[[#This Row],[なまえ]]</f>
        <v>|MIDDLE:​くにすえ きよまさ</v>
      </c>
      <c r="W297" s="23" t="str">
        <f>"|MIDDLE:​"&amp;テーブル1[[#This Row],[Name]]</f>
        <v>|MIDDLE:​Kunisue Kiyomasa</v>
      </c>
      <c r="X297" s="23" t="str">
        <f>"|MIDDLE:​&amp;link(配布所はこちら){​"&amp;テーブル1[[#This Row],[リンク]]&amp;"}|"</f>
        <v>|MIDDLE:​&amp;link(配布所はこちら){​https://coyukimachi.wixsite.com/my-site}|</v>
      </c>
    </row>
    <row r="298" spans="2:24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298" s="24" t="s">
        <v>1012</v>
      </c>
      <c r="D298" s="23" t="s">
        <v>1014</v>
      </c>
      <c r="E298" s="23" t="s">
        <v>1015</v>
      </c>
      <c r="F298" s="2" t="s">
        <v>540</v>
      </c>
      <c r="G298" s="23" t="s">
        <v>71</v>
      </c>
      <c r="H298" s="23" t="s">
        <v>1663</v>
      </c>
      <c r="I298" s="23" t="s">
        <v>1715</v>
      </c>
      <c r="O298" s="24" t="str">
        <f>テーブル1[[#This Row],[リンク]]&amp;テーブル1[[#This Row],[描画状況]]</f>
        <v>https://bowlroll.net/user/980255</v>
      </c>
      <c r="P298" s="17">
        <f>1-(COUNTIF(O:O,_xlfn.TEXTJOIN(",",TRUE,テーブル1[[#This Row],[リンク]],テーブル1[[#This Row],[描画状況]]))/COUNTIF(F:F,テーブル1[[#This Row],[リンク]]))</f>
        <v>0.5714285714285714</v>
      </c>
      <c r="Q298" s="16">
        <f ca="1">IFERROR(IF(テーブル1[[#This Row],[描画状況]]="",RAND()+(テーブル1[[#This Row],[列2]]*100),""),RAND())</f>
        <v>57.498433400865942</v>
      </c>
      <c r="S298" s="24" t="str">
        <f ca="1">IF(AND(テーブル1[[#This Row],[描画状況]]="済",テーブル1[[#This Row],[投稿状況]]=""),RAND(),"")</f>
        <v/>
      </c>
      <c r="T298" s="23" t="str">
        <f>"|&amp;image("&amp;テーブル1[[#This Row],[画像]]&amp;".png,width=100,height=100)"</f>
        <v>|&amp;image(kurene-shito.png,width=100,height=100)</v>
      </c>
      <c r="U298" s="23" t="str">
        <f>"|MIDDLE:​"&amp;テーブル1[[#This Row],[名前]]</f>
        <v>|MIDDLE:​暮音シト</v>
      </c>
      <c r="V298" s="23" t="str">
        <f>"|MIDDLE:​"&amp;テーブル1[[#This Row],[なまえ]]</f>
        <v>|MIDDLE:​くれね しと</v>
      </c>
      <c r="W298" s="23" t="str">
        <f>"|MIDDLE:​"&amp;テーブル1[[#This Row],[Name]]</f>
        <v>|MIDDLE:​Kurene Shito</v>
      </c>
      <c r="X298" s="23" t="str">
        <f>"|MIDDLE:​&amp;link(配布所はこちら){​"&amp;テーブル1[[#This Row],[リンク]]&amp;"}|"</f>
        <v>|MIDDLE:​&amp;link(配布所はこちら){​https://bowlroll.net/user/980255}|</v>
      </c>
    </row>
    <row r="299" spans="2:24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299" s="24" t="s">
        <v>738</v>
      </c>
      <c r="D299" s="23" t="s">
        <v>739</v>
      </c>
      <c r="E299" s="23" t="s">
        <v>740</v>
      </c>
      <c r="F299" s="15" t="s">
        <v>736</v>
      </c>
      <c r="G299" s="23" t="s">
        <v>737</v>
      </c>
      <c r="O299" s="24" t="str">
        <f>テーブル1[[#This Row],[リンク]]&amp;テーブル1[[#This Row],[描画状況]]</f>
        <v>https://t7ttttttt.wixsite.com/t7-re</v>
      </c>
      <c r="P299" s="17">
        <f>1-(COUNTIF(O:O,_xlfn.TEXTJOIN(",",TRUE,テーブル1[[#This Row],[リンク]],テーブル1[[#This Row],[描画状況]]))/COUNTIF(F:F,テーブル1[[#This Row],[リンク]]))</f>
        <v>0</v>
      </c>
      <c r="Q299" s="16">
        <f ca="1">IFERROR(IF(テーブル1[[#This Row],[描画状況]]="",RAND()+(テーブル1[[#This Row],[列2]]*100),""),RAND())</f>
        <v>0.22089293289388279</v>
      </c>
      <c r="S299" s="24" t="str">
        <f ca="1">IF(AND(テーブル1[[#This Row],[描画状況]]="済",テーブル1[[#This Row],[投稿状況]]=""),RAND(),"")</f>
        <v/>
      </c>
      <c r="T299" s="23" t="str">
        <f>"|&amp;image("&amp;テーブル1[[#This Row],[画像]]&amp;".png,width=100,height=100)"</f>
        <v>|&amp;image(kurobai-pafia.png,width=100,height=100)</v>
      </c>
      <c r="U299" s="23" t="str">
        <f>"|MIDDLE:​"&amp;テーブル1[[#This Row],[名前]]</f>
        <v>|MIDDLE:​黒這パフィア</v>
      </c>
      <c r="V299" s="23" t="str">
        <f>"|MIDDLE:​"&amp;テーブル1[[#This Row],[なまえ]]</f>
        <v>|MIDDLE:​くろばい ぱふぃあ</v>
      </c>
      <c r="W299" s="23" t="str">
        <f>"|MIDDLE:​"&amp;テーブル1[[#This Row],[Name]]</f>
        <v>|MIDDLE:​Kurobai Pafia</v>
      </c>
      <c r="X299" s="23" t="str">
        <f>"|MIDDLE:​&amp;link(配布所はこちら){​"&amp;テーブル1[[#This Row],[リンク]]&amp;"}|"</f>
        <v>|MIDDLE:​&amp;link(配布所はこちら){​https://t7ttttttt.wixsite.com/t7-re}|</v>
      </c>
    </row>
    <row r="300" spans="2:24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0" s="24" t="s">
        <v>1304</v>
      </c>
      <c r="D300" s="23" t="s">
        <v>1306</v>
      </c>
      <c r="E300" s="23" t="s">
        <v>1305</v>
      </c>
      <c r="F300" s="15" t="s">
        <v>1310</v>
      </c>
      <c r="G300" s="23" t="s">
        <v>1311</v>
      </c>
      <c r="O300" s="24" t="str">
        <f>テーブル1[[#This Row],[リンク]]&amp;テーブル1[[#This Row],[描画状況]]</f>
        <v>https://keitaiware.com</v>
      </c>
      <c r="P300" s="17">
        <f>1-(COUNTIF(O:O,_xlfn.TEXTJOIN(",",TRUE,テーブル1[[#This Row],[リンク]],テーブル1[[#This Row],[描画状況]]))/COUNTIF(F:F,テーブル1[[#This Row],[リンク]]))</f>
        <v>0</v>
      </c>
      <c r="Q300" s="16">
        <f ca="1">IFERROR(IF(テーブル1[[#This Row],[描画状況]]="",RAND()+(テーブル1[[#This Row],[列2]]*100),""),RAND())</f>
        <v>0.50295647655085263</v>
      </c>
      <c r="S300" s="24" t="str">
        <f ca="1">IF(AND(テーブル1[[#This Row],[描画状況]]="済",テーブル1[[#This Row],[投稿状況]]=""),RAND(),"")</f>
        <v/>
      </c>
      <c r="T300" s="23" t="str">
        <f>"|&amp;image("&amp;テーブル1[[#This Row],[画像]]&amp;".png,width=100,height=100)"</f>
        <v>|&amp;image(keitai-hakken.png,width=100,height=100)</v>
      </c>
      <c r="U300" s="23" t="str">
        <f>"|MIDDLE:​"&amp;テーブル1[[#This Row],[名前]]</f>
        <v>|MIDDLE:​携帯ハッケン</v>
      </c>
      <c r="V300" s="23" t="str">
        <f>"|MIDDLE:​"&amp;テーブル1[[#This Row],[なまえ]]</f>
        <v>|MIDDLE:​けいたい はっけん</v>
      </c>
      <c r="W300" s="23" t="str">
        <f>"|MIDDLE:​"&amp;テーブル1[[#This Row],[Name]]</f>
        <v>|MIDDLE:​Keitai Hakken</v>
      </c>
      <c r="X300" s="23" t="str">
        <f>"|MIDDLE:​&amp;link(配布所はこちら){​"&amp;テーブル1[[#This Row],[リンク]]&amp;"}|"</f>
        <v>|MIDDLE:​&amp;link(配布所はこちら){​https://keitaiware.com}|</v>
      </c>
    </row>
    <row r="301" spans="2:24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1" s="24" t="s">
        <v>1308</v>
      </c>
      <c r="D301" s="23" t="s">
        <v>1309</v>
      </c>
      <c r="E301" s="23" t="s">
        <v>1307</v>
      </c>
      <c r="F301" s="15" t="s">
        <v>1310</v>
      </c>
      <c r="G301" s="23" t="s">
        <v>1312</v>
      </c>
      <c r="O301" s="24" t="str">
        <f>テーブル1[[#This Row],[リンク]]&amp;テーブル1[[#This Row],[描画状況]]</f>
        <v>https://keitaiware.com</v>
      </c>
      <c r="P301" s="17">
        <f>1-(COUNTIF(O:O,_xlfn.TEXTJOIN(",",TRUE,テーブル1[[#This Row],[リンク]],テーブル1[[#This Row],[描画状況]]))/COUNTIF(F:F,テーブル1[[#This Row],[リンク]]))</f>
        <v>0</v>
      </c>
      <c r="Q301" s="16">
        <f ca="1">IFERROR(IF(テーブル1[[#This Row],[描画状況]]="",RAND()+(テーブル1[[#This Row],[列2]]*100),""),RAND())</f>
        <v>3.1283859010291071E-2</v>
      </c>
      <c r="S301" s="24" t="str">
        <f ca="1">IF(AND(テーブル1[[#This Row],[描画状況]]="済",テーブル1[[#This Row],[投稿状況]]=""),RAND(),"")</f>
        <v/>
      </c>
      <c r="T301" s="23" t="str">
        <f>"|&amp;image("&amp;テーブル1[[#This Row],[画像]]&amp;".png,width=100,height=100)"</f>
        <v>|&amp;image(keitai-ron.png,width=100,height=100)</v>
      </c>
      <c r="U301" s="23" t="str">
        <f>"|MIDDLE:​"&amp;テーブル1[[#This Row],[名前]]</f>
        <v>|MIDDLE:​携帯ロン</v>
      </c>
      <c r="V301" s="23" t="str">
        <f>"|MIDDLE:​"&amp;テーブル1[[#This Row],[なまえ]]</f>
        <v>|MIDDLE:​けいたい ろん</v>
      </c>
      <c r="W301" s="23" t="str">
        <f>"|MIDDLE:​"&amp;テーブル1[[#This Row],[Name]]</f>
        <v>|MIDDLE:​Keitai Ron</v>
      </c>
      <c r="X301" s="23" t="str">
        <f>"|MIDDLE:​&amp;link(配布所はこちら){​"&amp;テーブル1[[#This Row],[リンク]]&amp;"}|"</f>
        <v>|MIDDLE:​&amp;link(配布所はこちら){​https://keitaiware.com}|</v>
      </c>
    </row>
    <row r="302" spans="2:24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2" s="24" t="s">
        <v>872</v>
      </c>
      <c r="D302" s="23" t="s">
        <v>873</v>
      </c>
      <c r="E302" s="23" t="s">
        <v>874</v>
      </c>
      <c r="F302" s="15" t="s">
        <v>871</v>
      </c>
      <c r="G302" s="23" t="s">
        <v>875</v>
      </c>
      <c r="O302" s="24" t="str">
        <f>テーブル1[[#This Row],[リンク]]&amp;テーブル1[[#This Row],[描画状況]]</f>
        <v>https://bindumechan.wixsite.com/koinearuutau</v>
      </c>
      <c r="P302" s="17">
        <f>1-(COUNTIF(O:O,_xlfn.TEXTJOIN(",",TRUE,テーブル1[[#This Row],[リンク]],テーブル1[[#This Row],[描画状況]]))/COUNTIF(F:F,テーブル1[[#This Row],[リンク]]))</f>
        <v>0</v>
      </c>
      <c r="Q302" s="16">
        <f ca="1">IFERROR(IF(テーブル1[[#This Row],[描画状況]]="",RAND()+(テーブル1[[#This Row],[列2]]*100),""),RAND())</f>
        <v>0.5127274892946605</v>
      </c>
      <c r="S302" s="24" t="str">
        <f ca="1">IF(AND(テーブル1[[#This Row],[描画状況]]="済",テーブル1[[#This Row],[投稿状況]]=""),RAND(),"")</f>
        <v/>
      </c>
      <c r="T302" s="23" t="str">
        <f>"|&amp;image("&amp;テーブル1[[#This Row],[画像]]&amp;".png,width=100,height=100)"</f>
        <v>|&amp;image(koine-aru.png,width=100,height=100)</v>
      </c>
      <c r="U302" s="23" t="str">
        <f>"|MIDDLE:​"&amp;テーブル1[[#This Row],[名前]]</f>
        <v>|MIDDLE:​恋音アル</v>
      </c>
      <c r="V302" s="23" t="str">
        <f>"|MIDDLE:​"&amp;テーブル1[[#This Row],[なまえ]]</f>
        <v>|MIDDLE:​こいね ある</v>
      </c>
      <c r="W302" s="23" t="str">
        <f>"|MIDDLE:​"&amp;テーブル1[[#This Row],[Name]]</f>
        <v>|MIDDLE:​Koine Aru</v>
      </c>
      <c r="X302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3" spans="2:24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3" s="24" t="s">
        <v>1028</v>
      </c>
      <c r="D303" s="23" t="s">
        <v>1029</v>
      </c>
      <c r="E303" s="23" t="s">
        <v>1030</v>
      </c>
      <c r="F303" s="27" t="s">
        <v>87</v>
      </c>
      <c r="G303" s="23" t="s">
        <v>88</v>
      </c>
      <c r="M303" s="1" t="s">
        <v>1518</v>
      </c>
      <c r="O303" s="24" t="str">
        <f>テーブル1[[#This Row],[リンク]]&amp;テーブル1[[#This Row],[描画状況]]</f>
        <v>https://chunyinhui021.wixsite.com/mutyuusaisei</v>
      </c>
      <c r="P303" s="17">
        <f>1-(COUNTIF(O:O,_xlfn.TEXTJOIN(",",TRUE,テーブル1[[#This Row],[リンク]],テーブル1[[#This Row],[描画状況]]))/COUNTIF(F:F,テーブル1[[#This Row],[リンク]]))</f>
        <v>0.33333333333333337</v>
      </c>
      <c r="Q303" s="16">
        <f ca="1">IFERROR(IF(テーブル1[[#This Row],[描画状況]]="",RAND()+(テーブル1[[#This Row],[列2]]*100),""),RAND())</f>
        <v>33.70699293225897</v>
      </c>
      <c r="S303" s="24" t="str">
        <f ca="1">IF(AND(テーブル1[[#This Row],[描画状況]]="済",テーブル1[[#This Row],[投稿状況]]=""),RAND(),"")</f>
        <v/>
      </c>
      <c r="T303" s="23" t="str">
        <f>"|&amp;image("&amp;テーブル1[[#This Row],[画像]]&amp;".png,width=100,height=100)"</f>
        <v>|&amp;image(kon-suishi.png,width=100,height=100)</v>
      </c>
      <c r="U303" s="23" t="str">
        <f>"|MIDDLE:​"&amp;テーブル1[[#This Row],[名前]]</f>
        <v>|MIDDLE:​​狐隠祟紫</v>
      </c>
      <c r="V303" s="23" t="str">
        <f>"|MIDDLE:​"&amp;テーブル1[[#This Row],[なまえ]]</f>
        <v>|MIDDLE:​こおん すいし</v>
      </c>
      <c r="W303" s="23" t="str">
        <f>"|MIDDLE:​"&amp;テーブル1[[#This Row],[Name]]</f>
        <v>|MIDDLE:​Kon Suishi</v>
      </c>
      <c r="X30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4" spans="2:24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4" s="24" t="s">
        <v>1169</v>
      </c>
      <c r="D304" s="23" t="s">
        <v>1170</v>
      </c>
      <c r="E304" s="23" t="s">
        <v>1171</v>
      </c>
      <c r="F304" s="2" t="s">
        <v>100</v>
      </c>
      <c r="G304" s="23" t="s">
        <v>101</v>
      </c>
      <c r="M304" s="1" t="s">
        <v>1517</v>
      </c>
      <c r="O304" s="24" t="str">
        <f>テーブル1[[#This Row],[リンク]]&amp;テーブル1[[#This Row],[描画状況]]</f>
        <v>https://hinagitsune-utau.wixsite.com/utaukokorone</v>
      </c>
      <c r="P304" s="17">
        <f>1-(COUNTIF(O:O,_xlfn.TEXTJOIN(",",TRUE,テーブル1[[#This Row],[リンク]],テーブル1[[#This Row],[描画状況]]))/COUNTIF(F:F,テーブル1[[#This Row],[リンク]]))</f>
        <v>0.19999999999999996</v>
      </c>
      <c r="Q304" s="16">
        <f ca="1">IFERROR(IF(テーブル1[[#This Row],[描画状況]]="",RAND()+(テーブル1[[#This Row],[列2]]*100),""),RAND())</f>
        <v>20.747937142409807</v>
      </c>
      <c r="S304" s="24" t="str">
        <f ca="1">IF(AND(テーブル1[[#This Row],[描画状況]]="済",テーブル1[[#This Row],[投稿状況]]=""),RAND(),"")</f>
        <v/>
      </c>
      <c r="T304" s="23" t="str">
        <f>"|&amp;image("&amp;テーブル1[[#This Row],[画像]]&amp;".png,width=100,height=100)"</f>
        <v>|&amp;image(kokorone-aoba.png,width=100,height=100)</v>
      </c>
      <c r="U304" s="23" t="str">
        <f>"|MIDDLE:​"&amp;テーブル1[[#This Row],[名前]]</f>
        <v>|MIDDLE:​​心音アオバ</v>
      </c>
      <c r="V304" s="23" t="str">
        <f>"|MIDDLE:​"&amp;テーブル1[[#This Row],[なまえ]]</f>
        <v>|MIDDLE:​こころね あおば</v>
      </c>
      <c r="W304" s="23" t="str">
        <f>"|MIDDLE:​"&amp;テーブル1[[#This Row],[Name]]</f>
        <v>|MIDDLE:​Kokorone Aoba</v>
      </c>
      <c r="X304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5" spans="2:24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5" s="24" t="s">
        <v>1187</v>
      </c>
      <c r="D305" s="23" t="s">
        <v>1187</v>
      </c>
      <c r="E305" s="23" t="s">
        <v>1188</v>
      </c>
      <c r="F305" s="15" t="s">
        <v>1186</v>
      </c>
      <c r="G305" s="23" t="s">
        <v>1189</v>
      </c>
      <c r="O305" s="24" t="str">
        <f>テーブル1[[#This Row],[リンク]]&amp;テーブル1[[#This Row],[描画状況]]</f>
        <v>https://bowlroll.net/user/367777</v>
      </c>
      <c r="P305" s="17">
        <f>1-(COUNTIF(O:O,_xlfn.TEXTJOIN(",",TRUE,テーブル1[[#This Row],[リンク]],テーブル1[[#This Row],[描画状況]]))/COUNTIF(F:F,テーブル1[[#This Row],[リンク]]))</f>
        <v>0</v>
      </c>
      <c r="Q305" s="16">
        <f ca="1">IFERROR(IF(テーブル1[[#This Row],[描画状況]]="",RAND()+(テーブル1[[#This Row],[列2]]*100),""),RAND())</f>
        <v>7.7611351463603317E-2</v>
      </c>
      <c r="S305" s="24" t="str">
        <f ca="1">IF(AND(テーブル1[[#This Row],[描画状況]]="済",テーブル1[[#This Row],[投稿状況]]=""),RAND(),"")</f>
        <v/>
      </c>
      <c r="T305" s="23" t="str">
        <f>"|&amp;image("&amp;テーブル1[[#This Row],[画像]]&amp;".png,width=100,height=100)"</f>
        <v>|&amp;image(kochie.png,width=100,height=100)</v>
      </c>
      <c r="U305" s="23" t="str">
        <f>"|MIDDLE:​"&amp;テーブル1[[#This Row],[名前]]</f>
        <v>|MIDDLE:​こちぇ</v>
      </c>
      <c r="V305" s="23" t="str">
        <f>"|MIDDLE:​"&amp;テーブル1[[#This Row],[なまえ]]</f>
        <v>|MIDDLE:​こちぇ</v>
      </c>
      <c r="W305" s="23" t="str">
        <f>"|MIDDLE:​"&amp;テーブル1[[#This Row],[Name]]</f>
        <v>|MIDDLE:​Kochie</v>
      </c>
      <c r="X305" s="23" t="str">
        <f>"|MIDDLE:​&amp;link(配布所はこちら){​"&amp;テーブル1[[#This Row],[リンク]]&amp;"}|"</f>
        <v>|MIDDLE:​&amp;link(配布所はこちら){​https://bowlroll.net/user/367777}|</v>
      </c>
    </row>
    <row r="306" spans="2:24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6" s="24" t="s">
        <v>1159</v>
      </c>
      <c r="D306" s="23" t="s">
        <v>1160</v>
      </c>
      <c r="E306" s="23" t="s">
        <v>1161</v>
      </c>
      <c r="F306" s="2" t="s">
        <v>1158</v>
      </c>
      <c r="G306" s="23" t="s">
        <v>1168</v>
      </c>
      <c r="O306" s="24" t="str">
        <f>テーブル1[[#This Row],[リンク]]&amp;テーブル1[[#This Row],[描画状況]]</f>
        <v>https://osomatsu-poid.wixsite.com/konari-san-chi</v>
      </c>
      <c r="P306" s="17">
        <f>1-(COUNTIF(O:O,_xlfn.TEXTJOIN(",",TRUE,テーブル1[[#This Row],[リンク]],テーブル1[[#This Row],[描画状況]]))/COUNTIF(F:F,テーブル1[[#This Row],[リンク]]))</f>
        <v>0.33333333333333337</v>
      </c>
      <c r="Q306" s="16">
        <f ca="1">IFERROR(IF(テーブル1[[#This Row],[描画状況]]="",RAND()+(テーブル1[[#This Row],[列2]]*100),""),RAND())</f>
        <v>33.953076417006478</v>
      </c>
      <c r="S306" s="24" t="str">
        <f ca="1">IF(AND(テーブル1[[#This Row],[描画状況]]="済",テーブル1[[#This Row],[投稿状況]]=""),RAND(),"")</f>
        <v/>
      </c>
      <c r="T306" s="23" t="str">
        <f>"|&amp;image("&amp;テーブル1[[#This Row],[画像]]&amp;".png,width=100,height=100)"</f>
        <v>|&amp;image(konari-haruta.png,width=100,height=100)</v>
      </c>
      <c r="U306" s="23" t="str">
        <f>"|MIDDLE:​"&amp;テーブル1[[#This Row],[名前]]</f>
        <v>|MIDDLE:​狐鳴陽夛</v>
      </c>
      <c r="V306" s="23" t="str">
        <f>"|MIDDLE:​"&amp;テーブル1[[#This Row],[なまえ]]</f>
        <v>|MIDDLE:​こなり はるた</v>
      </c>
      <c r="W306" s="23" t="str">
        <f>"|MIDDLE:​"&amp;テーブル1[[#This Row],[Name]]</f>
        <v>|MIDDLE:​Konari Haruta</v>
      </c>
      <c r="X306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7" spans="2:24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07" s="24" t="s">
        <v>1162</v>
      </c>
      <c r="D307" s="23" t="s">
        <v>1163</v>
      </c>
      <c r="E307" s="23" t="s">
        <v>1164</v>
      </c>
      <c r="F307" s="2" t="s">
        <v>1158</v>
      </c>
      <c r="G307" s="23" t="s">
        <v>1168</v>
      </c>
      <c r="O307" s="24" t="str">
        <f>テーブル1[[#This Row],[リンク]]&amp;テーブル1[[#This Row],[描画状況]]</f>
        <v>https://osomatsu-poid.wixsite.com/konari-san-chi</v>
      </c>
      <c r="P307" s="17">
        <f>1-(COUNTIF(O:O,_xlfn.TEXTJOIN(",",TRUE,テーブル1[[#This Row],[リンク]],テーブル1[[#This Row],[描画状況]]))/COUNTIF(F:F,テーブル1[[#This Row],[リンク]]))</f>
        <v>0.33333333333333337</v>
      </c>
      <c r="Q307" s="16">
        <f ca="1">IFERROR(IF(テーブル1[[#This Row],[描画状況]]="",RAND()+(テーブル1[[#This Row],[列2]]*100),""),RAND())</f>
        <v>33.555860054128523</v>
      </c>
      <c r="S307" s="24" t="str">
        <f ca="1">IF(AND(テーブル1[[#This Row],[描画状況]]="済",テーブル1[[#This Row],[投稿状況]]=""),RAND(),"")</f>
        <v/>
      </c>
      <c r="T307" s="23" t="str">
        <f>"|&amp;image("&amp;テーブル1[[#This Row],[画像]]&amp;".png,width=100,height=100)"</f>
        <v>|&amp;image(konari-hina.png,width=100,height=100)</v>
      </c>
      <c r="U307" s="23" t="str">
        <f>"|MIDDLE:​"&amp;テーブル1[[#This Row],[名前]]</f>
        <v>|MIDDLE:​狐鳴陽</v>
      </c>
      <c r="V307" s="23" t="str">
        <f>"|MIDDLE:​"&amp;テーブル1[[#This Row],[なまえ]]</f>
        <v>|MIDDLE:​こなり ひな</v>
      </c>
      <c r="W307" s="23" t="str">
        <f>"|MIDDLE:​"&amp;テーブル1[[#This Row],[Name]]</f>
        <v>|MIDDLE:​Konari Hina</v>
      </c>
      <c r="X307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8" spans="2:24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08" s="24" t="s">
        <v>808</v>
      </c>
      <c r="D308" s="23" t="s">
        <v>810</v>
      </c>
      <c r="E308" s="23" t="s">
        <v>809</v>
      </c>
      <c r="F308" s="15" t="s">
        <v>778</v>
      </c>
      <c r="G308" s="23" t="str">
        <f>テーブル1[[#This Row],[名前]]&amp;"(UTAU)"</f>
        <v>狐者異カゴメ(UTAU)</v>
      </c>
      <c r="M308" s="1" t="s">
        <v>1517</v>
      </c>
      <c r="O308" s="24" t="str">
        <f>テーブル1[[#This Row],[リンク]]&amp;テーブル1[[#This Row],[描画状況]]</f>
        <v>https://cmamizki.wixsite.com/edelstein</v>
      </c>
      <c r="P308" s="17">
        <f>1-(COUNTIF(O:O,_xlfn.TEXTJOIN(",",TRUE,テーブル1[[#This Row],[リンク]],テーブル1[[#This Row],[描画状況]]))/COUNTIF(F:F,テーブル1[[#This Row],[リンク]]))</f>
        <v>9.0909090909090939E-2</v>
      </c>
      <c r="Q308" s="16">
        <f ca="1">IFERROR(IF(テーブル1[[#This Row],[描画状況]]="",RAND()+(テーブル1[[#This Row],[列2]]*100),""),RAND())</f>
        <v>9.3196104097097816</v>
      </c>
      <c r="S308" s="24" t="str">
        <f ca="1">IF(AND(テーブル1[[#This Row],[描画状況]]="済",テーブル1[[#This Row],[投稿状況]]=""),RAND(),"")</f>
        <v/>
      </c>
      <c r="T308" s="23" t="str">
        <f>"|&amp;image("&amp;テーブル1[[#This Row],[画像]]&amp;".png,width=100,height=100)"</f>
        <v>|&amp;image(kowai-kagome.png,width=100,height=100)</v>
      </c>
      <c r="U308" s="23" t="str">
        <f>"|MIDDLE:​"&amp;テーブル1[[#This Row],[名前]]</f>
        <v>|MIDDLE:​狐者異カゴメ</v>
      </c>
      <c r="V308" s="23" t="str">
        <f>"|MIDDLE:​"&amp;テーブル1[[#This Row],[なまえ]]</f>
        <v>|MIDDLE:​こわい かごめ</v>
      </c>
      <c r="W308" s="23" t="str">
        <f>"|MIDDLE:​"&amp;テーブル1[[#This Row],[Name]]</f>
        <v>|MIDDLE:​Kowai Kagome</v>
      </c>
      <c r="X308" s="23" t="str">
        <f>"|MIDDLE:​&amp;link(配布所はこちら){​"&amp;テーブル1[[#This Row],[リンク]]&amp;"}|"</f>
        <v>|MIDDLE:​&amp;link(配布所はこちら){​https://cmamizki.wixsite.com/edelstein}|</v>
      </c>
    </row>
    <row r="309" spans="2:24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09" s="24" t="s">
        <v>1117</v>
      </c>
      <c r="D309" s="23" t="s">
        <v>1119</v>
      </c>
      <c r="E309" s="23" t="s">
        <v>1118</v>
      </c>
      <c r="F309" s="15" t="s">
        <v>1104</v>
      </c>
      <c r="G309" s="23" t="str">
        <f>テーブル1[[#This Row],[名前]]&amp;"(UTAU)"</f>
        <v>XI -sai-(UTAU)</v>
      </c>
      <c r="O309" s="24" t="str">
        <f>テーブル1[[#This Row],[リンク]]&amp;テーブル1[[#This Row],[描画状況]]</f>
        <v>https://harujpg.wixsite.com/sanshoku</v>
      </c>
      <c r="P309" s="17">
        <f>1-(COUNTIF(O:O,_xlfn.TEXTJOIN(",",TRUE,テーブル1[[#This Row],[リンク]],テーブル1[[#This Row],[描画状況]]))/COUNTIF(F:F,テーブル1[[#This Row],[リンク]]))</f>
        <v>0</v>
      </c>
      <c r="Q309" s="16">
        <f ca="1">IFERROR(IF(テーブル1[[#This Row],[描画状況]]="",RAND()+(テーブル1[[#This Row],[列2]]*100),""),RAND())</f>
        <v>0.63560505382364019</v>
      </c>
      <c r="S309" s="24" t="str">
        <f ca="1">IF(AND(テーブル1[[#This Row],[描画状況]]="済",テーブル1[[#This Row],[投稿状況]]=""),RAND(),"")</f>
        <v/>
      </c>
      <c r="T309" s="23" t="str">
        <f>"|&amp;image("&amp;テーブル1[[#This Row],[画像]]&amp;".png,width=100,height=100)"</f>
        <v>|&amp;image(sai.png,width=100,height=100)</v>
      </c>
      <c r="U309" s="23" t="str">
        <f>"|MIDDLE:​"&amp;テーブル1[[#This Row],[名前]]</f>
        <v>|MIDDLE:​XI -sai-</v>
      </c>
      <c r="V309" s="23" t="str">
        <f>"|MIDDLE:​"&amp;テーブル1[[#This Row],[なまえ]]</f>
        <v>|MIDDLE:​さい</v>
      </c>
      <c r="W309" s="23" t="str">
        <f>"|MIDDLE:​"&amp;テーブル1[[#This Row],[Name]]</f>
        <v>|MIDDLE:​sai</v>
      </c>
      <c r="X309" s="23" t="str">
        <f>"|MIDDLE:​&amp;link(配布所はこちら){​"&amp;テーブル1[[#This Row],[リンク]]&amp;"}|"</f>
        <v>|MIDDLE:​&amp;link(配布所はこちら){​https://harujpg.wixsite.com/sanshoku}|</v>
      </c>
    </row>
    <row r="310" spans="2:24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310" s="24" t="s">
        <v>1267</v>
      </c>
      <c r="D310" s="23" t="s">
        <v>1269</v>
      </c>
      <c r="E310" s="23" t="s">
        <v>1268</v>
      </c>
      <c r="F310" s="15" t="s">
        <v>177</v>
      </c>
      <c r="G310" s="24" t="s">
        <v>1289</v>
      </c>
      <c r="H310" s="24"/>
      <c r="I310" s="24"/>
      <c r="J310" s="24"/>
      <c r="K310" s="24"/>
      <c r="L310" s="24"/>
      <c r="O310" s="24" t="str">
        <f>テーブル1[[#This Row],[リンク]]&amp;テーブル1[[#This Row],[描画状況]]</f>
        <v>https://lenskkpb.wixsite.com/len-sakaki-official</v>
      </c>
      <c r="P310" s="17">
        <f>1-(COUNTIF(O:O,_xlfn.TEXTJOIN(",",TRUE,テーブル1[[#This Row],[リンク]],テーブル1[[#This Row],[描画状況]]))/COUNTIF(F:F,テーブル1[[#This Row],[リンク]]))</f>
        <v>0.125</v>
      </c>
      <c r="Q310" s="16">
        <f ca="1">IFERROR(IF(テーブル1[[#This Row],[描画状況]]="",RAND()+(テーブル1[[#This Row],[列2]]*100),""),RAND())</f>
        <v>13.308108025142776</v>
      </c>
      <c r="S310" s="24" t="str">
        <f ca="1">IF(AND(テーブル1[[#This Row],[描画状況]]="済",テーブル1[[#This Row],[投稿状況]]=""),RAND(),"")</f>
        <v/>
      </c>
      <c r="T310" s="23" t="str">
        <f>"|&amp;image("&amp;テーブル1[[#This Row],[画像]]&amp;".png,width=100,height=100)"</f>
        <v>|&amp;image(sakaki-leo.png,width=100,height=100)</v>
      </c>
      <c r="U310" s="23" t="str">
        <f>"|MIDDLE:​"&amp;テーブル1[[#This Row],[名前]]</f>
        <v>|MIDDLE:​榊れを</v>
      </c>
      <c r="V310" s="23" t="str">
        <f>"|MIDDLE:​"&amp;テーブル1[[#This Row],[なまえ]]</f>
        <v>|MIDDLE:​さかき れお</v>
      </c>
      <c r="W310" s="23" t="str">
        <f>"|MIDDLE:​"&amp;テーブル1[[#This Row],[Name]]</f>
        <v>|MIDDLE:​Sakaki Leo</v>
      </c>
      <c r="X31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11" spans="2:24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1" s="24" t="s">
        <v>1254</v>
      </c>
      <c r="D311" s="23" t="s">
        <v>1256</v>
      </c>
      <c r="E311" s="23" t="s">
        <v>1259</v>
      </c>
      <c r="F311" s="15" t="s">
        <v>1257</v>
      </c>
      <c r="G311" s="23" t="s">
        <v>1261</v>
      </c>
      <c r="O311" s="24" t="str">
        <f>テーブル1[[#This Row],[リンク]]&amp;テーブル1[[#This Row],[描画状況]]</f>
        <v>https://sites.google.com/view/fullmoon-ruro</v>
      </c>
      <c r="P311" s="17">
        <f>1-(COUNTIF(O:O,_xlfn.TEXTJOIN(",",TRUE,テーブル1[[#This Row],[リンク]],テーブル1[[#This Row],[描画状況]]))/COUNTIF(F:F,テーブル1[[#This Row],[リンク]]))</f>
        <v>0</v>
      </c>
      <c r="Q311" s="16">
        <f ca="1">IFERROR(IF(テーブル1[[#This Row],[描画状況]]="",RAND()+(テーブル1[[#This Row],[列2]]*100),""),RAND())</f>
        <v>0.86232011635957895</v>
      </c>
      <c r="S311" s="24" t="str">
        <f ca="1">IF(AND(テーブル1[[#This Row],[描画状況]]="済",テーブル1[[#This Row],[投稿状況]]=""),RAND(),"")</f>
        <v/>
      </c>
      <c r="T311" s="23" t="str">
        <f>"|&amp;image("&amp;テーブル1[[#This Row],[画像]]&amp;".png,width=100,height=100)"</f>
        <v>|&amp;image(sakune-shino.png,width=100,height=100)</v>
      </c>
      <c r="U311" s="23" t="str">
        <f>"|MIDDLE:​"&amp;テーブル1[[#This Row],[名前]]</f>
        <v>|MIDDLE:​錯音シノ</v>
      </c>
      <c r="V311" s="23" t="str">
        <f>"|MIDDLE:​"&amp;テーブル1[[#This Row],[なまえ]]</f>
        <v>|MIDDLE:​さくね しの</v>
      </c>
      <c r="W311" s="23" t="str">
        <f>"|MIDDLE:​"&amp;テーブル1[[#This Row],[Name]]</f>
        <v>|MIDDLE:​Sakune Shino</v>
      </c>
      <c r="X311" s="23" t="str">
        <f>"|MIDDLE:​&amp;link(配布所はこちら){​"&amp;テーブル1[[#This Row],[リンク]]&amp;"}|"</f>
        <v>|MIDDLE:​&amp;link(配布所はこちら){​https://sites.google.com/view/fullmoon-ruro}|</v>
      </c>
    </row>
    <row r="312" spans="2:24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2" s="24" t="s">
        <v>1253</v>
      </c>
      <c r="D312" s="23" t="s">
        <v>1255</v>
      </c>
      <c r="E312" s="23" t="s">
        <v>1258</v>
      </c>
      <c r="F312" s="15" t="s">
        <v>1257</v>
      </c>
      <c r="G312" s="23" t="s">
        <v>1260</v>
      </c>
      <c r="O312" s="24" t="str">
        <f>テーブル1[[#This Row],[リンク]]&amp;テーブル1[[#This Row],[描画状況]]</f>
        <v>https://sites.google.com/view/fullmoon-ruro</v>
      </c>
      <c r="P312" s="17">
        <f>1-(COUNTIF(O:O,_xlfn.TEXTJOIN(",",TRUE,テーブル1[[#This Row],[リンク]],テーブル1[[#This Row],[描画状況]]))/COUNTIF(F:F,テーブル1[[#This Row],[リンク]]))</f>
        <v>0</v>
      </c>
      <c r="Q312" s="16">
        <f ca="1">IFERROR(IF(テーブル1[[#This Row],[描画状況]]="",RAND()+(テーブル1[[#This Row],[列2]]*100),""),RAND())</f>
        <v>0.33439993828062342</v>
      </c>
      <c r="S312" s="24" t="str">
        <f ca="1">IF(AND(テーブル1[[#This Row],[描画状況]]="済",テーブル1[[#This Row],[投稿状況]]=""),RAND(),"")</f>
        <v/>
      </c>
      <c r="T312" s="23" t="str">
        <f>"|&amp;image("&amp;テーブル1[[#This Row],[画像]]&amp;".png,width=100,height=100)"</f>
        <v>|&amp;image(sakune-jiba.png,width=100,height=100)</v>
      </c>
      <c r="U312" s="23" t="str">
        <f>"|MIDDLE:​"&amp;テーブル1[[#This Row],[名前]]</f>
        <v>|MIDDLE:​錯音ジバ</v>
      </c>
      <c r="V312" s="23" t="str">
        <f>"|MIDDLE:​"&amp;テーブル1[[#This Row],[なまえ]]</f>
        <v>|MIDDLE:​さくね じば</v>
      </c>
      <c r="W312" s="23" t="str">
        <f>"|MIDDLE:​"&amp;テーブル1[[#This Row],[Name]]</f>
        <v>|MIDDLE:​Sakune Jiba</v>
      </c>
      <c r="X312" s="23" t="str">
        <f>"|MIDDLE:​&amp;link(配布所はこちら){​"&amp;テーブル1[[#This Row],[リンク]]&amp;"}|"</f>
        <v>|MIDDLE:​&amp;link(配布所はこちら){​https://sites.google.com/view/fullmoon-ruro}|</v>
      </c>
    </row>
    <row r="313" spans="2:24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3" s="24" t="s">
        <v>1218</v>
      </c>
      <c r="D313" s="23" t="s">
        <v>1238</v>
      </c>
      <c r="E313" s="23" t="s">
        <v>1237</v>
      </c>
      <c r="F313" s="15" t="s">
        <v>339</v>
      </c>
      <c r="G313" s="23" t="s">
        <v>340</v>
      </c>
      <c r="O313" s="24" t="str">
        <f>テーブル1[[#This Row],[リンク]]&amp;テーブル1[[#This Row],[描画状況]]</f>
        <v>https://torinosu-hikikomori.jimdofree.com</v>
      </c>
      <c r="P313" s="17">
        <f>1-(COUNTIF(O:O,_xlfn.TEXTJOIN(",",TRUE,テーブル1[[#This Row],[リンク]],テーブル1[[#This Row],[描画状況]]))/COUNTIF(F:F,テーブル1[[#This Row],[リンク]]))</f>
        <v>0.125</v>
      </c>
      <c r="Q313" s="16">
        <f ca="1">IFERROR(IF(テーブル1[[#This Row],[描画状況]]="",RAND()+(テーブル1[[#This Row],[列2]]*100),""),RAND())</f>
        <v>13.124590491090194</v>
      </c>
      <c r="S313" s="24" t="str">
        <f ca="1">IF(AND(テーブル1[[#This Row],[描画状況]]="済",テーブル1[[#This Row],[投稿状況]]=""),RAND(),"")</f>
        <v/>
      </c>
      <c r="T313" s="23" t="str">
        <f>"|&amp;image("&amp;テーブル1[[#This Row],[画像]]&amp;".png,width=100,height=100)"</f>
        <v>|&amp;image(sara-shedy.png,width=100,height=100)</v>
      </c>
      <c r="U313" s="23" t="str">
        <f>"|MIDDLE:​"&amp;テーブル1[[#This Row],[名前]]</f>
        <v>|MIDDLE:​サラ・シェーディ</v>
      </c>
      <c r="V313" s="23" t="str">
        <f>"|MIDDLE:​"&amp;テーブル1[[#This Row],[なまえ]]</f>
        <v>|MIDDLE:​さら しぇーでぃ</v>
      </c>
      <c r="W313" s="23" t="str">
        <f>"|MIDDLE:​"&amp;テーブル1[[#This Row],[Name]]</f>
        <v>|MIDDLE:​Sara Shedy</v>
      </c>
      <c r="X313" s="23" t="str">
        <f>"|MIDDLE:​&amp;link(配布所はこちら){​"&amp;テーブル1[[#This Row],[リンク]]&amp;"}|"</f>
        <v>|MIDDLE:​&amp;link(配布所はこちら){​https://torinosu-hikikomori.jimdofree.com}|</v>
      </c>
    </row>
    <row r="314" spans="2:24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4" s="24" t="s">
        <v>1191</v>
      </c>
      <c r="D314" s="23" t="s">
        <v>1191</v>
      </c>
      <c r="E314" s="23" t="s">
        <v>1192</v>
      </c>
      <c r="F314" s="15" t="s">
        <v>1190</v>
      </c>
      <c r="G314" s="23" t="str">
        <f>テーブル1[[#This Row],[名前]]&amp;"(UTAU)"</f>
        <v>ざんしゅ(UTAU)</v>
      </c>
      <c r="O314" s="24" t="str">
        <f>テーブル1[[#This Row],[リンク]]&amp;テーブル1[[#This Row],[描画状況]]</f>
        <v>https://ahogepucyi.wixsite.com/zannsyuutau</v>
      </c>
      <c r="P314" s="17">
        <f>1-(COUNTIF(O:O,_xlfn.TEXTJOIN(",",TRUE,テーブル1[[#This Row],[リンク]],テーブル1[[#This Row],[描画状況]]))/COUNTIF(F:F,テーブル1[[#This Row],[リンク]]))</f>
        <v>0</v>
      </c>
      <c r="Q314" s="16">
        <f ca="1">IFERROR(IF(テーブル1[[#This Row],[描画状況]]="",RAND()+(テーブル1[[#This Row],[列2]]*100),""),RAND())</f>
        <v>0.37366214959361033</v>
      </c>
      <c r="S314" s="24" t="str">
        <f ca="1">IF(AND(テーブル1[[#This Row],[描画状況]]="済",テーブル1[[#This Row],[投稿状況]]=""),RAND(),"")</f>
        <v/>
      </c>
      <c r="T314" s="23" t="str">
        <f>"|&amp;image("&amp;テーブル1[[#This Row],[画像]]&amp;".png,width=100,height=100)"</f>
        <v>|&amp;image(zanshu.png,width=100,height=100)</v>
      </c>
      <c r="U314" s="23" t="str">
        <f>"|MIDDLE:​"&amp;テーブル1[[#This Row],[名前]]</f>
        <v>|MIDDLE:​ざんしゅ</v>
      </c>
      <c r="V314" s="23" t="str">
        <f>"|MIDDLE:​"&amp;テーブル1[[#This Row],[なまえ]]</f>
        <v>|MIDDLE:​ざんしゅ</v>
      </c>
      <c r="W314" s="23" t="str">
        <f>"|MIDDLE:​"&amp;テーブル1[[#This Row],[Name]]</f>
        <v>|MIDDLE:​Zanshu</v>
      </c>
      <c r="X314" s="23" t="str">
        <f>"|MIDDLE:​&amp;link(配布所はこちら){​"&amp;テーブル1[[#This Row],[リンク]]&amp;"}|"</f>
        <v>|MIDDLE:​&amp;link(配布所はこちら){​https://ahogepucyi.wixsite.com/zannsyuutau}|</v>
      </c>
    </row>
    <row r="315" spans="2:24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5" s="24" t="s">
        <v>1105</v>
      </c>
      <c r="D315" s="23" t="s">
        <v>1106</v>
      </c>
      <c r="E315" s="23" t="s">
        <v>1107</v>
      </c>
      <c r="F315" s="15" t="s">
        <v>1104</v>
      </c>
      <c r="G315" s="23" t="str">
        <f>テーブル1[[#This Row],[名前]]&amp;"(UTAU)"</f>
        <v>三色あやか(UTAU)</v>
      </c>
      <c r="O315" s="24" t="str">
        <f>テーブル1[[#This Row],[リンク]]&amp;テーブル1[[#This Row],[描画状況]]</f>
        <v>https://harujpg.wixsite.com/sanshoku</v>
      </c>
      <c r="P315" s="17">
        <f>1-(COUNTIF(O:O,_xlfn.TEXTJOIN(",",TRUE,テーブル1[[#This Row],[リンク]],テーブル1[[#This Row],[描画状況]]))/COUNTIF(F:F,テーブル1[[#This Row],[リンク]]))</f>
        <v>0</v>
      </c>
      <c r="Q315" s="16">
        <f ca="1">IFERROR(IF(テーブル1[[#This Row],[描画状況]]="",RAND()+(テーブル1[[#This Row],[列2]]*100),""),RAND())</f>
        <v>6.9796111534978E-2</v>
      </c>
      <c r="S315" s="24" t="str">
        <f ca="1">IF(AND(テーブル1[[#This Row],[描画状況]]="済",テーブル1[[#This Row],[投稿状況]]=""),RAND(),"")</f>
        <v/>
      </c>
      <c r="T315" s="23" t="str">
        <f>"|&amp;image("&amp;テーブル1[[#This Row],[画像]]&amp;".png,width=100,height=100)"</f>
        <v>|&amp;image(sanshoku-ayaka.png,width=100,height=100)</v>
      </c>
      <c r="U315" s="23" t="str">
        <f>"|MIDDLE:​"&amp;テーブル1[[#This Row],[名前]]</f>
        <v>|MIDDLE:​三色あやか</v>
      </c>
      <c r="V315" s="23" t="str">
        <f>"|MIDDLE:​"&amp;テーブル1[[#This Row],[なまえ]]</f>
        <v>|MIDDLE:​さんしょく あやか</v>
      </c>
      <c r="W315" s="23" t="str">
        <f>"|MIDDLE:​"&amp;テーブル1[[#This Row],[Name]]</f>
        <v>|MIDDLE:​Sanshoku Ayaka</v>
      </c>
      <c r="X315" s="23" t="str">
        <f>"|MIDDLE:​&amp;link(配布所はこちら){​"&amp;テーブル1[[#This Row],[リンク]]&amp;"}|"</f>
        <v>|MIDDLE:​&amp;link(配布所はこちら){​https://harujpg.wixsite.com/sanshoku}|</v>
      </c>
    </row>
    <row r="316" spans="2:24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6" s="24" t="s">
        <v>1108</v>
      </c>
      <c r="D316" s="23" t="s">
        <v>1109</v>
      </c>
      <c r="E316" s="23" t="s">
        <v>1110</v>
      </c>
      <c r="F316" s="15" t="s">
        <v>1104</v>
      </c>
      <c r="G316" s="23" t="str">
        <f>テーブル1[[#This Row],[名前]]&amp;"(UTAU)"</f>
        <v>三色れいか(UTAU)</v>
      </c>
      <c r="O316" s="24" t="str">
        <f>テーブル1[[#This Row],[リンク]]&amp;テーブル1[[#This Row],[描画状況]]</f>
        <v>https://harujpg.wixsite.com/sanshoku</v>
      </c>
      <c r="P316" s="17">
        <f>1-(COUNTIF(O:O,_xlfn.TEXTJOIN(",",TRUE,テーブル1[[#This Row],[リンク]],テーブル1[[#This Row],[描画状況]]))/COUNTIF(F:F,テーブル1[[#This Row],[リンク]]))</f>
        <v>0</v>
      </c>
      <c r="Q316" s="16">
        <f ca="1">IFERROR(IF(テーブル1[[#This Row],[描画状況]]="",RAND()+(テーブル1[[#This Row],[列2]]*100),""),RAND())</f>
        <v>0.77908526277663437</v>
      </c>
      <c r="S316" s="24" t="str">
        <f ca="1">IF(AND(テーブル1[[#This Row],[描画状況]]="済",テーブル1[[#This Row],[投稿状況]]=""),RAND(),"")</f>
        <v/>
      </c>
      <c r="T316" s="23" t="str">
        <f>"|&amp;image("&amp;テーブル1[[#This Row],[画像]]&amp;".png,width=100,height=100)"</f>
        <v>|&amp;image(sanshoku-reika.png,width=100,height=100)</v>
      </c>
      <c r="U316" s="23" t="str">
        <f>"|MIDDLE:​"&amp;テーブル1[[#This Row],[名前]]</f>
        <v>|MIDDLE:​三色れいか</v>
      </c>
      <c r="V316" s="23" t="str">
        <f>"|MIDDLE:​"&amp;テーブル1[[#This Row],[なまえ]]</f>
        <v>|MIDDLE:​さんしょく れいか</v>
      </c>
      <c r="W316" s="23" t="str">
        <f>"|MIDDLE:​"&amp;テーブル1[[#This Row],[Name]]</f>
        <v>|MIDDLE:​Sanshoku Reika</v>
      </c>
      <c r="X316" s="23" t="str">
        <f>"|MIDDLE:​&amp;link(配布所はこちら){​"&amp;テーブル1[[#This Row],[リンク]]&amp;"}|"</f>
        <v>|MIDDLE:​&amp;link(配布所はこちら){​https://harujpg.wixsite.com/sanshoku}|</v>
      </c>
    </row>
    <row r="317" spans="2:24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7" s="24" t="s">
        <v>1114</v>
      </c>
      <c r="D317" s="23" t="s">
        <v>1115</v>
      </c>
      <c r="E317" s="23" t="s">
        <v>1116</v>
      </c>
      <c r="F317" s="15" t="s">
        <v>1104</v>
      </c>
      <c r="G317" s="23" t="str">
        <f>テーブル1[[#This Row],[名前]]&amp;"(UTAU)"</f>
        <v>三色家のぼうしさん(UTAU)</v>
      </c>
      <c r="O317" s="24" t="str">
        <f>テーブル1[[#This Row],[リンク]]&amp;テーブル1[[#This Row],[描画状況]]</f>
        <v>https://harujpg.wixsite.com/sanshoku</v>
      </c>
      <c r="P317" s="17">
        <f>1-(COUNTIF(O:O,_xlfn.TEXTJOIN(",",TRUE,テーブル1[[#This Row],[リンク]],テーブル1[[#This Row],[描画状況]]))/COUNTIF(F:F,テーブル1[[#This Row],[リンク]]))</f>
        <v>0</v>
      </c>
      <c r="Q317" s="16">
        <f ca="1">IFERROR(IF(テーブル1[[#This Row],[描画状況]]="",RAND()+(テーブル1[[#This Row],[列2]]*100),""),RAND())</f>
        <v>0.52113780089249029</v>
      </c>
      <c r="S317" s="24" t="str">
        <f ca="1">IF(AND(テーブル1[[#This Row],[描画状況]]="済",テーブル1[[#This Row],[投稿状況]]=""),RAND(),"")</f>
        <v/>
      </c>
      <c r="T317" s="23" t="str">
        <f>"|&amp;image("&amp;テーブル1[[#This Row],[画像]]&amp;".png,width=100,height=100)"</f>
        <v>|&amp;image(sanshokukenoboshisan.png,width=100,height=100)</v>
      </c>
      <c r="U317" s="23" t="str">
        <f>"|MIDDLE:​"&amp;テーブル1[[#This Row],[名前]]</f>
        <v>|MIDDLE:​三色家のぼうしさん</v>
      </c>
      <c r="V317" s="23" t="str">
        <f>"|MIDDLE:​"&amp;テーブル1[[#This Row],[なまえ]]</f>
        <v>|MIDDLE:​さんしょくけのぼうしさん</v>
      </c>
      <c r="W317" s="23" t="str">
        <f>"|MIDDLE:​"&amp;テーブル1[[#This Row],[Name]]</f>
        <v>|MIDDLE:​Sanshokukenoboshisan</v>
      </c>
      <c r="X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4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18" s="24" t="s">
        <v>591</v>
      </c>
      <c r="D318" s="23" t="s">
        <v>592</v>
      </c>
      <c r="E318" s="23" t="s">
        <v>593</v>
      </c>
      <c r="F318" s="2" t="s">
        <v>594</v>
      </c>
      <c r="G318" s="23" t="str">
        <f>テーブル1[[#This Row],[名前]]&amp;"(UTAU)"</f>
        <v>残音ンダ(UTAU)</v>
      </c>
      <c r="O318" s="24" t="str">
        <f>テーブル1[[#This Row],[リンク]]&amp;テーブル1[[#This Row],[描画状況]]</f>
        <v>https://tomatoshop.studio.site</v>
      </c>
      <c r="P318" s="17">
        <f>1-(COUNTIF(O:O,_xlfn.TEXTJOIN(",",TRUE,テーブル1[[#This Row],[リンク]],テーブル1[[#This Row],[描画状況]]))/COUNTIF(F:F,テーブル1[[#This Row],[リンク]]))</f>
        <v>0</v>
      </c>
      <c r="Q318" s="16">
        <f ca="1">IFERROR(IF(テーブル1[[#This Row],[描画状況]]="",RAND()+(テーブル1[[#This Row],[列2]]*100),""),RAND())</f>
        <v>0.56646757362727929</v>
      </c>
      <c r="S318" s="24" t="str">
        <f ca="1">IF(AND(テーブル1[[#This Row],[描画状況]]="済",テーブル1[[#This Row],[投稿状況]]=""),RAND(),"")</f>
        <v/>
      </c>
      <c r="T318" s="23" t="str">
        <f>"|&amp;image("&amp;テーブル1[[#This Row],[画像]]&amp;".png,width=100,height=100)"</f>
        <v>|&amp;image(zanne-uda.png,width=100,height=100)</v>
      </c>
      <c r="U318" s="23" t="str">
        <f>"|MIDDLE:​"&amp;テーブル1[[#This Row],[名前]]</f>
        <v>|MIDDLE:​残音ンダ</v>
      </c>
      <c r="V318" s="23" t="str">
        <f>"|MIDDLE:​"&amp;テーブル1[[#This Row],[なまえ]]</f>
        <v>|MIDDLE:​ざんね うだ</v>
      </c>
      <c r="W318" s="23" t="str">
        <f>"|MIDDLE:​"&amp;テーブル1[[#This Row],[Name]]</f>
        <v>|MIDDLE:​Zanne Uda</v>
      </c>
      <c r="X318" s="23" t="str">
        <f>"|MIDDLE:​&amp;link(配布所はこちら){​"&amp;テーブル1[[#This Row],[リンク]]&amp;"}|"</f>
        <v>|MIDDLE:​&amp;link(配布所はこちら){​https://tomatoshop.studio.site}|</v>
      </c>
    </row>
    <row r="319" spans="2:24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19" s="24" t="s">
        <v>745</v>
      </c>
      <c r="D319" s="23" t="s">
        <v>746</v>
      </c>
      <c r="E319" s="23" t="s">
        <v>747</v>
      </c>
      <c r="F319" s="23" t="s">
        <v>421</v>
      </c>
      <c r="G319" s="23" t="str">
        <f>テーブル1[[#This Row],[名前]]&amp;"(UTAU)"</f>
        <v>シェリーロイド(UTAU)</v>
      </c>
      <c r="O319" s="24" t="str">
        <f>テーブル1[[#This Row],[リンク]]&amp;テーブル1[[#This Row],[描画状況]]</f>
        <v>-</v>
      </c>
      <c r="P319" s="17">
        <f>1-(COUNTIF(O:O,_xlfn.TEXTJOIN(",",TRUE,テーブル1[[#This Row],[リンク]],テーブル1[[#This Row],[描画状況]]))/COUNTIF(F:F,テーブル1[[#This Row],[リンク]]))</f>
        <v>0.33333333333333337</v>
      </c>
      <c r="Q319" s="16">
        <f ca="1">IFERROR(IF(テーブル1[[#This Row],[描画状況]]="",RAND()+(テーブル1[[#This Row],[列2]]*100),""),RAND())</f>
        <v>34.22183241395313</v>
      </c>
      <c r="S319" s="24" t="str">
        <f ca="1">IF(AND(テーブル1[[#This Row],[描画状況]]="済",テーブル1[[#This Row],[投稿状況]]=""),RAND(),"")</f>
        <v/>
      </c>
      <c r="T319" s="23" t="str">
        <f>"|&amp;image("&amp;テーブル1[[#This Row],[画像]]&amp;".png,width=100,height=100)"</f>
        <v>|&amp;image(cherri-loid.png,width=100,height=100)</v>
      </c>
      <c r="U319" s="23" t="str">
        <f>"|MIDDLE:​"&amp;テーブル1[[#This Row],[名前]]</f>
        <v>|MIDDLE:​シェリーロイド</v>
      </c>
      <c r="V319" s="23" t="str">
        <f>"|MIDDLE:​"&amp;テーブル1[[#This Row],[なまえ]]</f>
        <v>|MIDDLE:​しぇりーろいど</v>
      </c>
      <c r="W319" s="23" t="str">
        <f>"|MIDDLE:​"&amp;テーブル1[[#This Row],[Name]]</f>
        <v>|MIDDLE:​CHERRI-LOID</v>
      </c>
      <c r="X319" s="23" t="str">
        <f>"|MIDDLE:​&amp;link(配布所はこちら){​"&amp;テーブル1[[#This Row],[リンク]]&amp;"}|"</f>
        <v>|MIDDLE:​&amp;link(配布所はこちら){​-}|</v>
      </c>
    </row>
    <row r="320" spans="2:24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0" s="24" t="s">
        <v>1043</v>
      </c>
      <c r="D320" s="23" t="s">
        <v>1044</v>
      </c>
      <c r="E320" s="23" t="s">
        <v>1045</v>
      </c>
      <c r="F320" s="15" t="s">
        <v>671</v>
      </c>
      <c r="G320" s="23" t="s">
        <v>672</v>
      </c>
      <c r="M320" s="1" t="s">
        <v>1517</v>
      </c>
      <c r="O320" s="24" t="str">
        <f>テーブル1[[#This Row],[リンク]]&amp;テーブル1[[#This Row],[描画状況]]</f>
        <v>https://flowerrocklove.wixsite.com/twilight-crisis</v>
      </c>
      <c r="P320" s="17">
        <f>1-(COUNTIF(O:O,_xlfn.TEXTJOIN(",",TRUE,テーブル1[[#This Row],[リンク]],テーブル1[[#This Row],[描画状況]]))/COUNTIF(F:F,テーブル1[[#This Row],[リンク]]))</f>
        <v>0.22222222222222221</v>
      </c>
      <c r="Q320" s="16">
        <f ca="1">IFERROR(IF(テーブル1[[#This Row],[描画状況]]="",RAND()+(テーブル1[[#This Row],[列2]]*100),""),RAND())</f>
        <v>22.747830117247503</v>
      </c>
      <c r="S320" s="24" t="str">
        <f ca="1">IF(AND(テーブル1[[#This Row],[描画状況]]="済",テーブル1[[#This Row],[投稿状況]]=""),RAND(),"")</f>
        <v/>
      </c>
      <c r="T320" s="23" t="str">
        <f>"|&amp;image("&amp;テーブル1[[#This Row],[画像]]&amp;".png,width=100,height=100)"</f>
        <v>|&amp;image(jigokudani-kaku.png,width=100,height=100)</v>
      </c>
      <c r="U320" s="23" t="str">
        <f>"|MIDDLE:​"&amp;テーブル1[[#This Row],[名前]]</f>
        <v>|MIDDLE:​地獄谷覚</v>
      </c>
      <c r="V320" s="23" t="str">
        <f>"|MIDDLE:​"&amp;テーブル1[[#This Row],[なまえ]]</f>
        <v>|MIDDLE:​じごくだに かく</v>
      </c>
      <c r="W320" s="23" t="str">
        <f>"|MIDDLE:​"&amp;テーブル1[[#This Row],[Name]]</f>
        <v>|MIDDLE:​Jigokudani Kaku</v>
      </c>
      <c r="X32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1" spans="2:24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1" s="24" t="s">
        <v>1046</v>
      </c>
      <c r="D321" s="23" t="s">
        <v>1047</v>
      </c>
      <c r="E321" s="23" t="s">
        <v>1048</v>
      </c>
      <c r="F321" s="15" t="s">
        <v>671</v>
      </c>
      <c r="G321" s="23" t="s">
        <v>672</v>
      </c>
      <c r="M321" s="1" t="s">
        <v>1517</v>
      </c>
      <c r="O321" s="24" t="str">
        <f>テーブル1[[#This Row],[リンク]]&amp;テーブル1[[#This Row],[描画状況]]</f>
        <v>https://flowerrocklove.wixsite.com/twilight-crisis</v>
      </c>
      <c r="P321" s="17">
        <f>1-(COUNTIF(O:O,_xlfn.TEXTJOIN(",",TRUE,テーブル1[[#This Row],[リンク]],テーブル1[[#This Row],[描画状況]]))/COUNTIF(F:F,テーブル1[[#This Row],[リンク]]))</f>
        <v>0.22222222222222221</v>
      </c>
      <c r="Q321" s="16">
        <f ca="1">IFERROR(IF(テーブル1[[#This Row],[描画状況]]="",RAND()+(テーブル1[[#This Row],[列2]]*100),""),RAND())</f>
        <v>23.213316798559074</v>
      </c>
      <c r="S321" s="24" t="str">
        <f ca="1">IF(AND(テーブル1[[#This Row],[描画状況]]="済",テーブル1[[#This Row],[投稿状況]]=""),RAND(),"")</f>
        <v/>
      </c>
      <c r="T321" s="23" t="str">
        <f>"|&amp;image("&amp;テーブル1[[#This Row],[画像]]&amp;".png,width=100,height=100)"</f>
        <v>|&amp;image(jigokudani-lin.png,width=100,height=100)</v>
      </c>
      <c r="U321" s="23" t="str">
        <f>"|MIDDLE:​"&amp;テーブル1[[#This Row],[名前]]</f>
        <v>|MIDDLE:​地獄谷燐</v>
      </c>
      <c r="V321" s="23" t="str">
        <f>"|MIDDLE:​"&amp;テーブル1[[#This Row],[なまえ]]</f>
        <v>|MIDDLE:​じごくだに りん</v>
      </c>
      <c r="W321" s="23" t="str">
        <f>"|MIDDLE:​"&amp;テーブル1[[#This Row],[Name]]</f>
        <v>|MIDDLE:​Jigokudani Lin</v>
      </c>
      <c r="X32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2" spans="2:24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2" s="24" t="s">
        <v>515</v>
      </c>
      <c r="D322" s="23" t="s">
        <v>516</v>
      </c>
      <c r="E322" s="23" t="s">
        <v>517</v>
      </c>
      <c r="F322" s="2" t="s">
        <v>518</v>
      </c>
      <c r="G322" s="23" t="s">
        <v>519</v>
      </c>
      <c r="O322" s="24" t="str">
        <f>テーブル1[[#This Row],[リンク]]&amp;テーブル1[[#This Row],[描画状況]]</f>
        <v>https://bowlroll.net/user/966729</v>
      </c>
      <c r="P322" s="17">
        <f>1-(COUNTIF(O:O,_xlfn.TEXTJOIN(",",TRUE,テーブル1[[#This Row],[リンク]],テーブル1[[#This Row],[描画状況]]))/COUNTIF(F:F,テーブル1[[#This Row],[リンク]]))</f>
        <v>0</v>
      </c>
      <c r="Q322" s="16">
        <f ca="1">IFERROR(IF(テーブル1[[#This Row],[描画状況]]="",RAND()+(テーブル1[[#This Row],[列2]]*100),""),RAND())</f>
        <v>0.94926958510494774</v>
      </c>
      <c r="S322" s="24" t="str">
        <f ca="1">IF(AND(テーブル1[[#This Row],[描画状況]]="済",テーブル1[[#This Row],[投稿状況]]=""),RAND(),"")</f>
        <v/>
      </c>
      <c r="T322" s="23" t="str">
        <f>"|&amp;image("&amp;テーブル1[[#This Row],[画像]]&amp;".png,width=100,height=100)"</f>
        <v>|&amp;image(shijii-kyoka.png,width=100,height=100)</v>
      </c>
      <c r="U322" s="23" t="str">
        <f>"|MIDDLE:​"&amp;テーブル1[[#This Row],[名前]]</f>
        <v>|MIDDLE:​四々井杏花</v>
      </c>
      <c r="V322" s="23" t="str">
        <f>"|MIDDLE:​"&amp;テーブル1[[#This Row],[なまえ]]</f>
        <v>|MIDDLE:​しじい きょうか</v>
      </c>
      <c r="W322" s="23" t="str">
        <f>"|MIDDLE:​"&amp;テーブル1[[#This Row],[Name]]</f>
        <v>|MIDDLE:​Shijii Kyoka</v>
      </c>
      <c r="X322" s="23" t="str">
        <f>"|MIDDLE:​&amp;link(配布所はこちら){​"&amp;テーブル1[[#This Row],[リンク]]&amp;"}|"</f>
        <v>|MIDDLE:​&amp;link(配布所はこちら){​https://bowlroll.net/user/966729}|</v>
      </c>
    </row>
    <row r="323" spans="2:24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3" s="24" t="s">
        <v>1313</v>
      </c>
      <c r="D323" s="23" t="s">
        <v>1315</v>
      </c>
      <c r="E323" s="23" t="s">
        <v>1316</v>
      </c>
      <c r="F323" s="15" t="s">
        <v>1317</v>
      </c>
      <c r="G323" s="23" t="s">
        <v>1314</v>
      </c>
      <c r="O323" s="24" t="str">
        <f>テーブル1[[#This Row],[リンク]]&amp;テーブル1[[#This Row],[描画状況]]</f>
        <v>https://bowlroll.net/user/896336</v>
      </c>
      <c r="P323" s="17">
        <f>1-(COUNTIF(O:O,_xlfn.TEXTJOIN(",",TRUE,テーブル1[[#This Row],[リンク]],テーブル1[[#This Row],[描画状況]]))/COUNTIF(F:F,テーブル1[[#This Row],[リンク]]))</f>
        <v>0</v>
      </c>
      <c r="Q323" s="16">
        <f ca="1">IFERROR(IF(テーブル1[[#This Row],[描画状況]]="",RAND()+(テーブル1[[#This Row],[列2]]*100),""),RAND())</f>
        <v>0.38556454995192702</v>
      </c>
      <c r="S323" s="24" t="str">
        <f ca="1">IF(AND(テーブル1[[#This Row],[描画状況]]="済",テーブル1[[#This Row],[投稿状況]]=""),RAND(),"")</f>
        <v/>
      </c>
      <c r="T323" s="23" t="str">
        <f>"|&amp;image("&amp;テーブル1[[#This Row],[画像]]&amp;".png,width=100,height=100)"</f>
        <v>|&amp;image(shippo.png,width=100,height=100)</v>
      </c>
      <c r="U323" s="23" t="str">
        <f>"|MIDDLE:​"&amp;テーブル1[[#This Row],[名前]]</f>
        <v>|MIDDLE:​尻尾</v>
      </c>
      <c r="V323" s="23" t="str">
        <f>"|MIDDLE:​"&amp;テーブル1[[#This Row],[なまえ]]</f>
        <v>|MIDDLE:​しっぽ</v>
      </c>
      <c r="W323" s="23" t="str">
        <f>"|MIDDLE:​"&amp;テーブル1[[#This Row],[Name]]</f>
        <v>|MIDDLE:​Shippo</v>
      </c>
      <c r="X323" s="23" t="str">
        <f>"|MIDDLE:​&amp;link(配布所はこちら){​"&amp;テーブル1[[#This Row],[リンク]]&amp;"}|"</f>
        <v>|MIDDLE:​&amp;link(配布所はこちら){​https://bowlroll.net/user/896336}|</v>
      </c>
    </row>
    <row r="324" spans="2:24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4" s="24" t="s">
        <v>970</v>
      </c>
      <c r="D324" s="23" t="s">
        <v>971</v>
      </c>
      <c r="E324" s="23" t="s">
        <v>972</v>
      </c>
      <c r="F324" s="2" t="s">
        <v>1703</v>
      </c>
      <c r="G324" s="23" t="str">
        <f>テーブル1[[#This Row],[名前]]&amp;"(UTAU)"</f>
        <v>死nu音サン(UTAU)</v>
      </c>
      <c r="H324" s="23" t="s">
        <v>1662</v>
      </c>
      <c r="I324" s="23" t="s">
        <v>1654</v>
      </c>
      <c r="M324" s="1" t="s">
        <v>1518</v>
      </c>
      <c r="O324" s="24" t="str">
        <f>テーブル1[[#This Row],[リンク]]&amp;テーブル1[[#This Row],[描画状況]]</f>
        <v>https://ameutaulii.wixsite.com/telepathycapsule</v>
      </c>
      <c r="P324" s="17">
        <f>1-(COUNTIF(O:O,_xlfn.TEXTJOIN(",",TRUE,テーブル1[[#This Row],[リンク]],テーブル1[[#This Row],[描画状況]]))/COUNTIF(F:F,テーブル1[[#This Row],[リンク]]))</f>
        <v>0.16666666666666663</v>
      </c>
      <c r="Q324" s="16">
        <f ca="1">IFERROR(IF(テーブル1[[#This Row],[描画状況]]="",RAND()+(テーブル1[[#This Row],[列2]]*100),""),RAND())</f>
        <v>16.790832987908605</v>
      </c>
      <c r="S324" s="24" t="str">
        <f ca="1">IF(AND(テーブル1[[#This Row],[描画状況]]="済",テーブル1[[#This Row],[投稿状況]]=""),RAND(),"")</f>
        <v/>
      </c>
      <c r="T324" s="23" t="str">
        <f>"|&amp;image("&amp;テーブル1[[#This Row],[画像]]&amp;".png,width=100,height=100)"</f>
        <v>|&amp;image(shinunesan.png,width=100,height=100)</v>
      </c>
      <c r="U324" s="23" t="str">
        <f>"|MIDDLE:​"&amp;テーブル1[[#This Row],[名前]]</f>
        <v>|MIDDLE:​死nu音サン</v>
      </c>
      <c r="V324" s="23" t="str">
        <f>"|MIDDLE:​"&amp;テーブル1[[#This Row],[なまえ]]</f>
        <v>|MIDDLE:​しぬねさん</v>
      </c>
      <c r="W324" s="23" t="str">
        <f>"|MIDDLE:​"&amp;テーブル1[[#This Row],[Name]]</f>
        <v>|MIDDLE:​Shinunesan</v>
      </c>
      <c r="X32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5" spans="2:24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5" s="24" t="s">
        <v>976</v>
      </c>
      <c r="D325" s="23" t="s">
        <v>977</v>
      </c>
      <c r="E325" s="23" t="s">
        <v>978</v>
      </c>
      <c r="F325" s="2" t="s">
        <v>50</v>
      </c>
      <c r="G325" s="23" t="str">
        <f>テーブル1[[#This Row],[名前]]&amp;"(UTAU)"</f>
        <v>シャレーナ(UTAU)</v>
      </c>
      <c r="O325" s="24" t="str">
        <f>テーブル1[[#This Row],[リンク]]&amp;テーブル1[[#This Row],[描画状況]]</f>
        <v>https://amiseniamnu.wixsite.com/amisenia</v>
      </c>
      <c r="P325" s="17">
        <f>1-(COUNTIF(O:O,_xlfn.TEXTJOIN(",",TRUE,テーブル1[[#This Row],[リンク]],テーブル1[[#This Row],[描画状況]]))/COUNTIF(F:F,テーブル1[[#This Row],[リンク]]))</f>
        <v>0.5</v>
      </c>
      <c r="Q325" s="16">
        <f ca="1">IFERROR(IF(テーブル1[[#This Row],[描画状況]]="",RAND()+(テーブル1[[#This Row],[列2]]*100),""),RAND())</f>
        <v>50.945340645669425</v>
      </c>
      <c r="S325" s="24" t="str">
        <f ca="1">IF(AND(テーブル1[[#This Row],[描画状況]]="済",テーブル1[[#This Row],[投稿状況]]=""),RAND(),"")</f>
        <v/>
      </c>
      <c r="T325" s="23" t="str">
        <f>"|&amp;image("&amp;テーブル1[[#This Row],[画像]]&amp;".png,width=100,height=100)"</f>
        <v>|&amp;image(sharena.png,width=100,height=100)</v>
      </c>
      <c r="U325" s="23" t="str">
        <f>"|MIDDLE:​"&amp;テーブル1[[#This Row],[名前]]</f>
        <v>|MIDDLE:​シャレーナ</v>
      </c>
      <c r="V325" s="23" t="str">
        <f>"|MIDDLE:​"&amp;テーブル1[[#This Row],[なまえ]]</f>
        <v>|MIDDLE:​しゃれーな</v>
      </c>
      <c r="W325" s="23" t="str">
        <f>"|MIDDLE:​"&amp;テーブル1[[#This Row],[Name]]</f>
        <v>|MIDDLE:​Sharena</v>
      </c>
      <c r="X325" s="23" t="str">
        <f>"|MIDDLE:​&amp;link(配布所はこちら){​"&amp;テーブル1[[#This Row],[リンク]]&amp;"}|"</f>
        <v>|MIDDLE:​&amp;link(配布所はこちら){​https://amiseniamnu.wixsite.com/amisenia}|</v>
      </c>
    </row>
    <row r="326" spans="2:24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6" s="24" t="s">
        <v>1368</v>
      </c>
      <c r="D326" s="23" t="s">
        <v>1370</v>
      </c>
      <c r="E326" s="23" t="s">
        <v>1369</v>
      </c>
      <c r="F326" s="2" t="s">
        <v>1363</v>
      </c>
      <c r="G326" s="23" t="s">
        <v>1364</v>
      </c>
      <c r="O326" s="24" t="str">
        <f>テーブル1[[#This Row],[リンク]]&amp;テーブル1[[#This Row],[描画状況]]</f>
        <v>https://maybeanglo0mochi.wixsite.com/mochiyanosouko</v>
      </c>
      <c r="P326" s="17">
        <f>1-(COUNTIF(O:O,_xlfn.TEXTJOIN(",",TRUE,テーブル1[[#This Row],[リンク]],テーブル1[[#This Row],[描画状況]]))/COUNTIF(F:F,テーブル1[[#This Row],[リンク]]))</f>
        <v>0.125</v>
      </c>
      <c r="Q326" s="16">
        <f ca="1">IFERROR(IF(テーブル1[[#This Row],[描画状況]]="",RAND()+(テーブル1[[#This Row],[列2]]*100),""),RAND())</f>
        <v>12.586316512484331</v>
      </c>
      <c r="S326" s="24" t="str">
        <f ca="1">IF(AND(テーブル1[[#This Row],[描画状況]]="済",テーブル1[[#This Row],[投稿状況]]=""),RAND(),"")</f>
        <v/>
      </c>
      <c r="T326" s="23" t="str">
        <f>"|&amp;image("&amp;テーブル1[[#This Row],[画像]]&amp;".png,width=100,height=100)"</f>
        <v>|&amp;image(syokuhei-saku.png,width=100,height=100)</v>
      </c>
      <c r="U326" s="23" t="str">
        <f>"|MIDDLE:​"&amp;テーブル1[[#This Row],[名前]]</f>
        <v>|MIDDLE:​食并さく</v>
      </c>
      <c r="V326" s="23" t="str">
        <f>"|MIDDLE:​"&amp;テーブル1[[#This Row],[なまえ]]</f>
        <v>|MIDDLE:​しょくへい さく</v>
      </c>
      <c r="W326" s="23" t="str">
        <f>"|MIDDLE:​"&amp;テーブル1[[#This Row],[Name]]</f>
        <v>|MIDDLE:​Syokuhei Saku</v>
      </c>
      <c r="X32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7" spans="2:24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7" s="24" t="s">
        <v>1365</v>
      </c>
      <c r="D327" s="23" t="s">
        <v>1367</v>
      </c>
      <c r="E327" s="23" t="s">
        <v>1366</v>
      </c>
      <c r="F327" s="2" t="s">
        <v>1363</v>
      </c>
      <c r="G327" s="23" t="s">
        <v>1364</v>
      </c>
      <c r="O327" s="24" t="str">
        <f>テーブル1[[#This Row],[リンク]]&amp;テーブル1[[#This Row],[描画状況]]</f>
        <v>https://maybeanglo0mochi.wixsite.com/mochiyanosouko</v>
      </c>
      <c r="P327" s="17">
        <f>1-(COUNTIF(O:O,_xlfn.TEXTJOIN(",",TRUE,テーブル1[[#This Row],[リンク]],テーブル1[[#This Row],[描画状況]]))/COUNTIF(F:F,テーブル1[[#This Row],[リンク]]))</f>
        <v>0.125</v>
      </c>
      <c r="Q327" s="16">
        <f ca="1">IFERROR(IF(テーブル1[[#This Row],[描画状況]]="",RAND()+(テーブル1[[#This Row],[列2]]*100),""),RAND())</f>
        <v>13.458703026207322</v>
      </c>
      <c r="S327" s="24" t="str">
        <f ca="1">IF(AND(テーブル1[[#This Row],[描画状況]]="済",テーブル1[[#This Row],[投稿状況]]=""),RAND(),"")</f>
        <v/>
      </c>
      <c r="T327" s="23" t="str">
        <f>"|&amp;image("&amp;テーブル1[[#This Row],[画像]]&amp;".png,width=100,height=100)"</f>
        <v>|&amp;image(syokuhei-fuwa.png,width=100,height=100)</v>
      </c>
      <c r="U327" s="23" t="str">
        <f>"|MIDDLE:​"&amp;テーブル1[[#This Row],[名前]]</f>
        <v>|MIDDLE:​食并ふうわ</v>
      </c>
      <c r="V327" s="23" t="str">
        <f>"|MIDDLE:​"&amp;テーブル1[[#This Row],[なまえ]]</f>
        <v>|MIDDLE:​しょくへい ふうわ</v>
      </c>
      <c r="W327" s="23" t="str">
        <f>"|MIDDLE:​"&amp;テーブル1[[#This Row],[Name]]</f>
        <v>|MIDDLE:​Syokuhei Fuwa</v>
      </c>
      <c r="X32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8" spans="2:24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28" s="24" t="s">
        <v>616</v>
      </c>
      <c r="D328" s="23" t="s">
        <v>617</v>
      </c>
      <c r="E328" s="23" t="s">
        <v>618</v>
      </c>
      <c r="F328" s="2" t="s">
        <v>215</v>
      </c>
      <c r="G328" s="23" t="s">
        <v>216</v>
      </c>
      <c r="M328" s="1" t="s">
        <v>1517</v>
      </c>
      <c r="O328" s="24" t="str">
        <f>テーブル1[[#This Row],[リンク]]&amp;テーブル1[[#This Row],[描画状況]]</f>
        <v>https://mitoristu.wixsite.com/kousaibako</v>
      </c>
      <c r="P328" s="17">
        <f>1-(COUNTIF(O:O,_xlfn.TEXTJOIN(",",TRUE,テーブル1[[#This Row],[リンク]],テーブル1[[#This Row],[描画状況]]))/COUNTIF(F:F,テーブル1[[#This Row],[リンク]]))</f>
        <v>0.19999999999999996</v>
      </c>
      <c r="Q328" s="16">
        <f ca="1">IFERROR(IF(テーブル1[[#This Row],[描画状況]]="",RAND()+(テーブル1[[#This Row],[列2]]*100),""),RAND())</f>
        <v>20.75323277714601</v>
      </c>
      <c r="S328" s="24" t="str">
        <f ca="1">IF(AND(テーブル1[[#This Row],[描画状況]]="済",テーブル1[[#This Row],[投稿状況]]=""),RAND(),"")</f>
        <v/>
      </c>
      <c r="T328" s="23" t="str">
        <f>"|&amp;image("&amp;テーブル1[[#This Row],[画像]]&amp;".png,width=100,height=100)"</f>
        <v>|&amp;image(shirahari-akane.png,width=100,height=100)</v>
      </c>
      <c r="U328" s="23" t="str">
        <f>"|MIDDLE:​"&amp;テーブル1[[#This Row],[名前]]</f>
        <v>|MIDDLE:​白播茜</v>
      </c>
      <c r="V328" s="23" t="str">
        <f>"|MIDDLE:​"&amp;テーブル1[[#This Row],[なまえ]]</f>
        <v>|MIDDLE:​しらはり あかね</v>
      </c>
      <c r="W328" s="23" t="str">
        <f>"|MIDDLE:​"&amp;テーブル1[[#This Row],[Name]]</f>
        <v>|MIDDLE:​Shirahari Akane</v>
      </c>
      <c r="X328" s="23" t="str">
        <f>"|MIDDLE:​&amp;link(配布所はこちら){​"&amp;テーブル1[[#This Row],[リンク]]&amp;"}|"</f>
        <v>|MIDDLE:​&amp;link(配布所はこちら){​https://mitoristu.wixsite.com/kousaibako}|</v>
      </c>
    </row>
    <row r="329" spans="2:24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29" s="24" t="s">
        <v>1175</v>
      </c>
      <c r="D329" s="23" t="s">
        <v>1176</v>
      </c>
      <c r="E329" s="23" t="s">
        <v>1177</v>
      </c>
      <c r="F329" s="2" t="s">
        <v>100</v>
      </c>
      <c r="G329" s="23" t="s">
        <v>101</v>
      </c>
      <c r="M329" s="1" t="s">
        <v>1517</v>
      </c>
      <c r="O329" s="24" t="str">
        <f>テーブル1[[#This Row],[リンク]]&amp;テーブル1[[#This Row],[描画状況]]</f>
        <v>https://hinagitsune-utau.wixsite.com/utaukokorone</v>
      </c>
      <c r="P329" s="17">
        <f>1-(COUNTIF(O:O,_xlfn.TEXTJOIN(",",TRUE,テーブル1[[#This Row],[リンク]],テーブル1[[#This Row],[描画状況]]))/COUNTIF(F:F,テーブル1[[#This Row],[リンク]]))</f>
        <v>0.19999999999999996</v>
      </c>
      <c r="Q329" s="16">
        <f ca="1">IFERROR(IF(テーブル1[[#This Row],[描画状況]]="",RAND()+(テーブル1[[#This Row],[列2]]*100),""),RAND())</f>
        <v>20.298169586500006</v>
      </c>
      <c r="S329" s="24" t="str">
        <f ca="1">IF(AND(テーブル1[[#This Row],[描画状況]]="済",テーブル1[[#This Row],[投稿状況]]=""),RAND(),"")</f>
        <v/>
      </c>
      <c r="T329" s="23" t="str">
        <f>"|&amp;image("&amp;テーブル1[[#This Row],[画像]]&amp;".png,width=100,height=100)"</f>
        <v>|&amp;image(shirayuki.png,width=100,height=100)</v>
      </c>
      <c r="U329" s="23" t="str">
        <f>"|MIDDLE:​"&amp;テーブル1[[#This Row],[名前]]</f>
        <v>|MIDDLE:​シラユキ</v>
      </c>
      <c r="V329" s="23" t="str">
        <f>"|MIDDLE:​"&amp;テーブル1[[#This Row],[なまえ]]</f>
        <v>|MIDDLE:​しらゆき</v>
      </c>
      <c r="W329" s="23" t="str">
        <f>"|MIDDLE:​"&amp;テーブル1[[#This Row],[Name]]</f>
        <v>|MIDDLE:​Shirayuki</v>
      </c>
      <c r="X329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0" spans="2:24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0" s="24" t="s">
        <v>1056</v>
      </c>
      <c r="D330" s="23" t="s">
        <v>1056</v>
      </c>
      <c r="E330" s="23" t="s">
        <v>1057</v>
      </c>
      <c r="F330" s="15" t="s">
        <v>671</v>
      </c>
      <c r="G330" s="23" t="s">
        <v>672</v>
      </c>
      <c r="M330" s="1" t="s">
        <v>1517</v>
      </c>
      <c r="O330" s="24" t="str">
        <f>テーブル1[[#This Row],[リンク]]&amp;テーブル1[[#This Row],[描画状況]]</f>
        <v>https://flowerrocklove.wixsite.com/twilight-crisis</v>
      </c>
      <c r="P330" s="17">
        <f>1-(COUNTIF(O:O,_xlfn.TEXTJOIN(",",TRUE,テーブル1[[#This Row],[リンク]],テーブル1[[#This Row],[描画状況]]))/COUNTIF(F:F,テーブル1[[#This Row],[リンク]]))</f>
        <v>0.22222222222222221</v>
      </c>
      <c r="Q330" s="16">
        <f ca="1">IFERROR(IF(テーブル1[[#This Row],[描画状況]]="",RAND()+(テーブル1[[#This Row],[列2]]*100),""),RAND())</f>
        <v>22.536081950760863</v>
      </c>
      <c r="S330" s="24" t="str">
        <f ca="1">IF(AND(テーブル1[[#This Row],[描画状況]]="済",テーブル1[[#This Row],[投稿状況]]=""),RAND(),"")</f>
        <v/>
      </c>
      <c r="T330" s="23" t="str">
        <f>"|&amp;image("&amp;テーブル1[[#This Row],[画像]]&amp;".png,width=100,height=100)"</f>
        <v>|&amp;image(jinrui.png,width=100,height=100)</v>
      </c>
      <c r="U330" s="23" t="str">
        <f>"|MIDDLE:​"&amp;テーブル1[[#This Row],[名前]]</f>
        <v>|MIDDLE:​じんるい</v>
      </c>
      <c r="V330" s="23" t="str">
        <f>"|MIDDLE:​"&amp;テーブル1[[#This Row],[なまえ]]</f>
        <v>|MIDDLE:​じんるい</v>
      </c>
      <c r="W330" s="23" t="str">
        <f>"|MIDDLE:​"&amp;テーブル1[[#This Row],[Name]]</f>
        <v>|MIDDLE:​Jinrui</v>
      </c>
      <c r="X33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1" spans="2:24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1" s="24" t="s">
        <v>1031</v>
      </c>
      <c r="D331" s="23" t="s">
        <v>1032</v>
      </c>
      <c r="E331" s="23" t="s">
        <v>1033</v>
      </c>
      <c r="F331" s="27" t="s">
        <v>87</v>
      </c>
      <c r="G331" s="23" t="s">
        <v>88</v>
      </c>
      <c r="M331" s="1" t="s">
        <v>1518</v>
      </c>
      <c r="O331" s="24" t="str">
        <f>テーブル1[[#This Row],[リンク]]&amp;テーブル1[[#This Row],[描画状況]]</f>
        <v>https://chunyinhui021.wixsite.com/mutyuusaisei</v>
      </c>
      <c r="P331" s="17">
        <f>1-(COUNTIF(O:O,_xlfn.TEXTJOIN(",",TRUE,テーブル1[[#This Row],[リンク]],テーブル1[[#This Row],[描画状況]]))/COUNTIF(F:F,テーブル1[[#This Row],[リンク]]))</f>
        <v>0.33333333333333337</v>
      </c>
      <c r="Q331" s="16">
        <f ca="1">IFERROR(IF(テーブル1[[#This Row],[描画状況]]="",RAND()+(テーブル1[[#This Row],[列2]]*100),""),RAND())</f>
        <v>34.256084131538181</v>
      </c>
      <c r="S331" s="24" t="str">
        <f ca="1">IF(AND(テーブル1[[#This Row],[描画状況]]="済",テーブル1[[#This Row],[投稿状況]]=""),RAND(),"")</f>
        <v/>
      </c>
      <c r="T331" s="23" t="str">
        <f>"|&amp;image("&amp;テーブル1[[#This Row],[画像]]&amp;".png,width=100,height=100)"</f>
        <v>|&amp;image(suimei.png,width=100,height=100)</v>
      </c>
      <c r="U331" s="23" t="str">
        <f>"|MIDDLE:​"&amp;テーブル1[[#This Row],[名前]]</f>
        <v>|MIDDLE:​水明</v>
      </c>
      <c r="V331" s="23" t="str">
        <f>"|MIDDLE:​"&amp;テーブル1[[#This Row],[なまえ]]</f>
        <v>|MIDDLE:​すいめい</v>
      </c>
      <c r="W331" s="23" t="str">
        <f>"|MIDDLE:​"&amp;テーブル1[[#This Row],[Name]]</f>
        <v>|MIDDLE:​Suimei</v>
      </c>
      <c r="X331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2" spans="2:24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2" s="24" t="s">
        <v>889</v>
      </c>
      <c r="D332" s="23" t="s">
        <v>890</v>
      </c>
      <c r="E332" s="23" t="s">
        <v>891</v>
      </c>
      <c r="F332" s="15" t="s">
        <v>892</v>
      </c>
      <c r="G332" s="23" t="str">
        <f>テーブル1[[#This Row],[名前]]&amp;"(UTAU)"</f>
        <v>救井イド(UTAU)</v>
      </c>
      <c r="O332" s="24" t="str">
        <f>テーブル1[[#This Row],[リンク]]&amp;テーブル1[[#This Row],[描画状況]]</f>
        <v>https://bowlroll.net/user/999132</v>
      </c>
      <c r="P332" s="17">
        <f>1-(COUNTIF(O:O,_xlfn.TEXTJOIN(",",TRUE,テーブル1[[#This Row],[リンク]],テーブル1[[#This Row],[描画状況]]))/COUNTIF(F:F,テーブル1[[#This Row],[リンク]]))</f>
        <v>0</v>
      </c>
      <c r="Q332" s="16">
        <f ca="1">IFERROR(IF(テーブル1[[#This Row],[描画状況]]="",RAND()+(テーブル1[[#This Row],[列2]]*100),""),RAND())</f>
        <v>0.71070343871245323</v>
      </c>
      <c r="S332" s="24" t="str">
        <f ca="1">IF(AND(テーブル1[[#This Row],[描画状況]]="済",テーブル1[[#This Row],[投稿状況]]=""),RAND(),"")</f>
        <v/>
      </c>
      <c r="T332" s="23" t="str">
        <f>"|&amp;image("&amp;テーブル1[[#This Row],[画像]]&amp;".png,width=100,height=100)"</f>
        <v>|&amp;image(sukii-ido.png,width=100,height=100)</v>
      </c>
      <c r="U332" s="23" t="str">
        <f>"|MIDDLE:​"&amp;テーブル1[[#This Row],[名前]]</f>
        <v>|MIDDLE:​救井イド</v>
      </c>
      <c r="V332" s="23" t="str">
        <f>"|MIDDLE:​"&amp;テーブル1[[#This Row],[なまえ]]</f>
        <v>|MIDDLE:​すくい いど</v>
      </c>
      <c r="W332" s="23" t="str">
        <f>"|MIDDLE:​"&amp;テーブル1[[#This Row],[Name]]</f>
        <v>|MIDDLE:​Sukii Ido</v>
      </c>
      <c r="X332" s="23" t="str">
        <f>"|MIDDLE:​&amp;link(配布所はこちら){​"&amp;テーブル1[[#This Row],[リンク]]&amp;"}|"</f>
        <v>|MIDDLE:​&amp;link(配布所はこちら){​https://bowlroll.net/user/999132}|</v>
      </c>
    </row>
    <row r="333" spans="2:24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3" s="24" t="s">
        <v>1197</v>
      </c>
      <c r="D333" s="23" t="s">
        <v>1198</v>
      </c>
      <c r="E333" s="23" t="s">
        <v>1199</v>
      </c>
      <c r="F333" s="15" t="s">
        <v>725</v>
      </c>
      <c r="G333" s="23" t="s">
        <v>1200</v>
      </c>
      <c r="M333" s="1" t="s">
        <v>1518</v>
      </c>
      <c r="O333" s="24" t="str">
        <f>テーブル1[[#This Row],[リンク]]&amp;テーブル1[[#This Row],[描画状況]]</f>
        <v>https://grskmot8.wixsite.com/kdarock</v>
      </c>
      <c r="P333" s="17">
        <f>1-(COUNTIF(O:O,_xlfn.TEXTJOIN(",",TRUE,テーブル1[[#This Row],[リンク]],テーブル1[[#This Row],[描画状況]]))/COUNTIF(F:F,テーブル1[[#This Row],[リンク]]))</f>
        <v>0.33333333333333337</v>
      </c>
      <c r="Q333" s="16">
        <f ca="1">IFERROR(IF(テーブル1[[#This Row],[描画状況]]="",RAND()+(テーブル1[[#This Row],[列2]]*100),""),RAND())</f>
        <v>34.266514101779627</v>
      </c>
      <c r="S333" s="24" t="str">
        <f ca="1">IF(AND(テーブル1[[#This Row],[描画状況]]="済",テーブル1[[#This Row],[投稿状況]]=""),RAND(),"")</f>
        <v/>
      </c>
      <c r="T333" s="23" t="str">
        <f>"|&amp;image("&amp;テーブル1[[#This Row],[画像]]&amp;".png,width=100,height=100)"</f>
        <v>|&amp;image(suzukaze-netsuko.png,width=100,height=100)</v>
      </c>
      <c r="U333" s="23" t="str">
        <f>"|MIDDLE:​"&amp;テーブル1[[#This Row],[名前]]</f>
        <v>|MIDDLE:​涼風熱子</v>
      </c>
      <c r="V333" s="23" t="str">
        <f>"|MIDDLE:​"&amp;テーブル1[[#This Row],[なまえ]]</f>
        <v>|MIDDLE:​すずかぜ ねつこ</v>
      </c>
      <c r="W333" s="23" t="str">
        <f>"|MIDDLE:​"&amp;テーブル1[[#This Row],[Name]]</f>
        <v>|MIDDLE:​Suzukaze Netsuko</v>
      </c>
      <c r="X333" s="23" t="str">
        <f>"|MIDDLE:​&amp;link(配布所はこちら){​"&amp;テーブル1[[#This Row],[リンク]]&amp;"}|"</f>
        <v>|MIDDLE:​&amp;link(配布所はこちら){​https://grskmot8.wixsite.com/kdarock}|</v>
      </c>
    </row>
    <row r="334" spans="2:24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4" s="24" t="s">
        <v>631</v>
      </c>
      <c r="D334" s="23" t="s">
        <v>632</v>
      </c>
      <c r="E334" s="24" t="s">
        <v>631</v>
      </c>
      <c r="F334" s="2" t="s">
        <v>165</v>
      </c>
      <c r="G334" s="23" t="s">
        <v>166</v>
      </c>
      <c r="H334" s="23" t="s">
        <v>1626</v>
      </c>
      <c r="I334" s="23" t="s">
        <v>1636</v>
      </c>
      <c r="O334" s="24" t="str">
        <f>テーブル1[[#This Row],[リンク]]&amp;テーブル1[[#This Row],[描画状況]]</f>
        <v>https://kuroi9603.wixsite.com/delu-lab-south</v>
      </c>
      <c r="P334" s="17">
        <f>1-(COUNTIF(O:O,_xlfn.TEXTJOIN(",",TRUE,テーブル1[[#This Row],[リンク]],テーブル1[[#This Row],[描画状況]]))/COUNTIF(F:F,テーブル1[[#This Row],[リンク]]))</f>
        <v>0.66666666666666674</v>
      </c>
      <c r="Q334" s="16">
        <f ca="1">IFERROR(IF(テーブル1[[#This Row],[描画状況]]="",RAND()+(テーブル1[[#This Row],[列2]]*100),""),RAND())</f>
        <v>67.47269131718781</v>
      </c>
      <c r="S334" s="24" t="str">
        <f ca="1">IF(AND(テーブル1[[#This Row],[描画状況]]="済",テーブル1[[#This Row],[投稿状況]]=""),RAND(),"")</f>
        <v/>
      </c>
      <c r="T334" s="23" t="str">
        <f>"|&amp;image("&amp;テーブル1[[#This Row],[画像]]&amp;".png,width=100,height=100)"</f>
        <v>|&amp;image(stella.png,width=100,height=100)</v>
      </c>
      <c r="U334" s="23" t="str">
        <f>"|MIDDLE:​"&amp;テーブル1[[#This Row],[名前]]</f>
        <v>|MIDDLE:​Stella</v>
      </c>
      <c r="V334" s="23" t="str">
        <f>"|MIDDLE:​"&amp;テーブル1[[#This Row],[なまえ]]</f>
        <v>|MIDDLE:​すてら</v>
      </c>
      <c r="W334" s="23" t="str">
        <f>"|MIDDLE:​"&amp;テーブル1[[#This Row],[Name]]</f>
        <v>|MIDDLE:​Stella</v>
      </c>
      <c r="X334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5" spans="2:24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5" s="24" t="s">
        <v>901</v>
      </c>
      <c r="D335" s="23" t="s">
        <v>903</v>
      </c>
      <c r="E335" s="23" t="s">
        <v>902</v>
      </c>
      <c r="F335" s="15" t="s">
        <v>904</v>
      </c>
      <c r="G335" s="23" t="s">
        <v>917</v>
      </c>
      <c r="O335" s="24" t="str">
        <f>テーブル1[[#This Row],[リンク]]&amp;テーブル1[[#This Row],[描画状況]]</f>
        <v>https://suukedayo.wixsite.com/shiawasefairu</v>
      </c>
      <c r="P335" s="17">
        <f>1-(COUNTIF(O:O,_xlfn.TEXTJOIN(",",TRUE,テーブル1[[#This Row],[リンク]],テーブル1[[#This Row],[描画状況]]))/COUNTIF(F:F,テーブル1[[#This Row],[リンク]]))</f>
        <v>0</v>
      </c>
      <c r="Q335" s="16">
        <f ca="1">IFERROR(IF(テーブル1[[#This Row],[描画状況]]="",RAND()+(テーブル1[[#This Row],[列2]]*100),""),RAND())</f>
        <v>0.93635047288253404</v>
      </c>
      <c r="S335" s="24" t="str">
        <f ca="1">IF(AND(テーブル1[[#This Row],[描画状況]]="済",テーブル1[[#This Row],[投稿状況]]=""),RAND(),"")</f>
        <v/>
      </c>
      <c r="T335" s="23" t="str">
        <f>"|&amp;image("&amp;テーブル1[[#This Row],[画像]]&amp;".png,width=100,height=100)"</f>
        <v>|&amp;image(sumomone-fueru.png,width=100,height=100)</v>
      </c>
      <c r="U335" s="23" t="str">
        <f>"|MIDDLE:​"&amp;テーブル1[[#This Row],[名前]]</f>
        <v>|MIDDLE:​李音フヱル</v>
      </c>
      <c r="V335" s="23" t="str">
        <f>"|MIDDLE:​"&amp;テーブル1[[#This Row],[なまえ]]</f>
        <v>|MIDDLE:​すももね ふえる</v>
      </c>
      <c r="W335" s="23" t="str">
        <f>"|MIDDLE:​"&amp;テーブル1[[#This Row],[Name]]</f>
        <v>|MIDDLE:​Sumomone Fueru</v>
      </c>
      <c r="X335" s="23" t="str">
        <f>"|MIDDLE:​&amp;link(配布所はこちら){​"&amp;テーブル1[[#This Row],[リンク]]&amp;"}|"</f>
        <v>|MIDDLE:​&amp;link(配布所はこちら){​https://suukedayo.wixsite.com/shiawasefairu}|</v>
      </c>
    </row>
    <row r="336" spans="2:24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6" s="24" t="s">
        <v>1089</v>
      </c>
      <c r="D336" s="23" t="s">
        <v>1090</v>
      </c>
      <c r="E336" s="23" t="s">
        <v>1091</v>
      </c>
      <c r="F336" s="15" t="s">
        <v>1066</v>
      </c>
      <c r="G336" s="23" t="s">
        <v>1067</v>
      </c>
      <c r="O336" s="24" t="str">
        <f>テーブル1[[#This Row],[リンク]]&amp;テーブル1[[#This Row],[描画状況]]</f>
        <v>https://yukimiyashimusho.jimdofree.com</v>
      </c>
      <c r="P336" s="17">
        <f>1-(COUNTIF(O:O,_xlfn.TEXTJOIN(",",TRUE,テーブル1[[#This Row],[リンク]],テーブル1[[#This Row],[描画状況]]))/COUNTIF(F:F,テーブル1[[#This Row],[リンク]]))</f>
        <v>7.1428571428571397E-2</v>
      </c>
      <c r="Q336" s="16">
        <f ca="1">IFERROR(IF(テーブル1[[#This Row],[描画状況]]="",RAND()+(テーブル1[[#This Row],[列2]]*100),""),RAND())</f>
        <v>7.9578446923378321</v>
      </c>
      <c r="S336" s="24" t="str">
        <f ca="1">IF(AND(テーブル1[[#This Row],[描画状況]]="済",テーブル1[[#This Row],[投稿状況]]=""),RAND(),"")</f>
        <v/>
      </c>
      <c r="T336" s="23" t="str">
        <f>"|&amp;image("&amp;テーブル1[[#This Row],[画像]]&amp;".png,width=100,height=100)"</f>
        <v>|&amp;image(sekise-lunami.png,width=100,height=100)</v>
      </c>
      <c r="U336" s="23" t="str">
        <f>"|MIDDLE:​"&amp;テーブル1[[#This Row],[名前]]</f>
        <v>|MIDDLE:​汐声月海</v>
      </c>
      <c r="V336" s="23" t="str">
        <f>"|MIDDLE:​"&amp;テーブル1[[#This Row],[なまえ]]</f>
        <v>|MIDDLE:​せきせ るなみ</v>
      </c>
      <c r="W336" s="23" t="str">
        <f>"|MIDDLE:​"&amp;テーブル1[[#This Row],[Name]]</f>
        <v>|MIDDLE:​Sekise Lunami</v>
      </c>
      <c r="X336" s="23" t="str">
        <f>"|MIDDLE:​&amp;link(配布所はこちら){​"&amp;テーブル1[[#This Row],[リンク]]&amp;"}|"</f>
        <v>|MIDDLE:​&amp;link(配布所はこちら){​https://yukimiyashimusho.jimdofree.com}|</v>
      </c>
    </row>
    <row r="337" spans="2:24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7" s="24" t="s">
        <v>838</v>
      </c>
      <c r="D337" s="23" t="s">
        <v>839</v>
      </c>
      <c r="E337" s="23" t="s">
        <v>840</v>
      </c>
      <c r="F337" s="2" t="s">
        <v>833</v>
      </c>
      <c r="G337" s="23" t="s">
        <v>834</v>
      </c>
      <c r="O337" s="24" t="str">
        <f>テーブル1[[#This Row],[リンク]]&amp;テーブル1[[#This Row],[描画状況]]</f>
        <v>https://kaedekatusaki.wixsite.com/yanagiroutyou</v>
      </c>
      <c r="P337" s="17">
        <f>1-(COUNTIF(O:O,_xlfn.TEXTJOIN(",",TRUE,テーブル1[[#This Row],[リンク]],テーブル1[[#This Row],[描画状況]]))/COUNTIF(F:F,テーブル1[[#This Row],[リンク]]))</f>
        <v>0.125</v>
      </c>
      <c r="Q337" s="16">
        <f ca="1">IFERROR(IF(テーブル1[[#This Row],[描画状況]]="",RAND()+(テーブル1[[#This Row],[列2]]*100),""),RAND())</f>
        <v>13.296227950631103</v>
      </c>
      <c r="S337" s="24" t="str">
        <f ca="1">IF(AND(テーブル1[[#This Row],[描画状況]]="済",テーブル1[[#This Row],[投稿状況]]=""),RAND(),"")</f>
        <v/>
      </c>
      <c r="T337" s="23" t="str">
        <f>"|&amp;image("&amp;テーブル1[[#This Row],[画像]]&amp;".png,width=100,height=100)"</f>
        <v>|&amp;image(setsuka-toku.png,width=100,height=100)</v>
      </c>
      <c r="U337" s="23" t="str">
        <f>"|MIDDLE:​"&amp;テーブル1[[#This Row],[名前]]</f>
        <v>|MIDDLE:​折歌トク</v>
      </c>
      <c r="V337" s="23" t="str">
        <f>"|MIDDLE:​"&amp;テーブル1[[#This Row],[なまえ]]</f>
        <v>|MIDDLE:​せつか とく</v>
      </c>
      <c r="W337" s="23" t="str">
        <f>"|MIDDLE:​"&amp;テーブル1[[#This Row],[Name]]</f>
        <v>|MIDDLE:​Setsuka Toku</v>
      </c>
      <c r="X33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38" spans="2:24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38" s="24" t="s">
        <v>796</v>
      </c>
      <c r="D338" s="23" t="s">
        <v>797</v>
      </c>
      <c r="E338" s="23" t="s">
        <v>801</v>
      </c>
      <c r="F338" s="15" t="s">
        <v>778</v>
      </c>
      <c r="G338" s="23" t="str">
        <f>テーブル1[[#This Row],[名前]]&amp;"(UTAU)"</f>
        <v>セレスタイト(UTAU)</v>
      </c>
      <c r="M338" s="1" t="s">
        <v>1517</v>
      </c>
      <c r="O338" s="24" t="str">
        <f>テーブル1[[#This Row],[リンク]]&amp;テーブル1[[#This Row],[描画状況]]</f>
        <v>https://cmamizki.wixsite.com/edelstein</v>
      </c>
      <c r="P338" s="17">
        <f>1-(COUNTIF(O:O,_xlfn.TEXTJOIN(",",TRUE,テーブル1[[#This Row],[リンク]],テーブル1[[#This Row],[描画状況]]))/COUNTIF(F:F,テーブル1[[#This Row],[リンク]]))</f>
        <v>9.0909090909090939E-2</v>
      </c>
      <c r="Q338" s="16">
        <f ca="1">IFERROR(IF(テーブル1[[#This Row],[描画状況]]="",RAND()+(テーブル1[[#This Row],[列2]]*100),""),RAND())</f>
        <v>9.8881999745559099</v>
      </c>
      <c r="S338" s="24" t="str">
        <f ca="1">IF(AND(テーブル1[[#This Row],[描画状況]]="済",テーブル1[[#This Row],[投稿状況]]=""),RAND(),"")</f>
        <v/>
      </c>
      <c r="T338" s="23" t="str">
        <f>"|&amp;image("&amp;テーブル1[[#This Row],[画像]]&amp;".png,width=100,height=100)"</f>
        <v>|&amp;image(celestite.png,width=100,height=100)</v>
      </c>
      <c r="U338" s="23" t="str">
        <f>"|MIDDLE:​"&amp;テーブル1[[#This Row],[名前]]</f>
        <v>|MIDDLE:​セレスタイト</v>
      </c>
      <c r="V338" s="23" t="str">
        <f>"|MIDDLE:​"&amp;テーブル1[[#This Row],[なまえ]]</f>
        <v>|MIDDLE:​せれすたいと</v>
      </c>
      <c r="W338" s="23" t="str">
        <f>"|MIDDLE:​"&amp;テーブル1[[#This Row],[Name]]</f>
        <v>|MIDDLE:​Celestite</v>
      </c>
      <c r="X338" s="23" t="str">
        <f>"|MIDDLE:​&amp;link(配布所はこちら){​"&amp;テーブル1[[#This Row],[リンク]]&amp;"}|"</f>
        <v>|MIDDLE:​&amp;link(配布所はこちら){​https://cmamizki.wixsite.com/edelstein}|</v>
      </c>
    </row>
    <row r="339" spans="2:24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39" s="24" t="s">
        <v>722</v>
      </c>
      <c r="D339" s="23" t="s">
        <v>723</v>
      </c>
      <c r="E339" s="23" t="s">
        <v>724</v>
      </c>
      <c r="F339" s="15" t="s">
        <v>725</v>
      </c>
      <c r="G339" s="23" t="s">
        <v>1200</v>
      </c>
      <c r="M339" s="1" t="s">
        <v>1518</v>
      </c>
      <c r="O339" s="24" t="str">
        <f>テーブル1[[#This Row],[リンク]]&amp;テーブル1[[#This Row],[描画状況]]</f>
        <v>https://grskmot8.wixsite.com/kdarock</v>
      </c>
      <c r="P339" s="17">
        <f>1-(COUNTIF(O:O,_xlfn.TEXTJOIN(",",TRUE,テーブル1[[#This Row],[リンク]],テーブル1[[#This Row],[描画状況]]))/COUNTIF(F:F,テーブル1[[#This Row],[リンク]]))</f>
        <v>0.33333333333333337</v>
      </c>
      <c r="Q339" s="16">
        <f ca="1">IFERROR(IF(テーブル1[[#This Row],[描画状況]]="",RAND()+(テーブル1[[#This Row],[列2]]*100),""),RAND())</f>
        <v>33.665066092647997</v>
      </c>
      <c r="S339" s="24" t="str">
        <f ca="1">IF(AND(テーブル1[[#This Row],[描画状況]]="済",テーブル1[[#This Row],[投稿状況]]=""),RAND(),"")</f>
        <v/>
      </c>
      <c r="T339" s="23" t="str">
        <f>"|&amp;image("&amp;テーブル1[[#This Row],[画像]]&amp;".png,width=100,height=100)"</f>
        <v>|&amp;image(senjo-tsurugi.png,width=100,height=100)</v>
      </c>
      <c r="U339" s="23" t="str">
        <f>"|MIDDLE:​"&amp;テーブル1[[#This Row],[名前]]</f>
        <v>|MIDDLE:​剪除鶴偽</v>
      </c>
      <c r="V339" s="23" t="str">
        <f>"|MIDDLE:​"&amp;テーブル1[[#This Row],[なまえ]]</f>
        <v>|MIDDLE:​せんじょ つるぎ</v>
      </c>
      <c r="W339" s="23" t="str">
        <f>"|MIDDLE:​"&amp;テーブル1[[#This Row],[Name]]</f>
        <v>|MIDDLE:​Senjo Tsurugi</v>
      </c>
      <c r="X339" s="23" t="str">
        <f>"|MIDDLE:​&amp;link(配布所はこちら){​"&amp;テーブル1[[#This Row],[リンク]]&amp;"}|"</f>
        <v>|MIDDLE:​&amp;link(配布所はこちら){​https://grskmot8.wixsite.com/kdarock}|</v>
      </c>
    </row>
    <row r="340" spans="2:24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0" s="24" t="s">
        <v>733</v>
      </c>
      <c r="D340" s="23" t="s">
        <v>734</v>
      </c>
      <c r="E340" s="23" t="s">
        <v>735</v>
      </c>
      <c r="F340" s="15" t="s">
        <v>736</v>
      </c>
      <c r="G340" s="23" t="s">
        <v>737</v>
      </c>
      <c r="O340" s="24" t="str">
        <f>テーブル1[[#This Row],[リンク]]&amp;テーブル1[[#This Row],[描画状況]]</f>
        <v>https://t7ttttttt.wixsite.com/t7-re</v>
      </c>
      <c r="P340" s="17">
        <f>1-(COUNTIF(O:O,_xlfn.TEXTJOIN(",",TRUE,テーブル1[[#This Row],[リンク]],テーブル1[[#This Row],[描画状況]]))/COUNTIF(F:F,テーブル1[[#This Row],[リンク]]))</f>
        <v>0</v>
      </c>
      <c r="Q340" s="16">
        <f ca="1">IFERROR(IF(テーブル1[[#This Row],[描画状況]]="",RAND()+(テーブル1[[#This Row],[列2]]*100),""),RAND())</f>
        <v>0.63370371311624518</v>
      </c>
      <c r="S340" s="24" t="str">
        <f ca="1">IF(AND(テーブル1[[#This Row],[描画状況]]="済",テーブル1[[#This Row],[投稿状況]]=""),RAND(),"")</f>
        <v/>
      </c>
      <c r="T340" s="23" t="str">
        <f>"|&amp;image("&amp;テーブル1[[#This Row],[画像]]&amp;".png,width=100,height=100)"</f>
        <v>|&amp;image(senden-raika.png,width=100,height=100)</v>
      </c>
      <c r="U340" s="23" t="str">
        <f>"|MIDDLE:​"&amp;テーブル1[[#This Row],[名前]]</f>
        <v>|MIDDLE:​閃電ライカ</v>
      </c>
      <c r="V340" s="23" t="str">
        <f>"|MIDDLE:​"&amp;テーブル1[[#This Row],[なまえ]]</f>
        <v>|MIDDLE:​せんでん らいか</v>
      </c>
      <c r="W340" s="23" t="str">
        <f>"|MIDDLE:​"&amp;テーブル1[[#This Row],[Name]]</f>
        <v>|MIDDLE:​Senden Raika</v>
      </c>
      <c r="X340" s="23" t="str">
        <f>"|MIDDLE:​&amp;link(配布所はこちら){​"&amp;テーブル1[[#This Row],[リンク]]&amp;"}|"</f>
        <v>|MIDDLE:​&amp;link(配布所はこちら){​https://t7ttttttt.wixsite.com/t7-re}|</v>
      </c>
    </row>
    <row r="341" spans="2:24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1" s="24" t="s">
        <v>1221</v>
      </c>
      <c r="D341" s="23" t="s">
        <v>1244</v>
      </c>
      <c r="E341" s="23" t="s">
        <v>1243</v>
      </c>
      <c r="F341" s="15" t="s">
        <v>339</v>
      </c>
      <c r="G341" s="23" t="s">
        <v>340</v>
      </c>
      <c r="O341" s="24" t="str">
        <f>テーブル1[[#This Row],[リンク]]&amp;テーブル1[[#This Row],[描画状況]]</f>
        <v>https://torinosu-hikikomori.jimdofree.com</v>
      </c>
      <c r="P341" s="17">
        <f>1-(COUNTIF(O:O,_xlfn.TEXTJOIN(",",TRUE,テーブル1[[#This Row],[リンク]],テーブル1[[#This Row],[描画状況]]))/COUNTIF(F:F,テーブル1[[#This Row],[リンク]]))</f>
        <v>0.125</v>
      </c>
      <c r="Q341" s="16">
        <f ca="1">IFERROR(IF(テーブル1[[#This Row],[描画状況]]="",RAND()+(テーブル1[[#This Row],[列2]]*100),""),RAND())</f>
        <v>12.683735613930688</v>
      </c>
      <c r="S341" s="24" t="str">
        <f ca="1">IF(AND(テーブル1[[#This Row],[描画状況]]="済",テーブル1[[#This Row],[投稿状況]]=""),RAND(),"")</f>
        <v/>
      </c>
      <c r="T341" s="23" t="str">
        <f>"|&amp;image("&amp;テーブル1[[#This Row],[画像]]&amp;".png,width=100,height=100)"</f>
        <v>|&amp;image(soboroppoino.png,width=100,height=100)</v>
      </c>
      <c r="U341" s="23" t="str">
        <f>"|MIDDLE:​"&amp;テーブル1[[#This Row],[名前]]</f>
        <v>|MIDDLE:​ソボロっぽいの</v>
      </c>
      <c r="V341" s="23" t="str">
        <f>"|MIDDLE:​"&amp;テーブル1[[#This Row],[なまえ]]</f>
        <v>|MIDDLE:​そぼろっぽいの</v>
      </c>
      <c r="W341" s="23" t="str">
        <f>"|MIDDLE:​"&amp;テーブル1[[#This Row],[Name]]</f>
        <v>|MIDDLE:​Soboroppoino</v>
      </c>
      <c r="X341" s="23" t="str">
        <f>"|MIDDLE:​&amp;link(配布所はこちら){​"&amp;テーブル1[[#This Row],[リンク]]&amp;"}|"</f>
        <v>|MIDDLE:​&amp;link(配布所はこちら){​https://torinosu-hikikomori.jimdofree.com}|</v>
      </c>
    </row>
    <row r="342" spans="2:24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2" s="24" t="s">
        <v>958</v>
      </c>
      <c r="D342" s="23" t="s">
        <v>959</v>
      </c>
      <c r="E342" s="23" t="s">
        <v>960</v>
      </c>
      <c r="F342" s="2" t="s">
        <v>676</v>
      </c>
      <c r="G342" s="23" t="s">
        <v>677</v>
      </c>
      <c r="M342" s="1" t="s">
        <v>1517</v>
      </c>
      <c r="O342" s="24" t="str">
        <f>テーブル1[[#This Row],[リンク]]&amp;テーブル1[[#This Row],[描画状況]]</f>
        <v>https://ametro.jimdofree.com</v>
      </c>
      <c r="P342" s="17">
        <f>1-(COUNTIF(O:O,_xlfn.TEXTJOIN(",",TRUE,テーブル1[[#This Row],[リンク]],テーブル1[[#This Row],[描画状況]]))/COUNTIF(F:F,テーブル1[[#This Row],[リンク]]))</f>
        <v>0.19999999999999996</v>
      </c>
      <c r="Q342" s="16">
        <f ca="1">IFERROR(IF(テーブル1[[#This Row],[描画状況]]="",RAND()+(テーブル1[[#This Row],[列2]]*100),""),RAND())</f>
        <v>20.827369066814011</v>
      </c>
      <c r="S342" s="24" t="str">
        <f ca="1">IF(AND(テーブル1[[#This Row],[描画状況]]="済",テーブル1[[#This Row],[投稿状況]]=""),RAND(),"")</f>
        <v/>
      </c>
      <c r="T342" s="23" t="str">
        <f>"|&amp;image("&amp;テーブル1[[#This Row],[画像]]&amp;".png,width=100,height=100)"</f>
        <v>|&amp;image(zonbisen.png,width=100,height=100)</v>
      </c>
      <c r="U342" s="23" t="str">
        <f>"|MIDDLE:​"&amp;テーブル1[[#This Row],[名前]]</f>
        <v>|MIDDLE:​ぞんび線</v>
      </c>
      <c r="V342" s="23" t="str">
        <f>"|MIDDLE:​"&amp;テーブル1[[#This Row],[なまえ]]</f>
        <v>|MIDDLE:​ぞんびせん</v>
      </c>
      <c r="W342" s="23" t="str">
        <f>"|MIDDLE:​"&amp;テーブル1[[#This Row],[Name]]</f>
        <v>|MIDDLE:​Zonbisen</v>
      </c>
      <c r="X342" s="23" t="str">
        <f>"|MIDDLE:​&amp;link(配布所はこちら){​"&amp;テーブル1[[#This Row],[リンク]]&amp;"}|"</f>
        <v>|MIDDLE:​&amp;link(配布所はこちら){​https://ametro.jimdofree.com}|</v>
      </c>
    </row>
    <row r="343" spans="2:24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3" s="24" t="s">
        <v>1222</v>
      </c>
      <c r="D343" s="23" t="s">
        <v>1246</v>
      </c>
      <c r="E343" s="23" t="s">
        <v>1245</v>
      </c>
      <c r="F343" s="15" t="s">
        <v>339</v>
      </c>
      <c r="G343" s="23" t="s">
        <v>340</v>
      </c>
      <c r="O343" s="24" t="str">
        <f>テーブル1[[#This Row],[リンク]]&amp;テーブル1[[#This Row],[描画状況]]</f>
        <v>https://torinosu-hikikomori.jimdofree.com</v>
      </c>
      <c r="P343" s="17">
        <f>1-(COUNTIF(O:O,_xlfn.TEXTJOIN(",",TRUE,テーブル1[[#This Row],[リンク]],テーブル1[[#This Row],[描画状況]]))/COUNTIF(F:F,テーブル1[[#This Row],[リンク]]))</f>
        <v>0.125</v>
      </c>
      <c r="Q343" s="16">
        <f ca="1">IFERROR(IF(テーブル1[[#This Row],[描画状況]]="",RAND()+(テーブル1[[#This Row],[列2]]*100),""),RAND())</f>
        <v>13.200660503421615</v>
      </c>
      <c r="S343" s="24" t="str">
        <f ca="1">IF(AND(テーブル1[[#This Row],[描画状況]]="済",テーブル1[[#This Row],[投稿状況]]=""),RAND(),"")</f>
        <v/>
      </c>
      <c r="T343" s="23" t="str">
        <f>"|&amp;image("&amp;テーブル1[[#This Row],[画像]]&amp;".png,width=100,height=100)"</f>
        <v>|&amp;image(tamabami-zakuro.png,width=100,height=100)</v>
      </c>
      <c r="U343" s="23" t="str">
        <f>"|MIDDLE:​"&amp;テーブル1[[#This Row],[名前]]</f>
        <v>|MIDDLE:​霊喰ざくろ</v>
      </c>
      <c r="V343" s="23" t="str">
        <f>"|MIDDLE:​"&amp;テーブル1[[#This Row],[なまえ]]</f>
        <v>|MIDDLE:​たまばみ ざくろ</v>
      </c>
      <c r="W343" s="23" t="str">
        <f>"|MIDDLE:​"&amp;テーブル1[[#This Row],[Name]]</f>
        <v>|MIDDLE:​Tamabami Zakuro</v>
      </c>
      <c r="X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4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4" s="24" t="s">
        <v>1323</v>
      </c>
      <c r="D344" s="23" t="s">
        <v>1325</v>
      </c>
      <c r="E344" s="23" t="s">
        <v>1324</v>
      </c>
      <c r="F344" s="15" t="s">
        <v>1321</v>
      </c>
      <c r="G344" s="23" t="s">
        <v>1326</v>
      </c>
      <c r="O344" s="24" t="str">
        <f>テーブル1[[#This Row],[リンク]]&amp;テーブル1[[#This Row],[描画状況]]</f>
        <v>https://jiwajiwakirinn.wixsite.com/sakurada</v>
      </c>
      <c r="P344" s="17">
        <f>1-(COUNTIF(O:O,_xlfn.TEXTJOIN(",",TRUE,テーブル1[[#This Row],[リンク]],テーブル1[[#This Row],[描画状況]]))/COUNTIF(F:F,テーブル1[[#This Row],[リンク]]))</f>
        <v>0.19999999999999996</v>
      </c>
      <c r="Q344" s="16">
        <f ca="1">IFERROR(IF(テーブル1[[#This Row],[描画状況]]="",RAND()+(テーブル1[[#This Row],[列2]]*100),""),RAND())</f>
        <v>20.54522118279824</v>
      </c>
      <c r="S344" s="24" t="str">
        <f ca="1">IF(AND(テーブル1[[#This Row],[描画状況]]="済",テーブル1[[#This Row],[投稿状況]]=""),RAND(),"")</f>
        <v/>
      </c>
      <c r="T344" s="23" t="str">
        <f>"|&amp;image("&amp;テーブル1[[#This Row],[画像]]&amp;".png,width=100,height=100)"</f>
        <v>|&amp;image(dante.png,width=100,height=100)</v>
      </c>
      <c r="U344" s="23" t="str">
        <f>"|MIDDLE:​"&amp;テーブル1[[#This Row],[名前]]</f>
        <v>|MIDDLE:​ダンテ</v>
      </c>
      <c r="V344" s="23" t="str">
        <f>"|MIDDLE:​"&amp;テーブル1[[#This Row],[なまえ]]</f>
        <v>|MIDDLE:​だんて</v>
      </c>
      <c r="W344" s="23" t="str">
        <f>"|MIDDLE:​"&amp;テーブル1[[#This Row],[Name]]</f>
        <v>|MIDDLE:​Dante</v>
      </c>
      <c r="X344" s="23" t="str">
        <f>"|MIDDLE:​&amp;link(配布所はこちら){​"&amp;テーブル1[[#This Row],[リンク]]&amp;"}|"</f>
        <v>|MIDDLE:​&amp;link(配布所はこちら){​https://jiwajiwakirinn.wixsite.com/sakurada}|</v>
      </c>
    </row>
    <row r="345" spans="2:24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5" s="24" t="s">
        <v>1025</v>
      </c>
      <c r="D345" s="23" t="s">
        <v>1026</v>
      </c>
      <c r="E345" s="23" t="s">
        <v>1027</v>
      </c>
      <c r="F345" s="27" t="s">
        <v>87</v>
      </c>
      <c r="G345" s="23" t="s">
        <v>88</v>
      </c>
      <c r="M345" s="1" t="s">
        <v>1518</v>
      </c>
      <c r="O345" s="24" t="str">
        <f>テーブル1[[#This Row],[リンク]]&amp;テーブル1[[#This Row],[描画状況]]</f>
        <v>https://chunyinhui021.wixsite.com/mutyuusaisei</v>
      </c>
      <c r="P345" s="17">
        <f>1-(COUNTIF(O:O,_xlfn.TEXTJOIN(",",TRUE,テーブル1[[#This Row],[リンク]],テーブル1[[#This Row],[描画状況]]))/COUNTIF(F:F,テーブル1[[#This Row],[リンク]]))</f>
        <v>0.33333333333333337</v>
      </c>
      <c r="Q345" s="16">
        <f ca="1">IFERROR(IF(テーブル1[[#This Row],[描画状況]]="",RAND()+(テーブル1[[#This Row],[列2]]*100),""),RAND())</f>
        <v>33.907538221922302</v>
      </c>
      <c r="S345" s="24" t="str">
        <f ca="1">IF(AND(テーブル1[[#This Row],[描画状況]]="済",テーブル1[[#This Row],[投稿状況]]=""),RAND(),"")</f>
        <v/>
      </c>
      <c r="T345" s="23" t="str">
        <f>"|&amp;image("&amp;テーブル1[[#This Row],[画像]]&amp;".png,width=100,height=100)"</f>
        <v>|&amp;image(chunne-shiroku.png,width=100,height=100)</v>
      </c>
      <c r="U345" s="23" t="str">
        <f>"|MIDDLE:​"&amp;テーブル1[[#This Row],[名前]]</f>
        <v>|MIDDLE:​椿音屍緑</v>
      </c>
      <c r="V345" s="23" t="str">
        <f>"|MIDDLE:​"&amp;テーブル1[[#This Row],[なまえ]]</f>
        <v>|MIDDLE:​ちゅんね しろく</v>
      </c>
      <c r="W345" s="23" t="str">
        <f>"|MIDDLE:​"&amp;テーブル1[[#This Row],[Name]]</f>
        <v>|MIDDLE:​Chunne Shiroku</v>
      </c>
      <c r="X34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6" spans="2:24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6" s="24" t="s">
        <v>1054</v>
      </c>
      <c r="D346" s="23" t="s">
        <v>1054</v>
      </c>
      <c r="E346" s="23" t="s">
        <v>1055</v>
      </c>
      <c r="F346" s="15" t="s">
        <v>671</v>
      </c>
      <c r="G346" s="23" t="s">
        <v>672</v>
      </c>
      <c r="M346" s="1" t="s">
        <v>1517</v>
      </c>
      <c r="O346" s="24" t="str">
        <f>テーブル1[[#This Row],[リンク]]&amp;テーブル1[[#This Row],[描画状況]]</f>
        <v>https://flowerrocklove.wixsite.com/twilight-crisis</v>
      </c>
      <c r="P346" s="17">
        <f>1-(COUNTIF(O:O,_xlfn.TEXTJOIN(",",TRUE,テーブル1[[#This Row],[リンク]],テーブル1[[#This Row],[描画状況]]))/COUNTIF(F:F,テーブル1[[#This Row],[リンク]]))</f>
        <v>0.22222222222222221</v>
      </c>
      <c r="Q346" s="16">
        <f ca="1">IFERROR(IF(テーブル1[[#This Row],[描画状況]]="",RAND()+(テーブル1[[#This Row],[列2]]*100),""),RAND())</f>
        <v>22.568764244520775</v>
      </c>
      <c r="S346" s="24" t="str">
        <f ca="1">IF(AND(テーブル1[[#This Row],[描画状況]]="済",テーブル1[[#This Row],[投稿状況]]=""),RAND(),"")</f>
        <v/>
      </c>
      <c r="T346" s="23" t="str">
        <f>"|&amp;image("&amp;テーブル1[[#This Row],[画像]]&amp;".png,width=100,height=100)"</f>
        <v>|&amp;image(chorui.png,width=100,height=100)</v>
      </c>
      <c r="U346" s="23" t="str">
        <f>"|MIDDLE:​"&amp;テーブル1[[#This Row],[名前]]</f>
        <v>|MIDDLE:​ちょうるい</v>
      </c>
      <c r="V346" s="23" t="str">
        <f>"|MIDDLE:​"&amp;テーブル1[[#This Row],[なまえ]]</f>
        <v>|MIDDLE:​ちょうるい</v>
      </c>
      <c r="W346" s="23" t="str">
        <f>"|MIDDLE:​"&amp;テーブル1[[#This Row],[Name]]</f>
        <v>|MIDDLE:​Chorui</v>
      </c>
      <c r="X34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7" spans="2:24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7" s="24" t="s">
        <v>905</v>
      </c>
      <c r="D347" s="23" t="s">
        <v>907</v>
      </c>
      <c r="E347" s="23" t="s">
        <v>906</v>
      </c>
      <c r="F347" s="15" t="s">
        <v>904</v>
      </c>
      <c r="G347" s="23" t="s">
        <v>917</v>
      </c>
      <c r="O347" s="24" t="str">
        <f>テーブル1[[#This Row],[リンク]]&amp;テーブル1[[#This Row],[描画状況]]</f>
        <v>https://suukedayo.wixsite.com/shiawasefairu</v>
      </c>
      <c r="P347" s="17">
        <f>1-(COUNTIF(O:O,_xlfn.TEXTJOIN(",",TRUE,テーブル1[[#This Row],[リンク]],テーブル1[[#This Row],[描画状況]]))/COUNTIF(F:F,テーブル1[[#This Row],[リンク]]))</f>
        <v>0</v>
      </c>
      <c r="Q347" s="16">
        <f ca="1">IFERROR(IF(テーブル1[[#This Row],[描画状況]]="",RAND()+(テーブル1[[#This Row],[列2]]*100),""),RAND())</f>
        <v>0.46490637840158366</v>
      </c>
      <c r="S347" s="24" t="str">
        <f ca="1">IF(AND(テーブル1[[#This Row],[描画状況]]="済",テーブル1[[#This Row],[投稿状況]]=""),RAND(),"")</f>
        <v/>
      </c>
      <c r="T347" s="23" t="str">
        <f>"|&amp;image("&amp;テーブル1[[#This Row],[画像]]&amp;".png,width=100,height=100)"</f>
        <v>|&amp;image(tsugunane-rui.png,width=100,height=100)</v>
      </c>
      <c r="U347" s="23" t="str">
        <f>"|MIDDLE:​"&amp;テーブル1[[#This Row],[名前]]</f>
        <v>|MIDDLE:​亞永音ルヰ</v>
      </c>
      <c r="V347" s="23" t="str">
        <f>"|MIDDLE:​"&amp;テーブル1[[#This Row],[なまえ]]</f>
        <v>|MIDDLE:​つぐなね るい</v>
      </c>
      <c r="W347" s="23" t="str">
        <f>"|MIDDLE:​"&amp;テーブル1[[#This Row],[Name]]</f>
        <v>|MIDDLE:​Tsugunane Rui</v>
      </c>
      <c r="X347" s="23" t="str">
        <f>"|MIDDLE:​&amp;link(配布所はこちら){​"&amp;テーブル1[[#This Row],[リンク]]&amp;"}|"</f>
        <v>|MIDDLE:​&amp;link(配布所はこちら){​https://suukedayo.wixsite.com/shiawasefairu}|</v>
      </c>
    </row>
    <row r="348" spans="2:24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48" s="24" t="s">
        <v>863</v>
      </c>
      <c r="D348" s="23" t="s">
        <v>865</v>
      </c>
      <c r="E348" s="23" t="s">
        <v>866</v>
      </c>
      <c r="F348" s="15" t="s">
        <v>864</v>
      </c>
      <c r="G348" s="23" t="s">
        <v>867</v>
      </c>
      <c r="O348" s="24" t="str">
        <f>テーブル1[[#This Row],[リンク]]&amp;テーブル1[[#This Row],[描画状況]]</f>
        <v>https://bowlroll.net/user/374679</v>
      </c>
      <c r="P348" s="17">
        <f>1-(COUNTIF(O:O,_xlfn.TEXTJOIN(",",TRUE,テーブル1[[#This Row],[リンク]],テーブル1[[#This Row],[描画状況]]))/COUNTIF(F:F,テーブル1[[#This Row],[リンク]]))</f>
        <v>0</v>
      </c>
      <c r="Q348" s="16">
        <f ca="1">IFERROR(IF(テーブル1[[#This Row],[描画状況]]="",RAND()+(テーブル1[[#This Row],[列2]]*100),""),RAND())</f>
        <v>0.94925637641066962</v>
      </c>
      <c r="S348" s="24" t="str">
        <f ca="1">IF(AND(テーブル1[[#This Row],[描画状況]]="済",テーブル1[[#This Row],[投稿状況]]=""),RAND(),"")</f>
        <v/>
      </c>
      <c r="T348" s="23" t="str">
        <f>"|&amp;image("&amp;テーブル1[[#This Row],[画像]]&amp;".png,width=100,height=100)"</f>
        <v>|&amp;image(tsumugine-yato.png,width=100,height=100)</v>
      </c>
      <c r="U348" s="23" t="str">
        <f>"|MIDDLE:​"&amp;テーブル1[[#This Row],[名前]]</f>
        <v>|MIDDLE:​紡音ヤト</v>
      </c>
      <c r="V348" s="23" t="str">
        <f>"|MIDDLE:​"&amp;テーブル1[[#This Row],[なまえ]]</f>
        <v>|MIDDLE:​つむぎね やと</v>
      </c>
      <c r="W348" s="23" t="str">
        <f>"|MIDDLE:​"&amp;テーブル1[[#This Row],[Name]]</f>
        <v>|MIDDLE:​Tsumugine Yato</v>
      </c>
      <c r="X348" s="23" t="str">
        <f>"|MIDDLE:​&amp;link(配布所はこちら){​"&amp;テーブル1[[#This Row],[リンク]]&amp;"}|"</f>
        <v>|MIDDLE:​&amp;link(配布所はこちら){​https://bowlroll.net/user/374679}|</v>
      </c>
    </row>
    <row r="349" spans="2:24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49" s="24" t="s">
        <v>1134</v>
      </c>
      <c r="D349" s="23" t="s">
        <v>1136</v>
      </c>
      <c r="E349" s="23" t="s">
        <v>1135</v>
      </c>
      <c r="F349" s="15" t="s">
        <v>1143</v>
      </c>
      <c r="G349" s="23" t="str">
        <f>テーブル1[[#This Row],[名前]]&amp;"(UTAU)"</f>
        <v>弦弓ゲン(UTAU)</v>
      </c>
      <c r="O349" s="24" t="str">
        <f>テーブル1[[#This Row],[リンク]]&amp;テーブル1[[#This Row],[描画状況]]</f>
        <v>https://yautau.wixsite.com/0909</v>
      </c>
      <c r="P349" s="17">
        <f>1-(COUNTIF(O:O,_xlfn.TEXTJOIN(",",TRUE,テーブル1[[#This Row],[リンク]],テーブル1[[#This Row],[描画状況]]))/COUNTIF(F:F,テーブル1[[#This Row],[リンク]]))</f>
        <v>0.125</v>
      </c>
      <c r="Q349" s="16">
        <f ca="1">IFERROR(IF(テーブル1[[#This Row],[描画状況]]="",RAND()+(テーブル1[[#This Row],[列2]]*100),""),RAND())</f>
        <v>13.054438572244663</v>
      </c>
      <c r="S349" s="24" t="str">
        <f ca="1">IF(AND(テーブル1[[#This Row],[描画状況]]="済",テーブル1[[#This Row],[投稿状況]]=""),RAND(),"")</f>
        <v/>
      </c>
      <c r="T349" s="23" t="str">
        <f>"|&amp;image("&amp;テーブル1[[#This Row],[画像]]&amp;".png,width=100,height=100)"</f>
        <v>|&amp;image(tsuruyumi-gen.png,width=100,height=100)</v>
      </c>
      <c r="U349" s="23" t="str">
        <f>"|MIDDLE:​"&amp;テーブル1[[#This Row],[名前]]</f>
        <v>|MIDDLE:​弦弓ゲン</v>
      </c>
      <c r="V349" s="23" t="str">
        <f>"|MIDDLE:​"&amp;テーブル1[[#This Row],[なまえ]]</f>
        <v>|MIDDLE:​つるゆみ げん</v>
      </c>
      <c r="W349" s="23" t="str">
        <f>"|MIDDLE:​"&amp;テーブル1[[#This Row],[Name]]</f>
        <v>|MIDDLE:​Tsuruyumi Gen</v>
      </c>
      <c r="X349" s="23" t="str">
        <f>"|MIDDLE:​&amp;link(配布所はこちら){​"&amp;テーブル1[[#This Row],[リンク]]&amp;"}|"</f>
        <v>|MIDDLE:​&amp;link(配布所はこちら){​https://yautau.wixsite.com/0909}|</v>
      </c>
    </row>
    <row r="350" spans="2:24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0" s="24" t="s">
        <v>1051</v>
      </c>
      <c r="D350" s="23" t="s">
        <v>1052</v>
      </c>
      <c r="E350" s="23" t="s">
        <v>1053</v>
      </c>
      <c r="F350" s="15" t="s">
        <v>671</v>
      </c>
      <c r="G350" s="23" t="s">
        <v>672</v>
      </c>
      <c r="M350" s="1" t="s">
        <v>1517</v>
      </c>
      <c r="O350" s="24" t="str">
        <f>テーブル1[[#This Row],[リンク]]&amp;テーブル1[[#This Row],[描画状況]]</f>
        <v>https://flowerrocklove.wixsite.com/twilight-crisis</v>
      </c>
      <c r="P350" s="17">
        <f>1-(COUNTIF(O:O,_xlfn.TEXTJOIN(",",TRUE,テーブル1[[#This Row],[リンク]],テーブル1[[#This Row],[描画状況]]))/COUNTIF(F:F,テーブル1[[#This Row],[リンク]]))</f>
        <v>0.22222222222222221</v>
      </c>
      <c r="Q350" s="16">
        <f ca="1">IFERROR(IF(テーブル1[[#This Row],[描画状況]]="",RAND()+(テーブル1[[#This Row],[列2]]*100),""),RAND())</f>
        <v>22.495957545301639</v>
      </c>
      <c r="S350" s="24" t="str">
        <f ca="1">IF(AND(テーブル1[[#This Row],[描画状況]]="済",テーブル1[[#This Row],[投稿状況]]=""),RAND(),"")</f>
        <v/>
      </c>
      <c r="T350" s="23" t="str">
        <f>"|&amp;image("&amp;テーブル1[[#This Row],[画像]]&amp;".png,width=100,height=100)"</f>
        <v>|&amp;image(toyteki-kazuichi.png,width=100,height=100)</v>
      </c>
      <c r="U350" s="23" t="str">
        <f>"|MIDDLE:​"&amp;テーブル1[[#This Row],[名前]]</f>
        <v>|MIDDLE:​問笛数一</v>
      </c>
      <c r="V350" s="23" t="str">
        <f>"|MIDDLE:​"&amp;テーブル1[[#This Row],[なまえ]]</f>
        <v>|MIDDLE:​といてき かずいち</v>
      </c>
      <c r="W350" s="23" t="str">
        <f>"|MIDDLE:​"&amp;テーブル1[[#This Row],[Name]]</f>
        <v>|MIDDLE:​Toyteki Kazuichi</v>
      </c>
      <c r="X35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1" spans="2:24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1" s="24" t="s">
        <v>897</v>
      </c>
      <c r="D351" s="23" t="s">
        <v>899</v>
      </c>
      <c r="E351" s="23" t="s">
        <v>898</v>
      </c>
      <c r="F351" s="23" t="s">
        <v>421</v>
      </c>
      <c r="G351" s="23" t="s">
        <v>900</v>
      </c>
      <c r="O351" s="24" t="str">
        <f>テーブル1[[#This Row],[リンク]]&amp;テーブル1[[#This Row],[描画状況]]</f>
        <v>-</v>
      </c>
      <c r="P351" s="17">
        <f>1-(COUNTIF(O:O,_xlfn.TEXTJOIN(",",TRUE,テーブル1[[#This Row],[リンク]],テーブル1[[#This Row],[描画状況]]))/COUNTIF(F:F,テーブル1[[#This Row],[リンク]]))</f>
        <v>0.33333333333333337</v>
      </c>
      <c r="Q351" s="16">
        <f ca="1">IFERROR(IF(テーブル1[[#This Row],[描画状況]]="",RAND()+(テーブル1[[#This Row],[列2]]*100),""),RAND())</f>
        <v>34.257869607726548</v>
      </c>
      <c r="S351" s="24" t="str">
        <f ca="1">IF(AND(テーブル1[[#This Row],[描画状況]]="済",テーブル1[[#This Row],[投稿状況]]=""),RAND(),"")</f>
        <v/>
      </c>
      <c r="T351" s="23" t="str">
        <f>"|&amp;image("&amp;テーブル1[[#This Row],[画像]]&amp;".png,width=100,height=100)"</f>
        <v>|&amp;image(togano-kozue.png,width=100,height=100)</v>
      </c>
      <c r="U351" s="23" t="str">
        <f>"|MIDDLE:​"&amp;テーブル1[[#This Row],[名前]]</f>
        <v>|MIDDLE:​戸叶こずえ</v>
      </c>
      <c r="V351" s="23" t="str">
        <f>"|MIDDLE:​"&amp;テーブル1[[#This Row],[なまえ]]</f>
        <v>|MIDDLE:​とがの こずえ</v>
      </c>
      <c r="W351" s="23" t="str">
        <f>"|MIDDLE:​"&amp;テーブル1[[#This Row],[Name]]</f>
        <v>|MIDDLE:​Togano Kozue</v>
      </c>
      <c r="X351" s="23" t="str">
        <f>"|MIDDLE:​&amp;link(配布所はこちら){​"&amp;テーブル1[[#This Row],[リンク]]&amp;"}|"</f>
        <v>|MIDDLE:​&amp;link(配布所はこちら){​-}|</v>
      </c>
    </row>
    <row r="352" spans="2:24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2" s="24" t="s">
        <v>860</v>
      </c>
      <c r="D352" s="23" t="s">
        <v>861</v>
      </c>
      <c r="E352" s="23" t="s">
        <v>862</v>
      </c>
      <c r="F352" s="15" t="s">
        <v>859</v>
      </c>
      <c r="G352" s="23" t="s">
        <v>867</v>
      </c>
      <c r="O352" s="24" t="str">
        <f>テーブル1[[#This Row],[リンク]]&amp;テーブル1[[#This Row],[描画状況]]</f>
        <v>https://bindumechan.wixsite.com/shigure222</v>
      </c>
      <c r="P352" s="17">
        <f>1-(COUNTIF(O:O,_xlfn.TEXTJOIN(",",TRUE,テーブル1[[#This Row],[リンク]],テーブル1[[#This Row],[描画状況]]))/COUNTIF(F:F,テーブル1[[#This Row],[リンク]]))</f>
        <v>0</v>
      </c>
      <c r="Q352" s="16">
        <f ca="1">IFERROR(IF(テーブル1[[#This Row],[描画状況]]="",RAND()+(テーブル1[[#This Row],[列2]]*100),""),RAND())</f>
        <v>3.6690154191395319E-2</v>
      </c>
      <c r="S352" s="24" t="str">
        <f ca="1">IF(AND(テーブル1[[#This Row],[描画状況]]="済",テーブル1[[#This Row],[投稿状況]]=""),RAND(),"")</f>
        <v/>
      </c>
      <c r="T352" s="23" t="str">
        <f>"|&amp;image("&amp;テーブル1[[#This Row],[画像]]&amp;".png,width=100,height=100)"</f>
        <v>|&amp;image(tokina-shigure.png,width=100,height=100)</v>
      </c>
      <c r="U352" s="23" t="str">
        <f>"|MIDDLE:​"&amp;テーブル1[[#This Row],[名前]]</f>
        <v>|MIDDLE:​刻鳴時雨</v>
      </c>
      <c r="V352" s="23" t="str">
        <f>"|MIDDLE:​"&amp;テーブル1[[#This Row],[なまえ]]</f>
        <v>|MIDDLE:​ときな しぐれ</v>
      </c>
      <c r="W352" s="23" t="str">
        <f>"|MIDDLE:​"&amp;テーブル1[[#This Row],[Name]]</f>
        <v>|MIDDLE:​Tokina Shigure</v>
      </c>
      <c r="X352" s="23" t="str">
        <f>"|MIDDLE:​&amp;link(配布所はこちら){​"&amp;テーブル1[[#This Row],[リンク]]&amp;"}|"</f>
        <v>|MIDDLE:​&amp;link(配布所はこちら){​https://bindumechan.wixsite.com/shigure222}|</v>
      </c>
    </row>
    <row r="353" spans="2:24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3" s="24" t="s">
        <v>1005</v>
      </c>
      <c r="D353" s="23" t="s">
        <v>1010</v>
      </c>
      <c r="E353" s="23" t="s">
        <v>1011</v>
      </c>
      <c r="F353" s="2" t="s">
        <v>64</v>
      </c>
      <c r="G353" s="23" t="s">
        <v>65</v>
      </c>
      <c r="M353" s="1" t="s">
        <v>1517</v>
      </c>
      <c r="O353" s="24" t="str">
        <f>テーブル1[[#This Row],[リンク]]&amp;テーブル1[[#This Row],[描画状況]]</f>
        <v>https://bowlroll.net/user/852117/files</v>
      </c>
      <c r="P353" s="17">
        <f>1-(COUNTIF(O:O,_xlfn.TEXTJOIN(",",TRUE,テーブル1[[#This Row],[リンク]],テーブル1[[#This Row],[描画状況]]))/COUNTIF(F:F,テーブル1[[#This Row],[リンク]]))</f>
        <v>0.6</v>
      </c>
      <c r="Q353" s="16">
        <f ca="1">IFERROR(IF(テーブル1[[#This Row],[描画状況]]="",RAND()+(テーブル1[[#This Row],[列2]]*100),""),RAND())</f>
        <v>60.612631115007758</v>
      </c>
      <c r="S353" s="24" t="str">
        <f ca="1">IF(AND(テーブル1[[#This Row],[描画状況]]="済",テーブル1[[#This Row],[投稿状況]]=""),RAND(),"")</f>
        <v/>
      </c>
      <c r="T353" s="23" t="str">
        <f>"|&amp;image("&amp;テーブル1[[#This Row],[画像]]&amp;".png,width=100,height=100)"</f>
        <v>|&amp;image(tokima-souna.png,width=100,height=100)</v>
      </c>
      <c r="U353" s="23" t="str">
        <f>"|MIDDLE:​"&amp;テーブル1[[#This Row],[名前]]</f>
        <v>|MIDDLE:​時間そうな</v>
      </c>
      <c r="V353" s="23" t="str">
        <f>"|MIDDLE:​"&amp;テーブル1[[#This Row],[なまえ]]</f>
        <v>|MIDDLE:​ときま そうな</v>
      </c>
      <c r="W353" s="23" t="str">
        <f>"|MIDDLE:​"&amp;テーブル1[[#This Row],[Name]]</f>
        <v>|MIDDLE:​Tokima Souna</v>
      </c>
      <c r="X353" s="23" t="str">
        <f>"|MIDDLE:​&amp;link(配布所はこちら){​"&amp;テーブル1[[#This Row],[リンク]]&amp;"}|"</f>
        <v>|MIDDLE:​&amp;link(配布所はこちら){​https://bowlroll.net/user/852117/files}|</v>
      </c>
    </row>
    <row r="354" spans="2:24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4" s="24" t="s">
        <v>798</v>
      </c>
      <c r="D354" s="23" t="s">
        <v>799</v>
      </c>
      <c r="E354" s="23" t="s">
        <v>800</v>
      </c>
      <c r="F354" s="15" t="s">
        <v>778</v>
      </c>
      <c r="G354" s="23" t="str">
        <f>テーブル1[[#This Row],[名前]]&amp;"(UTAU)"</f>
        <v>ドルシェ(UTAU)</v>
      </c>
      <c r="M354" s="1" t="s">
        <v>1517</v>
      </c>
      <c r="O354" s="24" t="str">
        <f>テーブル1[[#This Row],[リンク]]&amp;テーブル1[[#This Row],[描画状況]]</f>
        <v>https://cmamizki.wixsite.com/edelstein</v>
      </c>
      <c r="P354" s="17">
        <f>1-(COUNTIF(O:O,_xlfn.TEXTJOIN(",",TRUE,テーブル1[[#This Row],[リンク]],テーブル1[[#This Row],[描画状況]]))/COUNTIF(F:F,テーブル1[[#This Row],[リンク]]))</f>
        <v>9.0909090909090939E-2</v>
      </c>
      <c r="Q354" s="16">
        <f ca="1">IFERROR(IF(テーブル1[[#This Row],[描画状況]]="",RAND()+(テーブル1[[#This Row],[列2]]*100),""),RAND())</f>
        <v>9.3773412186034211</v>
      </c>
      <c r="S354" s="24" t="str">
        <f ca="1">IF(AND(テーブル1[[#This Row],[描画状況]]="済",テーブル1[[#This Row],[投稿状況]]=""),RAND(),"")</f>
        <v/>
      </c>
      <c r="T354" s="23" t="str">
        <f>"|&amp;image("&amp;テーブル1[[#This Row],[画像]]&amp;".png,width=100,height=100)"</f>
        <v>|&amp;image(dollce.png,width=100,height=100)</v>
      </c>
      <c r="U354" s="23" t="str">
        <f>"|MIDDLE:​"&amp;テーブル1[[#This Row],[名前]]</f>
        <v>|MIDDLE:​ドルシェ</v>
      </c>
      <c r="V354" s="23" t="str">
        <f>"|MIDDLE:​"&amp;テーブル1[[#This Row],[なまえ]]</f>
        <v>|MIDDLE:​どるしぇ</v>
      </c>
      <c r="W354" s="23" t="str">
        <f>"|MIDDLE:​"&amp;テーブル1[[#This Row],[Name]]</f>
        <v>|MIDDLE:​Dollce</v>
      </c>
      <c r="X354" s="23" t="str">
        <f>"|MIDDLE:​&amp;link(配布所はこちら){​"&amp;テーブル1[[#This Row],[リンク]]&amp;"}|"</f>
        <v>|MIDDLE:​&amp;link(配布所はこちら){​https://cmamizki.wixsite.com/edelstein}|</v>
      </c>
    </row>
    <row r="355" spans="2:24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5" s="24" t="s">
        <v>1201</v>
      </c>
      <c r="D355" s="23" t="s">
        <v>1202</v>
      </c>
      <c r="E355" s="23" t="s">
        <v>1203</v>
      </c>
      <c r="F355" s="15" t="s">
        <v>684</v>
      </c>
      <c r="G355" s="23" t="str">
        <f>テーブル1[[#This Row],[名前]]&amp;"(UTAU)"</f>
        <v>トロネ(UTAU)</v>
      </c>
      <c r="O355" s="24" t="str">
        <f>テーブル1[[#This Row],[リンク]]&amp;テーブル1[[#This Row],[描画状況]]</f>
        <v>https://okome32500.wixsite.com/onekomochi</v>
      </c>
      <c r="P355" s="17">
        <f>1-(COUNTIF(O:O,_xlfn.TEXTJOIN(",",TRUE,テーブル1[[#This Row],[リンク]],テーブル1[[#This Row],[描画状況]]))/COUNTIF(F:F,テーブル1[[#This Row],[リンク]]))</f>
        <v>0.33333333333333337</v>
      </c>
      <c r="Q355" s="16">
        <f ca="1">IFERROR(IF(テーブル1[[#This Row],[描画状況]]="",RAND()+(テーブル1[[#This Row],[列2]]*100),""),RAND())</f>
        <v>33.695629031075228</v>
      </c>
      <c r="S355" s="24" t="str">
        <f ca="1">IF(AND(テーブル1[[#This Row],[描画状況]]="済",テーブル1[[#This Row],[投稿状況]]=""),RAND(),"")</f>
        <v/>
      </c>
      <c r="T355" s="23" t="str">
        <f>"|&amp;image("&amp;テーブル1[[#This Row],[画像]]&amp;".png,width=100,height=100)"</f>
        <v>|&amp;image(torone.png,width=100,height=100)</v>
      </c>
      <c r="U355" s="23" t="str">
        <f>"|MIDDLE:​"&amp;テーブル1[[#This Row],[名前]]</f>
        <v>|MIDDLE:​トロネ</v>
      </c>
      <c r="V355" s="23" t="str">
        <f>"|MIDDLE:​"&amp;テーブル1[[#This Row],[なまえ]]</f>
        <v>|MIDDLE:​とろね</v>
      </c>
      <c r="W355" s="23" t="str">
        <f>"|MIDDLE:​"&amp;テーブル1[[#This Row],[Name]]</f>
        <v>|MIDDLE:​Torone</v>
      </c>
      <c r="X355" s="23" t="str">
        <f>"|MIDDLE:​&amp;link(配布所はこちら){​"&amp;テーブル1[[#This Row],[リンク]]&amp;"}|"</f>
        <v>|MIDDLE:​&amp;link(配布所はこちら){​https://okome32500.wixsite.com/onekomochi}|</v>
      </c>
    </row>
    <row r="356" spans="2:24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6" s="24" t="s">
        <v>1217</v>
      </c>
      <c r="D356" s="23" t="s">
        <v>1236</v>
      </c>
      <c r="E356" s="23" t="s">
        <v>1235</v>
      </c>
      <c r="F356" s="15" t="s">
        <v>339</v>
      </c>
      <c r="G356" s="23" t="s">
        <v>340</v>
      </c>
      <c r="O356" s="24" t="str">
        <f>テーブル1[[#This Row],[リンク]]&amp;テーブル1[[#This Row],[描画状況]]</f>
        <v>https://torinosu-hikikomori.jimdofree.com</v>
      </c>
      <c r="P356" s="17">
        <f>1-(COUNTIF(O:O,_xlfn.TEXTJOIN(",",TRUE,テーブル1[[#This Row],[リンク]],テーブル1[[#This Row],[描画状況]]))/COUNTIF(F:F,テーブル1[[#This Row],[リンク]]))</f>
        <v>0.125</v>
      </c>
      <c r="Q356" s="16">
        <f ca="1">IFERROR(IF(テーブル1[[#This Row],[描画状況]]="",RAND()+(テーブル1[[#This Row],[列2]]*100),""),RAND())</f>
        <v>12.604908136967769</v>
      </c>
      <c r="S356" s="24" t="str">
        <f ca="1">IF(AND(テーブル1[[#This Row],[描画状況]]="済",テーブル1[[#This Row],[投稿状況]]=""),RAND(),"")</f>
        <v/>
      </c>
      <c r="T356" s="23" t="str">
        <f>"|&amp;image("&amp;テーブル1[[#This Row],[画像]]&amp;".png,width=100,height=100)"</f>
        <v>|&amp;image(nasora-angle.png,width=100,height=100)</v>
      </c>
      <c r="U356" s="23" t="str">
        <f>"|MIDDLE:​"&amp;テーブル1[[#This Row],[名前]]</f>
        <v>|MIDDLE:​ナソラ・アングル</v>
      </c>
      <c r="V356" s="23" t="str">
        <f>"|MIDDLE:​"&amp;テーブル1[[#This Row],[なまえ]]</f>
        <v>|MIDDLE:​なそら あんぐる</v>
      </c>
      <c r="W356" s="23" t="str">
        <f>"|MIDDLE:​"&amp;テーブル1[[#This Row],[Name]]</f>
        <v>|MIDDLE:​Nasora Angle</v>
      </c>
      <c r="X356" s="23" t="str">
        <f>"|MIDDLE:​&amp;link(配布所はこちら){​"&amp;テーブル1[[#This Row],[リンク]]&amp;"}|"</f>
        <v>|MIDDLE:​&amp;link(配布所はこちら){​https://torinosu-hikikomori.jimdofree.com}|</v>
      </c>
    </row>
    <row r="357" spans="2:24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7" s="24" t="s">
        <v>819</v>
      </c>
      <c r="D357" s="23" t="s">
        <v>821</v>
      </c>
      <c r="E357" s="23" t="s">
        <v>820</v>
      </c>
      <c r="F357" s="2" t="s">
        <v>814</v>
      </c>
      <c r="G357" s="23" t="s">
        <v>815</v>
      </c>
      <c r="O357" s="24" t="str">
        <f>テーブル1[[#This Row],[リンク]]&amp;テーブル1[[#This Row],[描画状況]]</f>
        <v>https://makurakue.wixsite.com/kemononokemono</v>
      </c>
      <c r="P357" s="17">
        <f>1-(COUNTIF(O:O,_xlfn.TEXTJOIN(",",TRUE,テーブル1[[#This Row],[リンク]],テーブル1[[#This Row],[描画状況]]))/COUNTIF(F:F,テーブル1[[#This Row],[リンク]]))</f>
        <v>0.4</v>
      </c>
      <c r="Q357" s="16">
        <f ca="1">IFERROR(IF(テーブル1[[#This Row],[描画状況]]="",RAND()+(テーブル1[[#This Row],[列2]]*100),""),RAND())</f>
        <v>40.09054507644079</v>
      </c>
      <c r="S357" s="24" t="str">
        <f ca="1">IF(AND(テーブル1[[#This Row],[描画状況]]="済",テーブル1[[#This Row],[投稿状況]]=""),RAND(),"")</f>
        <v/>
      </c>
      <c r="T357" s="23" t="str">
        <f>"|&amp;image("&amp;テーブル1[[#This Row],[画像]]&amp;".png,width=100,height=100)"</f>
        <v>|&amp;image(natsuki-ama.png,width=100,height=100)</v>
      </c>
      <c r="U357" s="23" t="str">
        <f>"|MIDDLE:​"&amp;テーブル1[[#This Row],[名前]]</f>
        <v>|MIDDLE:​鳴月アマ</v>
      </c>
      <c r="V357" s="23" t="str">
        <f>"|MIDDLE:​"&amp;テーブル1[[#This Row],[なまえ]]</f>
        <v>|MIDDLE:​なつき あま</v>
      </c>
      <c r="W357" s="23" t="str">
        <f>"|MIDDLE:​"&amp;テーブル1[[#This Row],[Name]]</f>
        <v>|MIDDLE:​Natsuki Ama</v>
      </c>
      <c r="X357" s="23" t="str">
        <f>"|MIDDLE:​&amp;link(配布所はこちら){​"&amp;テーブル1[[#This Row],[リンク]]&amp;"}|"</f>
        <v>|MIDDLE:​&amp;link(配布所はこちら){​https://makurakue.wixsite.com/kemononokemono}|</v>
      </c>
    </row>
    <row r="358" spans="2:24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58" s="24" t="s">
        <v>1111</v>
      </c>
      <c r="D358" s="23" t="s">
        <v>1112</v>
      </c>
      <c r="E358" s="23" t="s">
        <v>1113</v>
      </c>
      <c r="F358" s="15" t="s">
        <v>1104</v>
      </c>
      <c r="G358" s="23" t="str">
        <f>テーブル1[[#This Row],[名前]]&amp;"(UTAU)"</f>
        <v>夏霜(UTAU)</v>
      </c>
      <c r="O358" s="24" t="str">
        <f>テーブル1[[#This Row],[リンク]]&amp;テーブル1[[#This Row],[描画状況]]</f>
        <v>https://harujpg.wixsite.com/sanshoku</v>
      </c>
      <c r="P358" s="17">
        <f>1-(COUNTIF(O:O,_xlfn.TEXTJOIN(",",TRUE,テーブル1[[#This Row],[リンク]],テーブル1[[#This Row],[描画状況]]))/COUNTIF(F:F,テーブル1[[#This Row],[リンク]]))</f>
        <v>0</v>
      </c>
      <c r="Q358" s="16">
        <f ca="1">IFERROR(IF(テーブル1[[#This Row],[描画状況]]="",RAND()+(テーブル1[[#This Row],[列2]]*100),""),RAND())</f>
        <v>0.88527476579971798</v>
      </c>
      <c r="S358" s="24" t="str">
        <f ca="1">IF(AND(テーブル1[[#This Row],[描画状況]]="済",テーブル1[[#This Row],[投稿状況]]=""),RAND(),"")</f>
        <v/>
      </c>
      <c r="T358" s="23" t="str">
        <f>"|&amp;image("&amp;テーブル1[[#This Row],[画像]]&amp;".png,width=100,height=100)"</f>
        <v>|&amp;image(natsushimo.png,width=100,height=100)</v>
      </c>
      <c r="U358" s="23" t="str">
        <f>"|MIDDLE:​"&amp;テーブル1[[#This Row],[名前]]</f>
        <v>|MIDDLE:​夏霜</v>
      </c>
      <c r="V358" s="23" t="str">
        <f>"|MIDDLE:​"&amp;テーブル1[[#This Row],[なまえ]]</f>
        <v>|MIDDLE:​なつしも</v>
      </c>
      <c r="W358" s="23" t="str">
        <f>"|MIDDLE:​"&amp;テーブル1[[#This Row],[Name]]</f>
        <v>|MIDDLE:​Natsushimo</v>
      </c>
      <c r="X358" s="23" t="str">
        <f>"|MIDDLE:​&amp;link(配布所はこちら){​"&amp;テーブル1[[#This Row],[リンク]]&amp;"}|"</f>
        <v>|MIDDLE:​&amp;link(配布所はこちら){​https://harujpg.wixsite.com/sanshoku}|</v>
      </c>
    </row>
    <row r="359" spans="2:24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59" s="24" t="s">
        <v>1454</v>
      </c>
      <c r="D359" s="23" t="s">
        <v>1454</v>
      </c>
      <c r="E359" s="23" t="s">
        <v>1455</v>
      </c>
      <c r="F359" s="15" t="s">
        <v>1447</v>
      </c>
      <c r="G359" s="23" t="s">
        <v>1448</v>
      </c>
      <c r="O359" s="24" t="str">
        <f>テーブル1[[#This Row],[リンク]]&amp;テーブル1[[#This Row],[描画状況]]</f>
        <v>https://bowlroll.net/user/992955</v>
      </c>
      <c r="P359" s="17">
        <f>1-(COUNTIF(O:O,_xlfn.TEXTJOIN(",",TRUE,テーブル1[[#This Row],[リンク]],テーブル1[[#This Row],[描画状況]]))/COUNTIF(F:F,テーブル1[[#This Row],[リンク]]))</f>
        <v>0</v>
      </c>
      <c r="Q359" s="16">
        <f ca="1">IFERROR(IF(テーブル1[[#This Row],[描画状況]]="",RAND()+(テーブル1[[#This Row],[列2]]*100),""),RAND())</f>
        <v>0.96647340195578335</v>
      </c>
      <c r="S359" s="24" t="str">
        <f ca="1">IF(AND(テーブル1[[#This Row],[描画状況]]="済",テーブル1[[#This Row],[投稿状況]]=""),RAND(),"")</f>
        <v/>
      </c>
      <c r="T359" s="23" t="str">
        <f>"|&amp;image("&amp;テーブル1[[#This Row],[画像]]&amp;".png,width=100,height=100)"</f>
        <v>|&amp;image(natsudoke.png,width=100,height=100)</v>
      </c>
      <c r="U359" s="23" t="str">
        <f>"|MIDDLE:​"&amp;テーブル1[[#This Row],[名前]]</f>
        <v>|MIDDLE:​なつどけ</v>
      </c>
      <c r="V359" s="23" t="str">
        <f>"|MIDDLE:​"&amp;テーブル1[[#This Row],[なまえ]]</f>
        <v>|MIDDLE:​なつどけ</v>
      </c>
      <c r="W359" s="23" t="str">
        <f>"|MIDDLE:​"&amp;テーブル1[[#This Row],[Name]]</f>
        <v>|MIDDLE:​Natsudoke</v>
      </c>
      <c r="X359" s="23" t="str">
        <f>"|MIDDLE:​&amp;link(配布所はこちら){​"&amp;テーブル1[[#This Row],[リンク]]&amp;"}|"</f>
        <v>|MIDDLE:​&amp;link(配布所はこちら){​https://bowlroll.net/user/992955}|</v>
      </c>
    </row>
    <row r="360" spans="2:24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0" s="24" t="s">
        <v>1383</v>
      </c>
      <c r="D360" s="23" t="s">
        <v>1385</v>
      </c>
      <c r="E360" s="23" t="s">
        <v>1384</v>
      </c>
      <c r="F360" s="2" t="s">
        <v>1363</v>
      </c>
      <c r="G360" s="23" t="s">
        <v>1364</v>
      </c>
      <c r="O360" s="24" t="str">
        <f>テーブル1[[#This Row],[リンク]]&amp;テーブル1[[#This Row],[描画状況]]</f>
        <v>https://maybeanglo0mochi.wixsite.com/mochiyanosouko</v>
      </c>
      <c r="P360" s="17">
        <f>1-(COUNTIF(O:O,_xlfn.TEXTJOIN(",",TRUE,テーブル1[[#This Row],[リンク]],テーブル1[[#This Row],[描画状況]]))/COUNTIF(F:F,テーブル1[[#This Row],[リンク]]))</f>
        <v>0.125</v>
      </c>
      <c r="Q360" s="16">
        <f ca="1">IFERROR(IF(テーブル1[[#This Row],[描画状況]]="",RAND()+(テーブル1[[#This Row],[列2]]*100),""),RAND())</f>
        <v>13.083124835202369</v>
      </c>
      <c r="S360" s="24" t="str">
        <f ca="1">IF(AND(テーブル1[[#This Row],[描画状況]]="済",テーブル1[[#This Row],[投稿状況]]=""),RAND(),"")</f>
        <v/>
      </c>
      <c r="T360" s="23" t="str">
        <f>"|&amp;image("&amp;テーブル1[[#This Row],[画像]]&amp;".png,width=100,height=100)"</f>
        <v>|&amp;image(nanakiri-louis.png,width=100,height=100)</v>
      </c>
      <c r="U360" s="23" t="str">
        <f>"|MIDDLE:​"&amp;テーブル1[[#This Row],[名前]]</f>
        <v>|MIDDLE:​七霧ルイ</v>
      </c>
      <c r="V360" s="23" t="str">
        <f>"|MIDDLE:​"&amp;テーブル1[[#This Row],[なまえ]]</f>
        <v>|MIDDLE:​ななきり るい</v>
      </c>
      <c r="W360" s="23" t="str">
        <f>"|MIDDLE:​"&amp;テーブル1[[#This Row],[Name]]</f>
        <v>|MIDDLE:​Nanakiri Louis</v>
      </c>
      <c r="X36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1" spans="2:24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1" s="24" t="s">
        <v>997</v>
      </c>
      <c r="D361" s="23" t="s">
        <v>998</v>
      </c>
      <c r="E361" s="23" t="s">
        <v>999</v>
      </c>
      <c r="F361" s="2" t="s">
        <v>572</v>
      </c>
      <c r="G361" s="23" t="s">
        <v>573</v>
      </c>
      <c r="M361" s="1" t="s">
        <v>1517</v>
      </c>
      <c r="O361" s="24" t="str">
        <f>テーブル1[[#This Row],[リンク]]&amp;テーブル1[[#This Row],[描画状況]]</f>
        <v>https://askdance.wixsite.com/monitor-room/monitor-room</v>
      </c>
      <c r="P361" s="17">
        <f>1-(COUNTIF(O:O,_xlfn.TEXTJOIN(",",TRUE,テーブル1[[#This Row],[リンク]],テーブル1[[#This Row],[描画状況]]))/COUNTIF(F:F,テーブル1[[#This Row],[リンク]]))</f>
        <v>9.9999999999999978E-2</v>
      </c>
      <c r="Q361" s="16">
        <f ca="1">IFERROR(IF(テーブル1[[#This Row],[描画状況]]="",RAND()+(テーブル1[[#This Row],[列2]]*100),""),RAND())</f>
        <v>10.745124539149479</v>
      </c>
      <c r="S361" s="24" t="str">
        <f ca="1">IF(AND(テーブル1[[#This Row],[描画状況]]="済",テーブル1[[#This Row],[投稿状況]]=""),RAND(),"")</f>
        <v/>
      </c>
      <c r="T361" s="23" t="str">
        <f>"|&amp;image("&amp;テーブル1[[#This Row],[画像]]&amp;".png,width=100,height=100)"</f>
        <v>|&amp;image(namitsu-baku.png,width=100,height=100)</v>
      </c>
      <c r="U361" s="23" t="str">
        <f>"|MIDDLE:​"&amp;テーブル1[[#This Row],[名前]]</f>
        <v>|MIDDLE:​波津獏</v>
      </c>
      <c r="V361" s="23" t="str">
        <f>"|MIDDLE:​"&amp;テーブル1[[#This Row],[なまえ]]</f>
        <v>|MIDDLE:​なみつ ばく</v>
      </c>
      <c r="W361" s="23" t="str">
        <f>"|MIDDLE:​"&amp;テーブル1[[#This Row],[Name]]</f>
        <v>|MIDDLE:​Namitsu Baku</v>
      </c>
      <c r="X36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2" spans="2:24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2" s="24" t="s">
        <v>1296</v>
      </c>
      <c r="D362" s="23" t="s">
        <v>1297</v>
      </c>
      <c r="E362" s="23" t="s">
        <v>1298</v>
      </c>
      <c r="F362" s="15" t="s">
        <v>1299</v>
      </c>
      <c r="G362" s="23" t="s">
        <v>1300</v>
      </c>
      <c r="O362" s="24" t="str">
        <f>テーブル1[[#This Row],[リンク]]&amp;テーブル1[[#This Row],[描画状況]]</f>
        <v>https://gardanana.neocities.org</v>
      </c>
      <c r="P362" s="17">
        <f>1-(COUNTIF(O:O,_xlfn.TEXTJOIN(",",TRUE,テーブル1[[#This Row],[リンク]],テーブル1[[#This Row],[描画状況]]))/COUNTIF(F:F,テーブル1[[#This Row],[リンク]]))</f>
        <v>0</v>
      </c>
      <c r="Q362" s="16">
        <f ca="1">IFERROR(IF(テーブル1[[#This Row],[描画状況]]="",RAND()+(テーブル1[[#This Row],[列2]]*100),""),RAND())</f>
        <v>0.64450202254585431</v>
      </c>
      <c r="S362" s="24" t="str">
        <f ca="1">IF(AND(テーブル1[[#This Row],[描画状況]]="済",テーブル1[[#This Row],[投稿状況]]=""),RAND(),"")</f>
        <v/>
      </c>
      <c r="T362" s="23" t="str">
        <f>"|&amp;image("&amp;テーブル1[[#This Row],[画像]]&amp;".png,width=100,height=100)"</f>
        <v>|&amp;image(nishiren-gard.png,width=100,height=100)</v>
      </c>
      <c r="U362" s="23" t="str">
        <f>"|MIDDLE:​"&amp;テーブル1[[#This Row],[名前]]</f>
        <v>|MIDDLE:​西蓮ガルド</v>
      </c>
      <c r="V362" s="23" t="str">
        <f>"|MIDDLE:​"&amp;テーブル1[[#This Row],[なまえ]]</f>
        <v>|MIDDLE:​にしれん がるど</v>
      </c>
      <c r="W362" s="23" t="str">
        <f>"|MIDDLE:​"&amp;テーブル1[[#This Row],[Name]]</f>
        <v>|MIDDLE:​Nishiren Gard</v>
      </c>
      <c r="X362" s="23" t="str">
        <f>"|MIDDLE:​&amp;link(配布所はこちら){​"&amp;テーブル1[[#This Row],[リンク]]&amp;"}|"</f>
        <v>|MIDDLE:​&amp;link(配布所はこちら){​https://gardanana.neocities.org}|</v>
      </c>
    </row>
    <row r="363" spans="2:24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3" s="24" t="s">
        <v>1371</v>
      </c>
      <c r="D363" s="23" t="s">
        <v>1373</v>
      </c>
      <c r="E363" s="23" t="s">
        <v>1372</v>
      </c>
      <c r="F363" s="2" t="s">
        <v>1363</v>
      </c>
      <c r="G363" s="23" t="s">
        <v>1364</v>
      </c>
      <c r="O363" s="24" t="str">
        <f>テーブル1[[#This Row],[リンク]]&amp;テーブル1[[#This Row],[描画状況]]</f>
        <v>https://maybeanglo0mochi.wixsite.com/mochiyanosouko</v>
      </c>
      <c r="P363" s="17">
        <f>1-(COUNTIF(O:O,_xlfn.TEXTJOIN(",",TRUE,テーブル1[[#This Row],[リンク]],テーブル1[[#This Row],[描画状況]]))/COUNTIF(F:F,テーブル1[[#This Row],[リンク]]))</f>
        <v>0.125</v>
      </c>
      <c r="Q363" s="16">
        <f ca="1">IFERROR(IF(テーブル1[[#This Row],[描画状況]]="",RAND()+(テーブル1[[#This Row],[列2]]*100),""),RAND())</f>
        <v>12.846337598140463</v>
      </c>
      <c r="S363" s="24" t="str">
        <f ca="1">IF(AND(テーブル1[[#This Row],[描画状況]]="済",テーブル1[[#This Row],[投稿状況]]=""),RAND(),"")</f>
        <v/>
      </c>
      <c r="T363" s="23" t="str">
        <f>"|&amp;image("&amp;テーブル1[[#This Row],[画像]]&amp;".png,width=100,height=100)"</f>
        <v>|&amp;image(ninomae-madoka.png,width=100,height=100)</v>
      </c>
      <c r="U363" s="23" t="str">
        <f>"|MIDDLE:​"&amp;テーブル1[[#This Row],[名前]]</f>
        <v>|MIDDLE:​一円</v>
      </c>
      <c r="V363" s="23" t="str">
        <f>"|MIDDLE:​"&amp;テーブル1[[#This Row],[なまえ]]</f>
        <v>|MIDDLE:​にのまえ まどか</v>
      </c>
      <c r="W363" s="23" t="str">
        <f>"|MIDDLE:​"&amp;テーブル1[[#This Row],[Name]]</f>
        <v>|MIDDLE:​Ninomae Madoka</v>
      </c>
      <c r="X36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4" spans="2:24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4" s="24" t="s">
        <v>622</v>
      </c>
      <c r="D364" s="23" t="s">
        <v>623</v>
      </c>
      <c r="E364" s="23" t="s">
        <v>624</v>
      </c>
      <c r="F364" s="2" t="s">
        <v>110</v>
      </c>
      <c r="G364" s="23" t="s">
        <v>625</v>
      </c>
      <c r="M364" s="1" t="s">
        <v>1517</v>
      </c>
      <c r="O364" s="24" t="str">
        <f>テーブル1[[#This Row],[リンク]]&amp;テーブル1[[#This Row],[描画状況]]</f>
        <v>https://hznonoka.wixsite.com/utau</v>
      </c>
      <c r="P364" s="17">
        <f>1-(COUNTIF(O:O,_xlfn.TEXTJOIN(",",TRUE,テーブル1[[#This Row],[リンク]],テーブル1[[#This Row],[描画状況]]))/COUNTIF(F:F,テーブル1[[#This Row],[リンク]]))</f>
        <v>0.33333333333333337</v>
      </c>
      <c r="Q364" s="16">
        <f ca="1">IFERROR(IF(テーブル1[[#This Row],[描画状況]]="",RAND()+(テーブル1[[#This Row],[列2]]*100),""),RAND())</f>
        <v>34.28919815908634</v>
      </c>
      <c r="S364" s="24" t="str">
        <f ca="1">IF(AND(テーブル1[[#This Row],[描画状況]]="済",テーブル1[[#This Row],[投稿状況]]=""),RAND(),"")</f>
        <v/>
      </c>
      <c r="T364" s="23" t="str">
        <f>"|&amp;image("&amp;テーブル1[[#This Row],[画像]]&amp;".png,width=100,height=100)"</f>
        <v>|&amp;image(nono-nonon.png,width=100,height=100)</v>
      </c>
      <c r="U364" s="23" t="str">
        <f>"|MIDDLE:​"&amp;テーブル1[[#This Row],[名前]]</f>
        <v>|MIDDLE:​音暖ののん</v>
      </c>
      <c r="V364" s="23" t="str">
        <f>"|MIDDLE:​"&amp;テーブル1[[#This Row],[なまえ]]</f>
        <v>|MIDDLE:​のの ののん</v>
      </c>
      <c r="W364" s="23" t="str">
        <f>"|MIDDLE:​"&amp;テーブル1[[#This Row],[Name]]</f>
        <v>|MIDDLE:​Nono Nonon</v>
      </c>
      <c r="X364" s="23" t="str">
        <f>"|MIDDLE:​&amp;link(配布所はこちら){​"&amp;テーブル1[[#This Row],[リンク]]&amp;"}|"</f>
        <v>|MIDDLE:​&amp;link(配布所はこちら){​https://hznonoka.wixsite.com/utau}|</v>
      </c>
    </row>
    <row r="365" spans="2:24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5" s="24" t="s">
        <v>1274</v>
      </c>
      <c r="D365" s="23" t="s">
        <v>1276</v>
      </c>
      <c r="E365" s="23" t="s">
        <v>1275</v>
      </c>
      <c r="F365" s="15" t="s">
        <v>177</v>
      </c>
      <c r="G365" s="24" t="s">
        <v>1291</v>
      </c>
      <c r="H365" s="24"/>
      <c r="I365" s="24"/>
      <c r="J365" s="24"/>
      <c r="K365" s="24"/>
      <c r="L365" s="24"/>
      <c r="O365" s="24" t="str">
        <f>テーブル1[[#This Row],[リンク]]&amp;テーブル1[[#This Row],[描画状況]]</f>
        <v>https://lenskkpb.wixsite.com/len-sakaki-official</v>
      </c>
      <c r="P365" s="17">
        <f>1-(COUNTIF(O:O,_xlfn.TEXTJOIN(",",TRUE,テーブル1[[#This Row],[リンク]],テーブル1[[#This Row],[描画状況]]))/COUNTIF(F:F,テーブル1[[#This Row],[リンク]]))</f>
        <v>0.125</v>
      </c>
      <c r="Q365" s="16">
        <f ca="1">IFERROR(IF(テーブル1[[#This Row],[描画状況]]="",RAND()+(テーブル1[[#This Row],[列2]]*100),""),RAND())</f>
        <v>12.662436011886447</v>
      </c>
      <c r="S365" s="24" t="str">
        <f ca="1">IF(AND(テーブル1[[#This Row],[描画状況]]="済",テーブル1[[#This Row],[投稿状況]]=""),RAND(),"")</f>
        <v/>
      </c>
      <c r="T365" s="23" t="str">
        <f>"|&amp;image("&amp;テーブル1[[#This Row],[画像]]&amp;".png,width=100,height=100)"</f>
        <v>|&amp;image(haizaki-sho.png,width=100,height=100)</v>
      </c>
      <c r="U365" s="23" t="str">
        <f>"|MIDDLE:​"&amp;テーブル1[[#This Row],[名前]]</f>
        <v>|MIDDLE:​灰崎囁</v>
      </c>
      <c r="V365" s="23" t="str">
        <f>"|MIDDLE:​"&amp;テーブル1[[#This Row],[なまえ]]</f>
        <v>|MIDDLE:​はいざき しょう</v>
      </c>
      <c r="W365" s="23" t="str">
        <f>"|MIDDLE:​"&amp;テーブル1[[#This Row],[Name]]</f>
        <v>|MIDDLE:​Haizaki Sho</v>
      </c>
      <c r="X36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6" spans="2:24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6" s="24" t="s">
        <v>1280</v>
      </c>
      <c r="D366" s="23" t="s">
        <v>1282</v>
      </c>
      <c r="E366" s="23" t="s">
        <v>1281</v>
      </c>
      <c r="F366" s="15" t="s">
        <v>177</v>
      </c>
      <c r="G366" s="24" t="s">
        <v>1293</v>
      </c>
      <c r="H366" s="24"/>
      <c r="I366" s="24"/>
      <c r="J366" s="24"/>
      <c r="K366" s="24"/>
      <c r="L366" s="24"/>
      <c r="O366" s="24" t="str">
        <f>テーブル1[[#This Row],[リンク]]&amp;テーブル1[[#This Row],[描画状況]]</f>
        <v>https://lenskkpb.wixsite.com/len-sakaki-official</v>
      </c>
      <c r="P366" s="17">
        <f>1-(COUNTIF(O:O,_xlfn.TEXTJOIN(",",TRUE,テーブル1[[#This Row],[リンク]],テーブル1[[#This Row],[描画状況]]))/COUNTIF(F:F,テーブル1[[#This Row],[リンク]]))</f>
        <v>0.125</v>
      </c>
      <c r="Q366" s="16">
        <f ca="1">IFERROR(IF(テーブル1[[#This Row],[描画状況]]="",RAND()+(テーブル1[[#This Row],[列2]]*100),""),RAND())</f>
        <v>12.90067048774268</v>
      </c>
      <c r="S366" s="24" t="str">
        <f ca="1">IF(AND(テーブル1[[#This Row],[描画状況]]="済",テーブル1[[#This Row],[投稿状況]]=""),RAND(),"")</f>
        <v/>
      </c>
      <c r="T366" s="23" t="str">
        <f>"|&amp;image("&amp;テーブル1[[#This Row],[画像]]&amp;".png,width=100,height=100)"</f>
        <v>|&amp;image(hakuchumu.png,width=100,height=100)</v>
      </c>
      <c r="U366" s="23" t="str">
        <f>"|MIDDLE:​"&amp;テーブル1[[#This Row],[名前]]</f>
        <v>|MIDDLE:​白躊夢</v>
      </c>
      <c r="V366" s="23" t="str">
        <f>"|MIDDLE:​"&amp;テーブル1[[#This Row],[なまえ]]</f>
        <v>|MIDDLE:​はくちゅうむ</v>
      </c>
      <c r="W366" s="23" t="str">
        <f>"|MIDDLE:​"&amp;テーブル1[[#This Row],[Name]]</f>
        <v>|MIDDLE:​Hakuchumu</v>
      </c>
      <c r="X36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7" spans="2:24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7" s="24" t="s">
        <v>1022</v>
      </c>
      <c r="D367" s="23" t="s">
        <v>1023</v>
      </c>
      <c r="E367" s="23" t="s">
        <v>1024</v>
      </c>
      <c r="F367" s="27" t="s">
        <v>87</v>
      </c>
      <c r="G367" s="23" t="s">
        <v>88</v>
      </c>
      <c r="M367" s="1" t="s">
        <v>1518</v>
      </c>
      <c r="O367" s="24" t="str">
        <f>テーブル1[[#This Row],[リンク]]&amp;テーブル1[[#This Row],[描画状況]]</f>
        <v>https://chunyinhui021.wixsite.com/mutyuusaisei</v>
      </c>
      <c r="P367" s="17">
        <f>1-(COUNTIF(O:O,_xlfn.TEXTJOIN(",",TRUE,テーブル1[[#This Row],[リンク]],テーブル1[[#This Row],[描画状況]]))/COUNTIF(F:F,テーブル1[[#This Row],[リンク]]))</f>
        <v>0.33333333333333337</v>
      </c>
      <c r="Q367" s="16">
        <f ca="1">IFERROR(IF(テーブル1[[#This Row],[描画状況]]="",RAND()+(テーブル1[[#This Row],[列2]]*100),""),RAND())</f>
        <v>34.242612248698158</v>
      </c>
      <c r="S367" s="24" t="str">
        <f ca="1">IF(AND(テーブル1[[#This Row],[描画状況]]="済",テーブル1[[#This Row],[投稿状況]]=""),RAND(),"")</f>
        <v/>
      </c>
      <c r="T367" s="23" t="str">
        <f>"|&amp;image("&amp;テーブル1[[#This Row],[画像]]&amp;".png,width=100,height=100)"</f>
        <v>|&amp;image(hakuma.png,width=100,height=100)</v>
      </c>
      <c r="U367" s="23" t="str">
        <f>"|MIDDLE:​"&amp;テーブル1[[#This Row],[名前]]</f>
        <v>|MIDDLE:​白魔</v>
      </c>
      <c r="V367" s="23" t="str">
        <f>"|MIDDLE:​"&amp;テーブル1[[#This Row],[なまえ]]</f>
        <v>|MIDDLE:​はくま</v>
      </c>
      <c r="W367" s="23" t="str">
        <f>"|MIDDLE:​"&amp;テーブル1[[#This Row],[Name]]</f>
        <v>|MIDDLE:​Hakuma</v>
      </c>
      <c r="X36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8" spans="2:24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68" s="24" t="s">
        <v>1058</v>
      </c>
      <c r="D368" s="23" t="s">
        <v>1058</v>
      </c>
      <c r="E368" s="23" t="s">
        <v>1059</v>
      </c>
      <c r="F368" s="15" t="s">
        <v>671</v>
      </c>
      <c r="G368" s="23" t="s">
        <v>672</v>
      </c>
      <c r="M368" s="1" t="s">
        <v>1517</v>
      </c>
      <c r="O368" s="24" t="str">
        <f>テーブル1[[#This Row],[リンク]]&amp;テーブル1[[#This Row],[描画状況]]</f>
        <v>https://flowerrocklove.wixsite.com/twilight-crisis</v>
      </c>
      <c r="P368" s="17">
        <f>1-(COUNTIF(O:O,_xlfn.TEXTJOIN(",",TRUE,テーブル1[[#This Row],[リンク]],テーブル1[[#This Row],[描画状況]]))/COUNTIF(F:F,テーブル1[[#This Row],[リンク]]))</f>
        <v>0.22222222222222221</v>
      </c>
      <c r="Q368" s="16">
        <f ca="1">IFERROR(IF(テーブル1[[#This Row],[描画状況]]="",RAND()+(テーブル1[[#This Row],[列2]]*100),""),RAND())</f>
        <v>22.264028517708613</v>
      </c>
      <c r="S368" s="24" t="str">
        <f ca="1">IF(AND(テーブル1[[#This Row],[描画状況]]="済",テーブル1[[#This Row],[投稿状況]]=""),RAND(),"")</f>
        <v/>
      </c>
      <c r="T368" s="23" t="str">
        <f>"|&amp;image("&amp;テーブル1[[#This Row],[画像]]&amp;".png,width=100,height=100)"</f>
        <v>|&amp;image(hachurui.png,width=100,height=100)</v>
      </c>
      <c r="U368" s="23" t="str">
        <f>"|MIDDLE:​"&amp;テーブル1[[#This Row],[名前]]</f>
        <v>|MIDDLE:​はちゅうるい</v>
      </c>
      <c r="V368" s="23" t="str">
        <f>"|MIDDLE:​"&amp;テーブル1[[#This Row],[なまえ]]</f>
        <v>|MIDDLE:​はちゅうるい</v>
      </c>
      <c r="W368" s="23" t="str">
        <f>"|MIDDLE:​"&amp;テーブル1[[#This Row],[Name]]</f>
        <v>|MIDDLE:​Hachurui</v>
      </c>
      <c r="X36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9" spans="2:24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69" s="24" t="s">
        <v>1374</v>
      </c>
      <c r="D369" s="23" t="s">
        <v>1376</v>
      </c>
      <c r="E369" s="23" t="s">
        <v>1375</v>
      </c>
      <c r="F369" s="2" t="s">
        <v>1363</v>
      </c>
      <c r="G369" s="23" t="s">
        <v>1364</v>
      </c>
      <c r="O369" s="24" t="str">
        <f>テーブル1[[#This Row],[リンク]]&amp;テーブル1[[#This Row],[描画状況]]</f>
        <v>https://maybeanglo0mochi.wixsite.com/mochiyanosouko</v>
      </c>
      <c r="P369" s="17">
        <f>1-(COUNTIF(O:O,_xlfn.TEXTJOIN(",",TRUE,テーブル1[[#This Row],[リンク]],テーブル1[[#This Row],[描画状況]]))/COUNTIF(F:F,テーブル1[[#This Row],[リンク]]))</f>
        <v>0.125</v>
      </c>
      <c r="Q369" s="16">
        <f ca="1">IFERROR(IF(テーブル1[[#This Row],[描画状況]]="",RAND()+(テーブル1[[#This Row],[列2]]*100),""),RAND())</f>
        <v>13.413869080301287</v>
      </c>
      <c r="S369" s="24" t="str">
        <f ca="1">IF(AND(テーブル1[[#This Row],[描画状況]]="済",テーブル1[[#This Row],[投稿状況]]=""),RAND(),"")</f>
        <v/>
      </c>
      <c r="T369" s="23" t="str">
        <f>"|&amp;image("&amp;テーブル1[[#This Row],[画像]]&amp;".png,width=100,height=100)"</f>
        <v>|&amp;image(hazuki-iori.png,width=100,height=100)</v>
      </c>
      <c r="U369" s="23" t="str">
        <f>"|MIDDLE:​"&amp;テーブル1[[#This Row],[名前]]</f>
        <v>|MIDDLE:​綺月イオリ</v>
      </c>
      <c r="V369" s="23" t="str">
        <f>"|MIDDLE:​"&amp;テーブル1[[#This Row],[なまえ]]</f>
        <v>|MIDDLE:​はづき いおり</v>
      </c>
      <c r="W369" s="23" t="str">
        <f>"|MIDDLE:​"&amp;テーブル1[[#This Row],[Name]]</f>
        <v>|MIDDLE:​Hazuki Iori</v>
      </c>
      <c r="X36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0" spans="2:24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0" s="24" t="s">
        <v>1226</v>
      </c>
      <c r="D370" s="23" t="s">
        <v>1250</v>
      </c>
      <c r="E370" s="23" t="s">
        <v>1249</v>
      </c>
      <c r="F370" s="15" t="s">
        <v>339</v>
      </c>
      <c r="G370" s="23" t="s">
        <v>340</v>
      </c>
      <c r="O370" s="24" t="str">
        <f>テーブル1[[#This Row],[リンク]]&amp;テーブル1[[#This Row],[描画状況]]</f>
        <v>https://torinosu-hikikomori.jimdofree.com</v>
      </c>
      <c r="P370" s="17">
        <f>1-(COUNTIF(O:O,_xlfn.TEXTJOIN(",",TRUE,テーブル1[[#This Row],[リンク]],テーブル1[[#This Row],[描画状況]]))/COUNTIF(F:F,テーブル1[[#This Row],[リンク]]))</f>
        <v>0.125</v>
      </c>
      <c r="Q370" s="16">
        <f ca="1">IFERROR(IF(テーブル1[[#This Row],[描画状況]]="",RAND()+(テーブル1[[#This Row],[列2]]*100),""),RAND())</f>
        <v>13.016142596507274</v>
      </c>
      <c r="S370" s="24" t="str">
        <f ca="1">IF(AND(テーブル1[[#This Row],[描画状況]]="済",テーブル1[[#This Row],[投稿状況]]=""),RAND(),"")</f>
        <v/>
      </c>
      <c r="T370" s="23" t="str">
        <f>"|&amp;image("&amp;テーブル1[[#This Row],[画像]]&amp;".png,width=100,height=100)"</f>
        <v>|&amp;image(battu-roland.png,width=100,height=100)</v>
      </c>
      <c r="U370" s="23" t="str">
        <f>"|MIDDLE:​"&amp;テーブル1[[#This Row],[名前]]</f>
        <v>|MIDDLE:​バッツ・ローランド</v>
      </c>
      <c r="V370" s="23" t="str">
        <f>"|MIDDLE:​"&amp;テーブル1[[#This Row],[なまえ]]</f>
        <v>|MIDDLE:​ばっつ ろーらんど</v>
      </c>
      <c r="W370" s="23" t="str">
        <f>"|MIDDLE:​"&amp;テーブル1[[#This Row],[Name]]</f>
        <v>|MIDDLE:​Battu Roland</v>
      </c>
      <c r="X370" s="23" t="str">
        <f>"|MIDDLE:​&amp;link(配布所はこちら){​"&amp;テーブル1[[#This Row],[リンク]]&amp;"}|"</f>
        <v>|MIDDLE:​&amp;link(配布所はこちら){​https://torinosu-hikikomori.jimdofree.com}|</v>
      </c>
    </row>
    <row r="371" spans="2:24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1" s="24" t="s">
        <v>868</v>
      </c>
      <c r="D371" s="23" t="s">
        <v>869</v>
      </c>
      <c r="E371" s="23" t="s">
        <v>870</v>
      </c>
      <c r="F371" s="15" t="s">
        <v>864</v>
      </c>
      <c r="G371" s="23" t="s">
        <v>867</v>
      </c>
      <c r="O371" s="24" t="str">
        <f>テーブル1[[#This Row],[リンク]]&amp;テーブル1[[#This Row],[描画状況]]</f>
        <v>https://bowlroll.net/user/374679</v>
      </c>
      <c r="P371" s="17">
        <f>1-(COUNTIF(O:O,_xlfn.TEXTJOIN(",",TRUE,テーブル1[[#This Row],[リンク]],テーブル1[[#This Row],[描画状況]]))/COUNTIF(F:F,テーブル1[[#This Row],[リンク]]))</f>
        <v>0</v>
      </c>
      <c r="Q371" s="16">
        <f ca="1">IFERROR(IF(テーブル1[[#This Row],[描画状況]]="",RAND()+(テーブル1[[#This Row],[列2]]*100),""),RAND())</f>
        <v>0.66862589169914544</v>
      </c>
      <c r="S371" s="24" t="str">
        <f ca="1">IF(AND(テーブル1[[#This Row],[描画状況]]="済",テーブル1[[#This Row],[投稿状況]]=""),RAND(),"")</f>
        <v/>
      </c>
      <c r="T371" s="23" t="str">
        <f>"|&amp;image("&amp;テーブル1[[#This Row],[画像]]&amp;".png,width=100,height=100)"</f>
        <v>|&amp;image(hatene-noa.png,width=100,height=100)</v>
      </c>
      <c r="U371" s="23" t="str">
        <f>"|MIDDLE:​"&amp;テーブル1[[#This Row],[名前]]</f>
        <v>|MIDDLE:​果音ノア</v>
      </c>
      <c r="V371" s="23" t="str">
        <f>"|MIDDLE:​"&amp;テーブル1[[#This Row],[なまえ]]</f>
        <v>|MIDDLE:​はてね のあ</v>
      </c>
      <c r="W371" s="23" t="str">
        <f>"|MIDDLE:​"&amp;テーブル1[[#This Row],[Name]]</f>
        <v>|MIDDLE:​Hatene Noa</v>
      </c>
      <c r="X371" s="23" t="str">
        <f>"|MIDDLE:​&amp;link(配布所はこちら){​"&amp;テーブル1[[#This Row],[リンク]]&amp;"}|"</f>
        <v>|MIDDLE:​&amp;link(配布所はこちら){​https://bowlroll.net/user/374679}|</v>
      </c>
    </row>
    <row r="372" spans="2:24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2" s="24" t="s">
        <v>695</v>
      </c>
      <c r="D372" s="23" t="s">
        <v>697</v>
      </c>
      <c r="E372" s="23" t="s">
        <v>696</v>
      </c>
      <c r="F372" s="2" t="s">
        <v>698</v>
      </c>
      <c r="G372" s="23" t="s">
        <v>699</v>
      </c>
      <c r="O372" s="24" t="str">
        <f>テーブル1[[#This Row],[リンク]]&amp;テーブル1[[#This Row],[描画状況]]</f>
        <v>https://jnsea010.wixsite.com/kkamchoutau</v>
      </c>
      <c r="P372" s="17">
        <f>1-(COUNTIF(O:O,_xlfn.TEXTJOIN(",",TRUE,テーブル1[[#This Row],[リンク]],テーブル1[[#This Row],[描画状況]]))/COUNTIF(F:F,テーブル1[[#This Row],[リンク]]))</f>
        <v>0</v>
      </c>
      <c r="Q372" s="16">
        <f ca="1">IFERROR(IF(テーブル1[[#This Row],[描画状況]]="",RAND()+(テーブル1[[#This Row],[列2]]*100),""),RAND())</f>
        <v>0.40610882467626597</v>
      </c>
      <c r="S372" s="24" t="str">
        <f ca="1">IF(AND(テーブル1[[#This Row],[描画状況]]="済",テーブル1[[#This Row],[投稿状況]]=""),RAND(),"")</f>
        <v/>
      </c>
      <c r="T372" s="23" t="str">
        <f>"|&amp;image("&amp;テーブル1[[#This Row],[画像]]&amp;".png,width=100,height=100)"</f>
        <v>|&amp;image(hanabata-haru.png,width=100,height=100)</v>
      </c>
      <c r="U372" s="23" t="str">
        <f>"|MIDDLE:​"&amp;テーブル1[[#This Row],[名前]]</f>
        <v>|MIDDLE:​花畑ハル</v>
      </c>
      <c r="V372" s="23" t="str">
        <f>"|MIDDLE:​"&amp;テーブル1[[#This Row],[なまえ]]</f>
        <v>|MIDDLE:​はなばた はる</v>
      </c>
      <c r="W372" s="23" t="str">
        <f>"|MIDDLE:​"&amp;テーブル1[[#This Row],[Name]]</f>
        <v>|MIDDLE:​Hanabata Haru</v>
      </c>
      <c r="X372" s="23" t="str">
        <f>"|MIDDLE:​&amp;link(配布所はこちら){​"&amp;テーブル1[[#This Row],[リンク]]&amp;"}|"</f>
        <v>|MIDDLE:​&amp;link(配布所はこちら){​https://jnsea010.wixsite.com/kkamchoutau}|</v>
      </c>
    </row>
    <row r="373" spans="2:24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3" s="24" t="s">
        <v>1077</v>
      </c>
      <c r="D373" s="23" t="s">
        <v>1078</v>
      </c>
      <c r="E373" s="23" t="s">
        <v>1079</v>
      </c>
      <c r="F373" s="15" t="s">
        <v>1066</v>
      </c>
      <c r="G373" s="23" t="s">
        <v>1067</v>
      </c>
      <c r="O373" s="24" t="str">
        <f>テーブル1[[#This Row],[リンク]]&amp;テーブル1[[#This Row],[描画状況]]</f>
        <v>https://yukimiyashimusho.jimdofree.com</v>
      </c>
      <c r="P373" s="17">
        <f>1-(COUNTIF(O:O,_xlfn.TEXTJOIN(",",TRUE,テーブル1[[#This Row],[リンク]],テーブル1[[#This Row],[描画状況]]))/COUNTIF(F:F,テーブル1[[#This Row],[リンク]]))</f>
        <v>7.1428571428571397E-2</v>
      </c>
      <c r="Q373" s="16">
        <f ca="1">IFERROR(IF(テーブル1[[#This Row],[描画状況]]="",RAND()+(テーブル1[[#This Row],[列2]]*100),""),RAND())</f>
        <v>7.6698349947429696</v>
      </c>
      <c r="S373" s="24" t="str">
        <f ca="1">IF(AND(テーブル1[[#This Row],[描画状況]]="済",テーブル1[[#This Row],[投稿状況]]=""),RAND(),"")</f>
        <v/>
      </c>
      <c r="T373" s="23" t="str">
        <f>"|&amp;image("&amp;テーブル1[[#This Row],[画像]]&amp;".png,width=100,height=100)"</f>
        <v>|&amp;image(hanne-taka.png,width=100,height=100)</v>
      </c>
      <c r="U373" s="23" t="str">
        <f>"|MIDDLE:​"&amp;テーブル1[[#This Row],[名前]]</f>
        <v>|MIDDLE:​半音タカ</v>
      </c>
      <c r="V373" s="23" t="str">
        <f>"|MIDDLE:​"&amp;テーブル1[[#This Row],[なまえ]]</f>
        <v>|MIDDLE:​はんね たか</v>
      </c>
      <c r="W373" s="23" t="str">
        <f>"|MIDDLE:​"&amp;テーブル1[[#This Row],[Name]]</f>
        <v>|MIDDLE:​Hanne Taka</v>
      </c>
      <c r="X373" s="23" t="str">
        <f>"|MIDDLE:​&amp;link(配布所はこちら){​"&amp;テーブル1[[#This Row],[リンク]]&amp;"}|"</f>
        <v>|MIDDLE:​&amp;link(配布所はこちら){​https://yukimiyashimusho.jimdofree.com}|</v>
      </c>
    </row>
    <row r="374" spans="2:24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4" s="24" t="s">
        <v>1094</v>
      </c>
      <c r="D374" s="23" t="s">
        <v>1095</v>
      </c>
      <c r="E374" s="23" t="s">
        <v>1094</v>
      </c>
      <c r="F374" s="15" t="s">
        <v>1066</v>
      </c>
      <c r="G374" s="23" t="s">
        <v>1067</v>
      </c>
      <c r="O374" s="24" t="str">
        <f>テーブル1[[#This Row],[リンク]]&amp;テーブル1[[#This Row],[描画状況]]</f>
        <v>https://yukimiyashimusho.jimdofree.com</v>
      </c>
      <c r="P374" s="17">
        <f>1-(COUNTIF(O:O,_xlfn.TEXTJOIN(",",TRUE,テーブル1[[#This Row],[リンク]],テーブル1[[#This Row],[描画状況]]))/COUNTIF(F:F,テーブル1[[#This Row],[リンク]]))</f>
        <v>7.1428571428571397E-2</v>
      </c>
      <c r="Q374" s="16">
        <f ca="1">IFERROR(IF(テーブル1[[#This Row],[描画状況]]="",RAND()+(テーブル1[[#This Row],[列2]]*100),""),RAND())</f>
        <v>7.9474017464782882</v>
      </c>
      <c r="S374" s="24" t="str">
        <f ca="1">IF(AND(テーブル1[[#This Row],[描画状況]]="済",テーブル1[[#This Row],[投稿状況]]=""),RAND(),"")</f>
        <v/>
      </c>
      <c r="T374" s="23" t="str">
        <f>"|&amp;image("&amp;テーブル1[[#This Row],[画像]]&amp;".png,width=100,height=100)"</f>
        <v>|&amp;image(hye.png,width=100,height=100)</v>
      </c>
      <c r="U374" s="23" t="str">
        <f>"|MIDDLE:​"&amp;テーブル1[[#This Row],[名前]]</f>
        <v>|MIDDLE:​Hye</v>
      </c>
      <c r="V374" s="23" t="str">
        <f>"|MIDDLE:​"&amp;テーブル1[[#This Row],[なまえ]]</f>
        <v>|MIDDLE:​ひえ</v>
      </c>
      <c r="W374" s="23" t="str">
        <f>"|MIDDLE:​"&amp;テーブル1[[#This Row],[Name]]</f>
        <v>|MIDDLE:​Hye</v>
      </c>
      <c r="X374" s="23" t="str">
        <f>"|MIDDLE:​&amp;link(配布所はこちら){​"&amp;テーブル1[[#This Row],[リンク]]&amp;"}|"</f>
        <v>|MIDDLE:​&amp;link(配布所はこちら){​https://yukimiyashimusho.jimdofree.com}|</v>
      </c>
    </row>
    <row r="375" spans="2:24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5" s="24" t="s">
        <v>569</v>
      </c>
      <c r="D375" s="23" t="s">
        <v>570</v>
      </c>
      <c r="E375" s="23" t="s">
        <v>571</v>
      </c>
      <c r="F375" s="2" t="s">
        <v>572</v>
      </c>
      <c r="G375" s="23" t="s">
        <v>573</v>
      </c>
      <c r="M375" s="1" t="s">
        <v>1517</v>
      </c>
      <c r="O375" s="24" t="str">
        <f>テーブル1[[#This Row],[リンク]]&amp;テーブル1[[#This Row],[描画状況]]</f>
        <v>https://askdance.wixsite.com/monitor-room/monitor-room</v>
      </c>
      <c r="P375" s="17">
        <f>1-(COUNTIF(O:O,_xlfn.TEXTJOIN(",",TRUE,テーブル1[[#This Row],[リンク]],テーブル1[[#This Row],[描画状況]]))/COUNTIF(F:F,テーブル1[[#This Row],[リンク]]))</f>
        <v>9.9999999999999978E-2</v>
      </c>
      <c r="Q375" s="16">
        <f ca="1">IFERROR(IF(テーブル1[[#This Row],[描画状況]]="",RAND()+(テーブル1[[#This Row],[列2]]*100),""),RAND())</f>
        <v>10.67031657953847</v>
      </c>
      <c r="S375" s="24" t="str">
        <f ca="1">IF(AND(テーブル1[[#This Row],[描画状況]]="済",テーブル1[[#This Row],[投稿状況]]=""),RAND(),"")</f>
        <v/>
      </c>
      <c r="T375" s="23" t="str">
        <f>"|&amp;image("&amp;テーブル1[[#This Row],[画像]]&amp;".png,width=100,height=100)"</f>
        <v>|&amp;image(higagoto-toi.png,width=100,height=100)</v>
      </c>
      <c r="U375" s="23" t="str">
        <f>"|MIDDLE:​"&amp;テーブル1[[#This Row],[名前]]</f>
        <v>|MIDDLE:​僻事問</v>
      </c>
      <c r="V375" s="23" t="str">
        <f>"|MIDDLE:​"&amp;テーブル1[[#This Row],[なまえ]]</f>
        <v>|MIDDLE:​ひがごと とい</v>
      </c>
      <c r="W375" s="23" t="str">
        <f>"|MIDDLE:​"&amp;テーブル1[[#This Row],[Name]]</f>
        <v>|MIDDLE:​Higagoto Toi</v>
      </c>
      <c r="X37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6" spans="2:24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hinaki</v>
      </c>
      <c r="C376" s="24" t="s">
        <v>1172</v>
      </c>
      <c r="D376" s="23" t="s">
        <v>1173</v>
      </c>
      <c r="E376" s="23" t="s">
        <v>1174</v>
      </c>
      <c r="F376" s="2" t="s">
        <v>100</v>
      </c>
      <c r="G376" s="23" t="s">
        <v>101</v>
      </c>
      <c r="M376" s="1" t="s">
        <v>1517</v>
      </c>
      <c r="O376" s="24" t="str">
        <f>テーブル1[[#This Row],[リンク]]&amp;テーブル1[[#This Row],[描画状況]]</f>
        <v>https://hinagitsune-utau.wixsite.com/utaukokorone</v>
      </c>
      <c r="P376" s="17">
        <f>1-(COUNTIF(O:O,_xlfn.TEXTJOIN(",",TRUE,テーブル1[[#This Row],[リンク]],テーブル1[[#This Row],[描画状況]]))/COUNTIF(F:F,テーブル1[[#This Row],[リンク]]))</f>
        <v>0.19999999999999996</v>
      </c>
      <c r="Q376" s="16">
        <f ca="1">IFERROR(IF(テーブル1[[#This Row],[描画状況]]="",RAND()+(テーブル1[[#This Row],[列2]]*100),""),RAND())</f>
        <v>20.022674165610763</v>
      </c>
      <c r="S376" s="24" t="str">
        <f ca="1">IF(AND(テーブル1[[#This Row],[描画状況]]="済",テーブル1[[#This Row],[投稿状況]]=""),RAND(),"")</f>
        <v/>
      </c>
      <c r="T376" s="23" t="str">
        <f>"|&amp;image("&amp;テーブル1[[#This Row],[画像]]&amp;".png,width=100,height=100)"</f>
        <v>|&amp;image(hinaki.png,width=100,height=100)</v>
      </c>
      <c r="U376" s="23" t="str">
        <f>"|MIDDLE:​"&amp;テーブル1[[#This Row],[名前]]</f>
        <v>|MIDDLE:​ヒナキ</v>
      </c>
      <c r="V376" s="23" t="str">
        <f>"|MIDDLE:​"&amp;テーブル1[[#This Row],[なまえ]]</f>
        <v>|MIDDLE:​ひなき</v>
      </c>
      <c r="W376" s="23" t="str">
        <f>"|MIDDLE:​"&amp;テーブル1[[#This Row],[Name]]</f>
        <v>|MIDDLE:​Hinaki</v>
      </c>
      <c r="X37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7" spans="2:24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7" s="24" t="s">
        <v>626</v>
      </c>
      <c r="D377" s="23" t="s">
        <v>627</v>
      </c>
      <c r="E377" s="23" t="s">
        <v>628</v>
      </c>
      <c r="F377" s="2" t="s">
        <v>110</v>
      </c>
      <c r="G377" s="23" t="s">
        <v>625</v>
      </c>
      <c r="M377" s="1" t="s">
        <v>1517</v>
      </c>
      <c r="O377" s="24" t="str">
        <f>テーブル1[[#This Row],[リンク]]&amp;テーブル1[[#This Row],[描画状況]]</f>
        <v>https://hznonoka.wixsite.com/utau</v>
      </c>
      <c r="P377" s="17">
        <f>1-(COUNTIF(O:O,_xlfn.TEXTJOIN(",",TRUE,テーブル1[[#This Row],[リンク]],テーブル1[[#This Row],[描画状況]]))/COUNTIF(F:F,テーブル1[[#This Row],[リンク]]))</f>
        <v>0.33333333333333337</v>
      </c>
      <c r="Q377" s="16">
        <f ca="1">IFERROR(IF(テーブル1[[#This Row],[描画状況]]="",RAND()+(テーブル1[[#This Row],[列2]]*100),""),RAND())</f>
        <v>33.958967410904698</v>
      </c>
      <c r="S377" s="24" t="str">
        <f ca="1">IF(AND(テーブル1[[#This Row],[描画状況]]="済",テーブル1[[#This Row],[投稿状況]]=""),RAND(),"")</f>
        <v/>
      </c>
      <c r="T377" s="23" t="str">
        <f>"|&amp;image("&amp;テーブル1[[#This Row],[画像]]&amp;".png,width=100,height=100)"</f>
        <v>|&amp;image(hibiki-hiruya.png,width=100,height=100)</v>
      </c>
      <c r="U377" s="23" t="str">
        <f>"|MIDDLE:​"&amp;テーブル1[[#This Row],[名前]]</f>
        <v>|MIDDLE:​響姫ひるや</v>
      </c>
      <c r="V377" s="23" t="str">
        <f>"|MIDDLE:​"&amp;テーブル1[[#This Row],[なまえ]]</f>
        <v>|MIDDLE:​ひびき ひるや</v>
      </c>
      <c r="W377" s="23" t="str">
        <f>"|MIDDLE:​"&amp;テーブル1[[#This Row],[Name]]</f>
        <v>|MIDDLE:​Hibiki Hiruya</v>
      </c>
      <c r="X377" s="23" t="str">
        <f>"|MIDDLE:​&amp;link(配布所はこちら){​"&amp;テーブル1[[#This Row],[リンク]]&amp;"}|"</f>
        <v>|MIDDLE:​&amp;link(配布所はこちら){​https://hznonoka.wixsite.com/utau}|</v>
      </c>
    </row>
    <row r="378" spans="2:24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78" s="24" t="s">
        <v>1137</v>
      </c>
      <c r="D378" s="23" t="s">
        <v>1140</v>
      </c>
      <c r="E378" s="23" t="s">
        <v>1138</v>
      </c>
      <c r="F378" s="15" t="s">
        <v>1143</v>
      </c>
      <c r="G378" s="23" t="str">
        <f>テーブル1[[#This Row],[名前]]&amp;"(UTAU)"</f>
        <v>ピピ音ピオ(UTAU)</v>
      </c>
      <c r="O378" s="24" t="str">
        <f>テーブル1[[#This Row],[リンク]]&amp;テーブル1[[#This Row],[描画状況]]</f>
        <v>https://yautau.wixsite.com/0909</v>
      </c>
      <c r="P378" s="17">
        <f>1-(COUNTIF(O:O,_xlfn.TEXTJOIN(",",TRUE,テーブル1[[#This Row],[リンク]],テーブル1[[#This Row],[描画状況]]))/COUNTIF(F:F,テーブル1[[#This Row],[リンク]]))</f>
        <v>0.125</v>
      </c>
      <c r="Q378" s="16">
        <f ca="1">IFERROR(IF(テーブル1[[#This Row],[描画状況]]="",RAND()+(テーブル1[[#This Row],[列2]]*100),""),RAND())</f>
        <v>13.041178552436328</v>
      </c>
      <c r="S378" s="24" t="str">
        <f ca="1">IF(AND(テーブル1[[#This Row],[描画状況]]="済",テーブル1[[#This Row],[投稿状況]]=""),RAND(),"")</f>
        <v/>
      </c>
      <c r="T378" s="23" t="str">
        <f>"|&amp;image("&amp;テーブル1[[#This Row],[画像]]&amp;".png,width=100,height=100)"</f>
        <v>|&amp;image(pipine-pio.png,width=100,height=100)</v>
      </c>
      <c r="U378" s="23" t="str">
        <f>"|MIDDLE:​"&amp;テーブル1[[#This Row],[名前]]</f>
        <v>|MIDDLE:​ピピ音ピオ</v>
      </c>
      <c r="V378" s="23" t="str">
        <f>"|MIDDLE:​"&amp;テーブル1[[#This Row],[なまえ]]</f>
        <v>|MIDDLE:​ぴぴね ぴお</v>
      </c>
      <c r="W378" s="23" t="str">
        <f>"|MIDDLE:​"&amp;テーブル1[[#This Row],[Name]]</f>
        <v>|MIDDLE:​Pipine Pio</v>
      </c>
      <c r="X378" s="23" t="str">
        <f>"|MIDDLE:​&amp;link(配布所はこちら){​"&amp;テーブル1[[#This Row],[リンク]]&amp;"}|"</f>
        <v>|MIDDLE:​&amp;link(配布所はこちら){​https://yautau.wixsite.com/0909}|</v>
      </c>
    </row>
    <row r="379" spans="2:24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79" s="24" t="s">
        <v>1223</v>
      </c>
      <c r="D379" s="23" t="s">
        <v>1252</v>
      </c>
      <c r="E379" s="23" t="s">
        <v>1251</v>
      </c>
      <c r="F379" s="15" t="s">
        <v>339</v>
      </c>
      <c r="G379" s="23" t="s">
        <v>340</v>
      </c>
      <c r="O379" s="24" t="str">
        <f>テーブル1[[#This Row],[リンク]]&amp;テーブル1[[#This Row],[描画状況]]</f>
        <v>https://torinosu-hikikomori.jimdofree.com</v>
      </c>
      <c r="P379" s="17">
        <f>1-(COUNTIF(O:O,_xlfn.TEXTJOIN(",",TRUE,テーブル1[[#This Row],[リンク]],テーブル1[[#This Row],[描画状況]]))/COUNTIF(F:F,テーブル1[[#This Row],[リンク]]))</f>
        <v>0.125</v>
      </c>
      <c r="Q379" s="16">
        <f ca="1">IFERROR(IF(テーブル1[[#This Row],[描画状況]]="",RAND()+(テーブル1[[#This Row],[列2]]*100),""),RAND())</f>
        <v>13.438980841684884</v>
      </c>
      <c r="S379" s="24" t="str">
        <f ca="1">IF(AND(テーブル1[[#This Row],[描画状況]]="済",テーブル1[[#This Row],[投稿状況]]=""),RAND(),"")</f>
        <v/>
      </c>
      <c r="T379" s="23" t="str">
        <f>"|&amp;image("&amp;テーブル1[[#This Row],[画像]]&amp;".png,width=100,height=100)"</f>
        <v>|&amp;image(finalkamenppoino.png,width=100,height=100)</v>
      </c>
      <c r="U379" s="23" t="str">
        <f>"|MIDDLE:​"&amp;テーブル1[[#This Row],[名前]]</f>
        <v>|MIDDLE:​ファイナル仮面っぽいの</v>
      </c>
      <c r="V379" s="23" t="str">
        <f>"|MIDDLE:​"&amp;テーブル1[[#This Row],[なまえ]]</f>
        <v>|MIDDLE:​ふぁいなるかめんっぽいの</v>
      </c>
      <c r="W379" s="23" t="str">
        <f>"|MIDDLE:​"&amp;テーブル1[[#This Row],[Name]]</f>
        <v>|MIDDLE:​Finalkamenppoino</v>
      </c>
      <c r="X379" s="23" t="str">
        <f>"|MIDDLE:​&amp;link(配布所はこちら){​"&amp;テーブル1[[#This Row],[リンク]]&amp;"}|"</f>
        <v>|MIDDLE:​&amp;link(配布所はこちら){​https://torinosu-hikikomori.jimdofree.com}|</v>
      </c>
    </row>
    <row r="380" spans="2:24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0" s="24" t="s">
        <v>1283</v>
      </c>
      <c r="D380" s="23" t="s">
        <v>1285</v>
      </c>
      <c r="E380" s="23" t="s">
        <v>1284</v>
      </c>
      <c r="F380" s="15" t="s">
        <v>177</v>
      </c>
      <c r="G380" s="24" t="s">
        <v>1294</v>
      </c>
      <c r="H380" s="24"/>
      <c r="I380" s="24"/>
      <c r="J380" s="24"/>
      <c r="K380" s="24"/>
      <c r="L380" s="24"/>
      <c r="O380" s="24" t="str">
        <f>テーブル1[[#This Row],[リンク]]&amp;テーブル1[[#This Row],[描画状況]]</f>
        <v>https://lenskkpb.wixsite.com/len-sakaki-official</v>
      </c>
      <c r="P380" s="17">
        <f>1-(COUNTIF(O:O,_xlfn.TEXTJOIN(",",TRUE,テーブル1[[#This Row],[リンク]],テーブル1[[#This Row],[描画状況]]))/COUNTIF(F:F,テーブル1[[#This Row],[リンク]]))</f>
        <v>0.125</v>
      </c>
      <c r="Q380" s="16">
        <f ca="1">IFERROR(IF(テーブル1[[#This Row],[描画状況]]="",RAND()+(テーブル1[[#This Row],[列2]]*100),""),RAND())</f>
        <v>13.23280908659526</v>
      </c>
      <c r="S380" s="24" t="str">
        <f ca="1">IF(AND(テーブル1[[#This Row],[描画状況]]="済",テーブル1[[#This Row],[投稿状況]]=""),RAND(),"")</f>
        <v/>
      </c>
      <c r="T380" s="23" t="str">
        <f>"|&amp;image("&amp;テーブル1[[#This Row],[画像]]&amp;".png,width=100,height=100)"</f>
        <v>|&amp;image(hukagyaku.png,width=100,height=100)</v>
      </c>
      <c r="U380" s="23" t="str">
        <f>"|MIDDLE:​"&amp;テーブル1[[#This Row],[名前]]</f>
        <v>|MIDDLE:​不彁逆</v>
      </c>
      <c r="V380" s="23" t="str">
        <f>"|MIDDLE:​"&amp;テーブル1[[#This Row],[なまえ]]</f>
        <v>|MIDDLE:​ふかぎゃく</v>
      </c>
      <c r="W380" s="23" t="str">
        <f>"|MIDDLE:​"&amp;テーブル1[[#This Row],[Name]]</f>
        <v>|MIDDLE:​Hukagyaku</v>
      </c>
      <c r="X38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1" spans="2:24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1" s="24" t="s">
        <v>1327</v>
      </c>
      <c r="D381" s="23" t="s">
        <v>1329</v>
      </c>
      <c r="E381" s="23" t="s">
        <v>1328</v>
      </c>
      <c r="F381" s="15" t="s">
        <v>1321</v>
      </c>
      <c r="G381" s="23" t="str">
        <f>テーブル1[[#This Row],[名前]]&amp;"(UTAU)"</f>
        <v>藤ヶ崎華凜(UTAU)</v>
      </c>
      <c r="O381" s="24" t="str">
        <f>テーブル1[[#This Row],[リンク]]&amp;テーブル1[[#This Row],[描画状況]]</f>
        <v>https://jiwajiwakirinn.wixsite.com/sakurada</v>
      </c>
      <c r="P381" s="17">
        <f>1-(COUNTIF(O:O,_xlfn.TEXTJOIN(",",TRUE,テーブル1[[#This Row],[リンク]],テーブル1[[#This Row],[描画状況]]))/COUNTIF(F:F,テーブル1[[#This Row],[リンク]]))</f>
        <v>0.19999999999999996</v>
      </c>
      <c r="Q381" s="16">
        <f ca="1">IFERROR(IF(テーブル1[[#This Row],[描画状況]]="",RAND()+(テーブル1[[#This Row],[列2]]*100),""),RAND())</f>
        <v>20.466003444629184</v>
      </c>
      <c r="S381" s="24" t="str">
        <f ca="1">IF(AND(テーブル1[[#This Row],[描画状況]]="済",テーブル1[[#This Row],[投稿状況]]=""),RAND(),"")</f>
        <v/>
      </c>
      <c r="T381" s="23" t="str">
        <f>"|&amp;image("&amp;テーブル1[[#This Row],[画像]]&amp;".png,width=100,height=100)"</f>
        <v>|&amp;image(fujigasaki-karin.png,width=100,height=100)</v>
      </c>
      <c r="U381" s="23" t="str">
        <f>"|MIDDLE:​"&amp;テーブル1[[#This Row],[名前]]</f>
        <v>|MIDDLE:​藤ヶ崎華凜</v>
      </c>
      <c r="V381" s="23" t="str">
        <f>"|MIDDLE:​"&amp;テーブル1[[#This Row],[なまえ]]</f>
        <v>|MIDDLE:​ふじがさき かりん</v>
      </c>
      <c r="W381" s="23" t="str">
        <f>"|MIDDLE:​"&amp;テーブル1[[#This Row],[Name]]</f>
        <v>|MIDDLE:​Fujigasaki Karin</v>
      </c>
      <c r="X381" s="23" t="str">
        <f>"|MIDDLE:​&amp;link(配布所はこちら){​"&amp;テーブル1[[#This Row],[リンク]]&amp;"}|"</f>
        <v>|MIDDLE:​&amp;link(配布所はこちら){​https://jiwajiwakirinn.wixsite.com/sakurada}|</v>
      </c>
    </row>
    <row r="382" spans="2:24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2" s="24" t="s">
        <v>577</v>
      </c>
      <c r="D382" s="23" t="s">
        <v>578</v>
      </c>
      <c r="E382" s="23" t="s">
        <v>579</v>
      </c>
      <c r="F382" s="2" t="s">
        <v>580</v>
      </c>
      <c r="G382" s="23" t="s">
        <v>581</v>
      </c>
      <c r="O382" s="24" t="str">
        <f>テーブル1[[#This Row],[リンク]]&amp;テーブル1[[#This Row],[描画状況]]</f>
        <v>https://lit.link/lilyHaruzion</v>
      </c>
      <c r="P382" s="17">
        <f>1-(COUNTIF(O:O,_xlfn.TEXTJOIN(",",TRUE,テーブル1[[#This Row],[リンク]],テーブル1[[#This Row],[描画状況]]))/COUNTIF(F:F,テーブル1[[#This Row],[リンク]]))</f>
        <v>0</v>
      </c>
      <c r="Q382" s="16">
        <f ca="1">IFERROR(IF(テーブル1[[#This Row],[描画状況]]="",RAND()+(テーブル1[[#This Row],[列2]]*100),""),RAND())</f>
        <v>0.40472279741123218</v>
      </c>
      <c r="S382" s="24" t="str">
        <f ca="1">IF(AND(テーブル1[[#This Row],[描画状況]]="済",テーブル1[[#This Row],[投稿状況]]=""),RAND(),"")</f>
        <v/>
      </c>
      <c r="T382" s="23" t="str">
        <f>"|&amp;image("&amp;テーブル1[[#This Row],[画像]]&amp;".png,width=100,height=100)"</f>
        <v>|&amp;image(flowery.png,width=100,height=100)</v>
      </c>
      <c r="U382" s="23" t="str">
        <f>"|MIDDLE:​"&amp;テーブル1[[#This Row],[名前]]</f>
        <v>|MIDDLE:​フローリィ</v>
      </c>
      <c r="V382" s="23" t="str">
        <f>"|MIDDLE:​"&amp;テーブル1[[#This Row],[なまえ]]</f>
        <v>|MIDDLE:​ふろーりぃ</v>
      </c>
      <c r="W382" s="23" t="str">
        <f>"|MIDDLE:​"&amp;テーブル1[[#This Row],[Name]]</f>
        <v>|MIDDLE:​Flowery</v>
      </c>
      <c r="X382" s="23" t="str">
        <f>"|MIDDLE:​&amp;link(配布所はこちら){​"&amp;テーブル1[[#This Row],[リンク]]&amp;"}|"</f>
        <v>|MIDDLE:​&amp;link(配布所はこちら){​https://lit.link/lilyHaruzion}|</v>
      </c>
    </row>
    <row r="383" spans="2:24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3" s="24" t="s">
        <v>1204</v>
      </c>
      <c r="D383" s="23" t="s">
        <v>1205</v>
      </c>
      <c r="E383" s="23" t="s">
        <v>1206</v>
      </c>
      <c r="F383" s="15" t="s">
        <v>684</v>
      </c>
      <c r="G383" s="23" t="s">
        <v>1207</v>
      </c>
      <c r="O383" s="24" t="str">
        <f>テーブル1[[#This Row],[リンク]]&amp;テーブル1[[#This Row],[描画状況]]</f>
        <v>https://okome32500.wixsite.com/onekomochi</v>
      </c>
      <c r="P383" s="17">
        <f>1-(COUNTIF(O:O,_xlfn.TEXTJOIN(",",TRUE,テーブル1[[#This Row],[リンク]],テーブル1[[#This Row],[描画状況]]))/COUNTIF(F:F,テーブル1[[#This Row],[リンク]]))</f>
        <v>0.33333333333333337</v>
      </c>
      <c r="Q383" s="16">
        <f ca="1">IFERROR(IF(テーブル1[[#This Row],[描画状況]]="",RAND()+(テーブル1[[#This Row],[列2]]*100),""),RAND())</f>
        <v>33.343344144983192</v>
      </c>
      <c r="S383" s="24" t="str">
        <f ca="1">IF(AND(テーブル1[[#This Row],[描画状況]]="済",テーブル1[[#This Row],[投稿状況]]=""),RAND(),"")</f>
        <v/>
      </c>
      <c r="T383" s="23" t="str">
        <f>"|&amp;image("&amp;テーブル1[[#This Row],[画像]]&amp;".png,width=100,height=100)"</f>
        <v>|&amp;image(fuwane-fasora.png,width=100,height=100)</v>
      </c>
      <c r="U383" s="23" t="str">
        <f>"|MIDDLE:​"&amp;テーブル1[[#This Row],[名前]]</f>
        <v>|MIDDLE:​不和音ファソラ</v>
      </c>
      <c r="V383" s="23" t="str">
        <f>"|MIDDLE:​"&amp;テーブル1[[#This Row],[なまえ]]</f>
        <v>|MIDDLE:​ふわね ふぁそら</v>
      </c>
      <c r="W383" s="23" t="str">
        <f>"|MIDDLE:​"&amp;テーブル1[[#This Row],[Name]]</f>
        <v>|MIDDLE:​Fuwane Fasora</v>
      </c>
      <c r="X383" s="23" t="str">
        <f>"|MIDDLE:​&amp;link(配布所はこちら){​"&amp;テーブル1[[#This Row],[リンク]]&amp;"}|"</f>
        <v>|MIDDLE:​&amp;link(配布所はこちら){​https://okome32500.wixsite.com/onekomochi}|</v>
      </c>
    </row>
    <row r="384" spans="2:24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4" s="24" t="s">
        <v>987</v>
      </c>
      <c r="D384" s="23" t="s">
        <v>989</v>
      </c>
      <c r="E384" s="23" t="s">
        <v>988</v>
      </c>
      <c r="F384" s="2" t="s">
        <v>572</v>
      </c>
      <c r="G384" s="23" t="s">
        <v>573</v>
      </c>
      <c r="M384" s="1" t="s">
        <v>1517</v>
      </c>
      <c r="O384" s="24" t="str">
        <f>テーブル1[[#This Row],[リンク]]&amp;テーブル1[[#This Row],[描画状況]]</f>
        <v>https://askdance.wixsite.com/monitor-room/monitor-room</v>
      </c>
      <c r="P384" s="17">
        <f>1-(COUNTIF(O:O,_xlfn.TEXTJOIN(",",TRUE,テーブル1[[#This Row],[リンク]],テーブル1[[#This Row],[描画状況]]))/COUNTIF(F:F,テーブル1[[#This Row],[リンク]]))</f>
        <v>9.9999999999999978E-2</v>
      </c>
      <c r="Q384" s="16">
        <f ca="1">IFERROR(IF(テーブル1[[#This Row],[描画状況]]="",RAND()+(テーブル1[[#This Row],[列2]]*100),""),RAND())</f>
        <v>10.212508741909074</v>
      </c>
      <c r="S384" s="24" t="str">
        <f ca="1">IF(AND(テーブル1[[#This Row],[描画状況]]="済",テーブル1[[#This Row],[投稿状況]]=""),RAND(),"")</f>
        <v/>
      </c>
      <c r="T384" s="23" t="str">
        <f>"|&amp;image("&amp;テーブル1[[#This Row],[画像]]&amp;".png,width=100,height=100)"</f>
        <v>|&amp;image(hoeura-mou.png,width=100,height=100)</v>
      </c>
      <c r="U384" s="23" t="str">
        <f>"|MIDDLE:​"&amp;テーブル1[[#This Row],[名前]]</f>
        <v>|MIDDLE:​​吠浦モウ</v>
      </c>
      <c r="V384" s="23" t="str">
        <f>"|MIDDLE:​"&amp;テーブル1[[#This Row],[なまえ]]</f>
        <v>|MIDDLE:​ほえうら もう</v>
      </c>
      <c r="W384" s="23" t="str">
        <f>"|MIDDLE:​"&amp;テーブル1[[#This Row],[Name]]</f>
        <v>|MIDDLE:​Hoeura Mou</v>
      </c>
      <c r="X38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5" spans="2:24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5" s="24" t="s">
        <v>1248</v>
      </c>
      <c r="D385" s="23" t="s">
        <v>1248</v>
      </c>
      <c r="E385" s="23" t="s">
        <v>1247</v>
      </c>
      <c r="F385" s="15" t="s">
        <v>339</v>
      </c>
      <c r="G385" s="23" t="s">
        <v>340</v>
      </c>
      <c r="O385" s="24" t="str">
        <f>テーブル1[[#This Row],[リンク]]&amp;テーブル1[[#This Row],[描画状況]]</f>
        <v>https://torinosu-hikikomori.jimdofree.com</v>
      </c>
      <c r="P385" s="17">
        <f>1-(COUNTIF(O:O,_xlfn.TEXTJOIN(",",TRUE,テーブル1[[#This Row],[リンク]],テーブル1[[#This Row],[描画状況]]))/COUNTIF(F:F,テーブル1[[#This Row],[リンク]]))</f>
        <v>0.125</v>
      </c>
      <c r="Q385" s="16">
        <f ca="1">IFERROR(IF(テーブル1[[#This Row],[描画状況]]="",RAND()+(テーブル1[[#This Row],[列2]]*100),""),RAND())</f>
        <v>12.681619071129008</v>
      </c>
      <c r="S385" s="24" t="str">
        <f ca="1">IF(AND(テーブル1[[#This Row],[描画状況]]="済",テーブル1[[#This Row],[投稿状況]]=""),RAND(),"")</f>
        <v/>
      </c>
      <c r="T385" s="23" t="str">
        <f>"|&amp;image("&amp;テーブル1[[#This Row],[画像]]&amp;".png,width=100,height=100)"</f>
        <v>|&amp;image(houloid.png,width=100,height=100)</v>
      </c>
      <c r="U385" s="23" t="str">
        <f>"|MIDDLE:​"&amp;テーブル1[[#This Row],[名前]]</f>
        <v>|MIDDLE:​ほーろいど</v>
      </c>
      <c r="V385" s="23" t="str">
        <f>"|MIDDLE:​"&amp;テーブル1[[#This Row],[なまえ]]</f>
        <v>|MIDDLE:​ほーろいど</v>
      </c>
      <c r="W385" s="23" t="str">
        <f>"|MIDDLE:​"&amp;テーブル1[[#This Row],[Name]]</f>
        <v>|MIDDLE:​Houloid</v>
      </c>
      <c r="X385" s="23" t="str">
        <f>"|MIDDLE:​&amp;link(配布所はこちら){​"&amp;テーブル1[[#This Row],[リンク]]&amp;"}|"</f>
        <v>|MIDDLE:​&amp;link(配布所はこちら){​https://torinosu-hikikomori.jimdofree.com}|</v>
      </c>
    </row>
    <row r="386" spans="2:24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6" s="24" t="s">
        <v>1330</v>
      </c>
      <c r="D386" s="23" t="s">
        <v>1332</v>
      </c>
      <c r="E386" s="23" t="s">
        <v>1331</v>
      </c>
      <c r="F386" s="15" t="s">
        <v>1321</v>
      </c>
      <c r="G386" s="23" t="str">
        <f>テーブル1[[#This Row],[名前]]&amp;"(UTAU)"</f>
        <v>火ノ叢杏実(UTAU)</v>
      </c>
      <c r="O386" s="24" t="str">
        <f>テーブル1[[#This Row],[リンク]]&amp;テーブル1[[#This Row],[描画状況]]</f>
        <v>https://jiwajiwakirinn.wixsite.com/sakurada</v>
      </c>
      <c r="P386" s="17">
        <f>1-(COUNTIF(O:O,_xlfn.TEXTJOIN(",",TRUE,テーブル1[[#This Row],[リンク]],テーブル1[[#This Row],[描画状況]]))/COUNTIF(F:F,テーブル1[[#This Row],[リンク]]))</f>
        <v>0.19999999999999996</v>
      </c>
      <c r="Q386" s="16">
        <f ca="1">IFERROR(IF(テーブル1[[#This Row],[描画状況]]="",RAND()+(テーブル1[[#This Row],[列2]]*100),""),RAND())</f>
        <v>20.987165416632518</v>
      </c>
      <c r="S386" s="24" t="str">
        <f ca="1">IF(AND(テーブル1[[#This Row],[描画状況]]="済",テーブル1[[#This Row],[投稿状況]]=""),RAND(),"")</f>
        <v/>
      </c>
      <c r="T386" s="23" t="str">
        <f>"|&amp;image("&amp;テーブル1[[#This Row],[画像]]&amp;".png,width=100,height=100)"</f>
        <v>|&amp;image(honomura-azumi.png,width=100,height=100)</v>
      </c>
      <c r="U386" s="23" t="str">
        <f>"|MIDDLE:​"&amp;テーブル1[[#This Row],[名前]]</f>
        <v>|MIDDLE:​火ノ叢杏実</v>
      </c>
      <c r="V386" s="23" t="str">
        <f>"|MIDDLE:​"&amp;テーブル1[[#This Row],[なまえ]]</f>
        <v>|MIDDLE:​ほのむら あずみ</v>
      </c>
      <c r="W386" s="23" t="str">
        <f>"|MIDDLE:​"&amp;テーブル1[[#This Row],[Name]]</f>
        <v>|MIDDLE:​Honomura Azumi</v>
      </c>
      <c r="X386" s="23" t="str">
        <f>"|MIDDLE:​&amp;link(配布所はこちら){​"&amp;テーブル1[[#This Row],[リンク]]&amp;"}|"</f>
        <v>|MIDDLE:​&amp;link(配布所はこちら){​https://jiwajiwakirinn.wixsite.com/sakurada}|</v>
      </c>
    </row>
    <row r="387" spans="2:24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7" s="24" t="s">
        <v>700</v>
      </c>
      <c r="D387" s="23" t="s">
        <v>702</v>
      </c>
      <c r="E387" s="23" t="s">
        <v>701</v>
      </c>
      <c r="F387" s="2" t="s">
        <v>698</v>
      </c>
      <c r="G387" s="23" t="s">
        <v>699</v>
      </c>
      <c r="O387" s="24" t="str">
        <f>テーブル1[[#This Row],[リンク]]&amp;テーブル1[[#This Row],[描画状況]]</f>
        <v>https://jnsea010.wixsite.com/kkamchoutau</v>
      </c>
      <c r="P387" s="17">
        <f>1-(COUNTIF(O:O,_xlfn.TEXTJOIN(",",TRUE,テーブル1[[#This Row],[リンク]],テーブル1[[#This Row],[描画状況]]))/COUNTIF(F:F,テーブル1[[#This Row],[リンク]]))</f>
        <v>0</v>
      </c>
      <c r="Q387" s="16">
        <f ca="1">IFERROR(IF(テーブル1[[#This Row],[描画状況]]="",RAND()+(テーブル1[[#This Row],[列2]]*100),""),RAND())</f>
        <v>0.8936536109805423</v>
      </c>
      <c r="S387" s="24" t="str">
        <f ca="1">IF(AND(テーブル1[[#This Row],[描画状況]]="済",テーブル1[[#This Row],[投稿状況]]=""),RAND(),"")</f>
        <v/>
      </c>
      <c r="T387" s="23" t="str">
        <f>"|&amp;image("&amp;テーブル1[[#This Row],[画像]]&amp;".png,width=100,height=100)"</f>
        <v>|&amp;image(maetsuki-kumo.png,width=100,height=100)</v>
      </c>
      <c r="U387" s="23" t="str">
        <f>"|MIDDLE:​"&amp;テーブル1[[#This Row],[名前]]</f>
        <v>|MIDDLE:​前月クモ</v>
      </c>
      <c r="V387" s="23" t="str">
        <f>"|MIDDLE:​"&amp;テーブル1[[#This Row],[なまえ]]</f>
        <v>|MIDDLE:​まえつき くも</v>
      </c>
      <c r="W387" s="23" t="str">
        <f>"|MIDDLE:​"&amp;テーブル1[[#This Row],[Name]]</f>
        <v>|MIDDLE:​Maetsuki Kumo</v>
      </c>
      <c r="X387" s="23" t="str">
        <f>"|MIDDLE:​&amp;link(配布所はこちら){​"&amp;テーブル1[[#This Row],[リンク]]&amp;"}|"</f>
        <v>|MIDDLE:​&amp;link(配布所はこちら){​https://jnsea010.wixsite.com/kkamchoutau}|</v>
      </c>
    </row>
    <row r="388" spans="2:24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88" s="24" t="s">
        <v>1071</v>
      </c>
      <c r="D388" s="23" t="s">
        <v>1072</v>
      </c>
      <c r="E388" s="23" t="s">
        <v>1073</v>
      </c>
      <c r="F388" s="15" t="s">
        <v>1066</v>
      </c>
      <c r="G388" s="23" t="s">
        <v>1067</v>
      </c>
      <c r="O388" s="24" t="str">
        <f>テーブル1[[#This Row],[リンク]]&amp;テーブル1[[#This Row],[描画状況]]</f>
        <v>https://yukimiyashimusho.jimdofree.com</v>
      </c>
      <c r="P388" s="17">
        <f>1-(COUNTIF(O:O,_xlfn.TEXTJOIN(",",TRUE,テーブル1[[#This Row],[リンク]],テーブル1[[#This Row],[描画状況]]))/COUNTIF(F:F,テーブル1[[#This Row],[リンク]]))</f>
        <v>7.1428571428571397E-2</v>
      </c>
      <c r="Q388" s="16">
        <f ca="1">IFERROR(IF(テーブル1[[#This Row],[描画状況]]="",RAND()+(テーブル1[[#This Row],[列2]]*100),""),RAND())</f>
        <v>7.4482867247305071</v>
      </c>
      <c r="S388" s="24" t="str">
        <f ca="1">IF(AND(テーブル1[[#This Row],[描画状況]]="済",テーブル1[[#This Row],[投稿状況]]=""),RAND(),"")</f>
        <v/>
      </c>
      <c r="T388" s="23" t="str">
        <f>"|&amp;image("&amp;テーブル1[[#This Row],[画像]]&amp;".png,width=100,height=100)"</f>
        <v>|&amp;image(mazane-nono.png,width=100,height=100)</v>
      </c>
      <c r="U388" s="23" t="str">
        <f>"|MIDDLE:​"&amp;テーブル1[[#This Row],[名前]]</f>
        <v>|MIDDLE:​混音ノノ</v>
      </c>
      <c r="V388" s="23" t="str">
        <f>"|MIDDLE:​"&amp;テーブル1[[#This Row],[なまえ]]</f>
        <v>|MIDDLE:​まざね のの</v>
      </c>
      <c r="W388" s="23" t="str">
        <f>"|MIDDLE:​"&amp;テーブル1[[#This Row],[Name]]</f>
        <v>|MIDDLE:​Mazane Nono</v>
      </c>
      <c r="X388" s="23" t="str">
        <f>"|MIDDLE:​&amp;link(配布所はこちら){​"&amp;テーブル1[[#This Row],[リンク]]&amp;"}|"</f>
        <v>|MIDDLE:​&amp;link(配布所はこちら){​https://yukimiyashimusho.jimdofree.com}|</v>
      </c>
    </row>
    <row r="389" spans="2:24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89" s="24" t="s">
        <v>1449</v>
      </c>
      <c r="D389" s="23" t="s">
        <v>1450</v>
      </c>
      <c r="E389" s="23" t="s">
        <v>1451</v>
      </c>
      <c r="F389" s="15" t="s">
        <v>1447</v>
      </c>
      <c r="G389" s="23" t="s">
        <v>1448</v>
      </c>
      <c r="O389" s="24" t="str">
        <f>テーブル1[[#This Row],[リンク]]&amp;テーブル1[[#This Row],[描画状況]]</f>
        <v>https://bowlroll.net/user/992955</v>
      </c>
      <c r="P389" s="17">
        <f>1-(COUNTIF(O:O,_xlfn.TEXTJOIN(",",TRUE,テーブル1[[#This Row],[リンク]],テーブル1[[#This Row],[描画状況]]))/COUNTIF(F:F,テーブル1[[#This Row],[リンク]]))</f>
        <v>0</v>
      </c>
      <c r="Q389" s="16">
        <f ca="1">IFERROR(IF(テーブル1[[#This Row],[描画状況]]="",RAND()+(テーブル1[[#This Row],[列2]]*100),""),RAND())</f>
        <v>0.18920793537896097</v>
      </c>
      <c r="S389" s="24" t="str">
        <f ca="1">IF(AND(テーブル1[[#This Row],[描画状況]]="済",テーブル1[[#This Row],[投稿状況]]=""),RAND(),"")</f>
        <v/>
      </c>
      <c r="T389" s="23" t="str">
        <f>"|&amp;image("&amp;テーブル1[[#This Row],[画像]]&amp;".png,width=100,height=100)"</f>
        <v>|&amp;image(madowaku.png,width=100,height=100)</v>
      </c>
      <c r="U389" s="23" t="str">
        <f>"|MIDDLE:​"&amp;テーブル1[[#This Row],[名前]]</f>
        <v>|MIDDLE:​窓惑</v>
      </c>
      <c r="V389" s="23" t="str">
        <f>"|MIDDLE:​"&amp;テーブル1[[#This Row],[なまえ]]</f>
        <v>|MIDDLE:​まどわく</v>
      </c>
      <c r="W389" s="23" t="str">
        <f>"|MIDDLE:​"&amp;テーブル1[[#This Row],[Name]]</f>
        <v>|MIDDLE:​Madowaku</v>
      </c>
      <c r="X389" s="23" t="str">
        <f>"|MIDDLE:​&amp;link(配布所はこちら){​"&amp;テーブル1[[#This Row],[リンク]]&amp;"}|"</f>
        <v>|MIDDLE:​&amp;link(配布所はこちら){​https://bowlroll.net/user/992955}|</v>
      </c>
    </row>
    <row r="390" spans="2:24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0" s="24" t="s">
        <v>1139</v>
      </c>
      <c r="D390" s="23" t="s">
        <v>1141</v>
      </c>
      <c r="E390" s="23" t="s">
        <v>1142</v>
      </c>
      <c r="F390" s="15" t="s">
        <v>1143</v>
      </c>
      <c r="G390" s="23" t="str">
        <f>テーブル1[[#This Row],[名前]]&amp;"(UTAU)"</f>
        <v>マネナリ(UTAU)</v>
      </c>
      <c r="O390" s="24" t="str">
        <f>テーブル1[[#This Row],[リンク]]&amp;テーブル1[[#This Row],[描画状況]]</f>
        <v>https://yautau.wixsite.com/0909</v>
      </c>
      <c r="P390" s="17">
        <f>1-(COUNTIF(O:O,_xlfn.TEXTJOIN(",",TRUE,テーブル1[[#This Row],[リンク]],テーブル1[[#This Row],[描画状況]]))/COUNTIF(F:F,テーブル1[[#This Row],[リンク]]))</f>
        <v>0.125</v>
      </c>
      <c r="Q390" s="16">
        <f ca="1">IFERROR(IF(テーブル1[[#This Row],[描画状況]]="",RAND()+(テーブル1[[#This Row],[列2]]*100),""),RAND())</f>
        <v>13.444813999867877</v>
      </c>
      <c r="S390" s="24" t="str">
        <f ca="1">IF(AND(テーブル1[[#This Row],[描画状況]]="済",テーブル1[[#This Row],[投稿状況]]=""),RAND(),"")</f>
        <v/>
      </c>
      <c r="T390" s="23" t="str">
        <f>"|&amp;image("&amp;テーブル1[[#This Row],[画像]]&amp;".png,width=100,height=100)"</f>
        <v>|&amp;image(manenari.png,width=100,height=100)</v>
      </c>
      <c r="U390" s="23" t="str">
        <f>"|MIDDLE:​"&amp;テーブル1[[#This Row],[名前]]</f>
        <v>|MIDDLE:​マネナリ</v>
      </c>
      <c r="V390" s="23" t="str">
        <f>"|MIDDLE:​"&amp;テーブル1[[#This Row],[なまえ]]</f>
        <v>|MIDDLE:​まねなり</v>
      </c>
      <c r="W390" s="23" t="str">
        <f>"|MIDDLE:​"&amp;テーブル1[[#This Row],[Name]]</f>
        <v>|MIDDLE:​Manenari</v>
      </c>
      <c r="X390" s="23" t="str">
        <f>"|MIDDLE:​&amp;link(配布所はこちら){​"&amp;テーブル1[[#This Row],[リンク]]&amp;"}|"</f>
        <v>|MIDDLE:​&amp;link(配布所はこちら){​https://yautau.wixsite.com/0909}|</v>
      </c>
    </row>
    <row r="391" spans="2:24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1" s="24" t="s">
        <v>1068</v>
      </c>
      <c r="D391" s="23" t="s">
        <v>1069</v>
      </c>
      <c r="E391" s="23" t="s">
        <v>1070</v>
      </c>
      <c r="F391" s="15" t="s">
        <v>1066</v>
      </c>
      <c r="G391" s="23" t="s">
        <v>1067</v>
      </c>
      <c r="O391" s="24" t="str">
        <f>テーブル1[[#This Row],[リンク]]&amp;テーブル1[[#This Row],[描画状況]]</f>
        <v>https://yukimiyashimusho.jimdofree.com</v>
      </c>
      <c r="P391" s="17">
        <f>1-(COUNTIF(O:O,_xlfn.TEXTJOIN(",",TRUE,テーブル1[[#This Row],[リンク]],テーブル1[[#This Row],[描画状況]]))/COUNTIF(F:F,テーブル1[[#This Row],[リンク]]))</f>
        <v>7.1428571428571397E-2</v>
      </c>
      <c r="Q391" s="16">
        <f ca="1">IFERROR(IF(テーブル1[[#This Row],[描画状況]]="",RAND()+(テーブル1[[#This Row],[列2]]*100),""),RAND())</f>
        <v>7.4457740246545603</v>
      </c>
      <c r="S391" s="24" t="str">
        <f ca="1">IF(AND(テーブル1[[#This Row],[描画状況]]="済",テーブル1[[#This Row],[投稿状況]]=""),RAND(),"")</f>
        <v/>
      </c>
      <c r="T391" s="23" t="str">
        <f>"|&amp;image("&amp;テーブル1[[#This Row],[画像]]&amp;".png,width=100,height=100)"</f>
        <v>|&amp;image(mamine-fair.png,width=100,height=100)</v>
      </c>
      <c r="U391" s="23" t="str">
        <f>"|MIDDLE:​"&amp;テーブル1[[#This Row],[名前]]</f>
        <v>|MIDDLE:​真実音フェイア</v>
      </c>
      <c r="V391" s="23" t="str">
        <f>"|MIDDLE:​"&amp;テーブル1[[#This Row],[なまえ]]</f>
        <v>|MIDDLE:​まみね ふぇいあ</v>
      </c>
      <c r="W391" s="23" t="str">
        <f>"|MIDDLE:​"&amp;テーブル1[[#This Row],[Name]]</f>
        <v>|MIDDLE:​Mamine Fair</v>
      </c>
      <c r="X391" s="23" t="str">
        <f>"|MIDDLE:​&amp;link(配布所はこちら){​"&amp;テーブル1[[#This Row],[リンク]]&amp;"}|"</f>
        <v>|MIDDLE:​&amp;link(配布所はこちら){​https://yukimiyashimusho.jimdofree.com}|</v>
      </c>
    </row>
    <row r="392" spans="2:24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2" s="24" t="s">
        <v>1096</v>
      </c>
      <c r="D392" s="23" t="s">
        <v>1097</v>
      </c>
      <c r="E392" s="23" t="s">
        <v>1096</v>
      </c>
      <c r="F392" s="15" t="s">
        <v>1066</v>
      </c>
      <c r="G392" s="23" t="s">
        <v>1067</v>
      </c>
      <c r="O392" s="24" t="str">
        <f>テーブル1[[#This Row],[リンク]]&amp;テーブル1[[#This Row],[描画状況]]</f>
        <v>https://yukimiyashimusho.jimdofree.com</v>
      </c>
      <c r="P392" s="17">
        <f>1-(COUNTIF(O:O,_xlfn.TEXTJOIN(",",TRUE,テーブル1[[#This Row],[リンク]],テーブル1[[#This Row],[描画状況]]))/COUNTIF(F:F,テーブル1[[#This Row],[リンク]]))</f>
        <v>7.1428571428571397E-2</v>
      </c>
      <c r="Q392" s="16">
        <f ca="1">IFERROR(IF(テーブル1[[#This Row],[描画状況]]="",RAND()+(テーブル1[[#This Row],[列2]]*100),""),RAND())</f>
        <v>7.9290034363653312</v>
      </c>
      <c r="S392" s="24" t="str">
        <f ca="1">IF(AND(テーブル1[[#This Row],[描画状況]]="済",テーブル1[[#This Row],[投稿状況]]=""),RAND(),"")</f>
        <v/>
      </c>
      <c r="T392" s="23" t="str">
        <f>"|&amp;image("&amp;テーブル1[[#This Row],[画像]]&amp;".png,width=100,height=100)"</f>
        <v>|&amp;image(myo.png,width=100,height=100)</v>
      </c>
      <c r="U392" s="23" t="str">
        <f>"|MIDDLE:​"&amp;テーブル1[[#This Row],[名前]]</f>
        <v>|MIDDLE:​Myo</v>
      </c>
      <c r="V392" s="23" t="str">
        <f>"|MIDDLE:​"&amp;テーブル1[[#This Row],[なまえ]]</f>
        <v>|MIDDLE:​みお</v>
      </c>
      <c r="W392" s="23" t="str">
        <f>"|MIDDLE:​"&amp;テーブル1[[#This Row],[Name]]</f>
        <v>|MIDDLE:​Myo</v>
      </c>
      <c r="X392" s="23" t="str">
        <f>"|MIDDLE:​&amp;link(配布所はこちら){​"&amp;テーブル1[[#This Row],[リンク]]&amp;"}|"</f>
        <v>|MIDDLE:​&amp;link(配布所はこちら){​https://yukimiyashimusho.jimdofree.com}|</v>
      </c>
    </row>
    <row r="393" spans="2:24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3" s="24" t="s">
        <v>1286</v>
      </c>
      <c r="D393" s="23" t="s">
        <v>1288</v>
      </c>
      <c r="E393" s="23" t="s">
        <v>1287</v>
      </c>
      <c r="F393" s="15" t="s">
        <v>177</v>
      </c>
      <c r="G393" s="24" t="s">
        <v>1295</v>
      </c>
      <c r="H393" s="24"/>
      <c r="I393" s="24"/>
      <c r="J393" s="24"/>
      <c r="K393" s="24"/>
      <c r="L393" s="24"/>
      <c r="O393" s="24" t="str">
        <f>テーブル1[[#This Row],[リンク]]&amp;テーブル1[[#This Row],[描画状況]]</f>
        <v>https://lenskkpb.wixsite.com/len-sakaki-official</v>
      </c>
      <c r="P393" s="17">
        <f>1-(COUNTIF(O:O,_xlfn.TEXTJOIN(",",TRUE,テーブル1[[#This Row],[リンク]],テーブル1[[#This Row],[描画状況]]))/COUNTIF(F:F,テーブル1[[#This Row],[リンク]]))</f>
        <v>0.125</v>
      </c>
      <c r="Q393" s="16">
        <f ca="1">IFERROR(IF(テーブル1[[#This Row],[描画状況]]="",RAND()+(テーブル1[[#This Row],[列2]]*100),""),RAND())</f>
        <v>12.639545099982435</v>
      </c>
      <c r="S393" s="24" t="str">
        <f ca="1">IF(AND(テーブル1[[#This Row],[描画状況]]="済",テーブル1[[#This Row],[投稿状況]]=""),RAND(),"")</f>
        <v/>
      </c>
      <c r="T393" s="23" t="str">
        <f>"|&amp;image("&amp;テーブル1[[#This Row],[画像]]&amp;".png,width=100,height=100)"</f>
        <v>|&amp;image(mizou.png,width=100,height=100)</v>
      </c>
      <c r="U393" s="23" t="str">
        <f>"|MIDDLE:​"&amp;テーブル1[[#This Row],[名前]]</f>
        <v>|MIDDLE:​未曾鬱</v>
      </c>
      <c r="V393" s="23" t="str">
        <f>"|MIDDLE:​"&amp;テーブル1[[#This Row],[なまえ]]</f>
        <v>|MIDDLE:​みぞう</v>
      </c>
      <c r="W393" s="23" t="str">
        <f>"|MIDDLE:​"&amp;テーブル1[[#This Row],[Name]]</f>
        <v>|MIDDLE:​Mizou</v>
      </c>
      <c r="X39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4" spans="2:24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4" s="24" t="s">
        <v>1456</v>
      </c>
      <c r="D394" s="23" t="s">
        <v>1457</v>
      </c>
      <c r="E394" s="23" t="s">
        <v>1458</v>
      </c>
      <c r="F394" s="15" t="s">
        <v>1447</v>
      </c>
      <c r="G394" s="23" t="s">
        <v>1448</v>
      </c>
      <c r="O394" s="24" t="str">
        <f>テーブル1[[#This Row],[リンク]]&amp;テーブル1[[#This Row],[描画状況]]</f>
        <v>https://bowlroll.net/user/992955</v>
      </c>
      <c r="P394" s="17">
        <f>1-(COUNTIF(O:O,_xlfn.TEXTJOIN(",",TRUE,テーブル1[[#This Row],[リンク]],テーブル1[[#This Row],[描画状況]]))/COUNTIF(F:F,テーブル1[[#This Row],[リンク]]))</f>
        <v>0</v>
      </c>
      <c r="Q394" s="16">
        <f ca="1">IFERROR(IF(テーブル1[[#This Row],[描画状況]]="",RAND()+(テーブル1[[#This Row],[列2]]*100),""),RAND())</f>
        <v>0.33533898389586814</v>
      </c>
      <c r="S394" s="24" t="str">
        <f ca="1">IF(AND(テーブル1[[#This Row],[描画状況]]="済",テーブル1[[#This Row],[投稿状況]]=""),RAND(),"")</f>
        <v/>
      </c>
      <c r="T394" s="23" t="str">
        <f>"|&amp;image("&amp;テーブル1[[#This Row],[画像]]&amp;".png,width=100,height=100)"</f>
        <v>|&amp;image(mima.png,width=100,height=100)</v>
      </c>
      <c r="U394" s="23" t="str">
        <f>"|MIDDLE:​"&amp;テーブル1[[#This Row],[名前]]</f>
        <v>|MIDDLE:​深真</v>
      </c>
      <c r="V394" s="23" t="str">
        <f>"|MIDDLE:​"&amp;テーブル1[[#This Row],[なまえ]]</f>
        <v>|MIDDLE:​みま</v>
      </c>
      <c r="W394" s="23" t="str">
        <f>"|MIDDLE:​"&amp;テーブル1[[#This Row],[Name]]</f>
        <v>|MIDDLE:​Mima</v>
      </c>
      <c r="X394" s="23" t="str">
        <f>"|MIDDLE:​&amp;link(配布所はこちら){​"&amp;テーブル1[[#This Row],[リンク]]&amp;"}|"</f>
        <v>|MIDDLE:​&amp;link(配布所はこちら){​https://bowlroll.net/user/992955}|</v>
      </c>
    </row>
    <row r="395" spans="2:24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5" s="24" t="s">
        <v>1277</v>
      </c>
      <c r="D395" s="23" t="s">
        <v>1279</v>
      </c>
      <c r="E395" s="23" t="s">
        <v>1278</v>
      </c>
      <c r="F395" s="15" t="s">
        <v>177</v>
      </c>
      <c r="G395" s="24" t="s">
        <v>1292</v>
      </c>
      <c r="H395" s="24"/>
      <c r="I395" s="24"/>
      <c r="J395" s="24"/>
      <c r="K395" s="24"/>
      <c r="L395" s="24"/>
      <c r="O395" s="24" t="str">
        <f>テーブル1[[#This Row],[リンク]]&amp;テーブル1[[#This Row],[描画状況]]</f>
        <v>https://lenskkpb.wixsite.com/len-sakaki-official</v>
      </c>
      <c r="P395" s="17">
        <f>1-(COUNTIF(O:O,_xlfn.TEXTJOIN(",",TRUE,テーブル1[[#This Row],[リンク]],テーブル1[[#This Row],[描画状況]]))/COUNTIF(F:F,テーブル1[[#This Row],[リンク]]))</f>
        <v>0.125</v>
      </c>
      <c r="Q395" s="16">
        <f ca="1">IFERROR(IF(テーブル1[[#This Row],[描画状況]]="",RAND()+(テーブル1[[#This Row],[列2]]*100),""),RAND())</f>
        <v>12.706853723347521</v>
      </c>
      <c r="S395" s="24" t="str">
        <f ca="1">IF(AND(テーブル1[[#This Row],[描画状況]]="済",テーブル1[[#This Row],[投稿状況]]=""),RAND(),"")</f>
        <v/>
      </c>
      <c r="T395" s="23" t="str">
        <f>"|&amp;image("&amp;テーブル1[[#This Row],[画像]]&amp;".png,width=100,height=100)"</f>
        <v>|&amp;image(mugen-elec.png,width=100,height=100)</v>
      </c>
      <c r="U395" s="23" t="str">
        <f>"|MIDDLE:​"&amp;テーブル1[[#This Row],[名前]]</f>
        <v>|MIDDLE:​六弦エレキ</v>
      </c>
      <c r="V395" s="23" t="str">
        <f>"|MIDDLE:​"&amp;テーブル1[[#This Row],[なまえ]]</f>
        <v>|MIDDLE:​むげん えれき</v>
      </c>
      <c r="W395" s="23" t="str">
        <f>"|MIDDLE:​"&amp;テーブル1[[#This Row],[Name]]</f>
        <v>|MIDDLE:​Mugen Elec</v>
      </c>
      <c r="X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4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6" s="24" t="s">
        <v>1377</v>
      </c>
      <c r="D396" s="23" t="s">
        <v>1379</v>
      </c>
      <c r="E396" s="23" t="s">
        <v>1378</v>
      </c>
      <c r="F396" s="2" t="s">
        <v>1363</v>
      </c>
      <c r="G396" s="23" t="s">
        <v>1364</v>
      </c>
      <c r="O396" s="24" t="str">
        <f>テーブル1[[#This Row],[リンク]]&amp;テーブル1[[#This Row],[描画状況]]</f>
        <v>https://maybeanglo0mochi.wixsite.com/mochiyanosouko</v>
      </c>
      <c r="P396" s="17">
        <f>1-(COUNTIF(O:O,_xlfn.TEXTJOIN(",",TRUE,テーブル1[[#This Row],[リンク]],テーブル1[[#This Row],[描画状況]]))/COUNTIF(F:F,テーブル1[[#This Row],[リンク]]))</f>
        <v>0.125</v>
      </c>
      <c r="Q396" s="16">
        <f ca="1">IFERROR(IF(テーブル1[[#This Row],[描画状況]]="",RAND()+(テーブル1[[#This Row],[列2]]*100),""),RAND())</f>
        <v>12.660119229831865</v>
      </c>
      <c r="S396" s="24" t="str">
        <f ca="1">IF(AND(テーブル1[[#This Row],[描画状況]]="済",テーブル1[[#This Row],[投稿状況]]=""),RAND(),"")</f>
        <v/>
      </c>
      <c r="T396" s="23" t="str">
        <f>"|&amp;image("&amp;テーブル1[[#This Row],[画像]]&amp;".png,width=100,height=100)"</f>
        <v>|&amp;image(mushiki-sai.png,width=100,height=100)</v>
      </c>
      <c r="U396" s="23" t="str">
        <f>"|MIDDLE:​"&amp;テーブル1[[#This Row],[名前]]</f>
        <v>|MIDDLE:​夢識塞</v>
      </c>
      <c r="V396" s="23" t="str">
        <f>"|MIDDLE:​"&amp;テーブル1[[#This Row],[なまえ]]</f>
        <v>|MIDDLE:​むしき さい</v>
      </c>
      <c r="W396" s="23" t="str">
        <f>"|MIDDLE:​"&amp;テーブル1[[#This Row],[Name]]</f>
        <v>|MIDDLE:​Mushiki Sai</v>
      </c>
      <c r="X39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7" spans="2:24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7" s="24" t="s">
        <v>961</v>
      </c>
      <c r="D397" s="23" t="s">
        <v>962</v>
      </c>
      <c r="E397" s="23" t="s">
        <v>963</v>
      </c>
      <c r="F397" s="2" t="s">
        <v>1703</v>
      </c>
      <c r="G397" s="23" t="str">
        <f>テーブル1[[#This Row],[名前]]&amp;"(UTAU)"</f>
        <v>メジロ・メイホァ(UTAU)</v>
      </c>
      <c r="H397" s="23" t="s">
        <v>1627</v>
      </c>
      <c r="K397" s="23" t="s">
        <v>1637</v>
      </c>
      <c r="M397" s="1" t="s">
        <v>1518</v>
      </c>
      <c r="O397" s="24" t="str">
        <f>テーブル1[[#This Row],[リンク]]&amp;テーブル1[[#This Row],[描画状況]]</f>
        <v>https://ameutaulii.wixsite.com/telepathycapsule</v>
      </c>
      <c r="P397" s="17">
        <f>1-(COUNTIF(O:O,_xlfn.TEXTJOIN(",",TRUE,テーブル1[[#This Row],[リンク]],テーブル1[[#This Row],[描画状況]]))/COUNTIF(F:F,テーブル1[[#This Row],[リンク]]))</f>
        <v>0.16666666666666663</v>
      </c>
      <c r="Q397" s="16">
        <f ca="1">IFERROR(IF(テーブル1[[#This Row],[描画状況]]="",RAND()+(テーブル1[[#This Row],[列2]]*100),""),RAND())</f>
        <v>16.669451582758715</v>
      </c>
      <c r="S397" s="24" t="str">
        <f ca="1">IF(AND(テーブル1[[#This Row],[描画状況]]="済",テーブル1[[#This Row],[投稿状況]]=""),RAND(),"")</f>
        <v/>
      </c>
      <c r="T397" s="23" t="str">
        <f>"|&amp;image("&amp;テーブル1[[#This Row],[画像]]&amp;".png,width=100,height=100)"</f>
        <v>|&amp;image(mejiro-meihua.png,width=100,height=100)</v>
      </c>
      <c r="U397" s="23" t="str">
        <f>"|MIDDLE:​"&amp;テーブル1[[#This Row],[名前]]</f>
        <v>|MIDDLE:​メジロ・メイホァ</v>
      </c>
      <c r="V397" s="23" t="str">
        <f>"|MIDDLE:​"&amp;テーブル1[[#This Row],[なまえ]]</f>
        <v>|MIDDLE:​めじろ めいほぁ</v>
      </c>
      <c r="W397" s="23" t="str">
        <f>"|MIDDLE:​"&amp;テーブル1[[#This Row],[Name]]</f>
        <v>|MIDDLE:​Mejiro Meihua</v>
      </c>
      <c r="X397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98" spans="2:24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398" s="24" t="s">
        <v>595</v>
      </c>
      <c r="D398" s="23" t="s">
        <v>596</v>
      </c>
      <c r="E398" s="23" t="s">
        <v>597</v>
      </c>
      <c r="F398" s="2" t="s">
        <v>594</v>
      </c>
      <c r="G398" s="23" t="str">
        <f>テーブル1[[#This Row],[名前]]&amp;"(UTAU)"</f>
        <v>雌奏マガ(UTAU)</v>
      </c>
      <c r="O398" s="24" t="str">
        <f>テーブル1[[#This Row],[リンク]]&amp;テーブル1[[#This Row],[描画状況]]</f>
        <v>https://tomatoshop.studio.site</v>
      </c>
      <c r="P398" s="17">
        <f>1-(COUNTIF(O:O,_xlfn.TEXTJOIN(",",TRUE,テーブル1[[#This Row],[リンク]],テーブル1[[#This Row],[描画状況]]))/COUNTIF(F:F,テーブル1[[#This Row],[リンク]]))</f>
        <v>0</v>
      </c>
      <c r="Q398" s="16">
        <f ca="1">IFERROR(IF(テーブル1[[#This Row],[描画状況]]="",RAND()+(テーブル1[[#This Row],[列2]]*100),""),RAND())</f>
        <v>0.70369208470974853</v>
      </c>
      <c r="S398" s="24" t="str">
        <f ca="1">IF(AND(テーブル1[[#This Row],[描画状況]]="済",テーブル1[[#This Row],[投稿状況]]=""),RAND(),"")</f>
        <v/>
      </c>
      <c r="T398" s="23" t="str">
        <f>"|&amp;image("&amp;テーブル1[[#This Row],[画像]]&amp;".png,width=100,height=100)"</f>
        <v>|&amp;image(meso-maga.png,width=100,height=100)</v>
      </c>
      <c r="U398" s="23" t="str">
        <f>"|MIDDLE:​"&amp;テーブル1[[#This Row],[名前]]</f>
        <v>|MIDDLE:​雌奏マガ</v>
      </c>
      <c r="V398" s="23" t="str">
        <f>"|MIDDLE:​"&amp;テーブル1[[#This Row],[なまえ]]</f>
        <v>|MIDDLE:​めそう まが</v>
      </c>
      <c r="W398" s="23" t="str">
        <f>"|MIDDLE:​"&amp;テーブル1[[#This Row],[Name]]</f>
        <v>|MIDDLE:​Meso Maga</v>
      </c>
      <c r="X398" s="23" t="str">
        <f>"|MIDDLE:​&amp;link(配布所はこちら){​"&amp;テーブル1[[#This Row],[リンク]]&amp;"}|"</f>
        <v>|MIDDLE:​&amp;link(配布所はこちら){​https://tomatoshop.studio.site}|</v>
      </c>
    </row>
    <row r="399" spans="2:24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399" s="24" t="s">
        <v>966</v>
      </c>
      <c r="D399" s="23" t="s">
        <v>967</v>
      </c>
      <c r="E399" s="23" t="s">
        <v>968</v>
      </c>
      <c r="F399" s="2" t="s">
        <v>1703</v>
      </c>
      <c r="G399" s="23" t="str">
        <f>テーブル1[[#This Row],[名前]]&amp;"(UTAU)"</f>
        <v>メタ・クアドラ(UTAU)</v>
      </c>
      <c r="H399" s="23" t="s">
        <v>1626</v>
      </c>
      <c r="I399" s="23" t="s">
        <v>1705</v>
      </c>
      <c r="L399" s="23" t="s">
        <v>1672</v>
      </c>
      <c r="M399" s="1" t="s">
        <v>1518</v>
      </c>
      <c r="O399" s="24" t="str">
        <f>テーブル1[[#This Row],[リンク]]&amp;テーブル1[[#This Row],[描画状況]]</f>
        <v>https://ameutaulii.wixsite.com/telepathycapsule</v>
      </c>
      <c r="P399" s="17">
        <f>1-(COUNTIF(O:O,_xlfn.TEXTJOIN(",",TRUE,テーブル1[[#This Row],[リンク]],テーブル1[[#This Row],[描画状況]]))/COUNTIF(F:F,テーブル1[[#This Row],[リンク]]))</f>
        <v>0.16666666666666663</v>
      </c>
      <c r="Q399" s="16">
        <f ca="1">IFERROR(IF(テーブル1[[#This Row],[描画状況]]="",RAND()+(テーブル1[[#This Row],[列2]]*100),""),RAND())</f>
        <v>16.800870861758355</v>
      </c>
      <c r="S399" s="24" t="str">
        <f ca="1">IF(AND(テーブル1[[#This Row],[描画状況]]="済",テーブル1[[#This Row],[投稿状況]]=""),RAND(),"")</f>
        <v/>
      </c>
      <c r="T399" s="23" t="str">
        <f>"|&amp;image("&amp;テーブル1[[#This Row],[画像]]&amp;".png,width=100,height=100)"</f>
        <v>|&amp;image(meta-kuadora.png,width=100,height=100)</v>
      </c>
      <c r="U399" s="23" t="str">
        <f>"|MIDDLE:​"&amp;テーブル1[[#This Row],[名前]]</f>
        <v>|MIDDLE:​メタ・クアドラ</v>
      </c>
      <c r="V399" s="23" t="str">
        <f>"|MIDDLE:​"&amp;テーブル1[[#This Row],[なまえ]]</f>
        <v>|MIDDLE:​めた くあどら</v>
      </c>
      <c r="W399" s="23" t="str">
        <f>"|MIDDLE:​"&amp;テーブル1[[#This Row],[Name]]</f>
        <v>|MIDDLE:​Meta Kuadora</v>
      </c>
      <c r="X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4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0" s="24" t="s">
        <v>1216</v>
      </c>
      <c r="D400" s="23" t="s">
        <v>1234</v>
      </c>
      <c r="E400" s="23" t="s">
        <v>1233</v>
      </c>
      <c r="F400" s="15" t="s">
        <v>339</v>
      </c>
      <c r="G400" s="23" t="s">
        <v>340</v>
      </c>
      <c r="O400" s="24" t="str">
        <f>テーブル1[[#This Row],[リンク]]&amp;テーブル1[[#This Row],[描画状況]]</f>
        <v>https://torinosu-hikikomori.jimdofree.com</v>
      </c>
      <c r="P400" s="17">
        <f>1-(COUNTIF(O:O,_xlfn.TEXTJOIN(",",TRUE,テーブル1[[#This Row],[リンク]],テーブル1[[#This Row],[描画状況]]))/COUNTIF(F:F,テーブル1[[#This Row],[リンク]]))</f>
        <v>0.125</v>
      </c>
      <c r="Q400" s="16">
        <f ca="1">IFERROR(IF(テーブル1[[#This Row],[描画状況]]="",RAND()+(テーブル1[[#This Row],[列2]]*100),""),RAND())</f>
        <v>12.769823948153483</v>
      </c>
      <c r="S400" s="24" t="str">
        <f ca="1">IF(AND(テーブル1[[#This Row],[描画状況]]="済",テーブル1[[#This Row],[投稿状況]]=""),RAND(),"")</f>
        <v/>
      </c>
      <c r="T400" s="23" t="str">
        <f>"|&amp;image("&amp;テーブル1[[#This Row],[画像]]&amp;".png,width=100,height=100)"</f>
        <v>|&amp;image(memeta-asei.png,width=100,height=100)</v>
      </c>
      <c r="U400" s="23" t="str">
        <f>"|MIDDLE:​"&amp;テーブル1[[#This Row],[名前]]</f>
        <v>|MIDDLE:​芽々田蛙声</v>
      </c>
      <c r="V400" s="23" t="str">
        <f>"|MIDDLE:​"&amp;テーブル1[[#This Row],[なまえ]]</f>
        <v>|MIDDLE:​めめた あせい</v>
      </c>
      <c r="W400" s="23" t="str">
        <f>"|MIDDLE:​"&amp;テーブル1[[#This Row],[Name]]</f>
        <v>|MIDDLE:​Memeta Asei</v>
      </c>
      <c r="X400" s="23" t="str">
        <f>"|MIDDLE:​&amp;link(配布所はこちら){​"&amp;テーブル1[[#This Row],[リンク]]&amp;"}|"</f>
        <v>|MIDDLE:​&amp;link(配布所はこちら){​https://torinosu-hikikomori.jimdofree.com}|</v>
      </c>
    </row>
    <row r="401" spans="2:24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1" s="24" t="s">
        <v>973</v>
      </c>
      <c r="D401" s="23" t="s">
        <v>974</v>
      </c>
      <c r="E401" s="23" t="s">
        <v>975</v>
      </c>
      <c r="F401" s="2" t="s">
        <v>1703</v>
      </c>
      <c r="G401" s="23" t="str">
        <f>テーブル1[[#This Row],[名前]]&amp;"(UTAU)"</f>
        <v>メルジ・ハクア(UTAU)</v>
      </c>
      <c r="H401" s="23" t="s">
        <v>1627</v>
      </c>
      <c r="M401" s="1" t="s">
        <v>1518</v>
      </c>
      <c r="O401" s="24" t="str">
        <f>テーブル1[[#This Row],[リンク]]&amp;テーブル1[[#This Row],[描画状況]]</f>
        <v>https://ameutaulii.wixsite.com/telepathycapsule</v>
      </c>
      <c r="P401" s="17">
        <f>1-(COUNTIF(O:O,_xlfn.TEXTJOIN(",",TRUE,テーブル1[[#This Row],[リンク]],テーブル1[[#This Row],[描画状況]]))/COUNTIF(F:F,テーブル1[[#This Row],[リンク]]))</f>
        <v>0.16666666666666663</v>
      </c>
      <c r="Q401" s="16">
        <f ca="1">IFERROR(IF(テーブル1[[#This Row],[描画状況]]="",RAND()+(テーブル1[[#This Row],[列2]]*100),""),RAND())</f>
        <v>17.377965053892321</v>
      </c>
      <c r="S401" s="24" t="str">
        <f ca="1">IF(AND(テーブル1[[#This Row],[描画状況]]="済",テーブル1[[#This Row],[投稿状況]]=""),RAND(),"")</f>
        <v/>
      </c>
      <c r="T401" s="23" t="str">
        <f>"|&amp;image("&amp;テーブル1[[#This Row],[画像]]&amp;".png,width=100,height=100)"</f>
        <v>|&amp;image(meruji-hakua.png,width=100,height=100)</v>
      </c>
      <c r="U401" s="23" t="str">
        <f>"|MIDDLE:​"&amp;テーブル1[[#This Row],[名前]]</f>
        <v>|MIDDLE:​メルジ・ハクア</v>
      </c>
      <c r="V401" s="23" t="str">
        <f>"|MIDDLE:​"&amp;テーブル1[[#This Row],[なまえ]]</f>
        <v>|MIDDLE:​めるじ はくあ</v>
      </c>
      <c r="W401" s="23" t="str">
        <f>"|MIDDLE:​"&amp;テーブル1[[#This Row],[Name]]</f>
        <v>|MIDDLE:​Meruji Hakua</v>
      </c>
      <c r="X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4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2" s="24" t="s">
        <v>1154</v>
      </c>
      <c r="D402" s="23" t="s">
        <v>1155</v>
      </c>
      <c r="E402" s="23" t="s">
        <v>1156</v>
      </c>
      <c r="F402" s="15" t="s">
        <v>1144</v>
      </c>
      <c r="G402" s="23" t="s">
        <v>1157</v>
      </c>
      <c r="O402" s="24" t="str">
        <f>テーブル1[[#This Row],[リンク]]&amp;テーブル1[[#This Row],[描画状況]]</f>
        <v>https://sites.google.com/view/report1023</v>
      </c>
      <c r="P402" s="17">
        <f>1-(COUNTIF(O:O,_xlfn.TEXTJOIN(",",TRUE,テーブル1[[#This Row],[リンク]],テーブル1[[#This Row],[描画状況]]))/COUNTIF(F:F,テーブル1[[#This Row],[リンク]]))</f>
        <v>0</v>
      </c>
      <c r="Q402" s="16">
        <f ca="1">IFERROR(IF(テーブル1[[#This Row],[描画状況]]="",RAND()+(テーブル1[[#This Row],[列2]]*100),""),RAND())</f>
        <v>0.52602936570870706</v>
      </c>
      <c r="S402" s="24" t="str">
        <f ca="1">IF(AND(テーブル1[[#This Row],[描画状況]]="済",テーブル1[[#This Row],[投稿状況]]=""),RAND(),"")</f>
        <v/>
      </c>
      <c r="T402" s="23" t="str">
        <f>"|&amp;image("&amp;テーブル1[[#This Row],[画像]]&amp;".png,width=100,height=100)"</f>
        <v>|&amp;image(morino-urusu.png,width=100,height=100)</v>
      </c>
      <c r="U402" s="23" t="str">
        <f>"|MIDDLE:​"&amp;テーブル1[[#This Row],[名前]]</f>
        <v>|MIDDLE:​森埜ウルス</v>
      </c>
      <c r="V402" s="23" t="str">
        <f>"|MIDDLE:​"&amp;テーブル1[[#This Row],[なまえ]]</f>
        <v>|MIDDLE:​もりの うるす</v>
      </c>
      <c r="W402" s="23" t="str">
        <f>"|MIDDLE:​"&amp;テーブル1[[#This Row],[Name]]</f>
        <v>|MIDDLE:​Morino Urusu</v>
      </c>
      <c r="X402" s="23" t="str">
        <f>"|MIDDLE:​&amp;link(配布所はこちら){​"&amp;テーブル1[[#This Row],[リンク]]&amp;"}|"</f>
        <v>|MIDDLE:​&amp;link(配布所はこちら){​https://sites.google.com/view/report1023}|</v>
      </c>
    </row>
    <row r="403" spans="2:24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3" s="24" t="s">
        <v>1148</v>
      </c>
      <c r="D403" s="23" t="s">
        <v>1149</v>
      </c>
      <c r="E403" s="23" t="s">
        <v>1150</v>
      </c>
      <c r="F403" s="15" t="s">
        <v>1144</v>
      </c>
      <c r="G403" s="23" t="s">
        <v>1157</v>
      </c>
      <c r="O403" s="24" t="str">
        <f>テーブル1[[#This Row],[リンク]]&amp;テーブル1[[#This Row],[描画状況]]</f>
        <v>https://sites.google.com/view/report1023</v>
      </c>
      <c r="P403" s="17">
        <f>1-(COUNTIF(O:O,_xlfn.TEXTJOIN(",",TRUE,テーブル1[[#This Row],[リンク]],テーブル1[[#This Row],[描画状況]]))/COUNTIF(F:F,テーブル1[[#This Row],[リンク]]))</f>
        <v>0</v>
      </c>
      <c r="Q403" s="16">
        <f ca="1">IFERROR(IF(テーブル1[[#This Row],[描画状況]]="",RAND()+(テーブル1[[#This Row],[列2]]*100),""),RAND())</f>
        <v>6.7288652666561588E-2</v>
      </c>
      <c r="S403" s="24" t="str">
        <f ca="1">IF(AND(テーブル1[[#This Row],[描画状況]]="済",テーブル1[[#This Row],[投稿状況]]=""),RAND(),"")</f>
        <v/>
      </c>
      <c r="T403" s="23" t="str">
        <f>"|&amp;image("&amp;テーブル1[[#This Row],[画像]]&amp;".png,width=100,height=100)"</f>
        <v>|&amp;image(yasane-mofu.png,width=100,height=100)</v>
      </c>
      <c r="U403" s="23" t="str">
        <f>"|MIDDLE:​"&amp;テーブル1[[#This Row],[名前]]</f>
        <v>|MIDDLE:​優音モフ</v>
      </c>
      <c r="V403" s="23" t="str">
        <f>"|MIDDLE:​"&amp;テーブル1[[#This Row],[なまえ]]</f>
        <v>|MIDDLE:​やさね もふ</v>
      </c>
      <c r="W403" s="23" t="str">
        <f>"|MIDDLE:​"&amp;テーブル1[[#This Row],[Name]]</f>
        <v>|MIDDLE:​Yasane Mofu</v>
      </c>
      <c r="X403" s="23" t="str">
        <f>"|MIDDLE:​&amp;link(配布所はこちら){​"&amp;テーブル1[[#This Row],[リンク]]&amp;"}|"</f>
        <v>|MIDDLE:​&amp;link(配布所はこちら){​https://sites.google.com/view/report1023}|</v>
      </c>
    </row>
    <row r="404" spans="2:24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4" s="24" t="s">
        <v>1351</v>
      </c>
      <c r="D404" s="23" t="s">
        <v>1353</v>
      </c>
      <c r="E404" s="23" t="s">
        <v>1354</v>
      </c>
      <c r="F404" s="15" t="s">
        <v>1352</v>
      </c>
      <c r="G404" s="23" t="s">
        <v>1355</v>
      </c>
      <c r="O404" s="24" t="str">
        <f>テーブル1[[#This Row],[リンク]]&amp;テーブル1[[#This Row],[描画状況]]</f>
        <v>https://renrivoice.wixsite.com/renri-voice</v>
      </c>
      <c r="P404" s="17">
        <f>1-(COUNTIF(O:O,_xlfn.TEXTJOIN(",",TRUE,テーブル1[[#This Row],[リンク]],テーブル1[[#This Row],[描画状況]]))/COUNTIF(F:F,テーブル1[[#This Row],[リンク]]))</f>
        <v>0</v>
      </c>
      <c r="Q404" s="16">
        <f ca="1">IFERROR(IF(テーブル1[[#This Row],[描画状況]]="",RAND()+(テーブル1[[#This Row],[列2]]*100),""),RAND())</f>
        <v>0.8499131998657059</v>
      </c>
      <c r="S404" s="24" t="str">
        <f ca="1">IF(AND(テーブル1[[#This Row],[描画状況]]="済",テーブル1[[#This Row],[投稿状況]]=""),RAND(),"")</f>
        <v/>
      </c>
      <c r="T404" s="23" t="str">
        <f>"|&amp;image("&amp;テーブル1[[#This Row],[画像]]&amp;".png,width=100,height=100)"</f>
        <v>|&amp;image(yamine-rennri.png,width=100,height=100)</v>
      </c>
      <c r="U404" s="23" t="str">
        <f>"|MIDDLE:​"&amp;テーブル1[[#This Row],[名前]]</f>
        <v>|MIDDLE:​闇音レンリ</v>
      </c>
      <c r="V404" s="23" t="str">
        <f>"|MIDDLE:​"&amp;テーブル1[[#This Row],[なまえ]]</f>
        <v>|MIDDLE:​やみね れんり</v>
      </c>
      <c r="W404" s="23" t="str">
        <f>"|MIDDLE:​"&amp;テーブル1[[#This Row],[Name]]</f>
        <v>|MIDDLE:​Yamine Rennri</v>
      </c>
      <c r="X404" s="23" t="str">
        <f>"|MIDDLE:​&amp;link(配布所はこちら){​"&amp;テーブル1[[#This Row],[リンク]]&amp;"}|"</f>
        <v>|MIDDLE:​&amp;link(配布所はこちら){​https://renrivoice.wixsite.com/renri-voice}|</v>
      </c>
    </row>
    <row r="405" spans="2:24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5" s="24" t="s">
        <v>914</v>
      </c>
      <c r="D405" s="23" t="s">
        <v>916</v>
      </c>
      <c r="E405" s="23" t="s">
        <v>915</v>
      </c>
      <c r="F405" s="15" t="s">
        <v>904</v>
      </c>
      <c r="G405" s="23" t="s">
        <v>917</v>
      </c>
      <c r="O405" s="24" t="str">
        <f>テーブル1[[#This Row],[リンク]]&amp;テーブル1[[#This Row],[描画状況]]</f>
        <v>https://suukedayo.wixsite.com/shiawasefairu</v>
      </c>
      <c r="P405" s="17">
        <f>1-(COUNTIF(O:O,_xlfn.TEXTJOIN(",",TRUE,テーブル1[[#This Row],[リンク]],テーブル1[[#This Row],[描画状況]]))/COUNTIF(F:F,テーブル1[[#This Row],[リンク]]))</f>
        <v>0</v>
      </c>
      <c r="Q405" s="16">
        <f ca="1">IFERROR(IF(テーブル1[[#This Row],[描画状況]]="",RAND()+(テーブル1[[#This Row],[列2]]*100),""),RAND())</f>
        <v>0.99777405819055864</v>
      </c>
      <c r="S405" s="24" t="str">
        <f ca="1">IF(AND(テーブル1[[#This Row],[描画状況]]="済",テーブル1[[#This Row],[投稿状況]]=""),RAND(),"")</f>
        <v/>
      </c>
      <c r="T405" s="23" t="str">
        <f>"|&amp;image("&amp;テーブル1[[#This Row],[画像]]&amp;".png,width=100,height=100)"</f>
        <v>|&amp;image(you-me.png,width=100,height=100)</v>
      </c>
      <c r="U405" s="23" t="str">
        <f>"|MIDDLE:​"&amp;テーブル1[[#This Row],[名前]]</f>
        <v>|MIDDLE:​ユウミィ</v>
      </c>
      <c r="V405" s="23" t="str">
        <f>"|MIDDLE:​"&amp;テーブル1[[#This Row],[なまえ]]</f>
        <v>|MIDDLE:​ゆう みい</v>
      </c>
      <c r="W405" s="23" t="str">
        <f>"|MIDDLE:​"&amp;テーブル1[[#This Row],[Name]]</f>
        <v>|MIDDLE:​You Me</v>
      </c>
      <c r="X405" s="23" t="str">
        <f>"|MIDDLE:​&amp;link(配布所はこちら){​"&amp;テーブル1[[#This Row],[リンク]]&amp;"}|"</f>
        <v>|MIDDLE:​&amp;link(配布所はこちら){​https://suukedayo.wixsite.com/shiawasefairu}|</v>
      </c>
    </row>
    <row r="406" spans="2:24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6" s="24" t="s">
        <v>908</v>
      </c>
      <c r="D406" s="23" t="s">
        <v>910</v>
      </c>
      <c r="E406" s="23" t="s">
        <v>909</v>
      </c>
      <c r="F406" s="15" t="s">
        <v>904</v>
      </c>
      <c r="G406" s="23" t="s">
        <v>917</v>
      </c>
      <c r="O406" s="24" t="str">
        <f>テーブル1[[#This Row],[リンク]]&amp;テーブル1[[#This Row],[描画状況]]</f>
        <v>https://suukedayo.wixsite.com/shiawasefairu</v>
      </c>
      <c r="P406" s="17">
        <f>1-(COUNTIF(O:O,_xlfn.TEXTJOIN(",",TRUE,テーブル1[[#This Row],[リンク]],テーブル1[[#This Row],[描画状況]]))/COUNTIF(F:F,テーブル1[[#This Row],[リンク]]))</f>
        <v>0</v>
      </c>
      <c r="Q406" s="16">
        <f ca="1">IFERROR(IF(テーブル1[[#This Row],[描画状況]]="",RAND()+(テーブル1[[#This Row],[列2]]*100),""),RAND())</f>
        <v>0.89381374198286279</v>
      </c>
      <c r="S406" s="24" t="str">
        <f ca="1">IF(AND(テーブル1[[#This Row],[描画状況]]="済",テーブル1[[#This Row],[投稿状況]]=""),RAND(),"")</f>
        <v/>
      </c>
      <c r="T406" s="23" t="str">
        <f>"|&amp;image("&amp;テーブル1[[#This Row],[画像]]&amp;".png,width=100,height=100)"</f>
        <v>|&amp;image(yuune-suzu.png,width=100,height=100)</v>
      </c>
      <c r="U406" s="23" t="str">
        <f>"|MIDDLE:​"&amp;テーブル1[[#This Row],[名前]]</f>
        <v>|MIDDLE:​融音スゞ</v>
      </c>
      <c r="V406" s="23" t="str">
        <f>"|MIDDLE:​"&amp;テーブル1[[#This Row],[なまえ]]</f>
        <v>|MIDDLE:​ゆうね すず</v>
      </c>
      <c r="W406" s="23" t="str">
        <f>"|MIDDLE:​"&amp;テーブル1[[#This Row],[Name]]</f>
        <v>|MIDDLE:​Yuune Suzu</v>
      </c>
      <c r="X406" s="23" t="str">
        <f>"|MIDDLE:​&amp;link(配布所はこちら){​"&amp;テーブル1[[#This Row],[リンク]]&amp;"}|"</f>
        <v>|MIDDLE:​&amp;link(配布所はこちら){​https://suukedayo.wixsite.com/shiawasefairu}|</v>
      </c>
    </row>
    <row r="407" spans="2:24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7" s="24" t="s">
        <v>1131</v>
      </c>
      <c r="D407" s="23" t="s">
        <v>1133</v>
      </c>
      <c r="E407" s="23" t="s">
        <v>1132</v>
      </c>
      <c r="F407" s="15" t="s">
        <v>1143</v>
      </c>
      <c r="G407" s="23" t="str">
        <f>テーブル1[[#This Row],[名前]]&amp;"(UTAU)"</f>
        <v>雪鳴こん(UTAU)</v>
      </c>
      <c r="O407" s="24" t="str">
        <f>テーブル1[[#This Row],[リンク]]&amp;テーブル1[[#This Row],[描画状況]]</f>
        <v>https://yautau.wixsite.com/0909</v>
      </c>
      <c r="P407" s="17">
        <f>1-(COUNTIF(O:O,_xlfn.TEXTJOIN(",",TRUE,テーブル1[[#This Row],[リンク]],テーブル1[[#This Row],[描画状況]]))/COUNTIF(F:F,テーブル1[[#This Row],[リンク]]))</f>
        <v>0.125</v>
      </c>
      <c r="Q407" s="16">
        <f ca="1">IFERROR(IF(テーブル1[[#This Row],[描画状況]]="",RAND()+(テーブル1[[#This Row],[列2]]*100),""),RAND())</f>
        <v>12.647297766692933</v>
      </c>
      <c r="S407" s="24" t="str">
        <f ca="1">IF(AND(テーブル1[[#This Row],[描画状況]]="済",テーブル1[[#This Row],[投稿状況]]=""),RAND(),"")</f>
        <v/>
      </c>
      <c r="T407" s="23" t="str">
        <f>"|&amp;image("&amp;テーブル1[[#This Row],[画像]]&amp;".png,width=100,height=100)"</f>
        <v>|&amp;image(yukina-kon.png,width=100,height=100)</v>
      </c>
      <c r="U407" s="23" t="str">
        <f>"|MIDDLE:​"&amp;テーブル1[[#This Row],[名前]]</f>
        <v>|MIDDLE:​雪鳴こん</v>
      </c>
      <c r="V407" s="23" t="str">
        <f>"|MIDDLE:​"&amp;テーブル1[[#This Row],[なまえ]]</f>
        <v>|MIDDLE:​ゆきな こん</v>
      </c>
      <c r="W407" s="23" t="str">
        <f>"|MIDDLE:​"&amp;テーブル1[[#This Row],[Name]]</f>
        <v>|MIDDLE:​Yukina Kon</v>
      </c>
      <c r="X407" s="23" t="str">
        <f>"|MIDDLE:​&amp;link(配布所はこちら){​"&amp;テーブル1[[#This Row],[リンク]]&amp;"}|"</f>
        <v>|MIDDLE:​&amp;link(配布所はこちら){​https://yautau.wixsite.com/0909}|</v>
      </c>
    </row>
    <row r="408" spans="2:24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08" s="24" t="s">
        <v>1037</v>
      </c>
      <c r="D408" s="23" t="s">
        <v>1038</v>
      </c>
      <c r="E408" s="23" t="s">
        <v>1039</v>
      </c>
      <c r="F408" s="2" t="s">
        <v>520</v>
      </c>
      <c r="G408" s="23" t="s">
        <v>521</v>
      </c>
      <c r="M408" s="1" t="s">
        <v>1517</v>
      </c>
      <c r="O408" s="24" t="str">
        <f>テーブル1[[#This Row],[リンク]]&amp;テーブル1[[#This Row],[描画状況]]</f>
        <v>https://coyukimachi.wixsite.com/my-site</v>
      </c>
      <c r="P408" s="17">
        <f>1-(COUNTIF(O:O,_xlfn.TEXTJOIN(",",TRUE,テーブル1[[#This Row],[リンク]],テーブル1[[#This Row],[描画状況]]))/COUNTIF(F:F,テーブル1[[#This Row],[リンク]]))</f>
        <v>0</v>
      </c>
      <c r="Q408" s="16">
        <f ca="1">IFERROR(IF(テーブル1[[#This Row],[描画状況]]="",RAND()+(テーブル1[[#This Row],[列2]]*100),""),RAND())</f>
        <v>9.012815678224928E-2</v>
      </c>
      <c r="S408" s="24" t="str">
        <f ca="1">IF(AND(テーブル1[[#This Row],[描画状況]]="済",テーブル1[[#This Row],[投稿状況]]=""),RAND(),"")</f>
        <v/>
      </c>
      <c r="T408" s="23" t="str">
        <f>"|&amp;image("&amp;テーブル1[[#This Row],[画像]]&amp;".png,width=100,height=100)"</f>
        <v>|&amp;image(yukinoshita-suikazura.png,width=100,height=100)</v>
      </c>
      <c r="U408" s="23" t="str">
        <f>"|MIDDLE:​"&amp;テーブル1[[#This Row],[名前]]</f>
        <v>|MIDDLE:​​雪ノ下忍冬</v>
      </c>
      <c r="V408" s="23" t="str">
        <f>"|MIDDLE:​"&amp;テーブル1[[#This Row],[なまえ]]</f>
        <v>|MIDDLE:​ゆきのした すいかずら</v>
      </c>
      <c r="W408" s="23" t="str">
        <f>"|MIDDLE:​"&amp;テーブル1[[#This Row],[Name]]</f>
        <v>|MIDDLE:​Yukinoshita Suikazura</v>
      </c>
      <c r="X408" s="23" t="str">
        <f>"|MIDDLE:​&amp;link(配布所はこちら){​"&amp;テーブル1[[#This Row],[リンク]]&amp;"}|"</f>
        <v>|MIDDLE:​&amp;link(配布所はこちら){​https://coyukimachi.wixsite.com/my-site}|</v>
      </c>
    </row>
    <row r="409" spans="2:24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09" s="24" t="s">
        <v>748</v>
      </c>
      <c r="D409" s="23" t="s">
        <v>750</v>
      </c>
      <c r="E409" s="23" t="s">
        <v>751</v>
      </c>
      <c r="F409" s="15" t="s">
        <v>752</v>
      </c>
      <c r="G409" s="23" t="s">
        <v>749</v>
      </c>
      <c r="O409" s="24" t="str">
        <f>テーブル1[[#This Row],[リンク]]&amp;テーブル1[[#This Row],[描画状況]]</f>
        <v>https://bowlroll.net/user/964602</v>
      </c>
      <c r="P409" s="17">
        <f>1-(COUNTIF(O:O,_xlfn.TEXTJOIN(",",TRUE,テーブル1[[#This Row],[リンク]],テーブル1[[#This Row],[描画状況]]))/COUNTIF(F:F,テーブル1[[#This Row],[リンク]]))</f>
        <v>0</v>
      </c>
      <c r="Q409" s="16">
        <f ca="1">IFERROR(IF(テーブル1[[#This Row],[描画状況]]="",RAND()+(テーブル1[[#This Row],[列2]]*100),""),RAND())</f>
        <v>0.40285681091425052</v>
      </c>
      <c r="S409" s="24" t="str">
        <f ca="1">IF(AND(テーブル1[[#This Row],[描画状況]]="済",テーブル1[[#This Row],[投稿状況]]=""),RAND(),"")</f>
        <v/>
      </c>
      <c r="T409" s="23" t="str">
        <f>"|&amp;image("&amp;テーブル1[[#This Row],[画像]]&amp;".png,width=100,height=100)"</f>
        <v>|&amp;image(yukiyama-miruka.png,width=100,height=100)</v>
      </c>
      <c r="U409" s="23" t="str">
        <f>"|MIDDLE:​"&amp;テーブル1[[#This Row],[名前]]</f>
        <v>|MIDDLE:​雪山ミルカ</v>
      </c>
      <c r="V409" s="23" t="str">
        <f>"|MIDDLE:​"&amp;テーブル1[[#This Row],[なまえ]]</f>
        <v>|MIDDLE:​ゆきやま みるか</v>
      </c>
      <c r="W409" s="23" t="str">
        <f>"|MIDDLE:​"&amp;テーブル1[[#This Row],[Name]]</f>
        <v>|MIDDLE:​Yukiyama Miruka</v>
      </c>
      <c r="X409" s="23" t="str">
        <f>"|MIDDLE:​&amp;link(配布所はこちら){​"&amp;テーブル1[[#This Row],[リンク]]&amp;"}|"</f>
        <v>|MIDDLE:​&amp;link(配布所はこちら){​https://bowlroll.net/user/964602}|</v>
      </c>
    </row>
    <row r="410" spans="2:24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0" s="24" t="s">
        <v>816</v>
      </c>
      <c r="D410" s="23" t="s">
        <v>818</v>
      </c>
      <c r="E410" s="23" t="s">
        <v>817</v>
      </c>
      <c r="F410" s="2" t="s">
        <v>814</v>
      </c>
      <c r="G410" s="23" t="s">
        <v>815</v>
      </c>
      <c r="O410" s="24" t="str">
        <f>テーブル1[[#This Row],[リンク]]&amp;テーブル1[[#This Row],[描画状況]]</f>
        <v>https://makurakue.wixsite.com/kemononokemono</v>
      </c>
      <c r="P410" s="17">
        <f>1-(COUNTIF(O:O,_xlfn.TEXTJOIN(",",TRUE,テーブル1[[#This Row],[リンク]],テーブル1[[#This Row],[描画状況]]))/COUNTIF(F:F,テーブル1[[#This Row],[リンク]]))</f>
        <v>0.4</v>
      </c>
      <c r="Q410" s="16">
        <f ca="1">IFERROR(IF(テーブル1[[#This Row],[描画状況]]="",RAND()+(テーブル1[[#This Row],[列2]]*100),""),RAND())</f>
        <v>40.038791315541367</v>
      </c>
      <c r="S410" s="24" t="str">
        <f ca="1">IF(AND(テーブル1[[#This Row],[描画状況]]="済",テーブル1[[#This Row],[投稿状況]]=""),RAND(),"")</f>
        <v/>
      </c>
      <c r="T410" s="23" t="str">
        <f>"|&amp;image("&amp;テーブル1[[#This Row],[画像]]&amp;".png,width=100,height=100)"</f>
        <v>|&amp;image(yumezumi.png,width=100,height=100)</v>
      </c>
      <c r="U410" s="23" t="str">
        <f>"|MIDDLE:​"&amp;テーブル1[[#This Row],[名前]]</f>
        <v>|MIDDLE:​​夢住</v>
      </c>
      <c r="V410" s="23" t="str">
        <f>"|MIDDLE:​"&amp;テーブル1[[#This Row],[なまえ]]</f>
        <v>|MIDDLE:​ゆめずみ</v>
      </c>
      <c r="W410" s="23" t="str">
        <f>"|MIDDLE:​"&amp;テーブル1[[#This Row],[Name]]</f>
        <v>|MIDDLE:​Yumezumi</v>
      </c>
      <c r="X410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1" spans="2:24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1" s="24" t="s">
        <v>1098</v>
      </c>
      <c r="D411" s="23" t="s">
        <v>1099</v>
      </c>
      <c r="E411" s="23" t="s">
        <v>1100</v>
      </c>
      <c r="F411" s="15" t="s">
        <v>1066</v>
      </c>
      <c r="G411" s="23" t="s">
        <v>1067</v>
      </c>
      <c r="O411" s="24" t="str">
        <f>テーブル1[[#This Row],[リンク]]&amp;テーブル1[[#This Row],[描画状況]]</f>
        <v>https://yukimiyashimusho.jimdofree.com</v>
      </c>
      <c r="P411" s="17">
        <f>1-(COUNTIF(O:O,_xlfn.TEXTJOIN(",",TRUE,テーブル1[[#This Row],[リンク]],テーブル1[[#This Row],[描画状況]]))/COUNTIF(F:F,テーブル1[[#This Row],[リンク]]))</f>
        <v>7.1428571428571397E-2</v>
      </c>
      <c r="Q411" s="16">
        <f ca="1">IFERROR(IF(テーブル1[[#This Row],[描画状況]]="",RAND()+(テーブル1[[#This Row],[列2]]*100),""),RAND())</f>
        <v>7.4030919841767364</v>
      </c>
      <c r="S411" s="24" t="str">
        <f ca="1">IF(AND(テーブル1[[#This Row],[描画状況]]="済",テーブル1[[#This Row],[投稿状況]]=""),RAND(),"")</f>
        <v/>
      </c>
      <c r="T411" s="23" t="str">
        <f>"|&amp;image("&amp;テーブル1[[#This Row],[画像]]&amp;".png,width=100,height=100)"</f>
        <v>|&amp;image(yoakene-yori.png,width=100,height=100)</v>
      </c>
      <c r="U411" s="23" t="str">
        <f>"|MIDDLE:​"&amp;テーブル1[[#This Row],[名前]]</f>
        <v>|MIDDLE:​夜明音ヨリ</v>
      </c>
      <c r="V411" s="23" t="str">
        <f>"|MIDDLE:​"&amp;テーブル1[[#This Row],[なまえ]]</f>
        <v>|MIDDLE:​よあけね より</v>
      </c>
      <c r="W411" s="23" t="str">
        <f>"|MIDDLE:​"&amp;テーブル1[[#This Row],[Name]]</f>
        <v>|MIDDLE:​Yoakene Yori</v>
      </c>
      <c r="X411" s="23" t="str">
        <f>"|MIDDLE:​&amp;link(配布所はこちら){​"&amp;テーブル1[[#This Row],[リンク]]&amp;"}|"</f>
        <v>|MIDDLE:​&amp;link(配布所はこちら){​https://yukimiyashimusho.jimdofree.com}|</v>
      </c>
    </row>
    <row r="412" spans="2:24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2" s="24" t="s">
        <v>979</v>
      </c>
      <c r="D412" s="23" t="s">
        <v>980</v>
      </c>
      <c r="E412" s="23" t="s">
        <v>992</v>
      </c>
      <c r="F412" s="2" t="s">
        <v>572</v>
      </c>
      <c r="G412" s="23" t="s">
        <v>573</v>
      </c>
      <c r="M412" s="1" t="s">
        <v>1517</v>
      </c>
      <c r="O412" s="24" t="str">
        <f>テーブル1[[#This Row],[リンク]]&amp;テーブル1[[#This Row],[描画状況]]</f>
        <v>https://askdance.wixsite.com/monitor-room/monitor-room</v>
      </c>
      <c r="P412" s="17">
        <f>1-(COUNTIF(O:O,_xlfn.TEXTJOIN(",",TRUE,テーブル1[[#This Row],[リンク]],テーブル1[[#This Row],[描画状況]]))/COUNTIF(F:F,テーブル1[[#This Row],[リンク]]))</f>
        <v>9.9999999999999978E-2</v>
      </c>
      <c r="Q412" s="16">
        <f ca="1">IFERROR(IF(テーブル1[[#This Row],[描画状況]]="",RAND()+(テーブル1[[#This Row],[列2]]*100),""),RAND())</f>
        <v>10.86290280150835</v>
      </c>
      <c r="S412" s="24" t="str">
        <f ca="1">IF(AND(テーブル1[[#This Row],[描画状況]]="済",テーブル1[[#This Row],[投稿状況]]=""),RAND(),"")</f>
        <v/>
      </c>
      <c r="T412" s="23" t="str">
        <f>"|&amp;image("&amp;テーブル1[[#This Row],[画像]]&amp;".png,width=100,height=100)"</f>
        <v>|&amp;image(yoyaku-asuku.png,width=100,height=100)</v>
      </c>
      <c r="U412" s="23" t="str">
        <f>"|MIDDLE:​"&amp;テーブル1[[#This Row],[名前]]</f>
        <v>|MIDDLE:​踊躍あすく</v>
      </c>
      <c r="V412" s="23" t="str">
        <f>"|MIDDLE:​"&amp;テーブル1[[#This Row],[なまえ]]</f>
        <v>|MIDDLE:​ようやく あすく</v>
      </c>
      <c r="W412" s="23" t="str">
        <f>"|MIDDLE:​"&amp;テーブル1[[#This Row],[Name]]</f>
        <v>|MIDDLE:​Yoyaku Asuku</v>
      </c>
      <c r="X41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3" spans="2:24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3" s="24" t="s">
        <v>633</v>
      </c>
      <c r="D413" s="23" t="s">
        <v>634</v>
      </c>
      <c r="E413" s="23" t="s">
        <v>635</v>
      </c>
      <c r="F413" s="2" t="s">
        <v>636</v>
      </c>
      <c r="G413" s="23" t="s">
        <v>637</v>
      </c>
      <c r="O413" s="24" t="str">
        <f>テーブル1[[#This Row],[リンク]]&amp;テーブル1[[#This Row],[描画状況]]</f>
        <v>https://alceaakaza.wixsite.com/artkashic-uni-verse</v>
      </c>
      <c r="P413" s="17">
        <f>1-(COUNTIF(O:O,_xlfn.TEXTJOIN(",",TRUE,テーブル1[[#This Row],[リンク]],テーブル1[[#This Row],[描画状況]]))/COUNTIF(F:F,テーブル1[[#This Row],[リンク]]))</f>
        <v>0</v>
      </c>
      <c r="Q413" s="16">
        <f ca="1">IFERROR(IF(テーブル1[[#This Row],[描画状況]]="",RAND()+(テーブル1[[#This Row],[列2]]*100),""),RAND())</f>
        <v>0.92980899995206268</v>
      </c>
      <c r="S413" s="24" t="str">
        <f ca="1">IF(AND(テーブル1[[#This Row],[描画状況]]="済",テーブル1[[#This Row],[投稿状況]]=""),RAND(),"")</f>
        <v/>
      </c>
      <c r="T413" s="23" t="str">
        <f>"|&amp;image("&amp;テーブル1[[#This Row],[画像]]&amp;".png,width=100,height=100)"</f>
        <v>|&amp;image(yoruda-kibo.png,width=100,height=100)</v>
      </c>
      <c r="U413" s="23" t="str">
        <f>"|MIDDLE:​"&amp;テーブル1[[#This Row],[名前]]</f>
        <v>|MIDDLE:​夜打キーボ</v>
      </c>
      <c r="V413" s="23" t="str">
        <f>"|MIDDLE:​"&amp;テーブル1[[#This Row],[なまえ]]</f>
        <v>|MIDDLE:​よるだ きーぼ</v>
      </c>
      <c r="W413" s="23" t="str">
        <f>"|MIDDLE:​"&amp;テーブル1[[#This Row],[Name]]</f>
        <v>|MIDDLE:​Yoruda Kibo</v>
      </c>
      <c r="X413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4" spans="2:24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4" s="24" t="s">
        <v>779</v>
      </c>
      <c r="D414" s="23" t="s">
        <v>780</v>
      </c>
      <c r="E414" s="23" t="s">
        <v>781</v>
      </c>
      <c r="F414" s="15" t="s">
        <v>778</v>
      </c>
      <c r="G414" s="23" t="str">
        <f>テーブル1[[#This Row],[名前]]&amp;"(UTAU)"</f>
        <v>螺婆(UTAU)</v>
      </c>
      <c r="M414" s="1" t="s">
        <v>1517</v>
      </c>
      <c r="O414" s="24" t="str">
        <f>テーブル1[[#This Row],[リンク]]&amp;テーブル1[[#This Row],[描画状況]]</f>
        <v>https://cmamizki.wixsite.com/edelstein</v>
      </c>
      <c r="P414" s="17">
        <f>1-(COUNTIF(O:O,_xlfn.TEXTJOIN(",",TRUE,テーブル1[[#This Row],[リンク]],テーブル1[[#This Row],[描画状況]]))/COUNTIF(F:F,テーブル1[[#This Row],[リンク]]))</f>
        <v>9.0909090909090939E-2</v>
      </c>
      <c r="Q414" s="16">
        <f ca="1">IFERROR(IF(テーブル1[[#This Row],[描画状況]]="",RAND()+(テーブル1[[#This Row],[列2]]*100),""),RAND())</f>
        <v>9.4324890784123898</v>
      </c>
      <c r="S414" s="24" t="str">
        <f ca="1">IF(AND(テーブル1[[#This Row],[描画状況]]="済",テーブル1[[#This Row],[投稿状況]]=""),RAND(),"")</f>
        <v/>
      </c>
      <c r="T414" s="23" t="str">
        <f>"|&amp;image("&amp;テーブル1[[#This Row],[画像]]&amp;".png,width=100,height=100)"</f>
        <v>|&amp;image(lava.png,width=100,height=100)</v>
      </c>
      <c r="U414" s="23" t="str">
        <f>"|MIDDLE:​"&amp;テーブル1[[#This Row],[名前]]</f>
        <v>|MIDDLE:​螺婆</v>
      </c>
      <c r="V414" s="23" t="str">
        <f>"|MIDDLE:​"&amp;テーブル1[[#This Row],[なまえ]]</f>
        <v>|MIDDLE:​らーば</v>
      </c>
      <c r="W414" s="23" t="str">
        <f>"|MIDDLE:​"&amp;テーブル1[[#This Row],[Name]]</f>
        <v>|MIDDLE:​Lava</v>
      </c>
      <c r="X414" s="23" t="str">
        <f>"|MIDDLE:​&amp;link(配布所はこちら){​"&amp;テーブル1[[#This Row],[リンク]]&amp;"}|"</f>
        <v>|MIDDLE:​&amp;link(配布所はこちら){​https://cmamizki.wixsite.com/edelstein}|</v>
      </c>
    </row>
    <row r="415" spans="2:24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5" s="24" t="s">
        <v>791</v>
      </c>
      <c r="D415" s="23" t="s">
        <v>792</v>
      </c>
      <c r="E415" s="23" t="s">
        <v>793</v>
      </c>
      <c r="F415" s="15" t="s">
        <v>778</v>
      </c>
      <c r="G415" s="23" t="str">
        <f>テーブル1[[#This Row],[名前]]&amp;"(UTAU)"</f>
        <v>ラリマー(UTAU)</v>
      </c>
      <c r="M415" s="1" t="s">
        <v>1517</v>
      </c>
      <c r="O415" s="24" t="str">
        <f>テーブル1[[#This Row],[リンク]]&amp;テーブル1[[#This Row],[描画状況]]</f>
        <v>https://cmamizki.wixsite.com/edelstein</v>
      </c>
      <c r="P415" s="17">
        <f>1-(COUNTIF(O:O,_xlfn.TEXTJOIN(",",TRUE,テーブル1[[#This Row],[リンク]],テーブル1[[#This Row],[描画状況]]))/COUNTIF(F:F,テーブル1[[#This Row],[リンク]]))</f>
        <v>9.0909090909090939E-2</v>
      </c>
      <c r="Q415" s="16">
        <f ca="1">IFERROR(IF(テーブル1[[#This Row],[描画状況]]="",RAND()+(テーブル1[[#This Row],[列2]]*100),""),RAND())</f>
        <v>9.2432006439268442</v>
      </c>
      <c r="S415" s="24" t="str">
        <f ca="1">IF(AND(テーブル1[[#This Row],[描画状況]]="済",テーブル1[[#This Row],[投稿状況]]=""),RAND(),"")</f>
        <v/>
      </c>
      <c r="T415" s="23" t="str">
        <f>"|&amp;image("&amp;テーブル1[[#This Row],[画像]]&amp;".png,width=100,height=100)"</f>
        <v>|&amp;image(larimar.png,width=100,height=100)</v>
      </c>
      <c r="U415" s="23" t="str">
        <f>"|MIDDLE:​"&amp;テーブル1[[#This Row],[名前]]</f>
        <v>|MIDDLE:​ラリマー</v>
      </c>
      <c r="V415" s="23" t="str">
        <f>"|MIDDLE:​"&amp;テーブル1[[#This Row],[なまえ]]</f>
        <v>|MIDDLE:​らりまー</v>
      </c>
      <c r="W415" s="23" t="str">
        <f>"|MIDDLE:​"&amp;テーブル1[[#This Row],[Name]]</f>
        <v>|MIDDLE:​Larimar</v>
      </c>
      <c r="X415" s="23" t="str">
        <f>"|MIDDLE:​&amp;link(配布所はこちら){​"&amp;テーブル1[[#This Row],[リンク]]&amp;"}|"</f>
        <v>|MIDDLE:​&amp;link(配布所はこちら){​https://cmamizki.wixsite.com/edelstein}|</v>
      </c>
    </row>
    <row r="416" spans="2:24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6" s="24" t="s">
        <v>1092</v>
      </c>
      <c r="D416" s="23" t="s">
        <v>1093</v>
      </c>
      <c r="E416" s="23" t="s">
        <v>1092</v>
      </c>
      <c r="F416" s="15" t="s">
        <v>1066</v>
      </c>
      <c r="G416" s="23" t="s">
        <v>1067</v>
      </c>
      <c r="O416" s="24" t="str">
        <f>テーブル1[[#This Row],[リンク]]&amp;テーブル1[[#This Row],[描画状況]]</f>
        <v>https://yukimiyashimusho.jimdofree.com</v>
      </c>
      <c r="P416" s="17">
        <f>1-(COUNTIF(O:O,_xlfn.TEXTJOIN(",",TRUE,テーブル1[[#This Row],[リンク]],テーブル1[[#This Row],[描画状況]]))/COUNTIF(F:F,テーブル1[[#This Row],[リンク]]))</f>
        <v>7.1428571428571397E-2</v>
      </c>
      <c r="Q416" s="16">
        <f ca="1">IFERROR(IF(テーブル1[[#This Row],[描画状況]]="",RAND()+(テーブル1[[#This Row],[列2]]*100),""),RAND())</f>
        <v>7.4066356371707389</v>
      </c>
      <c r="S416" s="24" t="str">
        <f ca="1">IF(AND(テーブル1[[#This Row],[描画状況]]="済",テーブル1[[#This Row],[投稿状況]]=""),RAND(),"")</f>
        <v/>
      </c>
      <c r="T416" s="23" t="str">
        <f>"|&amp;image("&amp;テーブル1[[#This Row],[画像]]&amp;".png,width=100,height=100)"</f>
        <v>|&amp;image(rya.png,width=100,height=100)</v>
      </c>
      <c r="U416" s="23" t="str">
        <f>"|MIDDLE:​"&amp;テーブル1[[#This Row],[名前]]</f>
        <v>|MIDDLE:​Rya</v>
      </c>
      <c r="V416" s="23" t="str">
        <f>"|MIDDLE:​"&amp;テーブル1[[#This Row],[なまえ]]</f>
        <v>|MIDDLE:​りあ</v>
      </c>
      <c r="W416" s="23" t="str">
        <f>"|MIDDLE:​"&amp;テーブル1[[#This Row],[Name]]</f>
        <v>|MIDDLE:​Rya</v>
      </c>
      <c r="X416" s="23" t="str">
        <f>"|MIDDLE:​&amp;link(配布所はこちら){​"&amp;テーブル1[[#This Row],[リンク]]&amp;"}|"</f>
        <v>|MIDDLE:​&amp;link(配布所はこちら){​https://yukimiyashimusho.jimdofree.com}|</v>
      </c>
    </row>
    <row r="417" spans="2:24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7" s="24" t="s">
        <v>1083</v>
      </c>
      <c r="D417" s="23" t="s">
        <v>1084</v>
      </c>
      <c r="E417" s="23" t="s">
        <v>1085</v>
      </c>
      <c r="F417" s="15" t="s">
        <v>1066</v>
      </c>
      <c r="G417" s="23" t="s">
        <v>1067</v>
      </c>
      <c r="O417" s="24" t="str">
        <f>テーブル1[[#This Row],[リンク]]&amp;テーブル1[[#This Row],[描画状況]]</f>
        <v>https://yukimiyashimusho.jimdofree.com</v>
      </c>
      <c r="P417" s="17">
        <f>1-(COUNTIF(O:O,_xlfn.TEXTJOIN(",",TRUE,テーブル1[[#This Row],[リンク]],テーブル1[[#This Row],[描画状況]]))/COUNTIF(F:F,テーブル1[[#This Row],[リンク]]))</f>
        <v>7.1428571428571397E-2</v>
      </c>
      <c r="Q417" s="16">
        <f ca="1">IFERROR(IF(テーブル1[[#This Row],[描画状況]]="",RAND()+(テーブル1[[#This Row],[列2]]*100),""),RAND())</f>
        <v>8.1265958625041392</v>
      </c>
      <c r="S417" s="24" t="str">
        <f ca="1">IF(AND(テーブル1[[#This Row],[描画状況]]="済",テーブル1[[#This Row],[投稿状況]]=""),RAND(),"")</f>
        <v/>
      </c>
      <c r="T417" s="23" t="str">
        <f>"|&amp;image("&amp;テーブル1[[#This Row],[画像]]&amp;".png,width=100,height=100)"</f>
        <v>|&amp;image(riei-haiko.png,width=100,height=100)</v>
      </c>
      <c r="U417" s="23" t="str">
        <f>"|MIDDLE:​"&amp;テーブル1[[#This Row],[名前]]</f>
        <v>|MIDDLE:​理詠灰子</v>
      </c>
      <c r="V417" s="23" t="str">
        <f>"|MIDDLE:​"&amp;テーブル1[[#This Row],[なまえ]]</f>
        <v>|MIDDLE:​りえい はいこ</v>
      </c>
      <c r="W417" s="23" t="str">
        <f>"|MIDDLE:​"&amp;テーブル1[[#This Row],[Name]]</f>
        <v>|MIDDLE:​Riei Haiko</v>
      </c>
      <c r="X417" s="23" t="str">
        <f>"|MIDDLE:​&amp;link(配布所はこちら){​"&amp;テーブル1[[#This Row],[リンク]]&amp;"}|"</f>
        <v>|MIDDLE:​&amp;link(配布所はこちら){​https://yukimiyashimusho.jimdofree.com}|</v>
      </c>
    </row>
    <row r="418" spans="2:24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18" s="24" t="s">
        <v>841</v>
      </c>
      <c r="D418" s="23" t="s">
        <v>842</v>
      </c>
      <c r="E418" s="23" t="s">
        <v>843</v>
      </c>
      <c r="F418" s="2" t="s">
        <v>833</v>
      </c>
      <c r="G418" s="23" t="s">
        <v>834</v>
      </c>
      <c r="O418" s="24" t="str">
        <f>テーブル1[[#This Row],[リンク]]&amp;テーブル1[[#This Row],[描画状況]]</f>
        <v>https://kaedekatusaki.wixsite.com/yanagiroutyou</v>
      </c>
      <c r="P418" s="17">
        <f>1-(COUNTIF(O:O,_xlfn.TEXTJOIN(",",TRUE,テーブル1[[#This Row],[リンク]],テーブル1[[#This Row],[描画状況]]))/COUNTIF(F:F,テーブル1[[#This Row],[リンク]]))</f>
        <v>0.125</v>
      </c>
      <c r="Q418" s="16">
        <f ca="1">IFERROR(IF(テーブル1[[#This Row],[描画状況]]="",RAND()+(テーブル1[[#This Row],[列2]]*100),""),RAND())</f>
        <v>13.006951266841494</v>
      </c>
      <c r="S418" s="24" t="str">
        <f ca="1">IF(AND(テーブル1[[#This Row],[描画状況]]="済",テーブル1[[#This Row],[投稿状況]]=""),RAND(),"")</f>
        <v/>
      </c>
      <c r="T418" s="23" t="str">
        <f>"|&amp;image("&amp;テーブル1[[#This Row],[画像]]&amp;".png,width=100,height=100)"</f>
        <v>|&amp;image(rion-nyui.png,width=100,height=100)</v>
      </c>
      <c r="U418" s="23" t="str">
        <f>"|MIDDLE:​"&amp;テーブル1[[#This Row],[名前]]</f>
        <v>|MIDDLE:​理音ニュイ</v>
      </c>
      <c r="V418" s="23" t="str">
        <f>"|MIDDLE:​"&amp;テーブル1[[#This Row],[なまえ]]</f>
        <v>|MIDDLE:​りおん にゅい</v>
      </c>
      <c r="W418" s="23" t="str">
        <f>"|MIDDLE:​"&amp;テーブル1[[#This Row],[Name]]</f>
        <v>|MIDDLE:​Rion Nyui</v>
      </c>
      <c r="X41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19" spans="2:24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19" s="24" t="s">
        <v>610</v>
      </c>
      <c r="D419" s="23" t="s">
        <v>611</v>
      </c>
      <c r="E419" s="23" t="s">
        <v>612</v>
      </c>
      <c r="F419" s="2" t="s">
        <v>202</v>
      </c>
      <c r="G419" s="23" t="s">
        <v>203</v>
      </c>
      <c r="O419" s="24" t="str">
        <f>テーブル1[[#This Row],[リンク]]&amp;テーブル1[[#This Row],[描画状況]]</f>
        <v>https://mareffys.wixsite.com/lalo</v>
      </c>
      <c r="P419" s="17">
        <f>1-(COUNTIF(O:O,_xlfn.TEXTJOIN(",",TRUE,テーブル1[[#This Row],[リンク]],テーブル1[[#This Row],[描画状況]]))/COUNTIF(F:F,テーブル1[[#This Row],[リンク]]))</f>
        <v>0.66666666666666674</v>
      </c>
      <c r="Q419" s="16">
        <f ca="1">IFERROR(IF(テーブル1[[#This Row],[描画状況]]="",RAND()+(テーブル1[[#This Row],[列2]]*100),""),RAND())</f>
        <v>67.619004541395057</v>
      </c>
      <c r="S419" s="24" t="str">
        <f ca="1">IF(AND(テーブル1[[#This Row],[描画状況]]="済",テーブル1[[#This Row],[投稿状況]]=""),RAND(),"")</f>
        <v/>
      </c>
      <c r="T419" s="23" t="str">
        <f>"|&amp;image("&amp;テーブル1[[#This Row],[画像]]&amp;".png,width=100,height=100)"</f>
        <v>|&amp;image(rizuka.png,width=100,height=100)</v>
      </c>
      <c r="U419" s="23" t="str">
        <f>"|MIDDLE:​"&amp;テーブル1[[#This Row],[名前]]</f>
        <v>|MIDDLE:​リズカ</v>
      </c>
      <c r="V419" s="23" t="str">
        <f>"|MIDDLE:​"&amp;テーブル1[[#This Row],[なまえ]]</f>
        <v>|MIDDLE:​りずか</v>
      </c>
      <c r="W419" s="23" t="str">
        <f>"|MIDDLE:​"&amp;テーブル1[[#This Row],[Name]]</f>
        <v>|MIDDLE:​Rizuka</v>
      </c>
      <c r="X419" s="23" t="str">
        <f>"|MIDDLE:​&amp;link(配布所はこちら){​"&amp;テーブル1[[#This Row],[リンク]]&amp;"}|"</f>
        <v>|MIDDLE:​&amp;link(配布所はこちら){​https://mareffys.wixsite.com/lalo}|</v>
      </c>
    </row>
    <row r="420" spans="2:24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0" s="24" t="s">
        <v>786</v>
      </c>
      <c r="D420" s="24" t="s">
        <v>786</v>
      </c>
      <c r="E420" s="23" t="s">
        <v>787</v>
      </c>
      <c r="F420" s="15" t="s">
        <v>778</v>
      </c>
      <c r="G420" s="23" t="str">
        <f>テーブル1[[#This Row],[名前]]&amp;"(UTAU)"</f>
        <v>りせとたん(UTAU)</v>
      </c>
      <c r="M420" s="1" t="s">
        <v>1517</v>
      </c>
      <c r="O420" s="24" t="str">
        <f>テーブル1[[#This Row],[リンク]]&amp;テーブル1[[#This Row],[描画状況]]</f>
        <v>https://cmamizki.wixsite.com/edelstein</v>
      </c>
      <c r="P420" s="17">
        <f>1-(COUNTIF(O:O,_xlfn.TEXTJOIN(",",TRUE,テーブル1[[#This Row],[リンク]],テーブル1[[#This Row],[描画状況]]))/COUNTIF(F:F,テーブル1[[#This Row],[リンク]]))</f>
        <v>9.0909090909090939E-2</v>
      </c>
      <c r="Q420" s="16">
        <f ca="1">IFERROR(IF(テーブル1[[#This Row],[描画状況]]="",RAND()+(テーブル1[[#This Row],[列2]]*100),""),RAND())</f>
        <v>9.8261585320900178</v>
      </c>
      <c r="S420" s="24" t="str">
        <f ca="1">IF(AND(テーブル1[[#This Row],[描画状況]]="済",テーブル1[[#This Row],[投稿状況]]=""),RAND(),"")</f>
        <v/>
      </c>
      <c r="T420" s="23" t="str">
        <f>"|&amp;image("&amp;テーブル1[[#This Row],[画像]]&amp;".png,width=100,height=100)"</f>
        <v>|&amp;image(risetotan.png,width=100,height=100)</v>
      </c>
      <c r="U420" s="23" t="str">
        <f>"|MIDDLE:​"&amp;テーブル1[[#This Row],[名前]]</f>
        <v>|MIDDLE:​りせとたん</v>
      </c>
      <c r="V420" s="23" t="str">
        <f>"|MIDDLE:​"&amp;テーブル1[[#This Row],[なまえ]]</f>
        <v>|MIDDLE:​りせとたん</v>
      </c>
      <c r="W420" s="23" t="str">
        <f>"|MIDDLE:​"&amp;テーブル1[[#This Row],[Name]]</f>
        <v>|MIDDLE:​Risetotan</v>
      </c>
      <c r="X420" s="23" t="str">
        <f>"|MIDDLE:​&amp;link(配布所はこちら){​"&amp;テーブル1[[#This Row],[リンク]]&amp;"}|"</f>
        <v>|MIDDLE:​&amp;link(配布所はこちら){​https://cmamizki.wixsite.com/edelstein}|</v>
      </c>
    </row>
    <row r="421" spans="2:24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1" s="24" t="s">
        <v>1123</v>
      </c>
      <c r="D421" s="24" t="s">
        <v>1123</v>
      </c>
      <c r="E421" s="23" t="s">
        <v>1124</v>
      </c>
      <c r="F421" s="15" t="s">
        <v>1143</v>
      </c>
      <c r="G421" s="23" t="str">
        <f>テーブル1[[#This Row],[名前]]&amp;"(UTAU)"</f>
        <v>りるっぽいど(UTAU)</v>
      </c>
      <c r="O421" s="24" t="str">
        <f>テーブル1[[#This Row],[リンク]]&amp;テーブル1[[#This Row],[描画状況]]</f>
        <v>https://yautau.wixsite.com/0909</v>
      </c>
      <c r="P421" s="17">
        <f>1-(COUNTIF(O:O,_xlfn.TEXTJOIN(",",TRUE,テーブル1[[#This Row],[リンク]],テーブル1[[#This Row],[描画状況]]))/COUNTIF(F:F,テーブル1[[#This Row],[リンク]]))</f>
        <v>0.125</v>
      </c>
      <c r="Q421" s="16">
        <f ca="1">IFERROR(IF(テーブル1[[#This Row],[描画状況]]="",RAND()+(テーブル1[[#This Row],[列2]]*100),""),RAND())</f>
        <v>12.844506403766887</v>
      </c>
      <c r="S421" s="24" t="str">
        <f ca="1">IF(AND(テーブル1[[#This Row],[描画状況]]="済",テーブル1[[#This Row],[投稿状況]]=""),RAND(),"")</f>
        <v/>
      </c>
      <c r="T421" s="23" t="str">
        <f>"|&amp;image("&amp;テーブル1[[#This Row],[画像]]&amp;".png,width=100,height=100)"</f>
        <v>|&amp;image(liluppoid.png,width=100,height=100)</v>
      </c>
      <c r="U421" s="23" t="str">
        <f>"|MIDDLE:​"&amp;テーブル1[[#This Row],[名前]]</f>
        <v>|MIDDLE:​りるっぽいど</v>
      </c>
      <c r="V421" s="23" t="str">
        <f>"|MIDDLE:​"&amp;テーブル1[[#This Row],[なまえ]]</f>
        <v>|MIDDLE:​りるっぽいど</v>
      </c>
      <c r="W421" s="23" t="str">
        <f>"|MIDDLE:​"&amp;テーブル1[[#This Row],[Name]]</f>
        <v>|MIDDLE:​Liluppoid</v>
      </c>
      <c r="X421" s="23" t="str">
        <f>"|MIDDLE:​&amp;link(配布所はこちら){​"&amp;テーブル1[[#This Row],[リンク]]&amp;"}|"</f>
        <v>|MIDDLE:​&amp;link(配布所はこちら){​https://yautau.wixsite.com/0909}|</v>
      </c>
    </row>
    <row r="422" spans="2:24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2" s="24" t="s">
        <v>1338</v>
      </c>
      <c r="D422" s="23" t="s">
        <v>1341</v>
      </c>
      <c r="E422" s="23" t="s">
        <v>1340</v>
      </c>
      <c r="F422" s="15" t="s">
        <v>1339</v>
      </c>
      <c r="G422" s="23" t="str">
        <f>テーブル1[[#This Row],[名前]]&amp;"(UTAU)"</f>
        <v>ルーク(UTAU)</v>
      </c>
      <c r="O422" s="24" t="str">
        <f>テーブル1[[#This Row],[リンク]]&amp;テーブル1[[#This Row],[描画状況]]</f>
        <v>https://rook-utau.jimdosite.com</v>
      </c>
      <c r="P422" s="17">
        <f>1-(COUNTIF(O:O,_xlfn.TEXTJOIN(",",TRUE,テーブル1[[#This Row],[リンク]],テーブル1[[#This Row],[描画状況]]))/COUNTIF(F:F,テーブル1[[#This Row],[リンク]]))</f>
        <v>0</v>
      </c>
      <c r="Q422" s="16">
        <f ca="1">IFERROR(IF(テーブル1[[#This Row],[描画状況]]="",RAND()+(テーブル1[[#This Row],[列2]]*100),""),RAND())</f>
        <v>0.26933049625032468</v>
      </c>
      <c r="S422" s="24" t="str">
        <f ca="1">IF(AND(テーブル1[[#This Row],[描画状況]]="済",テーブル1[[#This Row],[投稿状況]]=""),RAND(),"")</f>
        <v/>
      </c>
      <c r="T422" s="23" t="str">
        <f>"|&amp;image("&amp;テーブル1[[#This Row],[画像]]&amp;".png,width=100,height=100)"</f>
        <v>|&amp;image(rook.png,width=100,height=100)</v>
      </c>
      <c r="U422" s="23" t="str">
        <f>"|MIDDLE:​"&amp;テーブル1[[#This Row],[名前]]</f>
        <v>|MIDDLE:​ルーク</v>
      </c>
      <c r="V422" s="23" t="str">
        <f>"|MIDDLE:​"&amp;テーブル1[[#This Row],[なまえ]]</f>
        <v>|MIDDLE:​るーく</v>
      </c>
      <c r="W422" s="23" t="str">
        <f>"|MIDDLE:​"&amp;テーブル1[[#This Row],[Name]]</f>
        <v>|MIDDLE:​Rook</v>
      </c>
      <c r="X422" s="23" t="str">
        <f>"|MIDDLE:​&amp;link(配布所はこちら){​"&amp;テーブル1[[#This Row],[リンク]]&amp;"}|"</f>
        <v>|MIDDLE:​&amp;link(配布所はこちら){​https://rook-utau.jimdosite.com}|</v>
      </c>
    </row>
    <row r="423" spans="2:24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3" s="24" t="s">
        <v>788</v>
      </c>
      <c r="D423" s="23" t="s">
        <v>789</v>
      </c>
      <c r="E423" s="23" t="s">
        <v>790</v>
      </c>
      <c r="F423" s="15" t="s">
        <v>778</v>
      </c>
      <c r="G423" s="23" t="str">
        <f>テーブル1[[#This Row],[名前]]&amp;"(UTAU)"</f>
        <v>ルート(UTAU)</v>
      </c>
      <c r="M423" s="1" t="s">
        <v>1517</v>
      </c>
      <c r="O423" s="24" t="str">
        <f>テーブル1[[#This Row],[リンク]]&amp;テーブル1[[#This Row],[描画状況]]</f>
        <v>https://cmamizki.wixsite.com/edelstein</v>
      </c>
      <c r="P423" s="17">
        <f>1-(COUNTIF(O:O,_xlfn.TEXTJOIN(",",TRUE,テーブル1[[#This Row],[リンク]],テーブル1[[#This Row],[描画状況]]))/COUNTIF(F:F,テーブル1[[#This Row],[リンク]]))</f>
        <v>9.0909090909090939E-2</v>
      </c>
      <c r="Q423" s="16">
        <f ca="1">IFERROR(IF(テーブル1[[#This Row],[描画状況]]="",RAND()+(テーブル1[[#This Row],[列2]]*100),""),RAND())</f>
        <v>9.175168795379113</v>
      </c>
      <c r="S423" s="24" t="str">
        <f ca="1">IF(AND(テーブル1[[#This Row],[描画状況]]="済",テーブル1[[#This Row],[投稿状況]]=""),RAND(),"")</f>
        <v/>
      </c>
      <c r="T423" s="23" t="str">
        <f>"|&amp;image("&amp;テーブル1[[#This Row],[画像]]&amp;".png,width=100,height=100)"</f>
        <v>|&amp;image(root.png,width=100,height=100)</v>
      </c>
      <c r="U423" s="23" t="str">
        <f>"|MIDDLE:​"&amp;テーブル1[[#This Row],[名前]]</f>
        <v>|MIDDLE:​ルート</v>
      </c>
      <c r="V423" s="23" t="str">
        <f>"|MIDDLE:​"&amp;テーブル1[[#This Row],[なまえ]]</f>
        <v>|MIDDLE:​るーと</v>
      </c>
      <c r="W423" s="23" t="str">
        <f>"|MIDDLE:​"&amp;テーブル1[[#This Row],[Name]]</f>
        <v>|MIDDLE:​Root</v>
      </c>
      <c r="X423" s="23" t="str">
        <f>"|MIDDLE:​&amp;link(配布所はこちら){​"&amp;テーブル1[[#This Row],[リンク]]&amp;"}|"</f>
        <v>|MIDDLE:​&amp;link(配布所はこちら){​https://cmamizki.wixsite.com/edelstein}|</v>
      </c>
    </row>
    <row r="424" spans="2:24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4" s="24" t="s">
        <v>803</v>
      </c>
      <c r="D424" s="23" t="s">
        <v>804</v>
      </c>
      <c r="E424" s="23" t="s">
        <v>803</v>
      </c>
      <c r="F424" s="15" t="s">
        <v>778</v>
      </c>
      <c r="G424" s="23" t="str">
        <f>テーブル1[[#This Row],[名前]]&amp;"(UTAU)"</f>
        <v>Wraith(UTAU)</v>
      </c>
      <c r="M424" s="1" t="s">
        <v>1517</v>
      </c>
      <c r="O424" s="24" t="str">
        <f>テーブル1[[#This Row],[リンク]]&amp;テーブル1[[#This Row],[描画状況]]</f>
        <v>https://cmamizki.wixsite.com/edelstein</v>
      </c>
      <c r="P424" s="17">
        <f>1-(COUNTIF(O:O,_xlfn.TEXTJOIN(",",TRUE,テーブル1[[#This Row],[リンク]],テーブル1[[#This Row],[描画状況]]))/COUNTIF(F:F,テーブル1[[#This Row],[リンク]]))</f>
        <v>9.0909090909090939E-2</v>
      </c>
      <c r="Q424" s="16">
        <f ca="1">IFERROR(IF(テーブル1[[#This Row],[描画状況]]="",RAND()+(テーブル1[[#This Row],[列2]]*100),""),RAND())</f>
        <v>9.8397827374964866</v>
      </c>
      <c r="S424" s="24" t="str">
        <f ca="1">IF(AND(テーブル1[[#This Row],[描画状況]]="済",テーブル1[[#This Row],[投稿状況]]=""),RAND(),"")</f>
        <v/>
      </c>
      <c r="T424" s="23" t="str">
        <f>"|&amp;image("&amp;テーブル1[[#This Row],[画像]]&amp;".png,width=100,height=100)"</f>
        <v>|&amp;image(wraith.png,width=100,height=100)</v>
      </c>
      <c r="U424" s="23" t="str">
        <f>"|MIDDLE:​"&amp;テーブル1[[#This Row],[名前]]</f>
        <v>|MIDDLE:​Wraith</v>
      </c>
      <c r="V424" s="23" t="str">
        <f>"|MIDDLE:​"&amp;テーブル1[[#This Row],[なまえ]]</f>
        <v>|MIDDLE:​れいす</v>
      </c>
      <c r="W424" s="23" t="str">
        <f>"|MIDDLE:​"&amp;テーブル1[[#This Row],[Name]]</f>
        <v>|MIDDLE:​Wraith</v>
      </c>
      <c r="X424" s="23" t="str">
        <f>"|MIDDLE:​&amp;link(配布所はこちら){​"&amp;テーブル1[[#This Row],[リンク]]&amp;"}|"</f>
        <v>|MIDDLE:​&amp;link(配布所はこちら){​https://cmamizki.wixsite.com/edelstein}|</v>
      </c>
    </row>
    <row r="425" spans="2:24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5" s="24" t="s">
        <v>1120</v>
      </c>
      <c r="D425" s="23" t="s">
        <v>1121</v>
      </c>
      <c r="E425" s="23" t="s">
        <v>1122</v>
      </c>
      <c r="F425" s="15" t="s">
        <v>1143</v>
      </c>
      <c r="G425" s="23" t="str">
        <f>テーブル1[[#This Row],[名前]]&amp;"(UTAU)"</f>
        <v>RECU(UTAU)</v>
      </c>
      <c r="O425" s="24" t="str">
        <f>テーブル1[[#This Row],[リンク]]&amp;テーブル1[[#This Row],[描画状況]]</f>
        <v>https://yautau.wixsite.com/0909</v>
      </c>
      <c r="P425" s="17">
        <f>1-(COUNTIF(O:O,_xlfn.TEXTJOIN(",",TRUE,テーブル1[[#This Row],[リンク]],テーブル1[[#This Row],[描画状況]]))/COUNTIF(F:F,テーブル1[[#This Row],[リンク]]))</f>
        <v>0.125</v>
      </c>
      <c r="Q425" s="16">
        <f ca="1">IFERROR(IF(テーブル1[[#This Row],[描画状況]]="",RAND()+(テーブル1[[#This Row],[列2]]*100),""),RAND())</f>
        <v>12.888375518795836</v>
      </c>
      <c r="S425" s="24" t="str">
        <f ca="1">IF(AND(テーブル1[[#This Row],[描画状況]]="済",テーブル1[[#This Row],[投稿状況]]=""),RAND(),"")</f>
        <v/>
      </c>
      <c r="T425" s="23" t="str">
        <f>"|&amp;image("&amp;テーブル1[[#This Row],[画像]]&amp;".png,width=100,height=100)"</f>
        <v>|&amp;image(recu.png,width=100,height=100)</v>
      </c>
      <c r="U425" s="23" t="str">
        <f>"|MIDDLE:​"&amp;テーブル1[[#This Row],[名前]]</f>
        <v>|MIDDLE:​RECU</v>
      </c>
      <c r="V425" s="23" t="str">
        <f>"|MIDDLE:​"&amp;テーブル1[[#This Row],[なまえ]]</f>
        <v>|MIDDLE:​れく</v>
      </c>
      <c r="W425" s="23" t="str">
        <f>"|MIDDLE:​"&amp;テーブル1[[#This Row],[Name]]</f>
        <v>|MIDDLE:​Recu</v>
      </c>
      <c r="X425" s="23" t="str">
        <f>"|MIDDLE:​&amp;link(配布所はこちら){​"&amp;テーブル1[[#This Row],[リンク]]&amp;"}|"</f>
        <v>|MIDDLE:​&amp;link(配布所はこちら){​https://yautau.wixsite.com/0909}|</v>
      </c>
    </row>
    <row r="426" spans="2:24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6" s="24" t="s">
        <v>964</v>
      </c>
      <c r="D426" s="23" t="s">
        <v>965</v>
      </c>
      <c r="E426" s="23" t="s">
        <v>969</v>
      </c>
      <c r="F426" s="2" t="s">
        <v>1703</v>
      </c>
      <c r="G426" s="23" t="str">
        <f>テーブル1[[#This Row],[名前]]&amp;"(UTAU)"</f>
        <v>レフア・アパパネ(UTAU)</v>
      </c>
      <c r="H426" s="23" t="s">
        <v>1626</v>
      </c>
      <c r="I426" s="23" t="s">
        <v>1706</v>
      </c>
      <c r="L426" s="23" t="s">
        <v>1707</v>
      </c>
      <c r="M426" s="1" t="s">
        <v>1518</v>
      </c>
      <c r="O426" s="24" t="str">
        <f>テーブル1[[#This Row],[リンク]]&amp;テーブル1[[#This Row],[描画状況]]</f>
        <v>https://ameutaulii.wixsite.com/telepathycapsule</v>
      </c>
      <c r="P426" s="17">
        <f>1-(COUNTIF(O:O,_xlfn.TEXTJOIN(",",TRUE,テーブル1[[#This Row],[リンク]],テーブル1[[#This Row],[描画状況]]))/COUNTIF(F:F,テーブル1[[#This Row],[リンク]]))</f>
        <v>0.16666666666666663</v>
      </c>
      <c r="Q426" s="16">
        <f ca="1">IFERROR(IF(テーブル1[[#This Row],[描画状況]]="",RAND()+(テーブル1[[#This Row],[列2]]*100),""),RAND())</f>
        <v>16.978424950158161</v>
      </c>
      <c r="S426" s="24" t="str">
        <f ca="1">IF(AND(テーブル1[[#This Row],[描画状況]]="済",テーブル1[[#This Row],[投稿状況]]=""),RAND(),"")</f>
        <v/>
      </c>
      <c r="T426" s="23" t="str">
        <f>"|&amp;image("&amp;テーブル1[[#This Row],[画像]]&amp;".png,width=100,height=100)"</f>
        <v>|&amp;image(refua-apapane.png,width=100,height=100)</v>
      </c>
      <c r="U426" s="23" t="str">
        <f>"|MIDDLE:​"&amp;テーブル1[[#This Row],[名前]]</f>
        <v>|MIDDLE:​レフア・アパパネ</v>
      </c>
      <c r="V426" s="23" t="str">
        <f>"|MIDDLE:​"&amp;テーブル1[[#This Row],[なまえ]]</f>
        <v>|MIDDLE:​れふあ あぱぱね</v>
      </c>
      <c r="W426" s="23" t="str">
        <f>"|MIDDLE:​"&amp;テーブル1[[#This Row],[Name]]</f>
        <v>|MIDDLE:​Refua Apapane</v>
      </c>
      <c r="X4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7" spans="2:24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7" s="24" t="s">
        <v>1000</v>
      </c>
      <c r="D427" s="23" t="s">
        <v>1002</v>
      </c>
      <c r="E427" s="23" t="s">
        <v>1001</v>
      </c>
      <c r="F427" s="2" t="s">
        <v>572</v>
      </c>
      <c r="G427" s="23" t="s">
        <v>573</v>
      </c>
      <c r="M427" s="1" t="s">
        <v>1517</v>
      </c>
      <c r="O427" s="24" t="str">
        <f>テーブル1[[#This Row],[リンク]]&amp;テーブル1[[#This Row],[描画状況]]</f>
        <v>https://askdance.wixsite.com/monitor-room/monitor-room</v>
      </c>
      <c r="P427" s="17">
        <f>1-(COUNTIF(O:O,_xlfn.TEXTJOIN(",",TRUE,テーブル1[[#This Row],[リンク]],テーブル1[[#This Row],[描画状況]]))/COUNTIF(F:F,テーブル1[[#This Row],[リンク]]))</f>
        <v>9.9999999999999978E-2</v>
      </c>
      <c r="Q427" s="16">
        <f ca="1">IFERROR(IF(テーブル1[[#This Row],[描画状況]]="",RAND()+(テーブル1[[#This Row],[列2]]*100),""),RAND())</f>
        <v>10.277722133206874</v>
      </c>
      <c r="S427" s="24" t="str">
        <f ca="1">IF(AND(テーブル1[[#This Row],[描画状況]]="済",テーブル1[[#This Row],[投稿状況]]=""),RAND(),"")</f>
        <v/>
      </c>
      <c r="T427" s="23" t="str">
        <f>"|&amp;image("&amp;テーブル1[[#This Row],[画像]]&amp;".png,width=100,height=100)"</f>
        <v>|&amp;image(rokushichi-juzou.png,width=100,height=100)</v>
      </c>
      <c r="U427" s="23" t="str">
        <f>"|MIDDLE:​"&amp;テーブル1[[#This Row],[名前]]</f>
        <v>|MIDDLE:​六七十三</v>
      </c>
      <c r="V427" s="23" t="str">
        <f>"|MIDDLE:​"&amp;テーブル1[[#This Row],[なまえ]]</f>
        <v>|MIDDLE:​ろくしち じゅうぞう</v>
      </c>
      <c r="W427" s="23" t="str">
        <f>"|MIDDLE:​"&amp;テーブル1[[#This Row],[Name]]</f>
        <v>|MIDDLE:​Rokushichi Juzou</v>
      </c>
      <c r="X42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28" spans="2:24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28" s="24" t="s">
        <v>884</v>
      </c>
      <c r="D428" s="23" t="s">
        <v>885</v>
      </c>
      <c r="E428" s="23" t="s">
        <v>886</v>
      </c>
      <c r="F428" s="2" t="s">
        <v>887</v>
      </c>
      <c r="G428" s="23" t="s">
        <v>888</v>
      </c>
      <c r="O428" s="24" t="str">
        <f>テーブル1[[#This Row],[リンク]]&amp;テーブル1[[#This Row],[描画状況]]</f>
        <v>https://rokune.blogspot.com/2012/07/blog-post.html</v>
      </c>
      <c r="P428" s="17">
        <f>1-(COUNTIF(O:O,_xlfn.TEXTJOIN(",",TRUE,テーブル1[[#This Row],[リンク]],テーブル1[[#This Row],[描画状況]]))/COUNTIF(F:F,テーブル1[[#This Row],[リンク]]))</f>
        <v>0</v>
      </c>
      <c r="Q428" s="16">
        <f ca="1">IFERROR(IF(テーブル1[[#This Row],[描画状況]]="",RAND()+(テーブル1[[#This Row],[列2]]*100),""),RAND())</f>
        <v>0.28633421861841468</v>
      </c>
      <c r="S428" s="24" t="str">
        <f ca="1">IF(AND(テーブル1[[#This Row],[描画状況]]="済",テーブル1[[#This Row],[投稿状況]]=""),RAND(),"")</f>
        <v/>
      </c>
      <c r="T428" s="23" t="str">
        <f>"|&amp;image("&amp;テーブル1[[#This Row],[画像]]&amp;".png,width=100,height=100)"</f>
        <v>|&amp;image(rokune-zon.png,width=100,height=100)</v>
      </c>
      <c r="U428" s="23" t="str">
        <f>"|MIDDLE:​"&amp;テーブル1[[#This Row],[名前]]</f>
        <v>|MIDDLE:​鹿音ゾン</v>
      </c>
      <c r="V428" s="23" t="str">
        <f>"|MIDDLE:​"&amp;テーブル1[[#This Row],[なまえ]]</f>
        <v>|MIDDLE:​ろくね ぞん</v>
      </c>
      <c r="W428" s="23" t="str">
        <f>"|MIDDLE:​"&amp;テーブル1[[#This Row],[Name]]</f>
        <v>|MIDDLE:​Rokune Zon</v>
      </c>
      <c r="X428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29" spans="2:24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29" s="24" t="s">
        <v>1220</v>
      </c>
      <c r="D429" s="23" t="s">
        <v>1242</v>
      </c>
      <c r="E429" s="23" t="s">
        <v>1241</v>
      </c>
      <c r="F429" s="15" t="s">
        <v>339</v>
      </c>
      <c r="G429" s="23" t="s">
        <v>340</v>
      </c>
      <c r="O429" s="24" t="str">
        <f>テーブル1[[#This Row],[リンク]]&amp;テーブル1[[#This Row],[描画状況]]</f>
        <v>https://torinosu-hikikomori.jimdofree.com</v>
      </c>
      <c r="P429" s="17">
        <f>1-(COUNTIF(O:O,_xlfn.TEXTJOIN(",",TRUE,テーブル1[[#This Row],[リンク]],テーブル1[[#This Row],[描画状況]]))/COUNTIF(F:F,テーブル1[[#This Row],[リンク]]))</f>
        <v>0.125</v>
      </c>
      <c r="Q429" s="16">
        <f ca="1">IFERROR(IF(テーブル1[[#This Row],[描画状況]]="",RAND()+(テーブル1[[#This Row],[列2]]*100),""),RAND())</f>
        <v>13.183991691483865</v>
      </c>
      <c r="S429" s="24" t="str">
        <f ca="1">IF(AND(テーブル1[[#This Row],[描画状況]]="済",テーブル1[[#This Row],[投稿状況]]=""),RAND(),"")</f>
        <v/>
      </c>
      <c r="T429" s="23" t="str">
        <f>"|&amp;image("&amp;テーブル1[[#This Row],[画像]]&amp;".png,width=100,height=100)"</f>
        <v>|&amp;image(rote-dokuho.png,width=100,height=100)</v>
      </c>
      <c r="U429" s="23" t="str">
        <f>"|MIDDLE:​"&amp;テーブル1[[#This Row],[名前]]</f>
        <v>|MIDDLE:​炉手独歩</v>
      </c>
      <c r="V429" s="23" t="str">
        <f>"|MIDDLE:​"&amp;テーブル1[[#This Row],[なまえ]]</f>
        <v>|MIDDLE:​ろて どくほ</v>
      </c>
      <c r="W429" s="23" t="str">
        <f>"|MIDDLE:​"&amp;テーブル1[[#This Row],[Name]]</f>
        <v>|MIDDLE:​Rote dokuho</v>
      </c>
      <c r="X429" s="23" t="str">
        <f>"|MIDDLE:​&amp;link(配布所はこちら){​"&amp;テーブル1[[#This Row],[リンク]]&amp;"}|"</f>
        <v>|MIDDLE:​&amp;link(配布所はこちら){​https://torinosu-hikikomori.jimdofree.com}|</v>
      </c>
    </row>
    <row r="430" spans="2:24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0" s="24" t="s">
        <v>876</v>
      </c>
      <c r="D430" s="23" t="s">
        <v>877</v>
      </c>
      <c r="E430" s="23" t="s">
        <v>876</v>
      </c>
      <c r="F430" s="2" t="s">
        <v>878</v>
      </c>
      <c r="G430" s="23" t="s">
        <v>879</v>
      </c>
      <c r="O430" s="24" t="str">
        <f>テーブル1[[#This Row],[リンク]]&amp;テーブル1[[#This Row],[描画状況]]</f>
        <v>https://1996waishatu1002.wixsite.com/y-to-r-to-w-to</v>
      </c>
      <c r="P430" s="17">
        <f>1-(COUNTIF(O:O,_xlfn.TEXTJOIN(",",TRUE,テーブル1[[#This Row],[リンク]],テーブル1[[#This Row],[描画状況]]))/COUNTIF(F:F,テーブル1[[#This Row],[リンク]]))</f>
        <v>0</v>
      </c>
      <c r="Q430" s="16">
        <f ca="1">IFERROR(IF(テーブル1[[#This Row],[描画状況]]="",RAND()+(テーブル1[[#This Row],[列2]]*100),""),RAND())</f>
        <v>0.57681940386449204</v>
      </c>
      <c r="S430" s="24" t="str">
        <f ca="1">IF(AND(テーブル1[[#This Row],[描画状況]]="済",テーブル1[[#This Row],[投稿状況]]=""),RAND(),"")</f>
        <v/>
      </c>
      <c r="T430" s="23" t="str">
        <f>"|&amp;image("&amp;テーブル1[[#This Row],[画像]]&amp;".png,width=100,height=100)"</f>
        <v>|&amp;image(y-r.png,width=100,height=100)</v>
      </c>
      <c r="U430" s="23" t="str">
        <f>"|MIDDLE:​"&amp;テーブル1[[#This Row],[名前]]</f>
        <v>|MIDDLE:​Y-R</v>
      </c>
      <c r="V430" s="23" t="str">
        <f>"|MIDDLE:​"&amp;テーブル1[[#This Row],[なまえ]]</f>
        <v>|MIDDLE:​わいあーる</v>
      </c>
      <c r="W430" s="23" t="str">
        <f>"|MIDDLE:​"&amp;テーブル1[[#This Row],[Name]]</f>
        <v>|MIDDLE:​Y-R</v>
      </c>
      <c r="X430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1" spans="2:24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1" s="24" t="s">
        <v>881</v>
      </c>
      <c r="D431" s="23" t="s">
        <v>882</v>
      </c>
      <c r="E431" s="23" t="s">
        <v>883</v>
      </c>
      <c r="F431" s="2" t="s">
        <v>880</v>
      </c>
      <c r="G431" s="23" t="str">
        <f>テーブル1[[#This Row],[名前]]&amp;"(UTAU)"</f>
        <v>惑星(UTAU)</v>
      </c>
      <c r="O431" s="24" t="str">
        <f>テーブル1[[#This Row],[リンク]]&amp;テーブル1[[#This Row],[描画状況]]</f>
        <v>https://mouzhize.wixsite.com/utauwakusei?lang=ja</v>
      </c>
      <c r="P431" s="17">
        <f>1-(COUNTIF(O:O,_xlfn.TEXTJOIN(",",TRUE,テーブル1[[#This Row],[リンク]],テーブル1[[#This Row],[描画状況]]))/COUNTIF(F:F,テーブル1[[#This Row],[リンク]]))</f>
        <v>0</v>
      </c>
      <c r="Q431" s="16">
        <f ca="1">IFERROR(IF(テーブル1[[#This Row],[描画状況]]="",RAND()+(テーブル1[[#This Row],[列2]]*100),""),RAND())</f>
        <v>0.24975722404537481</v>
      </c>
      <c r="S431" s="24" t="str">
        <f ca="1">IF(AND(テーブル1[[#This Row],[描画状況]]="済",テーブル1[[#This Row],[投稿状況]]=""),RAND(),"")</f>
        <v/>
      </c>
      <c r="T431" s="23" t="str">
        <f>"|&amp;image("&amp;テーブル1[[#This Row],[画像]]&amp;".png,width=100,height=100)"</f>
        <v>|&amp;image(wakusei.png,width=100,height=100)</v>
      </c>
      <c r="U431" s="23" t="str">
        <f>"|MIDDLE:​"&amp;テーブル1[[#This Row],[名前]]</f>
        <v>|MIDDLE:​惑星</v>
      </c>
      <c r="V431" s="23" t="str">
        <f>"|MIDDLE:​"&amp;テーブル1[[#This Row],[なまえ]]</f>
        <v>|MIDDLE:​わくせい</v>
      </c>
      <c r="W431" s="23" t="str">
        <f>"|MIDDLE:​"&amp;テーブル1[[#This Row],[Name]]</f>
        <v>|MIDDLE:​Wakusei</v>
      </c>
      <c r="X431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2" spans="2:24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2" s="24" t="s">
        <v>1555</v>
      </c>
      <c r="D432" s="23" t="s">
        <v>1556</v>
      </c>
      <c r="E432" s="23" t="s">
        <v>1557</v>
      </c>
      <c r="F432" s="2" t="s">
        <v>215</v>
      </c>
      <c r="G432" s="23" t="s">
        <v>216</v>
      </c>
      <c r="M432" s="1" t="s">
        <v>1517</v>
      </c>
      <c r="O432" s="24" t="str">
        <f>テーブル1[[#This Row],[リンク]]&amp;テーブル1[[#This Row],[描画状況]]</f>
        <v>https://mitoristu.wixsite.com/kousaibako</v>
      </c>
      <c r="P432" s="17">
        <f>1-(COUNTIF(O:O,_xlfn.TEXTJOIN(",",TRUE,テーブル1[[#This Row],[リンク]],テーブル1[[#This Row],[描画状況]]))/COUNTIF(F:F,テーブル1[[#This Row],[リンク]]))</f>
        <v>0.19999999999999996</v>
      </c>
      <c r="Q432" s="16">
        <f ca="1">IFERROR(IF(テーブル1[[#This Row],[描画状況]]="",RAND()+(テーブル1[[#This Row],[列2]]*100),""),RAND())</f>
        <v>20.798449828619113</v>
      </c>
      <c r="S432" s="24" t="str">
        <f ca="1">IF(AND(テーブル1[[#This Row],[描画状況]]="済",テーブル1[[#This Row],[投稿状況]]=""),RAND(),"")</f>
        <v/>
      </c>
      <c r="T432" s="23" t="str">
        <f>"|&amp;image("&amp;テーブル1[[#This Row],[画像]]&amp;".png,width=100,height=100)"</f>
        <v>|&amp;image(seido-ao.png,width=100,height=100)</v>
      </c>
      <c r="U432" s="23" t="str">
        <f>"|MIDDLE:​"&amp;テーブル1[[#This Row],[名前]]</f>
        <v>|MIDDLE:​青銅蒼</v>
      </c>
      <c r="V432" s="23" t="str">
        <f>"|MIDDLE:​"&amp;テーブル1[[#This Row],[なまえ]]</f>
        <v>|MIDDLE:​せいどう あお</v>
      </c>
      <c r="W432" s="23" t="str">
        <f>"|MIDDLE:​"&amp;テーブル1[[#This Row],[Name]]</f>
        <v>|MIDDLE:​Seido Ao</v>
      </c>
      <c r="X432" s="23" t="str">
        <f>"|MIDDLE:​&amp;link(配布所はこちら){​"&amp;テーブル1[[#This Row],[リンク]]&amp;"}|"</f>
        <v>|MIDDLE:​&amp;link(配布所はこちら){​https://mitoristu.wixsite.com/kousaibako}|</v>
      </c>
    </row>
    <row r="433" spans="2:24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3" s="24" t="s">
        <v>1558</v>
      </c>
      <c r="D433" s="23" t="s">
        <v>1559</v>
      </c>
      <c r="E433" s="23" t="s">
        <v>1560</v>
      </c>
      <c r="F433" s="2" t="s">
        <v>215</v>
      </c>
      <c r="G433" s="23" t="s">
        <v>216</v>
      </c>
      <c r="M433" s="1" t="s">
        <v>1517</v>
      </c>
      <c r="O433" s="24" t="str">
        <f>テーブル1[[#This Row],[リンク]]&amp;テーブル1[[#This Row],[描画状況]]</f>
        <v>https://mitoristu.wixsite.com/kousaibako</v>
      </c>
      <c r="P433" s="17">
        <f>1-(COUNTIF(O:O,_xlfn.TEXTJOIN(",",TRUE,テーブル1[[#This Row],[リンク]],テーブル1[[#This Row],[描画状況]]))/COUNTIF(F:F,テーブル1[[#This Row],[リンク]]))</f>
        <v>0.19999999999999996</v>
      </c>
      <c r="Q433" s="16">
        <f ca="1">IFERROR(IF(テーブル1[[#This Row],[描画状況]]="",RAND()+(テーブル1[[#This Row],[列2]]*100),""),RAND())</f>
        <v>20.022572958412141</v>
      </c>
      <c r="S433" s="24" t="str">
        <f ca="1">IF(AND(テーブル1[[#This Row],[描画状況]]="済",テーブル1[[#This Row],[投稿状況]]=""),RAND(),"")</f>
        <v/>
      </c>
      <c r="T433" s="23" t="str">
        <f>"|&amp;image("&amp;テーブル1[[#This Row],[画像]]&amp;".png,width=100,height=100)"</f>
        <v>|&amp;image(uraha.png,width=100,height=100)</v>
      </c>
      <c r="U433" s="23" t="str">
        <f>"|MIDDLE:​"&amp;テーブル1[[#This Row],[名前]]</f>
        <v>|MIDDLE:​裏葉</v>
      </c>
      <c r="V433" s="23" t="str">
        <f>"|MIDDLE:​"&amp;テーブル1[[#This Row],[なまえ]]</f>
        <v>|MIDDLE:​うらは</v>
      </c>
      <c r="W433" s="23" t="str">
        <f>"|MIDDLE:​"&amp;テーブル1[[#This Row],[Name]]</f>
        <v>|MIDDLE:​Uraha</v>
      </c>
      <c r="X433" s="23" t="str">
        <f>"|MIDDLE:​&amp;link(配布所はこちら){​"&amp;テーブル1[[#This Row],[リンク]]&amp;"}|"</f>
        <v>|MIDDLE:​&amp;link(配布所はこちら){​https://mitoristu.wixsite.com/kousaibako}|</v>
      </c>
    </row>
    <row r="434" spans="2:24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4" s="24" t="s">
        <v>1561</v>
      </c>
      <c r="D434" s="23" t="s">
        <v>1562</v>
      </c>
      <c r="E434" s="23" t="s">
        <v>1563</v>
      </c>
      <c r="F434" s="2" t="s">
        <v>215</v>
      </c>
      <c r="G434" s="23" t="s">
        <v>216</v>
      </c>
      <c r="M434" s="1" t="s">
        <v>1517</v>
      </c>
      <c r="O434" s="24" t="str">
        <f>テーブル1[[#This Row],[リンク]]&amp;テーブル1[[#This Row],[描画状況]]</f>
        <v>https://mitoristu.wixsite.com/kousaibako</v>
      </c>
      <c r="P434" s="17">
        <f>1-(COUNTIF(O:O,_xlfn.TEXTJOIN(",",TRUE,テーブル1[[#This Row],[リンク]],テーブル1[[#This Row],[描画状況]]))/COUNTIF(F:F,テーブル1[[#This Row],[リンク]]))</f>
        <v>0.19999999999999996</v>
      </c>
      <c r="Q434" s="16">
        <f ca="1">IFERROR(IF(テーブル1[[#This Row],[描画状況]]="",RAND()+(テーブル1[[#This Row],[列2]]*100),""),RAND())</f>
        <v>20.437626669628152</v>
      </c>
      <c r="S434" s="24" t="str">
        <f ca="1">IF(AND(テーブル1[[#This Row],[描画状況]]="済",テーブル1[[#This Row],[投稿状況]]=""),RAND(),"")</f>
        <v/>
      </c>
      <c r="T434" s="23" t="str">
        <f>"|&amp;image("&amp;テーブル1[[#This Row],[画像]]&amp;".png,width=100,height=100)"</f>
        <v>|&amp;image(koga-hizuki.png,width=100,height=100)</v>
      </c>
      <c r="U434" s="23" t="str">
        <f>"|MIDDLE:​"&amp;テーブル1[[#This Row],[名前]]</f>
        <v>|MIDDLE:​紅牙緋月</v>
      </c>
      <c r="V434" s="23" t="str">
        <f>"|MIDDLE:​"&amp;テーブル1[[#This Row],[なまえ]]</f>
        <v>|MIDDLE:​こうが ひづき</v>
      </c>
      <c r="W434" s="23" t="str">
        <f>"|MIDDLE:​"&amp;テーブル1[[#This Row],[Name]]</f>
        <v>|MIDDLE:​Koga Hizuki</v>
      </c>
      <c r="X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4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5" s="24" t="s">
        <v>1567</v>
      </c>
      <c r="D435" s="23" t="s">
        <v>1569</v>
      </c>
      <c r="E435" s="23" t="s">
        <v>1568</v>
      </c>
      <c r="F435" s="2" t="s">
        <v>215</v>
      </c>
      <c r="G435" s="23" t="s">
        <v>216</v>
      </c>
      <c r="M435" s="1" t="s">
        <v>1517</v>
      </c>
      <c r="O435" s="24" t="str">
        <f>テーブル1[[#This Row],[リンク]]&amp;テーブル1[[#This Row],[描画状況]]</f>
        <v>https://mitoristu.wixsite.com/kousaibako</v>
      </c>
      <c r="P435" s="17">
        <f>1-(COUNTIF(O:O,_xlfn.TEXTJOIN(",",TRUE,テーブル1[[#This Row],[リンク]],テーブル1[[#This Row],[描画状況]]))/COUNTIF(F:F,テーブル1[[#This Row],[リンク]]))</f>
        <v>0.19999999999999996</v>
      </c>
      <c r="Q435" s="16">
        <f ca="1">IFERROR(IF(テーブル1[[#This Row],[描画状況]]="",RAND()+(テーブル1[[#This Row],[列2]]*100),""),RAND())</f>
        <v>20.807710857785612</v>
      </c>
      <c r="S435" s="24" t="str">
        <f ca="1">IF(AND(テーブル1[[#This Row],[描画状況]]="済",テーブル1[[#This Row],[投稿状況]]=""),RAND(),"")</f>
        <v/>
      </c>
      <c r="T435" s="23" t="str">
        <f>"|&amp;image("&amp;テーブル1[[#This Row],[画像]]&amp;".png,width=100,height=100)"</f>
        <v>|&amp;image(anima.png,width=100,height=100)</v>
      </c>
      <c r="U435" s="23" t="str">
        <f>"|MIDDLE:​"&amp;テーブル1[[#This Row],[名前]]</f>
        <v>|MIDDLE:​アニマ</v>
      </c>
      <c r="V435" s="23" t="str">
        <f>"|MIDDLE:​"&amp;テーブル1[[#This Row],[なまえ]]</f>
        <v>|MIDDLE:​あにま</v>
      </c>
      <c r="W435" s="23" t="str">
        <f>"|MIDDLE:​"&amp;テーブル1[[#This Row],[Name]]</f>
        <v>|MIDDLE:​Anima</v>
      </c>
      <c r="X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4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6" s="24" t="s">
        <v>1570</v>
      </c>
      <c r="D436" s="23" t="s">
        <v>1570</v>
      </c>
      <c r="E436" s="23" t="s">
        <v>1571</v>
      </c>
      <c r="F436" s="2" t="s">
        <v>215</v>
      </c>
      <c r="G436" s="23" t="s">
        <v>216</v>
      </c>
      <c r="M436" s="1" t="s">
        <v>1517</v>
      </c>
      <c r="O436" s="24" t="str">
        <f>テーブル1[[#This Row],[リンク]]&amp;テーブル1[[#This Row],[描画状況]]</f>
        <v>https://mitoristu.wixsite.com/kousaibako</v>
      </c>
      <c r="P436" s="17">
        <f>1-(COUNTIF(O:O,_xlfn.TEXTJOIN(",",TRUE,テーブル1[[#This Row],[リンク]],テーブル1[[#This Row],[描画状況]]))/COUNTIF(F:F,テーブル1[[#This Row],[リンク]]))</f>
        <v>0.19999999999999996</v>
      </c>
      <c r="Q436" s="16">
        <f ca="1">IFERROR(IF(テーブル1[[#This Row],[描画状況]]="",RAND()+(テーブル1[[#This Row],[列2]]*100),""),RAND())</f>
        <v>20.558799036260897</v>
      </c>
      <c r="S436" s="24" t="str">
        <f ca="1">IF(AND(テーブル1[[#This Row],[描画状況]]="済",テーブル1[[#This Row],[投稿状況]]=""),RAND(),"")</f>
        <v/>
      </c>
      <c r="T436" s="23" t="str">
        <f>"|&amp;image("&amp;テーブル1[[#This Row],[画像]]&amp;".png,width=100,height=100)"</f>
        <v>|&amp;image(riimao.png,width=100,height=100)</v>
      </c>
      <c r="U436" s="23" t="str">
        <f>"|MIDDLE:​"&amp;テーブル1[[#This Row],[名前]]</f>
        <v>|MIDDLE:​りぃまお</v>
      </c>
      <c r="V436" s="23" t="str">
        <f>"|MIDDLE:​"&amp;テーブル1[[#This Row],[なまえ]]</f>
        <v>|MIDDLE:​りぃまお</v>
      </c>
      <c r="W436" s="23" t="str">
        <f>"|MIDDLE:​"&amp;テーブル1[[#This Row],[Name]]</f>
        <v>|MIDDLE:​Riimao</v>
      </c>
      <c r="X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4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7" s="24" t="s">
        <v>1572</v>
      </c>
      <c r="D437" s="23" t="s">
        <v>1573</v>
      </c>
      <c r="E437" s="23" t="s">
        <v>1574</v>
      </c>
      <c r="F437" s="2" t="s">
        <v>215</v>
      </c>
      <c r="G437" s="23" t="s">
        <v>216</v>
      </c>
      <c r="M437" s="1" t="s">
        <v>1517</v>
      </c>
      <c r="O437" s="24" t="str">
        <f>テーブル1[[#This Row],[リンク]]&amp;テーブル1[[#This Row],[描画状況]]</f>
        <v>https://mitoristu.wixsite.com/kousaibako</v>
      </c>
      <c r="P437" s="17">
        <f>1-(COUNTIF(O:O,_xlfn.TEXTJOIN(",",TRUE,テーブル1[[#This Row],[リンク]],テーブル1[[#This Row],[描画状況]]))/COUNTIF(F:F,テーブル1[[#This Row],[リンク]]))</f>
        <v>0.19999999999999996</v>
      </c>
      <c r="Q437" s="16">
        <f ca="1">IFERROR(IF(テーブル1[[#This Row],[描画状況]]="",RAND()+(テーブル1[[#This Row],[列2]]*100),""),RAND())</f>
        <v>20.200181645089494</v>
      </c>
      <c r="S437" s="24" t="str">
        <f ca="1">IF(AND(テーブル1[[#This Row],[描画状況]]="済",テーブル1[[#This Row],[投稿状況]]=""),RAND(),"")</f>
        <v/>
      </c>
      <c r="T437" s="23" t="str">
        <f>"|&amp;image("&amp;テーブル1[[#This Row],[画像]]&amp;".png,width=100,height=100)"</f>
        <v>|&amp;image(shirane-aoi.png,width=100,height=100)</v>
      </c>
      <c r="U437" s="23" t="str">
        <f>"|MIDDLE:​"&amp;テーブル1[[#This Row],[名前]]</f>
        <v>|MIDDLE:​白音アオイ</v>
      </c>
      <c r="V437" s="23" t="str">
        <f>"|MIDDLE:​"&amp;テーブル1[[#This Row],[なまえ]]</f>
        <v>|MIDDLE:​しらね あおい</v>
      </c>
      <c r="W437" s="23" t="str">
        <f>"|MIDDLE:​"&amp;テーブル1[[#This Row],[Name]]</f>
        <v>|MIDDLE:​Shirane Aoi</v>
      </c>
      <c r="X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4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38" s="24" t="s">
        <v>1733</v>
      </c>
      <c r="D438" s="23" t="s">
        <v>1734</v>
      </c>
      <c r="E438" s="23" t="s">
        <v>1732</v>
      </c>
      <c r="F438" s="30" t="s">
        <v>1720</v>
      </c>
      <c r="G438" s="23" t="s">
        <v>1721</v>
      </c>
      <c r="H438" s="23" t="s">
        <v>1626</v>
      </c>
      <c r="I438" s="23" t="s">
        <v>1649</v>
      </c>
      <c r="J438" s="23" t="s">
        <v>1738</v>
      </c>
      <c r="K438" s="23" t="s">
        <v>1735</v>
      </c>
      <c r="L438" s="23" t="s">
        <v>1736</v>
      </c>
      <c r="M438" s="1" t="s">
        <v>1589</v>
      </c>
      <c r="O438" s="24" t="str">
        <f>テーブル1[[#This Row],[リンク]]&amp;テーブル1[[#This Row],[描画状況]]</f>
        <v>https://lclcofficial6565.wixsite.com/lclc</v>
      </c>
      <c r="P438" s="17">
        <f>1-(COUNTIF(O:O,_xlfn.TEXTJOIN(",",TRUE,テーブル1[[#This Row],[リンク]],テーブル1[[#This Row],[描画状況]]))/COUNTIF(F:F,テーブル1[[#This Row],[リンク]]))</f>
        <v>0.33333333333333337</v>
      </c>
      <c r="Q438" s="16">
        <f ca="1">IFERROR(IF(テーブル1[[#This Row],[描画状況]]="",RAND()+(テーブル1[[#This Row],[列2]]*100),""),RAND())</f>
        <v>33.892644258173512</v>
      </c>
      <c r="S438" s="24" t="str">
        <f ca="1">IF(AND(テーブル1[[#This Row],[描画状況]]="済",テーブル1[[#This Row],[投稿状況]]=""),RAND(),"")</f>
        <v/>
      </c>
      <c r="T438" s="23" t="str">
        <f>"|&amp;image("&amp;テーブル1[[#This Row],[画像]]&amp;".png,width=100,height=100)"</f>
        <v>|&amp;image(yashiro-shiya.png,width=100,height=100)</v>
      </c>
      <c r="U438" s="23" t="str">
        <f>"|MIDDLE:​"&amp;テーブル1[[#This Row],[名前]]</f>
        <v>|MIDDLE:​やしろしや</v>
      </c>
      <c r="V438" s="23" t="str">
        <f>"|MIDDLE:​"&amp;テーブル1[[#This Row],[なまえ]]</f>
        <v>|MIDDLE:​やしろ しや</v>
      </c>
      <c r="W438" s="23" t="str">
        <f>"|MIDDLE:​"&amp;テーブル1[[#This Row],[Name]]</f>
        <v>|MIDDLE:​Yashiro Shiya</v>
      </c>
      <c r="X438" s="23" t="str">
        <f>"|MIDDLE:​&amp;link(配布所はこちら){​"&amp;テーブル1[[#This Row],[リンク]]&amp;"}|"</f>
        <v>|MIDDLE:​&amp;link(配布所はこちら){​https://lclcofficial6565.wixsite.com/lclc}|</v>
      </c>
    </row>
    <row r="439" spans="2:24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39" s="24" t="s">
        <v>1739</v>
      </c>
      <c r="D439" s="23" t="s">
        <v>1740</v>
      </c>
      <c r="E439" s="23" t="s">
        <v>1741</v>
      </c>
      <c r="F439" s="30" t="s">
        <v>1720</v>
      </c>
      <c r="G439" s="23" t="s">
        <v>1721</v>
      </c>
      <c r="H439" s="23" t="s">
        <v>1627</v>
      </c>
      <c r="I439" s="23" t="s">
        <v>1649</v>
      </c>
      <c r="L439" s="23" t="s">
        <v>1736</v>
      </c>
      <c r="M439" s="1" t="s">
        <v>1589</v>
      </c>
      <c r="O439" s="24" t="str">
        <f>テーブル1[[#This Row],[リンク]]&amp;テーブル1[[#This Row],[描画状況]]</f>
        <v>https://lclcofficial6565.wixsite.com/lclc</v>
      </c>
      <c r="P439" s="17">
        <f>1-(COUNTIF(O:O,_xlfn.TEXTJOIN(",",TRUE,テーブル1[[#This Row],[リンク]],テーブル1[[#This Row],[描画状況]]))/COUNTIF(F:F,テーブル1[[#This Row],[リンク]]))</f>
        <v>0.33333333333333337</v>
      </c>
      <c r="Q439" s="16">
        <f ca="1">IFERROR(IF(テーブル1[[#This Row],[描画状況]]="",RAND()+(テーブル1[[#This Row],[列2]]*100),""),RAND())</f>
        <v>33.979159063312672</v>
      </c>
      <c r="S439" s="24" t="str">
        <f ca="1">IF(AND(テーブル1[[#This Row],[描画状況]]="済",テーブル1[[#This Row],[投稿状況]]=""),RAND(),"")</f>
        <v/>
      </c>
      <c r="T439" s="23" t="str">
        <f>"|&amp;image("&amp;テーブル1[[#This Row],[画像]]&amp;".png,width=100,height=100)"</f>
        <v>|&amp;image(katazu-taka.png,width=100,height=100)</v>
      </c>
      <c r="U439" s="23" t="str">
        <f>"|MIDDLE:​"&amp;テーブル1[[#This Row],[名前]]</f>
        <v>|MIDDLE:​かたづたか</v>
      </c>
      <c r="V439" s="23" t="str">
        <f>"|MIDDLE:​"&amp;テーブル1[[#This Row],[なまえ]]</f>
        <v>|MIDDLE:​かたづ たか</v>
      </c>
      <c r="W439" s="23" t="str">
        <f>"|MIDDLE:​"&amp;テーブル1[[#This Row],[Name]]</f>
        <v>|MIDDLE:​Katazu Taka</v>
      </c>
      <c r="X439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N1:S1048576">
    <cfRule type="cellIs" dxfId="0" priority="10" operator="equal">
      <formula>"済"</formula>
    </cfRule>
  </conditionalFormatting>
  <dataValidations count="8">
    <dataValidation type="list" allowBlank="1" showInputMessage="1" sqref="J289 J280 I2:I439" xr:uid="{C65A1E30-8F1A-43F7-95C8-9A27EB918408}">
      <formula1>種族タグ</formula1>
    </dataValidation>
    <dataValidation type="list" allowBlank="1" showInputMessage="1" sqref="J290:J437 J281:J288 J2:J279" xr:uid="{F4C1FC31-8189-42FE-9CDF-1184FF0909B9}">
      <formula1>職業タグ</formula1>
    </dataValidation>
    <dataValidation type="list" allowBlank="1" showInputMessage="1" showErrorMessage="1" sqref="R2:R439" xr:uid="{05A634BD-4DB9-4CF6-97DC-6B95FBE6232B}">
      <formula1>"済,個別済"</formula1>
    </dataValidation>
    <dataValidation type="list" allowBlank="1" showInputMessage="1" showErrorMessage="1" sqref="N2:N1048576" xr:uid="{1E2E563C-97C6-4274-B6CC-64A3EA5A69C8}">
      <formula1>"済"</formula1>
    </dataValidation>
    <dataValidation type="list" allowBlank="1" showInputMessage="1" showErrorMessage="1" sqref="M2:M439" xr:uid="{92493CA5-E237-4453-B08F-89E5ABEEA9EA}">
      <formula1>"〇 / 必要,〇 / 不要,×"</formula1>
    </dataValidation>
    <dataValidation type="list" allowBlank="1" showInputMessage="1" showErrorMessage="1" sqref="H2:H439" xr:uid="{35C507EC-8DB1-4F3E-8DD4-3BFDA6513A59}">
      <formula1>"女性,男性,両性,キメラ,無性別,不明"</formula1>
    </dataValidation>
    <dataValidation type="list" allowBlank="1" showInputMessage="1" sqref="K2:K439" xr:uid="{6CD751E0-96FF-4645-8251-894B2CC5C15F}">
      <formula1>小物タグ</formula1>
    </dataValidation>
    <dataValidation type="list" allowBlank="1" showInputMessage="1" sqref="L2:L439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28" r:id="rId38" xr:uid="{75774DD2-5B8B-41CB-8195-58B8E2D9DB42}"/>
    <hyperlink ref="F34" r:id="rId39" xr:uid="{FFC8EDC7-0E5F-4E72-9266-E3B063082262}"/>
    <hyperlink ref="F62" r:id="rId40" xr:uid="{5D8EB7CF-2D69-4782-84BA-26B7499DFEEA}"/>
    <hyperlink ref="F79" r:id="rId41" xr:uid="{F85A9144-983F-4581-A606-6FEF24D792A8}"/>
    <hyperlink ref="F31" r:id="rId42" xr:uid="{7D918266-FDF7-4CB0-8B32-F0268D7A43F7}"/>
    <hyperlink ref="F35" r:id="rId43" xr:uid="{E2071E61-A067-4B14-A187-76C5E865A8E4}"/>
    <hyperlink ref="F99" r:id="rId44" xr:uid="{5E2DEAF6-476C-466A-B064-8AFA4B90211F}"/>
    <hyperlink ref="F100" r:id="rId45" xr:uid="{B5250349-63D6-4604-A502-2EC63ED08B41}"/>
    <hyperlink ref="F45" r:id="rId46" xr:uid="{C2D2653A-89A1-46A9-81B9-485FB2DFF6BD}"/>
    <hyperlink ref="F107" r:id="rId47" xr:uid="{096B7520-6867-4CB8-9F32-E6B55D07BB0E}"/>
    <hyperlink ref="F97" r:id="rId48" xr:uid="{5BC22D0F-4722-4DFA-ABB7-2D4D6AC061C2}"/>
    <hyperlink ref="F48" r:id="rId49" xr:uid="{79ABC520-3243-4E99-9BEF-5824DE4C94BD}"/>
    <hyperlink ref="F53" r:id="rId50" xr:uid="{4C2DB993-17CA-4447-90A0-5CE697E9AF35}"/>
    <hyperlink ref="F38" r:id="rId51" xr:uid="{BDA2C242-3A6C-424F-A03A-45E6FE8D7F3F}"/>
    <hyperlink ref="F12" r:id="rId52" xr:uid="{2205C0BB-FAFB-4623-96AD-FC2D9373E294}"/>
    <hyperlink ref="F104" r:id="rId53" xr:uid="{CD8EA943-6312-4A3C-80C2-7AF9108B43A4}"/>
    <hyperlink ref="F102" r:id="rId54" xr:uid="{02B79EE1-BCD7-4E43-A265-87FEC707D6EE}"/>
    <hyperlink ref="F25" r:id="rId55" xr:uid="{9FE3625E-55E4-4A23-ACE3-FB223D5F6C40}"/>
    <hyperlink ref="F3" r:id="rId56" xr:uid="{5701A601-6828-4344-A2B3-BB989F7F942E}"/>
    <hyperlink ref="F50" r:id="rId57" xr:uid="{1BD39E7E-C020-4252-84C5-76C7F7E04A72}"/>
    <hyperlink ref="F44" r:id="rId58" xr:uid="{3FD09DDE-0963-42D7-95A1-326895AD2757}"/>
    <hyperlink ref="F68" r:id="rId59" xr:uid="{B2C65099-7CF2-4A00-8B31-22857F99CFE3}"/>
    <hyperlink ref="F47" r:id="rId60" xr:uid="{2DEC8719-D5FD-44A1-A5B3-CBE2ACE39F57}"/>
    <hyperlink ref="F7" r:id="rId61" xr:uid="{1EACB173-0380-49D3-969A-05CCF0740666}"/>
    <hyperlink ref="F14" r:id="rId62" xr:uid="{E13D18AB-3D51-4A26-A1BA-B7F1768837CD}"/>
    <hyperlink ref="F49" r:id="rId63" xr:uid="{F1D5CEB3-0479-408D-BC40-1BAD336C3A74}"/>
    <hyperlink ref="F57" r:id="rId64" xr:uid="{345F7896-0C89-4560-B7F5-FE70E0BE51A1}"/>
    <hyperlink ref="F89" r:id="rId65" xr:uid="{E6A1077C-75CD-4639-BBB2-7614F84EDB15}"/>
    <hyperlink ref="F108" r:id="rId66" xr:uid="{388FC0DE-8F17-4D08-97DD-AA3B08A13BED}"/>
    <hyperlink ref="F10" r:id="rId67" xr:uid="{4F5C874D-2189-49A5-8691-E7478CFB6AD1}"/>
    <hyperlink ref="F78" r:id="rId68" xr:uid="{3D10D4D7-3EFB-4D0A-A35C-C8D003A9BB34}"/>
    <hyperlink ref="F11" r:id="rId69" xr:uid="{13767B0A-1225-4307-9F0E-222341DD2D91}"/>
    <hyperlink ref="F81" r:id="rId70" xr:uid="{EBB23972-A231-4EDE-856A-B4DE37279549}"/>
    <hyperlink ref="F75" r:id="rId71" xr:uid="{CC7D1B23-98DE-434F-99FD-36D00700A8BD}"/>
    <hyperlink ref="F56" r:id="rId72" xr:uid="{25A18282-C27B-41CB-A6C6-31AD320CAE8A}"/>
    <hyperlink ref="F93" r:id="rId73" xr:uid="{768EFF26-10DD-4E88-B89B-E7E43C0A1C5C}"/>
    <hyperlink ref="F2" r:id="rId74" xr:uid="{5A6C1E6A-031E-47B6-8533-73649A284D73}"/>
    <hyperlink ref="F105" r:id="rId75" xr:uid="{DA5B421C-CFD8-43A3-99B7-8084A1C5CAF7}"/>
    <hyperlink ref="F90" r:id="rId76" xr:uid="{F30ACD79-BBC3-45F8-9F40-5A8961ABE437}"/>
    <hyperlink ref="F20" r:id="rId77" xr:uid="{F250096C-B716-489A-9280-9A32E5DD5A36}"/>
    <hyperlink ref="F21" r:id="rId78" xr:uid="{6A0D52FE-83EE-4291-83D8-A9AD306DB769}"/>
    <hyperlink ref="F95" r:id="rId79" xr:uid="{3DF1DD82-A39B-4B8A-A414-F89A6F702B50}"/>
    <hyperlink ref="F96" r:id="rId80" xr:uid="{BC116EC6-1B7D-416A-828B-E501BB42B75D}"/>
    <hyperlink ref="F41" r:id="rId81" xr:uid="{6B220E79-63B5-4800-B71B-4D60FE0B62AD}"/>
    <hyperlink ref="F82" r:id="rId82" xr:uid="{3136DC57-1187-49B1-A869-329C7B360C2A}"/>
    <hyperlink ref="F42" r:id="rId83" xr:uid="{E3C79C7C-0E0D-4BBA-AB1D-07A9C285DF1D}"/>
    <hyperlink ref="F23" r:id="rId84" xr:uid="{0FE6508D-EEFA-4897-8ED4-EF90856B4BE9}"/>
    <hyperlink ref="F77" r:id="rId85" xr:uid="{13F4D9FD-DC56-4FDF-934E-0090595C6FFB}"/>
    <hyperlink ref="F39" r:id="rId86" xr:uid="{D2F96E06-54B3-4560-8876-9E5106D31F08}"/>
    <hyperlink ref="F5" r:id="rId87" xr:uid="{0F736B21-DFCE-4849-B886-8C70B905B5D6}"/>
    <hyperlink ref="F101" r:id="rId88" xr:uid="{941857A3-9813-4DB6-B552-A6333540969C}"/>
    <hyperlink ref="F9" r:id="rId89" xr:uid="{7EF37B4B-581D-4B0B-A78C-62A444567CC7}"/>
    <hyperlink ref="F198" r:id="rId90" xr:uid="{26E5DD38-659B-403B-946D-4F27E3B7CDB1}"/>
    <hyperlink ref="F140" r:id="rId91" xr:uid="{724DB43C-6896-4134-AB14-9C780E4605EC}"/>
    <hyperlink ref="F118" r:id="rId92" xr:uid="{FFEBF5D0-1060-4BEF-89D5-BAADAD8C899A}"/>
    <hyperlink ref="F128" r:id="rId93" xr:uid="{DC68E2F1-C276-4E7C-BCA9-531DD4E6BD9C}"/>
    <hyperlink ref="F134" r:id="rId94" xr:uid="{8E80947F-8914-4A82-8207-9BA5EE804826}"/>
    <hyperlink ref="F124" r:id="rId95" xr:uid="{08B7D657-F118-4FD1-B36A-8328691FFC93}"/>
    <hyperlink ref="F187" r:id="rId96" xr:uid="{1BD9EB25-CAFF-4036-BAC4-0F112E046D12}"/>
    <hyperlink ref="F192" r:id="rId97" xr:uid="{F14CD5BF-C23D-47EA-8A69-187776CC87B2}"/>
    <hyperlink ref="F180" r:id="rId98" xr:uid="{91D44282-0984-41FC-BDE9-2E6ECE7B84CE}"/>
    <hyperlink ref="F169" r:id="rId99" xr:uid="{C042CA77-B220-47A4-AC60-F74765C2DED2}"/>
    <hyperlink ref="F173" r:id="rId100" xr:uid="{BC4A9805-17D8-4AB6-877E-E5D20543E17A}"/>
    <hyperlink ref="F136" r:id="rId101" xr:uid="{BF2212F0-0B9C-41BF-B59F-072528A13135}"/>
    <hyperlink ref="F175" r:id="rId102" xr:uid="{CC5E4D59-0374-4E3B-93B3-A0BF74F2FA8B}"/>
    <hyperlink ref="F157" r:id="rId103" xr:uid="{814E336B-EC35-455B-97D2-D0CBDE9860B1}"/>
    <hyperlink ref="F322" r:id="rId104" xr:uid="{C3D3CF9F-E4CC-411E-8E0D-50F5DC71D508}"/>
    <hyperlink ref="F194" r:id="rId105" xr:uid="{4ACC6E24-8E89-42B4-A2EA-E0269CD0E7C9}"/>
    <hyperlink ref="F269" r:id="rId106" xr:uid="{7BCF537B-64EE-4029-B407-4E2DD8BD329A}"/>
    <hyperlink ref="F133" r:id="rId107" xr:uid="{95C161E9-B78A-4EA5-809A-7C3680BAD633}"/>
    <hyperlink ref="F137" r:id="rId108" xr:uid="{F5E636BF-CBA0-4A0B-80B7-D3F75D4DE6E6}"/>
    <hyperlink ref="F216" r:id="rId109" xr:uid="{BE7080FC-A30B-464A-BB36-B86CB6D8D031}"/>
    <hyperlink ref="F163" r:id="rId110" xr:uid="{FEA58DEA-6D3D-4A0D-9DD7-1BFA40F46C8E}"/>
    <hyperlink ref="F116" r:id="rId111" xr:uid="{0AFB065D-CE22-4CB4-B6D7-06A8140CB781}"/>
    <hyperlink ref="F141" r:id="rId112" xr:uid="{3FFBE5E1-C7F2-49A0-8F3F-5748522A0A40}"/>
    <hyperlink ref="F263" r:id="rId113" xr:uid="{116CD3FB-9C92-4A1C-BB03-E4CAEA103C0D}"/>
    <hyperlink ref="F143" r:id="rId114" xr:uid="{1196818E-3BE0-43E2-8A04-FF0579441629}"/>
    <hyperlink ref="F382" r:id="rId115" xr:uid="{58B6A580-0338-48F0-86CD-607FDFF434A0}"/>
    <hyperlink ref="F148" r:id="rId116" xr:uid="{502D1FC9-3462-4765-9E5E-E7C3C3459F33}"/>
    <hyperlink ref="F138" r:id="rId117" xr:uid="{F9367E16-C882-47BD-BA28-B6D498EBBBDF}"/>
    <hyperlink ref="F318" r:id="rId118" display="https://tomatoshop.studio.site/" xr:uid="{F1379AF2-D6D2-4C4B-AD80-E409661B1C84}"/>
    <hyperlink ref="F398" r:id="rId119" display="https://tomatoshop.studio.site/" xr:uid="{EB1ACAC4-6B55-CE4E-845F-8F63227026F4}"/>
    <hyperlink ref="F278" r:id="rId120" xr:uid="{5082E534-D3FB-4DD6-9E0B-D6202BB3C49E}"/>
    <hyperlink ref="F153" r:id="rId121" xr:uid="{5827E670-CC22-4A19-80E9-0FAD13040207}"/>
    <hyperlink ref="F328" r:id="rId122" xr:uid="{C833F371-D2A9-46F5-BC52-0475DEE4D054}"/>
    <hyperlink ref="F240" r:id="rId123" xr:uid="{39F0C1C6-4251-47C8-A393-C731597D169A}"/>
    <hyperlink ref="F364" r:id="rId124" xr:uid="{91788672-1154-4E84-8074-7613BF830DB9}"/>
    <hyperlink ref="F131" r:id="rId125" xr:uid="{7324D0C3-0788-4576-AD24-8BECB1C99D92}"/>
    <hyperlink ref="F334" r:id="rId126" xr:uid="{B02A0CD2-62A8-42D6-93B3-71D15580CD81}"/>
    <hyperlink ref="F413" r:id="rId127" xr:uid="{29A57E74-7CFB-4E8A-9807-9167FDE2823B}"/>
    <hyperlink ref="F172" r:id="rId128" xr:uid="{AB5FBDF7-D37E-491D-9946-3160548AE6A8}"/>
    <hyperlink ref="F142" r:id="rId129" xr:uid="{EA23B5B8-7220-47DD-BCAC-CD4FB5AD8E36}"/>
    <hyperlink ref="F196" r:id="rId130" xr:uid="{F1E6C078-3238-4230-9B3C-5D344E88DC8F}"/>
    <hyperlink ref="F121" r:id="rId131" xr:uid="{86323CF0-65DC-4A65-8178-22D15088B81A}"/>
    <hyperlink ref="F197" r:id="rId132" xr:uid="{17EDE4B8-6AB5-4081-918F-58864B31B294}"/>
    <hyperlink ref="F259" r:id="rId133" xr:uid="{9DAC81CC-BA69-4F9D-B334-A86D3DA9ACD9}"/>
    <hyperlink ref="F127" r:id="rId134" xr:uid="{7872A657-8431-4E07-8F9C-BBD08118F4F1}"/>
    <hyperlink ref="F162" r:id="rId135" xr:uid="{0C62126B-9A87-4D2E-9714-28C23B4E3A67}"/>
    <hyperlink ref="F132" r:id="rId136" xr:uid="{55280FAB-A52C-4C9A-9794-D989F91BB6C5}"/>
    <hyperlink ref="F151" r:id="rId137" xr:uid="{9D14D9D0-2F6E-4378-8B66-C33A9603D422}"/>
    <hyperlink ref="F122" r:id="rId138" xr:uid="{C67B0835-73EE-4F4C-9D02-3E8DA3B1B9B5}"/>
    <hyperlink ref="F372" r:id="rId139" xr:uid="{EB75AD4B-8DFC-46FB-97EB-7B2637DE1D0C}"/>
    <hyperlink ref="F387" r:id="rId140" xr:uid="{7AFC97DA-043B-4602-9955-8A6612AE170B}"/>
    <hyperlink ref="F160" r:id="rId141" xr:uid="{3274074E-579B-401B-AFF4-2A7A312FAC03}"/>
    <hyperlink ref="F179" r:id="rId142" xr:uid="{0CD7DF02-C241-4BA9-845F-E878E8E44AC8}"/>
    <hyperlink ref="F191" r:id="rId143" xr:uid="{4F6ACE4D-F13A-4C63-A73A-187B9954DBD3}"/>
    <hyperlink ref="F126" r:id="rId144" xr:uid="{A8F0391F-F0A1-4EEC-BF97-F84975CAD894}"/>
    <hyperlink ref="F294" r:id="rId145" xr:uid="{84499711-CC79-43ED-B718-6C6BE45F3FC0}"/>
    <hyperlink ref="F340" r:id="rId146" xr:uid="{61000D28-7493-42E5-BC77-02DE0D21747A}"/>
    <hyperlink ref="F299" r:id="rId147" xr:uid="{90C519A3-88D8-43B9-81FE-7E0755AAF9B7}"/>
    <hyperlink ref="F115" r:id="rId148" xr:uid="{8633D6DB-267F-4B4F-887C-C6C81786673C}"/>
    <hyperlink ref="F409" r:id="rId149" xr:uid="{EF1579F4-9AA2-46A4-9424-C770389CCE04}"/>
    <hyperlink ref="F199" r:id="rId150" xr:uid="{5F804CD1-4685-4DB6-A8B3-16A4B23D4A0E}"/>
    <hyperlink ref="F277" r:id="rId151" xr:uid="{DE5C4406-EEF1-4B50-881F-7A6158CB1B64}"/>
    <hyperlink ref="F181" r:id="rId152" xr:uid="{135CCDDC-FF90-4368-A48D-53FD458AB884}"/>
    <hyperlink ref="F352" r:id="rId153" xr:uid="{1F52AE30-FEB0-4221-954C-C1133AEA1B7F}"/>
    <hyperlink ref="F348" r:id="rId154" xr:uid="{108FCB77-E416-4909-8A95-B10BAADC9FAE}"/>
    <hyperlink ref="F371" r:id="rId155" xr:uid="{DDF6827E-91F8-47E9-9842-8EA7B80BB8A0}"/>
    <hyperlink ref="F302" r:id="rId156" xr:uid="{BA2700D5-4798-4DC1-8C92-3D71DE36B975}"/>
    <hyperlink ref="F430" r:id="rId157" xr:uid="{DA1B4E02-B955-4E2C-A2B9-E05192170A1E}"/>
    <hyperlink ref="F431" r:id="rId158" xr:uid="{F11AF343-9AA6-4422-A3CD-A25E752BC15C}"/>
    <hyperlink ref="F428" r:id="rId159" xr:uid="{E5CC6557-91A1-4DD4-B0BF-77F58F409148}"/>
    <hyperlink ref="F332" r:id="rId160" xr:uid="{33F982BE-0C4C-400D-BC24-2656F5276987}"/>
    <hyperlink ref="F335" r:id="rId161" xr:uid="{CC7521BB-686A-4DEA-B0DC-B3F4D780F85B}"/>
    <hyperlink ref="F313:F316" r:id="rId162" display="https://suukedayo.wixsite.com/shiawasefairu" xr:uid="{C06F8B25-1DF1-4337-A2C1-45177958351A}"/>
    <hyperlink ref="F13" r:id="rId163" display="https://suukedayo.wixsite.com/shiawasefairu" xr:uid="{5C87068A-9493-4575-9F2F-8AFF93967857}"/>
    <hyperlink ref="F314:F317" r:id="rId164" display="https://suukedayo.wixsite.com/shiawasefairu" xr:uid="{B8A9CAA4-4A33-46FF-AD93-F0196450FF67}"/>
    <hyperlink ref="F41:F43" r:id="rId165" display="https://ameutaulii.wixsite.com/telepathycapsule" xr:uid="{1FCB85EF-9DB3-4BBB-840F-DED40B847B9D}"/>
    <hyperlink ref="F89:F91" r:id="rId166" display="https://bowlroll.net/user/852117/files" xr:uid="{20EDE49C-3656-4F24-BFEE-722A31A1D397}"/>
    <hyperlink ref="F100:F102" r:id="rId167" location="target-tab" display="https://bowlroll.net/user/980255/files#target-tab" xr:uid="{213D3A81-9A42-4C7F-B2E5-32243417CB1A}"/>
    <hyperlink ref="F265" r:id="rId168" xr:uid="{99E57A08-6A5C-4D9F-9191-0039542D3206}"/>
    <hyperlink ref="F391" r:id="rId169" xr:uid="{E1CEA228-8C77-486A-B910-AEFCBD795530}"/>
    <hyperlink ref="F388" r:id="rId170" xr:uid="{88ED7A05-7F75-42BC-9149-69776D433A22}"/>
    <hyperlink ref="F285" r:id="rId171" xr:uid="{F557F50A-3623-410E-AA97-12031958EF4D}"/>
    <hyperlink ref="F373" r:id="rId172" xr:uid="{2F3C3A3A-8412-4739-8A39-2CFE67FB49D2}"/>
    <hyperlink ref="F258" r:id="rId173" xr:uid="{59B88970-3D81-4B8A-8D3A-F2FB4A2B17B6}"/>
    <hyperlink ref="F417" r:id="rId174" xr:uid="{C32DD582-9190-4FA2-9F64-74F89D888D62}"/>
    <hyperlink ref="F200" r:id="rId175" xr:uid="{BF5E860E-C594-4BB0-8BF4-0E67EAE670CD}"/>
    <hyperlink ref="F336" r:id="rId176" xr:uid="{EDC56426-2ACA-4319-8408-00A066EB817D}"/>
    <hyperlink ref="F416" r:id="rId177" xr:uid="{8F435601-5AB1-4ADA-90AA-512792B42251}"/>
    <hyperlink ref="F374" r:id="rId178" xr:uid="{8517E623-20BA-4069-AD3A-84013BBBBAD1}"/>
    <hyperlink ref="F392" r:id="rId179" xr:uid="{38311A5D-2B7F-4FD7-922C-A7FD8669B754}"/>
    <hyperlink ref="F411" r:id="rId180" xr:uid="{07B25198-3B29-49D1-9427-E2AAB904B699}"/>
    <hyperlink ref="F262" r:id="rId181" xr:uid="{FACF30D1-8C5E-4592-AC56-BFE9A442CEDA}"/>
    <hyperlink ref="F309" r:id="rId182" xr:uid="{588BB4ED-975C-42FE-B3DD-0706E484E363}"/>
    <hyperlink ref="F425" r:id="rId183" xr:uid="{A224B14E-4E21-40D9-A9B2-44FAE06CED83}"/>
    <hyperlink ref="F421" r:id="rId184" xr:uid="{4BD38BD0-8329-429C-99FC-F268CFED277B}"/>
    <hyperlink ref="F256" r:id="rId185" xr:uid="{EF57E4E8-543C-48C8-AB9E-3C233C9BAB54}"/>
    <hyperlink ref="F166" r:id="rId186" xr:uid="{5084134B-5F22-463F-A65C-BF93696D01E8}"/>
    <hyperlink ref="F407" r:id="rId187" xr:uid="{EB9DE3C8-97D0-4690-9E66-01224578F796}"/>
    <hyperlink ref="F349" r:id="rId188" xr:uid="{C03CF168-3C12-4677-8D7D-D59C01692FEF}"/>
    <hyperlink ref="F378" r:id="rId189" xr:uid="{7A00AA44-57D4-410C-84F7-1385CDDA71DE}"/>
    <hyperlink ref="F390" r:id="rId190" xr:uid="{8DEE7DC5-9DB1-49C8-84FF-8A51F9DF7C3A}"/>
    <hyperlink ref="F261" r:id="rId191" xr:uid="{CE4B5F9C-D4D2-4B30-9416-9974FFDEE0C6}"/>
    <hyperlink ref="F403" r:id="rId192" xr:uid="{158728FC-10D8-4A2D-B157-C40940B593D5}"/>
    <hyperlink ref="F260" r:id="rId193" xr:uid="{713B80A6-6830-4723-86EB-485F0B14F3BE}"/>
    <hyperlink ref="F402" r:id="rId194" xr:uid="{E9FADB5C-F3CC-4A44-8E62-432C3765C720}"/>
    <hyperlink ref="F306" r:id="rId195" xr:uid="{B0E1FB6A-6A48-4A0C-A5C1-58282A83CCE5}"/>
    <hyperlink ref="F307" r:id="rId196" xr:uid="{08A2C2CD-A2B4-4404-9054-9C64105E1DF7}"/>
    <hyperlink ref="F135" r:id="rId197" xr:uid="{4E21A862-7310-4927-A746-53535E255C32}"/>
    <hyperlink ref="F244" r:id="rId198" xr:uid="{3FEE91EB-76C5-4DD7-88A7-D57FE2F9F4A1}"/>
    <hyperlink ref="F288" r:id="rId199" xr:uid="{4C693679-C540-48A7-88F4-0E6736D68F2C}"/>
    <hyperlink ref="F305" r:id="rId200" xr:uid="{54E1A8BB-5776-44B6-B3CA-D8EF1A8F2020}"/>
    <hyperlink ref="F314" r:id="rId201" xr:uid="{1B1314E4-1274-4A5E-9BE2-DB7789797D9C}"/>
    <hyperlink ref="F355" r:id="rId202" xr:uid="{2DAA7CE0-E4BA-4F19-887B-26C8B1316046}"/>
    <hyperlink ref="F383" r:id="rId203" xr:uid="{69AC5F84-890C-4FC1-870F-17CB8F3B6C2E}"/>
    <hyperlink ref="F190" r:id="rId204" xr:uid="{6289F76C-A975-44BE-A9EB-AD05A06F4776}"/>
    <hyperlink ref="F268" r:id="rId205" xr:uid="{858EA392-9022-4160-AE1B-7C9A7235CF14}"/>
    <hyperlink ref="F364:F376" r:id="rId206" display="https://torinosu-hikikomori.jimdofree.com" xr:uid="{EA72453A-7C3F-498F-A120-3DE74486B8A6}"/>
    <hyperlink ref="F312" r:id="rId207" xr:uid="{2A905E16-7603-4181-9A8A-FD5324BD1A7F}"/>
    <hyperlink ref="F311" r:id="rId208" xr:uid="{F9B728A5-15CD-4AE9-9498-C0D347404918}"/>
    <hyperlink ref="F296" r:id="rId209" xr:uid="{3AA028FB-D0FD-40D9-BC8E-D27ABCDB92DE}"/>
    <hyperlink ref="F382:F387" r:id="rId210" display="https://lenskkpb.wixsite.com/len-sakaki-official" xr:uid="{41C75B9A-AFDD-477A-8469-442C83BF1C20}"/>
    <hyperlink ref="F362" r:id="rId211" xr:uid="{E9347EA9-21EB-42D4-987F-5D163371BCA6}"/>
    <hyperlink ref="F164" r:id="rId212" xr:uid="{6709143C-EC1C-4E22-8A6B-914136721DDA}"/>
    <hyperlink ref="F300" r:id="rId213" xr:uid="{5617C910-A310-4A17-8AA4-316F310847BF}"/>
    <hyperlink ref="F301" r:id="rId214" xr:uid="{2589C453-99E6-4E36-AED1-DD20CA59EAAD}"/>
    <hyperlink ref="F323" r:id="rId215" xr:uid="{E966FEFA-2086-4F71-A220-A242A6E77068}"/>
    <hyperlink ref="F344" r:id="rId216" xr:uid="{5147A47E-1C69-42B0-90BD-F7778A03B8D8}"/>
    <hyperlink ref="F422" r:id="rId217" xr:uid="{33591C89-D3E3-461A-91DF-B0E23E49244B}"/>
    <hyperlink ref="F182" r:id="rId218" xr:uid="{A3591E43-7C22-4FD1-924E-15894D717A6F}"/>
    <hyperlink ref="F404" r:id="rId219" xr:uid="{05FF1A37-523B-44F8-BC6B-2FE3B42C6FB0}"/>
    <hyperlink ref="F174" r:id="rId220" xr:uid="{771B46BB-CD8D-4DC4-AD1A-01F2CC50F599}"/>
    <hyperlink ref="F188" r:id="rId221" xr:uid="{DA94E514-95ED-48D5-8917-4CEB2D10AC09}"/>
    <hyperlink ref="F276" r:id="rId222" xr:uid="{AAACC18E-768A-40FC-9A76-393385BDE8AA}"/>
    <hyperlink ref="F27:F41" r:id="rId223" display="https://flowerrocklove.wixsite.com/twilight-crisis" xr:uid="{18713B45-904C-44C8-A3EA-F3A7A8F8B492}"/>
    <hyperlink ref="F43:F47" r:id="rId224" display="https://ameutaulii.wixsite.com/telepathycapsule" xr:uid="{9D76E74C-8DF7-4F45-8589-E0807CE20677}"/>
    <hyperlink ref="F325" r:id="rId225" xr:uid="{B294FDF4-E326-4762-A6C8-A123EB46F3C1}"/>
    <hyperlink ref="F122:F125" r:id="rId226" display="https://cloudcatch1224.wixsite.com/godsfoot" xr:uid="{CF5CE9BC-4A5E-4FDE-B94E-70935778B8EE}"/>
    <hyperlink ref="F152:F153" r:id="rId227" display="https://grskmot8.wixsite.com/kdarock" xr:uid="{778A948E-0EB6-40B0-AEE3-C5B9A74B484A}"/>
    <hyperlink ref="F156:F159" r:id="rId228" display="https://harujpg.wixsite.com/sanshoku" xr:uid="{BCB9D6CB-041E-4A77-88E3-D77DC20F3A86}"/>
    <hyperlink ref="F161:F164" r:id="rId229" display="https://hinagitsune-utau.wixsite.com/utaukokorone" xr:uid="{17B7B1A7-5C8D-466F-9936-50A01D2B01C7}"/>
    <hyperlink ref="F167:F168" r:id="rId230" display="https://hznonoka.wixsite.com/utau" xr:uid="{D4534A9A-D5A7-47DB-94B1-B6EE14D00FF9}"/>
    <hyperlink ref="F178:F181" r:id="rId231" display="https://jiwajiwakirinn.wixsite.com/sakurada" xr:uid="{A2742A21-A88E-4230-8D16-C14D41FFCE82}"/>
    <hyperlink ref="F146" r:id="rId232" xr:uid="{C797C69C-628B-412A-8EB3-9694BDDA7CA1}"/>
    <hyperlink ref="F195:F197" r:id="rId233" display="https://kaitoramma.chu.jp" xr:uid="{C20E8B38-57F4-4C2D-AA94-00D46DE98F12}"/>
    <hyperlink ref="F199:F200" r:id="rId234" display="https://kakokyu102krbs.wixsite.com/greenmilky" xr:uid="{244FAF66-4026-4EBC-8C9D-C8C09B8D909A}"/>
    <hyperlink ref="F252:F253" r:id="rId235" display="https://mareffys.wixsite.com/lalo" xr:uid="{8C282279-8B31-4071-A77D-D009CFC236C3}"/>
    <hyperlink ref="F257:F263" r:id="rId236" display="https://maybeanglo0mochi.wixsite.com/mochiyanosouko" xr:uid="{EAB6E141-5721-4735-B9E3-998C6B20C52C}"/>
    <hyperlink ref="F177" r:id="rId237" xr:uid="{16E14A36-56AA-44B9-AA98-E05426A8C9C7}"/>
    <hyperlink ref="F150" r:id="rId238" xr:uid="{6E9C4F6F-FA1B-42F3-AC46-DA64382550D2}"/>
    <hyperlink ref="F165" r:id="rId239" xr:uid="{56736E0F-0AFA-4271-AAC9-8F1B2DE4CA11}"/>
    <hyperlink ref="F106" r:id="rId240" xr:uid="{D5485F09-193C-4CB0-8551-2D0B6663FC90}"/>
    <hyperlink ref="F206" r:id="rId241" xr:uid="{3CD97486-7ED3-4925-831A-7A3E2E192FC7}"/>
    <hyperlink ref="F415:F416" r:id="rId242" display="https://todosho1192.wixsite.com/my-site-3" xr:uid="{F27D3A18-A7BA-4398-AABF-E9567CD42E02}"/>
    <hyperlink ref="F293" r:id="rId243" xr:uid="{BFCF7012-69F3-45C3-AFE9-F0277A62BBD8}"/>
    <hyperlink ref="F389" r:id="rId244" xr:uid="{BE1C263B-30C3-4388-A077-E2B849D62EEC}"/>
    <hyperlink ref="F272" r:id="rId245" xr:uid="{448506F7-A154-4559-9940-71967815FB44}"/>
    <hyperlink ref="F359" r:id="rId246" xr:uid="{9618126B-6DF1-426D-B0BA-26AFDCA9177D}"/>
    <hyperlink ref="F394" r:id="rId247" xr:uid="{B1ADF479-2A4E-4B96-9B76-84ADFDB934FB}"/>
    <hyperlink ref="F208" r:id="rId248" xr:uid="{26BA9F98-6D8A-4FB8-94ED-728D56FB66EE}"/>
    <hyperlink ref="F207" r:id="rId249" xr:uid="{930D44F6-7039-41BB-B714-0AE06971BF30}"/>
    <hyperlink ref="F203" r:id="rId250" xr:uid="{4B026699-18B4-4413-BDE1-0CD08B74FB8F}"/>
    <hyperlink ref="F210" r:id="rId251" xr:uid="{1C4B71BE-855F-43C6-816A-C413C4057B75}"/>
    <hyperlink ref="F205" r:id="rId252" xr:uid="{15F81934-A4C1-419F-8701-F3FB27235074}"/>
    <hyperlink ref="F202" r:id="rId253" xr:uid="{5099072F-AB96-4254-A9FD-54871C4A74A2}"/>
    <hyperlink ref="F155" r:id="rId254" xr:uid="{CA7CC9AE-7315-42BE-937F-A3819BB9EBE0}"/>
    <hyperlink ref="F64" r:id="rId255" xr:uid="{418C9B4B-CFA8-4994-A14D-BC445F33856C}"/>
    <hyperlink ref="F119:F123" r:id="rId256" display="https://chunyinhui021.wixsite.com/mutyuusaisei" xr:uid="{FABDAE2C-7F63-441F-84B2-028938338884}"/>
    <hyperlink ref="F149" r:id="rId257" xr:uid="{C6473DEC-BF73-419B-AA56-146489756280}"/>
    <hyperlink ref="F119" r:id="rId258" xr:uid="{28C97FB3-933D-45FF-9628-75334EC574F4}"/>
    <hyperlink ref="F145:F152" r:id="rId259" display="https://flowerrocklove.wixsite.com/twilight-crisis" xr:uid="{FDAA4323-4883-4BB6-9181-C86DC3ADB7F0}"/>
    <hyperlink ref="F37" r:id="rId260" xr:uid="{AD3B11AA-D587-4DF1-8BC5-E508A5AD4F14}"/>
    <hyperlink ref="F212" r:id="rId261" xr:uid="{0E759D8E-9DE5-44ED-A2BE-A99A9E2627DB}"/>
    <hyperlink ref="F213" r:id="rId262" xr:uid="{406FC7AC-2166-4FD4-99F2-4BB095DB43CC}"/>
    <hyperlink ref="F211" r:id="rId263" xr:uid="{F9779F13-F0A4-4D78-98A1-1A2293AAA7FD}"/>
    <hyperlink ref="F214" r:id="rId264" xr:uid="{6CC49D90-7570-4B72-88D0-94D3708E5825}"/>
    <hyperlink ref="F17" r:id="rId265" xr:uid="{53566C5F-FB16-421E-81DF-F6230E99E473}"/>
    <hyperlink ref="F18" r:id="rId266" xr:uid="{72C86F07-C5A0-4A7B-9EE3-83CBC908E342}"/>
    <hyperlink ref="F215" r:id="rId267" xr:uid="{1B923E2D-7B61-46E7-9CD1-4FFE9FF203C6}"/>
    <hyperlink ref="F217" r:id="rId268" xr:uid="{ACD6D043-DC6C-4915-B869-0962630001EE}"/>
    <hyperlink ref="F218" r:id="rId269" xr:uid="{1BB09921-A1B5-4E8A-AF07-B858C21DFBCC}"/>
    <hyperlink ref="F432" r:id="rId270" xr:uid="{61646544-B7F6-41E1-8AAA-1060414B887B}"/>
    <hyperlink ref="F433" r:id="rId271" xr:uid="{93E61A86-7C41-43F4-88FF-AD6D298AC41C}"/>
    <hyperlink ref="F434" r:id="rId272" xr:uid="{51F09A09-DFFB-4E04-8966-9EFE30193397}"/>
    <hyperlink ref="F219" r:id="rId273" xr:uid="{47501218-C0AE-448A-80CE-563AF7997BE9}"/>
    <hyperlink ref="F435" r:id="rId274" xr:uid="{3A2805FB-E662-434D-ABC5-5A3F16A81CE1}"/>
    <hyperlink ref="F436" r:id="rId275" xr:uid="{AE74323E-19A6-4A93-833E-30A12C9BAA71}"/>
    <hyperlink ref="F437" r:id="rId276" xr:uid="{44B46EA8-E8E3-49FF-97F9-7F6E461DEA48}"/>
    <hyperlink ref="F220" r:id="rId277" xr:uid="{3D463FD1-CA5E-441E-866F-5DDAABBEEC52}"/>
    <hyperlink ref="F233:F234" r:id="rId278" display="https://vividseekers.utau.sorairomarch.com" xr:uid="{77AABF20-E38A-4E5E-9256-98D67B3EFAD5}"/>
    <hyperlink ref="F221" r:id="rId279" xr:uid="{56FB0977-3126-4BA1-999A-6CCD84394835}"/>
    <hyperlink ref="F222" r:id="rId280" xr:uid="{034A46DA-F5A4-44C6-9E6C-646402456BD6}"/>
    <hyperlink ref="F223" r:id="rId281" xr:uid="{2A4F1930-4F68-493D-ABC5-F7A025BBE45F}"/>
    <hyperlink ref="F224" r:id="rId282" xr:uid="{BCE8DD4E-A8D7-4383-B8EB-68099CA41E17}"/>
    <hyperlink ref="F225" r:id="rId283" xr:uid="{0FC88DEF-F889-4B6B-8CCB-F686BBAEB5A1}"/>
    <hyperlink ref="F226" r:id="rId284" xr:uid="{39EF5822-BBE0-4D3D-A5F3-58E8CAA40F99}"/>
    <hyperlink ref="F227" r:id="rId285" xr:uid="{9AAFB909-13C3-424B-AFA4-345246155E51}"/>
    <hyperlink ref="F103" r:id="rId286" xr:uid="{3FE6181D-9E89-466D-A7CE-1D0B0A3A3BEA}"/>
    <hyperlink ref="F54" r:id="rId287" xr:uid="{56EDA6B7-5404-4B84-8803-D3F8DF00406E}"/>
    <hyperlink ref="F19" r:id="rId288" xr:uid="{29E00CE5-F341-424F-B6FD-353D0A58F088}"/>
    <hyperlink ref="F324" r:id="rId289" xr:uid="{72F870BB-FF55-4D54-954C-E4885C32EBAD}"/>
    <hyperlink ref="F397" r:id="rId290" xr:uid="{D3C51E23-C92D-412B-9151-3A83EB71B0BD}"/>
    <hyperlink ref="F399" r:id="rId291" xr:uid="{F8892412-E2EF-4F22-978E-4CB152463A0C}"/>
    <hyperlink ref="F401" r:id="rId292" xr:uid="{09278526-39B2-47EF-9BEB-568CC2249A84}"/>
    <hyperlink ref="F426" r:id="rId293" xr:uid="{6237008D-1032-4541-87B3-EAE62A28C5C4}"/>
    <hyperlink ref="F22" r:id="rId294" xr:uid="{C2676C57-00EE-443E-AF00-E0791C6E740E}"/>
    <hyperlink ref="F112" r:id="rId295" xr:uid="{2D89B21B-0461-4B5E-882D-8497ABF2C187}"/>
    <hyperlink ref="F185" r:id="rId296" xr:uid="{99C721D3-51F8-4C8D-9B5E-758137429D70}"/>
    <hyperlink ref="F280" r:id="rId297" xr:uid="{1A5935A5-F197-4EB4-98D4-7456DD9263CB}"/>
    <hyperlink ref="F289" r:id="rId298" xr:uid="{1FDC25C5-4137-4D42-AD91-0378F9F9E3CB}"/>
    <hyperlink ref="F298" r:id="rId299" xr:uid="{B233B4B6-C275-4E49-9F97-339731422609}"/>
    <hyperlink ref="F228" r:id="rId300" xr:uid="{0D9566A2-B460-4D31-B72E-DEB0F19225F4}"/>
    <hyperlink ref="F229" r:id="rId301" display="https://kagerou009.hatenablog.com/" xr:uid="{3F9ACAE0-AC00-4378-9823-58DCEE87392D}"/>
    <hyperlink ref="F438" r:id="rId302" xr:uid="{B7F3530A-8B4D-4B5D-9E19-FCF2687BF8EE}"/>
    <hyperlink ref="F439" r:id="rId303" xr:uid="{54DC5442-05FB-4F08-A9DD-A1EC3BC106F5}"/>
    <hyperlink ref="F230" r:id="rId304" xr:uid="{A565DDFB-D389-4E52-B7CB-2398C4F3C765}"/>
    <hyperlink ref="F232" r:id="rId305" xr:uid="{9FEB38EA-9D2C-43BE-ABC7-34C83A8CD983}"/>
    <hyperlink ref="F231" r:id="rId306" xr:uid="{41A10682-311A-4BA7-AE6F-603DD0D67F66}"/>
  </hyperlinks>
  <pageMargins left="0.7" right="0.7" top="0.75" bottom="0.75" header="0.3" footer="0.3"/>
  <tableParts count="1">
    <tablePart r:id="rId30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714</v>
      </c>
      <c r="C2" s="31"/>
    </row>
    <row r="4" spans="2:3" ht="30" customHeight="1" x14ac:dyDescent="0.35">
      <c r="B4" s="4" t="s">
        <v>718</v>
      </c>
      <c r="C4" s="7">
        <f ca="1">MATCH(C5,キャラ情報!C:C,0)</f>
        <v>301</v>
      </c>
    </row>
    <row r="5" spans="2:3" ht="30" customHeight="1" x14ac:dyDescent="0.35">
      <c r="B5" s="4" t="s">
        <v>715</v>
      </c>
      <c r="C5" s="6" t="str">
        <f ca="1">INDEX(キャラ情報!C:Q,MATCH(MIN(キャラ情報!Q:Q),キャラ情報!Q:Q,0),1)</f>
        <v>携帯ロン</v>
      </c>
    </row>
    <row r="6" spans="2:3" ht="30" customHeight="1" x14ac:dyDescent="0.35">
      <c r="B6" s="4" t="s">
        <v>716</v>
      </c>
      <c r="C6" s="6" t="str">
        <f ca="1">INDEX(キャラ情報!C:Q,MATCH(MIN(キャラ情報!Q:Q),キャラ情報!Q:Q,0),4)</f>
        <v>https://keitaiware.com</v>
      </c>
    </row>
    <row r="9" spans="2:3" ht="30" customHeight="1" x14ac:dyDescent="0.35">
      <c r="B9" s="31" t="s">
        <v>772</v>
      </c>
      <c r="C9" s="31"/>
    </row>
    <row r="11" spans="2:3" ht="30" customHeight="1" x14ac:dyDescent="0.35">
      <c r="B11" s="4" t="s">
        <v>718</v>
      </c>
      <c r="C11" s="7" t="e">
        <f ca="1">MATCH(C12,キャラ情報!C:C,0)</f>
        <v>#N/A</v>
      </c>
    </row>
    <row r="12" spans="2:3" ht="30" customHeight="1" x14ac:dyDescent="0.35">
      <c r="B12" s="4" t="s">
        <v>715</v>
      </c>
      <c r="C12" s="6" t="e">
        <f ca="1">INDEX(キャラ情報!C:S,MATCH(MIN(キャラ情報!S:S),キャラ情報!S:S,0),1)</f>
        <v>#N/A</v>
      </c>
    </row>
    <row r="14" spans="2:3" ht="30" customHeight="1" thickBot="1" x14ac:dyDescent="0.4">
      <c r="B14" s="8" t="s">
        <v>775</v>
      </c>
    </row>
    <row r="15" spans="2:3" ht="30" customHeight="1" thickTop="1" x14ac:dyDescent="0.35">
      <c r="B15" s="9" t="s">
        <v>1524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No.231｜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776</v>
      </c>
      <c r="C20" s="12"/>
    </row>
    <row r="21" spans="2:3" ht="30" customHeight="1" thickBot="1" x14ac:dyDescent="0.4">
      <c r="B21" s="13" t="s">
        <v>1731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L231"/>
  <sheetViews>
    <sheetView topLeftCell="A210" workbookViewId="0">
      <selection activeCell="G229" sqref="G229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1.59765625" style="19" bestFit="1" customWidth="1"/>
    <col min="11" max="11" width="20.1328125" style="19" bestFit="1" customWidth="1"/>
    <col min="12" max="12" width="16.9296875" style="19" bestFit="1" customWidth="1"/>
    <col min="13" max="16384" width="9.06640625" style="19"/>
  </cols>
  <sheetData>
    <row r="1" spans="1:12" s="18" customFormat="1" ht="20.149999999999999" customHeight="1" x14ac:dyDescent="0.35">
      <c r="A1" s="18" t="s">
        <v>1620</v>
      </c>
      <c r="B1" s="18" t="s">
        <v>1616</v>
      </c>
      <c r="C1" s="18" t="s">
        <v>1617</v>
      </c>
      <c r="D1" s="18" t="s">
        <v>1618</v>
      </c>
      <c r="E1" s="18" t="s">
        <v>1619</v>
      </c>
      <c r="F1" s="18" t="s">
        <v>1621</v>
      </c>
      <c r="G1" s="18" t="s">
        <v>1622</v>
      </c>
      <c r="H1" s="18" t="s">
        <v>1623</v>
      </c>
      <c r="I1" s="1" t="s">
        <v>1629</v>
      </c>
      <c r="J1" s="1" t="s">
        <v>1630</v>
      </c>
      <c r="K1" s="1" t="s">
        <v>1631</v>
      </c>
      <c r="L1" s="1" t="s">
        <v>1632</v>
      </c>
    </row>
    <row r="2" spans="1:12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Row],[職業タグ]]&amp;""</f>
        <v/>
      </c>
      <c r="K2" s="19" t="str">
        <f>テーブル1[[#This Row],[小物タグ]]&amp;""</f>
        <v/>
      </c>
      <c r="L2" s="19" t="str">
        <f>テーブル1[[#This Row],[ワンポイントタグ]]&amp;""</f>
        <v>尖耳</v>
      </c>
    </row>
    <row r="3" spans="1:12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Row],[職業タグ]]&amp;""</f>
        <v>学者</v>
      </c>
      <c r="K3" s="19" t="str">
        <f>テーブル1[[#This Row],[小物タグ]]&amp;""</f>
        <v>眼鏡</v>
      </c>
      <c r="L3" s="19" t="str">
        <f>テーブル1[[#This Row],[ワンポイントタグ]]&amp;""</f>
        <v>インナーカラー|片目隠れ</v>
      </c>
    </row>
    <row r="4" spans="1:12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Row],[職業タグ]]&amp;""</f>
        <v>機械整備士</v>
      </c>
      <c r="K4" s="19" t="str">
        <f>テーブル1[[#This Row],[小物タグ]]&amp;""</f>
        <v/>
      </c>
      <c r="L4" s="19" t="str">
        <f>テーブル1[[#This Row],[ワンポイントタグ]]&amp;""</f>
        <v>角(ツノ)|羽|尻尾</v>
      </c>
    </row>
    <row r="5" spans="1:12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Row],[職業タグ]]&amp;""</f>
        <v/>
      </c>
      <c r="K5" s="19" t="str">
        <f>テーブル1[[#This Row],[小物タグ]]&amp;""</f>
        <v>イヤーユニット</v>
      </c>
      <c r="L5" s="19" t="str">
        <f>テーブル1[[#This Row],[ワンポイントタグ]]&amp;""</f>
        <v/>
      </c>
    </row>
    <row r="6" spans="1:12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Row],[職業タグ]]&amp;""</f>
        <v/>
      </c>
      <c r="K6" s="19" t="str">
        <f>テーブル1[[#This Row],[小物タグ]]&amp;""</f>
        <v>マスク</v>
      </c>
      <c r="L6" s="19" t="str">
        <f>テーブル1[[#This Row],[ワンポイントタグ]]&amp;""</f>
        <v>羽</v>
      </c>
    </row>
    <row r="7" spans="1:12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Row],[職業タグ]]&amp;""</f>
        <v/>
      </c>
      <c r="K7" s="19" t="str">
        <f>テーブル1[[#This Row],[小物タグ]]&amp;""</f>
        <v/>
      </c>
      <c r="L7" s="19" t="str">
        <f>テーブル1[[#This Row],[ワンポイントタグ]]&amp;""</f>
        <v/>
      </c>
    </row>
    <row r="8" spans="1:12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Row],[職業タグ]]&amp;""</f>
        <v/>
      </c>
      <c r="K8" s="19" t="str">
        <f>テーブル1[[#This Row],[小物タグ]]&amp;""</f>
        <v>眼鏡</v>
      </c>
      <c r="L8" s="19" t="str">
        <f>テーブル1[[#This Row],[ワンポイントタグ]]&amp;""</f>
        <v>オッドアイ</v>
      </c>
    </row>
    <row r="9" spans="1:12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Row],[職業タグ]]&amp;""</f>
        <v/>
      </c>
      <c r="K9" s="19" t="str">
        <f>テーブル1[[#This Row],[小物タグ]]&amp;""</f>
        <v/>
      </c>
      <c r="L9" s="19" t="str">
        <f>テーブル1[[#This Row],[ワンポイントタグ]]&amp;""</f>
        <v>羽</v>
      </c>
    </row>
    <row r="10" spans="1:12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Row],[職業タグ]]&amp;""</f>
        <v/>
      </c>
      <c r="K10" s="19" t="str">
        <f>テーブル1[[#This Row],[小物タグ]]&amp;""</f>
        <v>動物</v>
      </c>
      <c r="L10" s="19" t="str">
        <f>テーブル1[[#This Row],[ワンポイントタグ]]&amp;""</f>
        <v>渦巻き目、アホ毛</v>
      </c>
    </row>
    <row r="11" spans="1:12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Row],[職業タグ]]&amp;""</f>
        <v/>
      </c>
      <c r="K11" s="19" t="str">
        <f>テーブル1[[#This Row],[小物タグ]]&amp;""</f>
        <v/>
      </c>
      <c r="L11" s="19" t="str">
        <f>テーブル1[[#This Row],[ワンポイントタグ]]&amp;""</f>
        <v>ツートンカラー</v>
      </c>
    </row>
    <row r="12" spans="1:12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Row],[職業タグ]]&amp;""</f>
        <v>書店員</v>
      </c>
      <c r="K12" s="19" t="str">
        <f>テーブル1[[#This Row],[小物タグ]]&amp;""</f>
        <v>眼鏡</v>
      </c>
      <c r="L12" s="19" t="str">
        <f>テーブル1[[#This Row],[ワンポイントタグ]]&amp;""</f>
        <v/>
      </c>
    </row>
    <row r="13" spans="1:12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Row],[職業タグ]]&amp;""</f>
        <v/>
      </c>
      <c r="K13" s="19" t="str">
        <f>テーブル1[[#This Row],[小物タグ]]&amp;""</f>
        <v>ヘッドセット</v>
      </c>
      <c r="L13" s="19" t="str">
        <f>テーブル1[[#This Row],[ワンポイントタグ]]&amp;""</f>
        <v/>
      </c>
    </row>
    <row r="14" spans="1:12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Row],[職業タグ]]&amp;""</f>
        <v/>
      </c>
      <c r="K14" s="19" t="str">
        <f>テーブル1[[#This Row],[小物タグ]]&amp;""</f>
        <v/>
      </c>
      <c r="L14" s="19" t="str">
        <f>テーブル1[[#This Row],[ワンポイントタグ]]&amp;""</f>
        <v>尻尾</v>
      </c>
    </row>
    <row r="15" spans="1:12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Row],[職業タグ]]&amp;""</f>
        <v>腹話術師</v>
      </c>
      <c r="K15" s="19" t="str">
        <f>テーブル1[[#This Row],[小物タグ]]&amp;""</f>
        <v/>
      </c>
      <c r="L15" s="19" t="str">
        <f>テーブル1[[#This Row],[ワンポイントタグ]]&amp;""</f>
        <v>両目隠れ</v>
      </c>
    </row>
    <row r="16" spans="1:12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Row],[職業タグ]]&amp;""</f>
        <v>クリエイター</v>
      </c>
      <c r="K16" s="19" t="str">
        <f>テーブル1[[#This Row],[小物タグ]]&amp;""</f>
        <v/>
      </c>
      <c r="L16" s="19" t="str">
        <f>テーブル1[[#This Row],[ワンポイントタグ]]&amp;""</f>
        <v>メッシュ</v>
      </c>
    </row>
    <row r="17" spans="1:12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Row],[職業タグ]]&amp;""</f>
        <v/>
      </c>
      <c r="K17" s="19" t="str">
        <f>テーブル1[[#This Row],[小物タグ]]&amp;""</f>
        <v/>
      </c>
      <c r="L17" s="19" t="str">
        <f>テーブル1[[#This Row],[ワンポイントタグ]]&amp;""</f>
        <v/>
      </c>
    </row>
    <row r="18" spans="1:12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Row],[職業タグ]]&amp;""</f>
        <v>ヤンキー</v>
      </c>
      <c r="K18" s="19" t="str">
        <f>テーブル1[[#This Row],[小物タグ]]&amp;""</f>
        <v/>
      </c>
      <c r="L18" s="19" t="str">
        <f>テーブル1[[#This Row],[ワンポイントタグ]]&amp;""</f>
        <v/>
      </c>
    </row>
    <row r="19" spans="1:12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Row],[職業タグ]]&amp;""</f>
        <v/>
      </c>
      <c r="K19" s="19" t="str">
        <f>テーブル1[[#This Row],[小物タグ]]&amp;""</f>
        <v>ヘアピン|拡声器</v>
      </c>
      <c r="L19" s="19" t="str">
        <f>テーブル1[[#This Row],[ワンポイントタグ]]&amp;""</f>
        <v/>
      </c>
    </row>
    <row r="20" spans="1:12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Row],[職業タグ]]&amp;""</f>
        <v/>
      </c>
      <c r="K20" s="19" t="str">
        <f>テーブル1[[#This Row],[小物タグ]]&amp;""</f>
        <v>イヤーユニット</v>
      </c>
      <c r="L20" s="19" t="str">
        <f>テーブル1[[#This Row],[ワンポイントタグ]]&amp;""</f>
        <v/>
      </c>
    </row>
    <row r="21" spans="1:12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Row],[職業タグ]]&amp;""</f>
        <v/>
      </c>
      <c r="K21" s="19" t="str">
        <f>テーブル1[[#This Row],[小物タグ]]&amp;""</f>
        <v/>
      </c>
      <c r="L21" s="19" t="str">
        <f>テーブル1[[#This Row],[ワンポイントタグ]]&amp;""</f>
        <v/>
      </c>
    </row>
    <row r="22" spans="1:12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Row],[職業タグ]]&amp;""</f>
        <v/>
      </c>
      <c r="K22" s="19" t="str">
        <f>テーブル1[[#This Row],[小物タグ]]&amp;""</f>
        <v/>
      </c>
      <c r="L22" s="19" t="str">
        <f>テーブル1[[#This Row],[ワンポイントタグ]]&amp;""</f>
        <v>両目隠れ|羽</v>
      </c>
    </row>
    <row r="23" spans="1:12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/>
      </c>
      <c r="I23" s="19" t="str">
        <f>テーブル1[[#This Row],[種族タグ]]&amp;""</f>
        <v/>
      </c>
      <c r="J23" s="19" t="str">
        <f>テーブル1[[#This Row],[職業タグ]]&amp;""</f>
        <v/>
      </c>
      <c r="K23" s="19" t="str">
        <f>テーブル1[[#This Row],[小物タグ]]&amp;""</f>
        <v/>
      </c>
      <c r="L23" s="19" t="str">
        <f>テーブル1[[#This Row],[ワンポイントタグ]]&amp;""</f>
        <v/>
      </c>
    </row>
    <row r="24" spans="1:12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Row],[職業タグ]]&amp;""</f>
        <v/>
      </c>
      <c r="K24" s="19" t="str">
        <f>テーブル1[[#This Row],[小物タグ]]&amp;""</f>
        <v>眼鏡</v>
      </c>
      <c r="L24" s="19" t="str">
        <f>テーブル1[[#This Row],[ワンポイントタグ]]&amp;""</f>
        <v/>
      </c>
    </row>
    <row r="25" spans="1:12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/>
      </c>
      <c r="I25" s="19" t="str">
        <f>テーブル1[[#This Row],[種族タグ]]&amp;""</f>
        <v/>
      </c>
      <c r="J25" s="19" t="str">
        <f>テーブル1[[#This Row],[職業タグ]]&amp;""</f>
        <v/>
      </c>
      <c r="K25" s="19" t="str">
        <f>テーブル1[[#This Row],[小物タグ]]&amp;""</f>
        <v/>
      </c>
      <c r="L25" s="19" t="str">
        <f>テーブル1[[#This Row],[ワンポイントタグ]]&amp;""</f>
        <v/>
      </c>
    </row>
    <row r="26" spans="1:12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/>
      </c>
      <c r="I26" s="19" t="str">
        <f>テーブル1[[#This Row],[種族タグ]]&amp;""</f>
        <v/>
      </c>
      <c r="J26" s="19" t="str">
        <f>テーブル1[[#This Row],[職業タグ]]&amp;""</f>
        <v/>
      </c>
      <c r="K26" s="19" t="str">
        <f>テーブル1[[#This Row],[小物タグ]]&amp;""</f>
        <v/>
      </c>
      <c r="L26" s="19" t="str">
        <f>テーブル1[[#This Row],[ワンポイントタグ]]&amp;""</f>
        <v/>
      </c>
    </row>
    <row r="27" spans="1:12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/>
      </c>
      <c r="I27" s="19" t="str">
        <f>テーブル1[[#This Row],[種族タグ]]&amp;""</f>
        <v/>
      </c>
      <c r="J27" s="19" t="str">
        <f>テーブル1[[#This Row],[職業タグ]]&amp;""</f>
        <v/>
      </c>
      <c r="K27" s="19" t="str">
        <f>テーブル1[[#This Row],[小物タグ]]&amp;""</f>
        <v/>
      </c>
      <c r="L27" s="19" t="str">
        <f>テーブル1[[#This Row],[ワンポイントタグ]]&amp;""</f>
        <v/>
      </c>
    </row>
    <row r="28" spans="1:12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Niito</v>
      </c>
      <c r="E28" s="19" t="str">
        <f>"image/"&amp;テーブル1[[#This Row],[画像]]&amp;".png"</f>
        <v>image/kanari-niito.png</v>
      </c>
      <c r="F28" s="19" t="str">
        <f>テーブル1[[#This Row],[リンク]]</f>
        <v>https://bowlroll.net/user/852117/files</v>
      </c>
      <c r="G28" s="19" t="str">
        <f>SUBSTITUTE(テーブル1[[#This Row],[作品タグ]]," ","|")</f>
        <v>#きのみあーと</v>
      </c>
      <c r="H28" s="19" t="str">
        <f>テーブル1[[#This Row],[性別]]&amp;""</f>
        <v/>
      </c>
      <c r="I28" s="19" t="str">
        <f>テーブル1[[#This Row],[種族タグ]]&amp;""</f>
        <v/>
      </c>
      <c r="J28" s="19" t="str">
        <f>テーブル1[[#This Row],[職業タグ]]&amp;""</f>
        <v/>
      </c>
      <c r="K28" s="19" t="str">
        <f>テーブル1[[#This Row],[小物タグ]]&amp;""</f>
        <v/>
      </c>
      <c r="L28" s="19" t="str">
        <f>テーブル1[[#This Row],[ワンポイントタグ]]&amp;""</f>
        <v/>
      </c>
    </row>
    <row r="29" spans="1:12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/>
      </c>
      <c r="I29" s="19" t="str">
        <f>テーブル1[[#This Row],[種族タグ]]&amp;""</f>
        <v/>
      </c>
      <c r="J29" s="19" t="str">
        <f>テーブル1[[#This Row],[職業タグ]]&amp;""</f>
        <v/>
      </c>
      <c r="K29" s="19" t="str">
        <f>テーブル1[[#This Row],[小物タグ]]&amp;""</f>
        <v/>
      </c>
      <c r="L29" s="19" t="str">
        <f>テーブル1[[#This Row],[ワンポイントタグ]]&amp;""</f>
        <v/>
      </c>
    </row>
    <row r="30" spans="1:12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/>
      </c>
      <c r="I30" s="19" t="str">
        <f>テーブル1[[#This Row],[種族タグ]]&amp;""</f>
        <v/>
      </c>
      <c r="J30" s="19" t="str">
        <f>テーブル1[[#This Row],[職業タグ]]&amp;""</f>
        <v/>
      </c>
      <c r="K30" s="19" t="str">
        <f>テーブル1[[#This Row],[小物タグ]]&amp;""</f>
        <v/>
      </c>
      <c r="L30" s="19" t="str">
        <f>テーブル1[[#This Row],[ワンポイントタグ]]&amp;""</f>
        <v/>
      </c>
    </row>
    <row r="31" spans="1:12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/>
      </c>
      <c r="I31" s="19" t="str">
        <f>テーブル1[[#This Row],[種族タグ]]&amp;""</f>
        <v/>
      </c>
      <c r="J31" s="19" t="str">
        <f>テーブル1[[#This Row],[職業タグ]]&amp;""</f>
        <v/>
      </c>
      <c r="K31" s="19" t="str">
        <f>テーブル1[[#This Row],[小物タグ]]&amp;""</f>
        <v/>
      </c>
      <c r="L31" s="19" t="str">
        <f>テーブル1[[#This Row],[ワンポイントタグ]]&amp;""</f>
        <v/>
      </c>
    </row>
    <row r="32" spans="1:12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Row],[職業タグ]]&amp;""</f>
        <v>サーカス団員</v>
      </c>
      <c r="K32" s="19" t="str">
        <f>テーブル1[[#This Row],[小物タグ]]&amp;""</f>
        <v>リボン</v>
      </c>
      <c r="L32" s="19" t="str">
        <f>テーブル1[[#This Row],[ワンポイントタグ]]&amp;""</f>
        <v>ギザ歯</v>
      </c>
    </row>
    <row r="33" spans="1:12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/>
      </c>
      <c r="I33" s="19" t="str">
        <f>テーブル1[[#This Row],[種族タグ]]&amp;""</f>
        <v/>
      </c>
      <c r="J33" s="19" t="str">
        <f>テーブル1[[#This Row],[職業タグ]]&amp;""</f>
        <v/>
      </c>
      <c r="K33" s="19" t="str">
        <f>テーブル1[[#This Row],[小物タグ]]&amp;""</f>
        <v/>
      </c>
      <c r="L33" s="19" t="str">
        <f>テーブル1[[#This Row],[ワンポイントタグ]]&amp;""</f>
        <v/>
      </c>
    </row>
    <row r="34" spans="1:12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https://bowlroll.net/user/852117/files</v>
      </c>
      <c r="G34" s="19" t="str">
        <f>SUBSTITUTE(テーブル1[[#This Row],[作品タグ]]," ","|")</f>
        <v>#きのみあーと</v>
      </c>
      <c r="H34" s="19" t="str">
        <f>テーブル1[[#This Row],[性別]]&amp;""</f>
        <v/>
      </c>
      <c r="I34" s="19" t="str">
        <f>テーブル1[[#This Row],[種族タグ]]&amp;""</f>
        <v/>
      </c>
      <c r="J34" s="19" t="str">
        <f>テーブル1[[#This Row],[職業タグ]]&amp;""</f>
        <v/>
      </c>
      <c r="K34" s="19" t="str">
        <f>テーブル1[[#This Row],[小物タグ]]&amp;""</f>
        <v/>
      </c>
      <c r="L34" s="19" t="str">
        <f>テーブル1[[#This Row],[ワンポイントタグ]]&amp;""</f>
        <v/>
      </c>
    </row>
    <row r="35" spans="1:12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/>
      </c>
      <c r="I35" s="19" t="str">
        <f>テーブル1[[#This Row],[種族タグ]]&amp;""</f>
        <v/>
      </c>
      <c r="J35" s="19" t="str">
        <f>テーブル1[[#This Row],[職業タグ]]&amp;""</f>
        <v/>
      </c>
      <c r="K35" s="19" t="str">
        <f>テーブル1[[#This Row],[小物タグ]]&amp;""</f>
        <v/>
      </c>
      <c r="L35" s="19" t="str">
        <f>テーブル1[[#This Row],[ワンポイントタグ]]&amp;""</f>
        <v/>
      </c>
    </row>
    <row r="36" spans="1:12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/>
      </c>
      <c r="I36" s="19" t="str">
        <f>テーブル1[[#This Row],[種族タグ]]&amp;""</f>
        <v/>
      </c>
      <c r="J36" s="19" t="str">
        <f>テーブル1[[#This Row],[職業タグ]]&amp;""</f>
        <v/>
      </c>
      <c r="K36" s="19" t="str">
        <f>テーブル1[[#This Row],[小物タグ]]&amp;""</f>
        <v/>
      </c>
      <c r="L36" s="19" t="str">
        <f>テーブル1[[#This Row],[ワンポイントタグ]]&amp;""</f>
        <v/>
      </c>
    </row>
    <row r="37" spans="1:12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/>
      </c>
      <c r="I37" s="19" t="str">
        <f>テーブル1[[#This Row],[種族タグ]]&amp;""</f>
        <v/>
      </c>
      <c r="J37" s="19" t="str">
        <f>テーブル1[[#This Row],[職業タグ]]&amp;""</f>
        <v/>
      </c>
      <c r="K37" s="19" t="str">
        <f>テーブル1[[#This Row],[小物タグ]]&amp;""</f>
        <v/>
      </c>
      <c r="L37" s="19" t="str">
        <f>テーブル1[[#This Row],[ワンポイントタグ]]&amp;""</f>
        <v/>
      </c>
    </row>
    <row r="38" spans="1:12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/>
      </c>
      <c r="I38" s="19" t="str">
        <f>テーブル1[[#This Row],[種族タグ]]&amp;""</f>
        <v/>
      </c>
      <c r="J38" s="19" t="str">
        <f>テーブル1[[#This Row],[職業タグ]]&amp;""</f>
        <v/>
      </c>
      <c r="K38" s="19" t="str">
        <f>テーブル1[[#This Row],[小物タグ]]&amp;""</f>
        <v/>
      </c>
      <c r="L38" s="19" t="str">
        <f>テーブル1[[#This Row],[ワンポイントタグ]]&amp;""</f>
        <v/>
      </c>
    </row>
    <row r="39" spans="1:12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/>
      </c>
      <c r="I39" s="19" t="str">
        <f>テーブル1[[#This Row],[種族タグ]]&amp;""</f>
        <v/>
      </c>
      <c r="J39" s="19" t="str">
        <f>テーブル1[[#This Row],[職業タグ]]&amp;""</f>
        <v/>
      </c>
      <c r="K39" s="19" t="str">
        <f>テーブル1[[#This Row],[小物タグ]]&amp;""</f>
        <v/>
      </c>
      <c r="L39" s="19" t="str">
        <f>テーブル1[[#This Row],[ワンポイントタグ]]&amp;""</f>
        <v/>
      </c>
    </row>
    <row r="40" spans="1:12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/>
      </c>
      <c r="I40" s="19" t="str">
        <f>テーブル1[[#This Row],[種族タグ]]&amp;""</f>
        <v/>
      </c>
      <c r="J40" s="19" t="str">
        <f>テーブル1[[#This Row],[職業タグ]]&amp;""</f>
        <v/>
      </c>
      <c r="K40" s="19" t="str">
        <f>テーブル1[[#This Row],[小物タグ]]&amp;""</f>
        <v/>
      </c>
      <c r="L40" s="19" t="str">
        <f>テーブル1[[#This Row],[ワンポイントタグ]]&amp;""</f>
        <v/>
      </c>
    </row>
    <row r="41" spans="1:12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/>
      </c>
      <c r="I41" s="19" t="str">
        <f>テーブル1[[#This Row],[種族タグ]]&amp;""</f>
        <v/>
      </c>
      <c r="J41" s="19" t="str">
        <f>テーブル1[[#This Row],[職業タグ]]&amp;""</f>
        <v/>
      </c>
      <c r="K41" s="19" t="str">
        <f>テーブル1[[#This Row],[小物タグ]]&amp;""</f>
        <v/>
      </c>
      <c r="L41" s="19" t="str">
        <f>テーブル1[[#This Row],[ワンポイントタグ]]&amp;""</f>
        <v/>
      </c>
    </row>
    <row r="42" spans="1:12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/>
      </c>
      <c r="I42" s="19" t="str">
        <f>テーブル1[[#This Row],[種族タグ]]&amp;""</f>
        <v/>
      </c>
      <c r="J42" s="19" t="str">
        <f>テーブル1[[#This Row],[職業タグ]]&amp;""</f>
        <v/>
      </c>
      <c r="K42" s="19" t="str">
        <f>テーブル1[[#This Row],[小物タグ]]&amp;""</f>
        <v/>
      </c>
      <c r="L42" s="19" t="str">
        <f>テーブル1[[#This Row],[ワンポイントタグ]]&amp;""</f>
        <v/>
      </c>
    </row>
    <row r="43" spans="1:12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/>
      </c>
      <c r="I43" s="19" t="str">
        <f>テーブル1[[#This Row],[種族タグ]]&amp;""</f>
        <v/>
      </c>
      <c r="J43" s="19" t="str">
        <f>テーブル1[[#This Row],[職業タグ]]&amp;""</f>
        <v/>
      </c>
      <c r="K43" s="19" t="str">
        <f>テーブル1[[#This Row],[小物タグ]]&amp;""</f>
        <v/>
      </c>
      <c r="L43" s="19" t="str">
        <f>テーブル1[[#This Row],[ワンポイントタグ]]&amp;""</f>
        <v/>
      </c>
    </row>
    <row r="44" spans="1:12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/>
      </c>
      <c r="I44" s="19" t="str">
        <f>テーブル1[[#This Row],[種族タグ]]&amp;""</f>
        <v/>
      </c>
      <c r="J44" s="19" t="str">
        <f>テーブル1[[#This Row],[職業タグ]]&amp;""</f>
        <v/>
      </c>
      <c r="K44" s="19" t="str">
        <f>テーブル1[[#This Row],[小物タグ]]&amp;""</f>
        <v/>
      </c>
      <c r="L44" s="19" t="str">
        <f>テーブル1[[#This Row],[ワンポイントタグ]]&amp;""</f>
        <v/>
      </c>
    </row>
    <row r="45" spans="1:12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/>
      </c>
      <c r="I45" s="19" t="str">
        <f>テーブル1[[#This Row],[種族タグ]]&amp;""</f>
        <v/>
      </c>
      <c r="J45" s="19" t="str">
        <f>テーブル1[[#This Row],[職業タグ]]&amp;""</f>
        <v/>
      </c>
      <c r="K45" s="19" t="str">
        <f>テーブル1[[#This Row],[小物タグ]]&amp;""</f>
        <v/>
      </c>
      <c r="L45" s="19" t="str">
        <f>テーブル1[[#This Row],[ワンポイントタグ]]&amp;""</f>
        <v/>
      </c>
    </row>
    <row r="46" spans="1:12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/>
      </c>
      <c r="I46" s="19" t="str">
        <f>テーブル1[[#This Row],[種族タグ]]&amp;""</f>
        <v/>
      </c>
      <c r="J46" s="19" t="str">
        <f>テーブル1[[#This Row],[職業タグ]]&amp;""</f>
        <v/>
      </c>
      <c r="K46" s="19" t="str">
        <f>テーブル1[[#This Row],[小物タグ]]&amp;""</f>
        <v/>
      </c>
      <c r="L46" s="19" t="str">
        <f>テーブル1[[#This Row],[ワンポイントタグ]]&amp;""</f>
        <v/>
      </c>
    </row>
    <row r="47" spans="1:12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Row],[職業タグ]]&amp;""</f>
        <v/>
      </c>
      <c r="K47" s="19" t="str">
        <f>テーブル1[[#This Row],[小物タグ]]&amp;""</f>
        <v/>
      </c>
      <c r="L47" s="19" t="str">
        <f>テーブル1[[#This Row],[ワンポイントタグ]]&amp;""</f>
        <v/>
      </c>
    </row>
    <row r="48" spans="1:12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/>
      </c>
      <c r="I48" s="19" t="str">
        <f>テーブル1[[#This Row],[種族タグ]]&amp;""</f>
        <v/>
      </c>
      <c r="J48" s="19" t="str">
        <f>テーブル1[[#This Row],[職業タグ]]&amp;""</f>
        <v/>
      </c>
      <c r="K48" s="19" t="str">
        <f>テーブル1[[#This Row],[小物タグ]]&amp;""</f>
        <v/>
      </c>
      <c r="L48" s="19" t="str">
        <f>テーブル1[[#This Row],[ワンポイントタグ]]&amp;""</f>
        <v/>
      </c>
    </row>
    <row r="49" spans="1:12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Row],[職業タグ]]&amp;""</f>
        <v/>
      </c>
      <c r="K49" s="19" t="str">
        <f>テーブル1[[#This Row],[小物タグ]]&amp;""</f>
        <v/>
      </c>
      <c r="L49" s="19" t="str">
        <f>テーブル1[[#This Row],[ワンポイントタグ]]&amp;""</f>
        <v/>
      </c>
    </row>
    <row r="50" spans="1:12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Row],[職業タグ]]&amp;""</f>
        <v/>
      </c>
      <c r="K50" s="19" t="str">
        <f>テーブル1[[#This Row],[小物タグ]]&amp;""</f>
        <v/>
      </c>
      <c r="L50" s="19" t="str">
        <f>テーブル1[[#This Row],[ワンポイントタグ]]&amp;""</f>
        <v/>
      </c>
    </row>
    <row r="51" spans="1:12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Row],[職業タグ]]&amp;""</f>
        <v/>
      </c>
      <c r="K51" s="19" t="str">
        <f>テーブル1[[#This Row],[小物タグ]]&amp;""</f>
        <v/>
      </c>
      <c r="L51" s="19" t="str">
        <f>テーブル1[[#This Row],[ワンポイントタグ]]&amp;""</f>
        <v/>
      </c>
    </row>
    <row r="52" spans="1:12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Row],[職業タグ]]&amp;""</f>
        <v/>
      </c>
      <c r="K52" s="19" t="str">
        <f>テーブル1[[#This Row],[小物タグ]]&amp;""</f>
        <v/>
      </c>
      <c r="L52" s="19" t="str">
        <f>テーブル1[[#This Row],[ワンポイントタグ]]&amp;""</f>
        <v/>
      </c>
    </row>
    <row r="53" spans="1:12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/>
      </c>
      <c r="I53" s="19" t="str">
        <f>テーブル1[[#This Row],[種族タグ]]&amp;""</f>
        <v/>
      </c>
      <c r="J53" s="19" t="str">
        <f>テーブル1[[#This Row],[職業タグ]]&amp;""</f>
        <v/>
      </c>
      <c r="K53" s="19" t="str">
        <f>テーブル1[[#This Row],[小物タグ]]&amp;""</f>
        <v/>
      </c>
      <c r="L53" s="19" t="str">
        <f>テーブル1[[#This Row],[ワンポイントタグ]]&amp;""</f>
        <v/>
      </c>
    </row>
    <row r="54" spans="1:12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Row],[職業タグ]]&amp;""</f>
        <v/>
      </c>
      <c r="K54" s="19" t="str">
        <f>テーブル1[[#This Row],[小物タグ]]&amp;""</f>
        <v/>
      </c>
      <c r="L54" s="19" t="str">
        <f>テーブル1[[#This Row],[ワンポイントタグ]]&amp;""</f>
        <v/>
      </c>
    </row>
    <row r="55" spans="1:12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/>
      </c>
      <c r="I55" s="19" t="str">
        <f>テーブル1[[#This Row],[種族タグ]]&amp;""</f>
        <v/>
      </c>
      <c r="J55" s="19" t="str">
        <f>テーブル1[[#This Row],[職業タグ]]&amp;""</f>
        <v/>
      </c>
      <c r="K55" s="19" t="str">
        <f>テーブル1[[#This Row],[小物タグ]]&amp;""</f>
        <v/>
      </c>
      <c r="L55" s="19" t="str">
        <f>テーブル1[[#This Row],[ワンポイントタグ]]&amp;""</f>
        <v/>
      </c>
    </row>
    <row r="56" spans="1:12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Row],[職業タグ]]&amp;""</f>
        <v/>
      </c>
      <c r="K56" s="19" t="str">
        <f>テーブル1[[#This Row],[小物タグ]]&amp;""</f>
        <v/>
      </c>
      <c r="L56" s="19" t="str">
        <f>テーブル1[[#This Row],[ワンポイントタグ]]&amp;""</f>
        <v/>
      </c>
    </row>
    <row r="57" spans="1:12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Row],[職業タグ]]&amp;""</f>
        <v/>
      </c>
      <c r="K57" s="19" t="str">
        <f>テーブル1[[#This Row],[小物タグ]]&amp;""</f>
        <v/>
      </c>
      <c r="L57" s="19" t="str">
        <f>テーブル1[[#This Row],[ワンポイントタグ]]&amp;""</f>
        <v/>
      </c>
    </row>
    <row r="58" spans="1:12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Row],[職業タグ]]&amp;""</f>
        <v/>
      </c>
      <c r="K58" s="19" t="str">
        <f>テーブル1[[#This Row],[小物タグ]]&amp;""</f>
        <v/>
      </c>
      <c r="L58" s="19" t="str">
        <f>テーブル1[[#This Row],[ワンポイントタグ]]&amp;""</f>
        <v/>
      </c>
    </row>
    <row r="59" spans="1:12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Row],[職業タグ]]&amp;""</f>
        <v/>
      </c>
      <c r="K59" s="19" t="str">
        <f>テーブル1[[#This Row],[小物タグ]]&amp;""</f>
        <v/>
      </c>
      <c r="L59" s="19" t="str">
        <f>テーブル1[[#This Row],[ワンポイントタグ]]&amp;""</f>
        <v/>
      </c>
    </row>
    <row r="60" spans="1:12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Row],[職業タグ]]&amp;""</f>
        <v/>
      </c>
      <c r="K60" s="19" t="str">
        <f>テーブル1[[#This Row],[小物タグ]]&amp;""</f>
        <v/>
      </c>
      <c r="L60" s="19" t="str">
        <f>テーブル1[[#This Row],[ワンポイントタグ]]&amp;""</f>
        <v/>
      </c>
    </row>
    <row r="61" spans="1:12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/>
      </c>
      <c r="I61" s="19" t="str">
        <f>テーブル1[[#This Row],[種族タグ]]&amp;""</f>
        <v/>
      </c>
      <c r="J61" s="19" t="str">
        <f>テーブル1[[#This Row],[職業タグ]]&amp;""</f>
        <v/>
      </c>
      <c r="K61" s="19" t="str">
        <f>テーブル1[[#This Row],[小物タグ]]&amp;""</f>
        <v/>
      </c>
      <c r="L61" s="19" t="str">
        <f>テーブル1[[#This Row],[ワンポイントタグ]]&amp;""</f>
        <v/>
      </c>
    </row>
    <row r="62" spans="1:12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Row],[職業タグ]]&amp;""</f>
        <v/>
      </c>
      <c r="K62" s="19" t="str">
        <f>テーブル1[[#This Row],[小物タグ]]&amp;""</f>
        <v/>
      </c>
      <c r="L62" s="19" t="str">
        <f>テーブル1[[#This Row],[ワンポイントタグ]]&amp;""</f>
        <v/>
      </c>
    </row>
    <row r="63" spans="1:12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/>
      </c>
      <c r="I63" s="19" t="str">
        <f>テーブル1[[#This Row],[種族タグ]]&amp;""</f>
        <v/>
      </c>
      <c r="J63" s="19" t="str">
        <f>テーブル1[[#This Row],[職業タグ]]&amp;""</f>
        <v/>
      </c>
      <c r="K63" s="19" t="str">
        <f>テーブル1[[#This Row],[小物タグ]]&amp;""</f>
        <v/>
      </c>
      <c r="L63" s="19" t="str">
        <f>テーブル1[[#This Row],[ワンポイントタグ]]&amp;""</f>
        <v/>
      </c>
    </row>
    <row r="64" spans="1:12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Row],[職業タグ]]&amp;""</f>
        <v/>
      </c>
      <c r="K64" s="19" t="str">
        <f>テーブル1[[#This Row],[小物タグ]]&amp;""</f>
        <v/>
      </c>
      <c r="L64" s="19" t="str">
        <f>テーブル1[[#This Row],[ワンポイントタグ]]&amp;""</f>
        <v/>
      </c>
    </row>
    <row r="65" spans="1:12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Row],[職業タグ]]&amp;""</f>
        <v/>
      </c>
      <c r="K65" s="19" t="str">
        <f>テーブル1[[#This Row],[小物タグ]]&amp;""</f>
        <v>ヘッドホン</v>
      </c>
      <c r="L65" s="19" t="str">
        <f>テーブル1[[#This Row],[ワンポイントタグ]]&amp;""</f>
        <v/>
      </c>
    </row>
    <row r="66" spans="1:12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/>
      </c>
      <c r="I66" s="19" t="str">
        <f>テーブル1[[#This Row],[種族タグ]]&amp;""</f>
        <v/>
      </c>
      <c r="J66" s="19" t="str">
        <f>テーブル1[[#This Row],[職業タグ]]&amp;""</f>
        <v/>
      </c>
      <c r="K66" s="19" t="str">
        <f>テーブル1[[#This Row],[小物タグ]]&amp;""</f>
        <v/>
      </c>
      <c r="L66" s="19" t="str">
        <f>テーブル1[[#This Row],[ワンポイントタグ]]&amp;""</f>
        <v/>
      </c>
    </row>
    <row r="67" spans="1:12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Row],[職業タグ]]&amp;""</f>
        <v/>
      </c>
      <c r="K67" s="19" t="str">
        <f>テーブル1[[#This Row],[小物タグ]]&amp;""</f>
        <v/>
      </c>
      <c r="L67" s="19" t="str">
        <f>テーブル1[[#This Row],[ワンポイントタグ]]&amp;""</f>
        <v/>
      </c>
    </row>
    <row r="68" spans="1:12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Row],[職業タグ]]&amp;""</f>
        <v/>
      </c>
      <c r="K68" s="19" t="str">
        <f>テーブル1[[#This Row],[小物タグ]]&amp;""</f>
        <v/>
      </c>
      <c r="L68" s="19" t="str">
        <f>テーブル1[[#This Row],[ワンポイントタグ]]&amp;""</f>
        <v/>
      </c>
    </row>
    <row r="69" spans="1:12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Row],[職業タグ]]&amp;""</f>
        <v/>
      </c>
      <c r="K69" s="19" t="str">
        <f>テーブル1[[#This Row],[小物タグ]]&amp;""</f>
        <v/>
      </c>
      <c r="L69" s="19" t="str">
        <f>テーブル1[[#This Row],[ワンポイントタグ]]&amp;""</f>
        <v/>
      </c>
    </row>
    <row r="70" spans="1:12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Row],[職業タグ]]&amp;""</f>
        <v/>
      </c>
      <c r="K70" s="19" t="str">
        <f>テーブル1[[#This Row],[小物タグ]]&amp;""</f>
        <v/>
      </c>
      <c r="L70" s="19" t="str">
        <f>テーブル1[[#This Row],[ワンポイントタグ]]&amp;""</f>
        <v/>
      </c>
    </row>
    <row r="71" spans="1:12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Row],[職業タグ]]&amp;""</f>
        <v/>
      </c>
      <c r="K71" s="19" t="str">
        <f>テーブル1[[#This Row],[小物タグ]]&amp;""</f>
        <v/>
      </c>
      <c r="L71" s="19" t="str">
        <f>テーブル1[[#This Row],[ワンポイントタグ]]&amp;""</f>
        <v/>
      </c>
    </row>
    <row r="72" spans="1:12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Row],[職業タグ]]&amp;""</f>
        <v/>
      </c>
      <c r="K72" s="19" t="str">
        <f>テーブル1[[#This Row],[小物タグ]]&amp;""</f>
        <v/>
      </c>
      <c r="L72" s="19" t="str">
        <f>テーブル1[[#This Row],[ワンポイントタグ]]&amp;""</f>
        <v/>
      </c>
    </row>
    <row r="73" spans="1:12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Row],[職業タグ]]&amp;""</f>
        <v/>
      </c>
      <c r="K73" s="19" t="str">
        <f>テーブル1[[#This Row],[小物タグ]]&amp;""</f>
        <v/>
      </c>
      <c r="L73" s="19" t="str">
        <f>テーブル1[[#This Row],[ワンポイントタグ]]&amp;""</f>
        <v/>
      </c>
    </row>
    <row r="74" spans="1:12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Row],[職業タグ]]&amp;""</f>
        <v/>
      </c>
      <c r="K74" s="19" t="str">
        <f>テーブル1[[#This Row],[小物タグ]]&amp;""</f>
        <v/>
      </c>
      <c r="L74" s="19" t="str">
        <f>テーブル1[[#This Row],[ワンポイントタグ]]&amp;""</f>
        <v/>
      </c>
    </row>
    <row r="75" spans="1:12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Row],[職業タグ]]&amp;""</f>
        <v/>
      </c>
      <c r="K75" s="19" t="str">
        <f>テーブル1[[#This Row],[小物タグ]]&amp;""</f>
        <v/>
      </c>
      <c r="L75" s="19" t="str">
        <f>テーブル1[[#This Row],[ワンポイントタグ]]&amp;""</f>
        <v/>
      </c>
    </row>
    <row r="76" spans="1:12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Row],[職業タグ]]&amp;""</f>
        <v/>
      </c>
      <c r="K76" s="19" t="str">
        <f>テーブル1[[#This Row],[小物タグ]]&amp;""</f>
        <v>リボン</v>
      </c>
      <c r="L76" s="19" t="str">
        <f>テーブル1[[#This Row],[ワンポイントタグ]]&amp;""</f>
        <v/>
      </c>
    </row>
    <row r="77" spans="1:12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Row],[職業タグ]]&amp;""</f>
        <v/>
      </c>
      <c r="K77" s="19" t="str">
        <f>テーブル1[[#This Row],[小物タグ]]&amp;""</f>
        <v/>
      </c>
      <c r="L77" s="19" t="str">
        <f>テーブル1[[#This Row],[ワンポイントタグ]]&amp;""</f>
        <v/>
      </c>
    </row>
    <row r="78" spans="1:12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Row],[職業タグ]]&amp;""</f>
        <v/>
      </c>
      <c r="K78" s="19" t="str">
        <f>テーブル1[[#This Row],[小物タグ]]&amp;""</f>
        <v/>
      </c>
      <c r="L78" s="19" t="str">
        <f>テーブル1[[#This Row],[ワンポイントタグ]]&amp;""</f>
        <v/>
      </c>
    </row>
    <row r="79" spans="1:12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Row],[職業タグ]]&amp;""</f>
        <v/>
      </c>
      <c r="K79" s="19" t="str">
        <f>テーブル1[[#This Row],[小物タグ]]&amp;""</f>
        <v/>
      </c>
      <c r="L79" s="19" t="str">
        <f>テーブル1[[#This Row],[ワンポイントタグ]]&amp;""</f>
        <v/>
      </c>
    </row>
    <row r="80" spans="1:12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/>
      </c>
      <c r="I80" s="19" t="str">
        <f>テーブル1[[#This Row],[種族タグ]]&amp;""</f>
        <v/>
      </c>
      <c r="J80" s="19" t="str">
        <f>テーブル1[[#This Row],[職業タグ]]&amp;""</f>
        <v/>
      </c>
      <c r="K80" s="19" t="str">
        <f>テーブル1[[#This Row],[小物タグ]]&amp;""</f>
        <v/>
      </c>
      <c r="L80" s="19" t="str">
        <f>テーブル1[[#This Row],[ワンポイントタグ]]&amp;""</f>
        <v/>
      </c>
    </row>
    <row r="81" spans="1:12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Row],[職業タグ]]&amp;""</f>
        <v/>
      </c>
      <c r="K81" s="19" t="str">
        <f>テーブル1[[#This Row],[小物タグ]]&amp;""</f>
        <v/>
      </c>
      <c r="L81" s="19" t="str">
        <f>テーブル1[[#This Row],[ワンポイントタグ]]&amp;""</f>
        <v/>
      </c>
    </row>
    <row r="82" spans="1:12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/>
      </c>
      <c r="I82" s="19" t="str">
        <f>テーブル1[[#This Row],[種族タグ]]&amp;""</f>
        <v/>
      </c>
      <c r="J82" s="19" t="str">
        <f>テーブル1[[#This Row],[職業タグ]]&amp;""</f>
        <v/>
      </c>
      <c r="K82" s="19" t="str">
        <f>テーブル1[[#This Row],[小物タグ]]&amp;""</f>
        <v/>
      </c>
      <c r="L82" s="19" t="str">
        <f>テーブル1[[#This Row],[ワンポイントタグ]]&amp;""</f>
        <v/>
      </c>
    </row>
    <row r="83" spans="1:12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Row],[職業タグ]]&amp;""</f>
        <v/>
      </c>
      <c r="K83" s="19" t="str">
        <f>テーブル1[[#This Row],[小物タグ]]&amp;""</f>
        <v/>
      </c>
      <c r="L83" s="19" t="str">
        <f>テーブル1[[#This Row],[ワンポイントタグ]]&amp;""</f>
        <v/>
      </c>
    </row>
    <row r="84" spans="1:12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Row],[職業タグ]]&amp;""</f>
        <v/>
      </c>
      <c r="K84" s="19" t="str">
        <f>テーブル1[[#This Row],[小物タグ]]&amp;""</f>
        <v/>
      </c>
      <c r="L84" s="19" t="str">
        <f>テーブル1[[#This Row],[ワンポイントタグ]]&amp;""</f>
        <v/>
      </c>
    </row>
    <row r="85" spans="1:12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Row],[職業タグ]]&amp;""</f>
        <v/>
      </c>
      <c r="K85" s="19" t="str">
        <f>テーブル1[[#This Row],[小物タグ]]&amp;""</f>
        <v/>
      </c>
      <c r="L85" s="19" t="str">
        <f>テーブル1[[#This Row],[ワンポイントタグ]]&amp;""</f>
        <v/>
      </c>
    </row>
    <row r="86" spans="1:12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Row],[職業タグ]]&amp;""</f>
        <v/>
      </c>
      <c r="K86" s="19" t="str">
        <f>テーブル1[[#This Row],[小物タグ]]&amp;""</f>
        <v/>
      </c>
      <c r="L86" s="19" t="str">
        <f>テーブル1[[#This Row],[ワンポイントタグ]]&amp;""</f>
        <v/>
      </c>
    </row>
    <row r="87" spans="1:12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Row],[職業タグ]]&amp;""</f>
        <v>サーカス団員</v>
      </c>
      <c r="K87" s="19" t="str">
        <f>テーブル1[[#This Row],[小物タグ]]&amp;""</f>
        <v>リボン</v>
      </c>
      <c r="L87" s="19" t="str">
        <f>テーブル1[[#This Row],[ワンポイントタグ]]&amp;""</f>
        <v>ギザ歯</v>
      </c>
    </row>
    <row r="88" spans="1:12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Row],[職業タグ]]&amp;""</f>
        <v/>
      </c>
      <c r="K88" s="19" t="str">
        <f>テーブル1[[#This Row],[小物タグ]]&amp;""</f>
        <v>眼鏡</v>
      </c>
      <c r="L88" s="19" t="str">
        <f>テーブル1[[#This Row],[ワンポイントタグ]]&amp;""</f>
        <v>片目隠れ</v>
      </c>
    </row>
    <row r="89" spans="1:12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Row],[職業タグ]]&amp;""</f>
        <v/>
      </c>
      <c r="K89" s="19" t="str">
        <f>テーブル1[[#This Row],[小物タグ]]&amp;""</f>
        <v/>
      </c>
      <c r="L89" s="19" t="str">
        <f>テーブル1[[#This Row],[ワンポイントタグ]]&amp;""</f>
        <v/>
      </c>
    </row>
    <row r="90" spans="1:12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Row],[職業タグ]]&amp;""</f>
        <v/>
      </c>
      <c r="K90" s="19" t="str">
        <f>テーブル1[[#This Row],[小物タグ]]&amp;""</f>
        <v/>
      </c>
      <c r="L90" s="19" t="str">
        <f>テーブル1[[#This Row],[ワンポイントタグ]]&amp;""</f>
        <v/>
      </c>
    </row>
    <row r="91" spans="1:12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/>
      </c>
      <c r="I91" s="19" t="str">
        <f>テーブル1[[#This Row],[種族タグ]]&amp;""</f>
        <v/>
      </c>
      <c r="J91" s="19" t="str">
        <f>テーブル1[[#This Row],[職業タグ]]&amp;""</f>
        <v/>
      </c>
      <c r="K91" s="19" t="str">
        <f>テーブル1[[#This Row],[小物タグ]]&amp;""</f>
        <v/>
      </c>
      <c r="L91" s="19" t="str">
        <f>テーブル1[[#This Row],[ワンポイントタグ]]&amp;""</f>
        <v/>
      </c>
    </row>
    <row r="92" spans="1:12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/>
      </c>
      <c r="I92" s="19" t="str">
        <f>テーブル1[[#This Row],[種族タグ]]&amp;""</f>
        <v/>
      </c>
      <c r="J92" s="19" t="str">
        <f>テーブル1[[#This Row],[職業タグ]]&amp;""</f>
        <v/>
      </c>
      <c r="K92" s="19" t="str">
        <f>テーブル1[[#This Row],[小物タグ]]&amp;""</f>
        <v/>
      </c>
      <c r="L92" s="19" t="str">
        <f>テーブル1[[#This Row],[ワンポイントタグ]]&amp;""</f>
        <v/>
      </c>
    </row>
    <row r="93" spans="1:12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Row],[職業タグ]]&amp;""</f>
        <v/>
      </c>
      <c r="K93" s="19" t="str">
        <f>テーブル1[[#This Row],[小物タグ]]&amp;""</f>
        <v/>
      </c>
      <c r="L93" s="19" t="str">
        <f>テーブル1[[#This Row],[ワンポイントタグ]]&amp;""</f>
        <v/>
      </c>
    </row>
    <row r="94" spans="1:12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/>
      </c>
      <c r="I94" s="19" t="str">
        <f>テーブル1[[#This Row],[種族タグ]]&amp;""</f>
        <v/>
      </c>
      <c r="J94" s="19" t="str">
        <f>テーブル1[[#This Row],[職業タグ]]&amp;""</f>
        <v/>
      </c>
      <c r="K94" s="19" t="str">
        <f>テーブル1[[#This Row],[小物タグ]]&amp;""</f>
        <v/>
      </c>
      <c r="L94" s="19" t="str">
        <f>テーブル1[[#This Row],[ワンポイントタグ]]&amp;""</f>
        <v/>
      </c>
    </row>
    <row r="95" spans="1:12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Row],[職業タグ]]&amp;""</f>
        <v/>
      </c>
      <c r="K95" s="19" t="str">
        <f>テーブル1[[#This Row],[小物タグ]]&amp;""</f>
        <v/>
      </c>
      <c r="L95" s="19" t="str">
        <f>テーブル1[[#This Row],[ワンポイントタグ]]&amp;""</f>
        <v/>
      </c>
    </row>
    <row r="96" spans="1:12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Row],[職業タグ]]&amp;""</f>
        <v/>
      </c>
      <c r="K96" s="19" t="str">
        <f>テーブル1[[#This Row],[小物タグ]]&amp;""</f>
        <v/>
      </c>
      <c r="L96" s="19" t="str">
        <f>テーブル1[[#This Row],[ワンポイントタグ]]&amp;""</f>
        <v/>
      </c>
    </row>
    <row r="97" spans="1:12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/>
      </c>
      <c r="I97" s="19" t="str">
        <f>テーブル1[[#This Row],[種族タグ]]&amp;""</f>
        <v/>
      </c>
      <c r="J97" s="19" t="str">
        <f>テーブル1[[#This Row],[職業タグ]]&amp;""</f>
        <v/>
      </c>
      <c r="K97" s="19" t="str">
        <f>テーブル1[[#This Row],[小物タグ]]&amp;""</f>
        <v/>
      </c>
      <c r="L97" s="19" t="str">
        <f>テーブル1[[#This Row],[ワンポイントタグ]]&amp;""</f>
        <v/>
      </c>
    </row>
    <row r="98" spans="1:12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Row],[職業タグ]]&amp;""</f>
        <v/>
      </c>
      <c r="K98" s="19" t="str">
        <f>テーブル1[[#This Row],[小物タグ]]&amp;""</f>
        <v/>
      </c>
      <c r="L98" s="19" t="str">
        <f>テーブル1[[#This Row],[ワンポイントタグ]]&amp;""</f>
        <v/>
      </c>
    </row>
    <row r="99" spans="1:12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/>
      </c>
      <c r="I99" s="19" t="str">
        <f>テーブル1[[#This Row],[種族タグ]]&amp;""</f>
        <v/>
      </c>
      <c r="J99" s="19" t="str">
        <f>テーブル1[[#This Row],[職業タグ]]&amp;""</f>
        <v/>
      </c>
      <c r="K99" s="19" t="str">
        <f>テーブル1[[#This Row],[小物タグ]]&amp;""</f>
        <v/>
      </c>
      <c r="L99" s="19" t="str">
        <f>テーブル1[[#This Row],[ワンポイントタグ]]&amp;""</f>
        <v/>
      </c>
    </row>
    <row r="100" spans="1:12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/>
      </c>
      <c r="I100" s="19" t="str">
        <f>テーブル1[[#This Row],[種族タグ]]&amp;""</f>
        <v/>
      </c>
      <c r="J100" s="19" t="str">
        <f>テーブル1[[#This Row],[職業タグ]]&amp;""</f>
        <v/>
      </c>
      <c r="K100" s="19" t="str">
        <f>テーブル1[[#This Row],[小物タグ]]&amp;""</f>
        <v/>
      </c>
      <c r="L100" s="19" t="str">
        <f>テーブル1[[#This Row],[ワンポイントタグ]]&amp;""</f>
        <v/>
      </c>
    </row>
    <row r="101" spans="1:12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Row],[職業タグ]]&amp;""</f>
        <v>魔法少女</v>
      </c>
      <c r="K101" s="19" t="str">
        <f>テーブル1[[#This Row],[小物タグ]]&amp;""</f>
        <v>果物</v>
      </c>
      <c r="L101" s="19" t="str">
        <f>テーブル1[[#This Row],[ワンポイントタグ]]&amp;""</f>
        <v>ケモ耳</v>
      </c>
    </row>
    <row r="102" spans="1:12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/>
      </c>
      <c r="I102" s="19" t="str">
        <f>テーブル1[[#This Row],[種族タグ]]&amp;""</f>
        <v/>
      </c>
      <c r="J102" s="19" t="str">
        <f>テーブル1[[#This Row],[職業タグ]]&amp;""</f>
        <v/>
      </c>
      <c r="K102" s="19" t="str">
        <f>テーブル1[[#This Row],[小物タグ]]&amp;""</f>
        <v/>
      </c>
      <c r="L102" s="19" t="str">
        <f>テーブル1[[#This Row],[ワンポイントタグ]]&amp;""</f>
        <v/>
      </c>
    </row>
    <row r="103" spans="1:12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Row],[職業タグ]]&amp;""</f>
        <v/>
      </c>
      <c r="K103" s="19" t="str">
        <f>テーブル1[[#This Row],[小物タグ]]&amp;""</f>
        <v/>
      </c>
      <c r="L103" s="19" t="str">
        <f>テーブル1[[#This Row],[ワンポイントタグ]]&amp;""</f>
        <v/>
      </c>
    </row>
    <row r="104" spans="1:12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Row],[職業タグ]]&amp;""</f>
        <v>書店員</v>
      </c>
      <c r="K104" s="19" t="str">
        <f>テーブル1[[#This Row],[小物タグ]]&amp;""</f>
        <v>眼鏡</v>
      </c>
      <c r="L104" s="19" t="str">
        <f>テーブル1[[#This Row],[ワンポイントタグ]]&amp;""</f>
        <v/>
      </c>
    </row>
    <row r="105" spans="1:12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Row],[職業タグ]]&amp;""</f>
        <v/>
      </c>
      <c r="K105" s="19" t="str">
        <f>テーブル1[[#This Row],[小物タグ]]&amp;""</f>
        <v/>
      </c>
      <c r="L105" s="19" t="str">
        <f>テーブル1[[#This Row],[ワンポイントタグ]]&amp;""</f>
        <v/>
      </c>
    </row>
    <row r="106" spans="1:12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Row],[職業タグ]]&amp;""</f>
        <v/>
      </c>
      <c r="K106" s="19" t="str">
        <f>テーブル1[[#This Row],[小物タグ]]&amp;""</f>
        <v/>
      </c>
      <c r="L106" s="19" t="str">
        <f>テーブル1[[#This Row],[ワンポイントタグ]]&amp;""</f>
        <v/>
      </c>
    </row>
    <row r="107" spans="1:12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/>
      </c>
      <c r="I107" s="19" t="str">
        <f>テーブル1[[#This Row],[種族タグ]]&amp;""</f>
        <v/>
      </c>
      <c r="J107" s="19" t="str">
        <f>テーブル1[[#This Row],[職業タグ]]&amp;""</f>
        <v/>
      </c>
      <c r="K107" s="19" t="str">
        <f>テーブル1[[#This Row],[小物タグ]]&amp;""</f>
        <v/>
      </c>
      <c r="L107" s="19" t="str">
        <f>テーブル1[[#This Row],[ワンポイントタグ]]&amp;""</f>
        <v/>
      </c>
    </row>
    <row r="108" spans="1:12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Row],[職業タグ]]&amp;""</f>
        <v/>
      </c>
      <c r="K108" s="19" t="str">
        <f>テーブル1[[#This Row],[小物タグ]]&amp;""</f>
        <v/>
      </c>
      <c r="L108" s="19" t="str">
        <f>テーブル1[[#This Row],[ワンポイントタグ]]&amp;""</f>
        <v/>
      </c>
    </row>
    <row r="109" spans="1:12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Row],[職業タグ]]&amp;""</f>
        <v>執事</v>
      </c>
      <c r="K109" s="19" t="str">
        <f>テーブル1[[#This Row],[小物タグ]]&amp;""</f>
        <v/>
      </c>
      <c r="L109" s="19" t="str">
        <f>テーブル1[[#This Row],[ワンポイントタグ]]&amp;""</f>
        <v>オッドアイ</v>
      </c>
    </row>
    <row r="110" spans="1:12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/>
      </c>
      <c r="I110" s="19" t="str">
        <f>テーブル1[[#This Row],[種族タグ]]&amp;""</f>
        <v/>
      </c>
      <c r="J110" s="19" t="str">
        <f>テーブル1[[#This Row],[職業タグ]]&amp;""</f>
        <v/>
      </c>
      <c r="K110" s="19" t="str">
        <f>テーブル1[[#This Row],[小物タグ]]&amp;""</f>
        <v/>
      </c>
      <c r="L110" s="19" t="str">
        <f>テーブル1[[#This Row],[ワンポイントタグ]]&amp;""</f>
        <v/>
      </c>
    </row>
    <row r="111" spans="1:12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Row],[職業タグ]]&amp;""</f>
        <v/>
      </c>
      <c r="K111" s="19" t="str">
        <f>テーブル1[[#This Row],[小物タグ]]&amp;""</f>
        <v/>
      </c>
      <c r="L111" s="19" t="str">
        <f>テーブル1[[#This Row],[ワンポイントタグ]]&amp;""</f>
        <v/>
      </c>
    </row>
    <row r="112" spans="1:12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Row],[職業タグ]]&amp;""</f>
        <v>司書</v>
      </c>
      <c r="K112" s="19" t="str">
        <f>テーブル1[[#This Row],[小物タグ]]&amp;""</f>
        <v>ゴーグル</v>
      </c>
      <c r="L112" s="19" t="str">
        <f>テーブル1[[#This Row],[ワンポイントタグ]]&amp;""</f>
        <v>両目隠れ</v>
      </c>
    </row>
    <row r="113" spans="1:12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Row],[職業タグ]]&amp;""</f>
        <v>ソーイングスタッフ</v>
      </c>
      <c r="K113" s="19" t="str">
        <f>テーブル1[[#This Row],[小物タグ]]&amp;""</f>
        <v>エンジェルヘイロゥ|カチューシャ</v>
      </c>
      <c r="L113" s="19" t="str">
        <f>テーブル1[[#This Row],[ワンポイントタグ]]&amp;""</f>
        <v>羽|尖耳|ギザ歯</v>
      </c>
    </row>
    <row r="114" spans="1:12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Row],[職業タグ]]&amp;""</f>
        <v/>
      </c>
      <c r="K114" s="19" t="str">
        <f>テーブル1[[#This Row],[小物タグ]]&amp;""</f>
        <v/>
      </c>
      <c r="L114" s="19" t="str">
        <f>テーブル1[[#This Row],[ワンポイントタグ]]&amp;""</f>
        <v/>
      </c>
    </row>
    <row r="115" spans="1:12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Row],[職業タグ]]&amp;""</f>
        <v/>
      </c>
      <c r="K115" s="19" t="str">
        <f>テーブル1[[#This Row],[小物タグ]]&amp;""</f>
        <v/>
      </c>
      <c r="L115" s="19" t="str">
        <f>テーブル1[[#This Row],[ワンポイントタグ]]&amp;""</f>
        <v/>
      </c>
    </row>
    <row r="116" spans="1:12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Row],[職業タグ]]&amp;""</f>
        <v/>
      </c>
      <c r="K116" s="19" t="str">
        <f>テーブル1[[#This Row],[小物タグ]]&amp;""</f>
        <v/>
      </c>
      <c r="L116" s="19" t="str">
        <f>テーブル1[[#This Row],[ワンポイントタグ]]&amp;""</f>
        <v/>
      </c>
    </row>
    <row r="117" spans="1:12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Row],[職業タグ]]&amp;""</f>
        <v>地磁気調査</v>
      </c>
      <c r="K117" s="19" t="str">
        <f>テーブル1[[#This Row],[小物タグ]]&amp;""</f>
        <v>イヤーユニット</v>
      </c>
      <c r="L117" s="19" t="str">
        <f>テーブル1[[#This Row],[ワンポイントタグ]]&amp;""</f>
        <v>メッシュ|尻尾</v>
      </c>
    </row>
    <row r="118" spans="1:12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Row],[職業タグ]]&amp;""</f>
        <v/>
      </c>
      <c r="K118" s="19" t="str">
        <f>テーブル1[[#This Row],[小物タグ]]&amp;""</f>
        <v/>
      </c>
      <c r="L118" s="19" t="str">
        <f>テーブル1[[#This Row],[ワンポイントタグ]]&amp;""</f>
        <v/>
      </c>
    </row>
    <row r="119" spans="1:12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Row],[職業タグ]]&amp;""</f>
        <v/>
      </c>
      <c r="K119" s="19" t="str">
        <f>テーブル1[[#This Row],[小物タグ]]&amp;""</f>
        <v/>
      </c>
      <c r="L119" s="19" t="str">
        <f>テーブル1[[#This Row],[ワンポイントタグ]]&amp;""</f>
        <v/>
      </c>
    </row>
    <row r="120" spans="1:12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Row],[職業タグ]]&amp;""</f>
        <v/>
      </c>
      <c r="K120" s="19" t="str">
        <f>テーブル1[[#This Row],[小物タグ]]&amp;""</f>
        <v/>
      </c>
      <c r="L120" s="19" t="str">
        <f>テーブル1[[#This Row],[ワンポイントタグ]]&amp;""</f>
        <v/>
      </c>
    </row>
    <row r="121" spans="1:12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Row],[職業タグ]]&amp;""</f>
        <v/>
      </c>
      <c r="K121" s="19" t="str">
        <f>テーブル1[[#This Row],[小物タグ]]&amp;""</f>
        <v/>
      </c>
      <c r="L121" s="19" t="str">
        <f>テーブル1[[#This Row],[ワンポイントタグ]]&amp;""</f>
        <v/>
      </c>
    </row>
    <row r="122" spans="1:12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Row],[職業タグ]]&amp;""</f>
        <v/>
      </c>
      <c r="K122" s="19" t="str">
        <f>テーブル1[[#This Row],[小物タグ]]&amp;""</f>
        <v/>
      </c>
      <c r="L122" s="19" t="str">
        <f>テーブル1[[#This Row],[ワンポイントタグ]]&amp;""</f>
        <v/>
      </c>
    </row>
    <row r="123" spans="1:12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Row],[職業タグ]]&amp;""</f>
        <v/>
      </c>
      <c r="K123" s="19" t="str">
        <f>テーブル1[[#This Row],[小物タグ]]&amp;""</f>
        <v/>
      </c>
      <c r="L123" s="19" t="str">
        <f>テーブル1[[#This Row],[ワンポイントタグ]]&amp;""</f>
        <v/>
      </c>
    </row>
    <row r="124" spans="1:12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Row],[職業タグ]]&amp;""</f>
        <v/>
      </c>
      <c r="K124" s="19" t="str">
        <f>テーブル1[[#This Row],[小物タグ]]&amp;""</f>
        <v/>
      </c>
      <c r="L124" s="19" t="str">
        <f>テーブル1[[#This Row],[ワンポイントタグ]]&amp;""</f>
        <v/>
      </c>
    </row>
    <row r="125" spans="1:12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Row],[職業タグ]]&amp;""</f>
        <v/>
      </c>
      <c r="K125" s="19" t="str">
        <f>テーブル1[[#This Row],[小物タグ]]&amp;""</f>
        <v/>
      </c>
      <c r="L125" s="19" t="str">
        <f>テーブル1[[#This Row],[ワンポイントタグ]]&amp;""</f>
        <v/>
      </c>
    </row>
    <row r="126" spans="1:12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Row],[職業タグ]]&amp;""</f>
        <v/>
      </c>
      <c r="K126" s="19" t="str">
        <f>テーブル1[[#This Row],[小物タグ]]&amp;""</f>
        <v/>
      </c>
      <c r="L126" s="19" t="str">
        <f>テーブル1[[#This Row],[ワンポイントタグ]]&amp;""</f>
        <v/>
      </c>
    </row>
    <row r="127" spans="1:12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Row],[職業タグ]]&amp;""</f>
        <v/>
      </c>
      <c r="K127" s="19" t="str">
        <f>テーブル1[[#This Row],[小物タグ]]&amp;""</f>
        <v/>
      </c>
      <c r="L127" s="19" t="str">
        <f>テーブル1[[#This Row],[ワンポイントタグ]]&amp;""</f>
        <v/>
      </c>
    </row>
    <row r="128" spans="1:12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Row],[職業タグ]]&amp;""</f>
        <v/>
      </c>
      <c r="K128" s="19" t="str">
        <f>テーブル1[[#This Row],[小物タグ]]&amp;""</f>
        <v/>
      </c>
      <c r="L128" s="19" t="str">
        <f>テーブル1[[#This Row],[ワンポイントタグ]]&amp;""</f>
        <v/>
      </c>
    </row>
    <row r="129" spans="1:12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Row],[職業タグ]]&amp;""</f>
        <v/>
      </c>
      <c r="K129" s="19" t="str">
        <f>テーブル1[[#This Row],[小物タグ]]&amp;""</f>
        <v/>
      </c>
      <c r="L129" s="19" t="str">
        <f>テーブル1[[#This Row],[ワンポイントタグ]]&amp;""</f>
        <v/>
      </c>
    </row>
    <row r="130" spans="1:12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/>
      </c>
      <c r="I130" s="19" t="str">
        <f>テーブル1[[#This Row],[種族タグ]]&amp;""</f>
        <v/>
      </c>
      <c r="J130" s="19" t="str">
        <f>テーブル1[[#This Row],[職業タグ]]&amp;""</f>
        <v/>
      </c>
      <c r="K130" s="19" t="str">
        <f>テーブル1[[#This Row],[小物タグ]]&amp;""</f>
        <v/>
      </c>
      <c r="L130" s="19" t="str">
        <f>テーブル1[[#This Row],[ワンポイントタグ]]&amp;""</f>
        <v/>
      </c>
    </row>
    <row r="131" spans="1:12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Row],[職業タグ]]&amp;""</f>
        <v/>
      </c>
      <c r="K131" s="19" t="str">
        <f>テーブル1[[#This Row],[小物タグ]]&amp;""</f>
        <v/>
      </c>
      <c r="L131" s="19" t="str">
        <f>テーブル1[[#This Row],[ワンポイントタグ]]&amp;""</f>
        <v/>
      </c>
    </row>
    <row r="132" spans="1:12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Row],[職業タグ]]&amp;""</f>
        <v/>
      </c>
      <c r="K132" s="19" t="str">
        <f>テーブル1[[#This Row],[小物タグ]]&amp;""</f>
        <v/>
      </c>
      <c r="L132" s="19" t="str">
        <f>テーブル1[[#This Row],[ワンポイントタグ]]&amp;""</f>
        <v/>
      </c>
    </row>
    <row r="133" spans="1:12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Row],[職業タグ]]&amp;""</f>
        <v/>
      </c>
      <c r="K133" s="19" t="str">
        <f>テーブル1[[#This Row],[小物タグ]]&amp;""</f>
        <v/>
      </c>
      <c r="L133" s="19" t="str">
        <f>テーブル1[[#This Row],[ワンポイントタグ]]&amp;""</f>
        <v/>
      </c>
    </row>
    <row r="134" spans="1:12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Row],[職業タグ]]&amp;""</f>
        <v/>
      </c>
      <c r="K134" s="19" t="str">
        <f>テーブル1[[#This Row],[小物タグ]]&amp;""</f>
        <v/>
      </c>
      <c r="L134" s="19" t="str">
        <f>テーブル1[[#This Row],[ワンポイントタグ]]&amp;""</f>
        <v/>
      </c>
    </row>
    <row r="135" spans="1:12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Row],[職業タグ]]&amp;""</f>
        <v/>
      </c>
      <c r="K135" s="19" t="str">
        <f>テーブル1[[#This Row],[小物タグ]]&amp;""</f>
        <v/>
      </c>
      <c r="L135" s="19" t="str">
        <f>テーブル1[[#This Row],[ワンポイントタグ]]&amp;""</f>
        <v/>
      </c>
    </row>
    <row r="136" spans="1:12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Row],[職業タグ]]&amp;""</f>
        <v/>
      </c>
      <c r="K136" s="19" t="str">
        <f>テーブル1[[#This Row],[小物タグ]]&amp;""</f>
        <v/>
      </c>
      <c r="L136" s="19" t="str">
        <f>テーブル1[[#This Row],[ワンポイントタグ]]&amp;""</f>
        <v/>
      </c>
    </row>
    <row r="137" spans="1:12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Row],[職業タグ]]&amp;""</f>
        <v/>
      </c>
      <c r="K137" s="19" t="str">
        <f>テーブル1[[#This Row],[小物タグ]]&amp;""</f>
        <v/>
      </c>
      <c r="L137" s="19" t="str">
        <f>テーブル1[[#This Row],[ワンポイントタグ]]&amp;""</f>
        <v/>
      </c>
    </row>
    <row r="138" spans="1:12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Row],[職業タグ]]&amp;""</f>
        <v/>
      </c>
      <c r="K138" s="19" t="str">
        <f>テーブル1[[#This Row],[小物タグ]]&amp;""</f>
        <v>アイバンド</v>
      </c>
      <c r="L138" s="19" t="str">
        <f>テーブル1[[#This Row],[ワンポイントタグ]]&amp;""</f>
        <v>ツートンカラー|片目隠れ</v>
      </c>
    </row>
    <row r="139" spans="1:12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Row],[職業タグ]]&amp;""</f>
        <v/>
      </c>
      <c r="K139" s="19" t="str">
        <f>テーブル1[[#This Row],[小物タグ]]&amp;""</f>
        <v/>
      </c>
      <c r="L139" s="19" t="str">
        <f>テーブル1[[#This Row],[ワンポイントタグ]]&amp;""</f>
        <v/>
      </c>
    </row>
    <row r="140" spans="1:12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Row],[職業タグ]]&amp;""</f>
        <v/>
      </c>
      <c r="K140" s="19" t="str">
        <f>テーブル1[[#This Row],[小物タグ]]&amp;""</f>
        <v/>
      </c>
      <c r="L140" s="19" t="str">
        <f>テーブル1[[#This Row],[ワンポイントタグ]]&amp;""</f>
        <v/>
      </c>
    </row>
    <row r="141" spans="1:12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Row],[職業タグ]]&amp;""</f>
        <v/>
      </c>
      <c r="K141" s="19" t="str">
        <f>テーブル1[[#This Row],[小物タグ]]&amp;""</f>
        <v/>
      </c>
      <c r="L141" s="19" t="str">
        <f>テーブル1[[#This Row],[ワンポイントタグ]]&amp;""</f>
        <v/>
      </c>
    </row>
    <row r="142" spans="1:12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Row],[職業タグ]]&amp;""</f>
        <v/>
      </c>
      <c r="K142" s="19" t="str">
        <f>テーブル1[[#This Row],[小物タグ]]&amp;""</f>
        <v/>
      </c>
      <c r="L142" s="19" t="str">
        <f>テーブル1[[#This Row],[ワンポイントタグ]]&amp;""</f>
        <v/>
      </c>
    </row>
    <row r="143" spans="1:12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Row],[職業タグ]]&amp;""</f>
        <v/>
      </c>
      <c r="K143" s="19" t="str">
        <f>テーブル1[[#This Row],[小物タグ]]&amp;""</f>
        <v/>
      </c>
      <c r="L143" s="19" t="str">
        <f>テーブル1[[#This Row],[ワンポイントタグ]]&amp;""</f>
        <v/>
      </c>
    </row>
    <row r="144" spans="1:12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Shifusho</v>
      </c>
      <c r="E144" s="19" t="str">
        <f>"image/"&amp;テーブル1[[#This Row],[画像]]&amp;".png"</f>
        <v>image/ufuro-johomau-shifusho.png</v>
      </c>
      <c r="F144" s="19" t="str">
        <f>テーブル1[[#This Row],[リンク]]</f>
        <v>https://bowlroll.net/user/852117/files</v>
      </c>
      <c r="G144" s="19" t="str">
        <f>SUBSTITUTE(テーブル1[[#This Row],[作品タグ]]," ","|")</f>
        <v>#きのみあーと</v>
      </c>
      <c r="H144" s="19" t="str">
        <f>テーブル1[[#This Row],[性別]]&amp;""</f>
        <v/>
      </c>
      <c r="I144" s="19" t="str">
        <f>テーブル1[[#This Row],[種族タグ]]&amp;""</f>
        <v/>
      </c>
      <c r="J144" s="19" t="str">
        <f>テーブル1[[#This Row],[職業タグ]]&amp;""</f>
        <v/>
      </c>
      <c r="K144" s="19" t="str">
        <f>テーブル1[[#This Row],[小物タグ]]&amp;""</f>
        <v/>
      </c>
      <c r="L144" s="19" t="str">
        <f>テーブル1[[#This Row],[ワンポイントタグ]]&amp;""</f>
        <v/>
      </c>
    </row>
    <row r="145" spans="1:12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Row],[職業タグ]]&amp;""</f>
        <v/>
      </c>
      <c r="K145" s="19" t="str">
        <f>テーブル1[[#This Row],[小物タグ]]&amp;""</f>
        <v/>
      </c>
      <c r="L145" s="19" t="str">
        <f>テーブル1[[#This Row],[ワンポイントタグ]]&amp;""</f>
        <v/>
      </c>
    </row>
    <row r="146" spans="1:12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Row],[職業タグ]]&amp;""</f>
        <v/>
      </c>
      <c r="K146" s="19" t="str">
        <f>テーブル1[[#This Row],[小物タグ]]&amp;""</f>
        <v/>
      </c>
      <c r="L146" s="19" t="str">
        <f>テーブル1[[#This Row],[ワンポイントタグ]]&amp;""</f>
        <v/>
      </c>
    </row>
    <row r="147" spans="1:12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Row],[職業タグ]]&amp;""</f>
        <v/>
      </c>
      <c r="K147" s="19" t="str">
        <f>テーブル1[[#This Row],[小物タグ]]&amp;""</f>
        <v/>
      </c>
      <c r="L147" s="19" t="str">
        <f>テーブル1[[#This Row],[ワンポイントタグ]]&amp;""</f>
        <v/>
      </c>
    </row>
    <row r="148" spans="1:12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Row],[職業タグ]]&amp;""</f>
        <v/>
      </c>
      <c r="K148" s="19" t="str">
        <f>テーブル1[[#This Row],[小物タグ]]&amp;""</f>
        <v/>
      </c>
      <c r="L148" s="19" t="str">
        <f>テーブル1[[#This Row],[ワンポイントタグ]]&amp;""</f>
        <v>グラデーションカラー</v>
      </c>
    </row>
    <row r="149" spans="1:12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Row],[職業タグ]]&amp;""</f>
        <v/>
      </c>
      <c r="K149" s="19" t="str">
        <f>テーブル1[[#This Row],[小物タグ]]&amp;""</f>
        <v/>
      </c>
      <c r="L149" s="19" t="str">
        <f>テーブル1[[#This Row],[ワンポイントタグ]]&amp;""</f>
        <v/>
      </c>
    </row>
    <row r="150" spans="1:12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Row],[職業タグ]]&amp;""</f>
        <v/>
      </c>
      <c r="K150" s="19" t="str">
        <f>テーブル1[[#This Row],[小物タグ]]&amp;""</f>
        <v/>
      </c>
      <c r="L150" s="19" t="str">
        <f>テーブル1[[#This Row],[ワンポイントタグ]]&amp;""</f>
        <v/>
      </c>
    </row>
    <row r="151" spans="1:12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Row],[職業タグ]]&amp;""</f>
        <v/>
      </c>
      <c r="K151" s="19" t="str">
        <f>テーブル1[[#This Row],[小物タグ]]&amp;""</f>
        <v/>
      </c>
      <c r="L151" s="19" t="str">
        <f>テーブル1[[#This Row],[ワンポイントタグ]]&amp;""</f>
        <v/>
      </c>
    </row>
    <row r="152" spans="1:12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Row],[職業タグ]]&amp;""</f>
        <v/>
      </c>
      <c r="K152" s="19" t="str">
        <f>テーブル1[[#This Row],[小物タグ]]&amp;""</f>
        <v/>
      </c>
      <c r="L152" s="19" t="str">
        <f>テーブル1[[#This Row],[ワンポイントタグ]]&amp;""</f>
        <v/>
      </c>
    </row>
    <row r="153" spans="1:12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Row],[職業タグ]]&amp;""</f>
        <v/>
      </c>
      <c r="K153" s="19" t="str">
        <f>テーブル1[[#This Row],[小物タグ]]&amp;""</f>
        <v/>
      </c>
      <c r="L153" s="19" t="str">
        <f>テーブル1[[#This Row],[ワンポイントタグ]]&amp;""</f>
        <v/>
      </c>
    </row>
    <row r="154" spans="1:12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Row],[職業タグ]]&amp;""</f>
        <v/>
      </c>
      <c r="K154" s="19" t="str">
        <f>テーブル1[[#This Row],[小物タグ]]&amp;""</f>
        <v/>
      </c>
      <c r="L154" s="19" t="str">
        <f>テーブル1[[#This Row],[ワンポイントタグ]]&amp;""</f>
        <v/>
      </c>
    </row>
    <row r="155" spans="1:12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Row],[職業タグ]]&amp;""</f>
        <v/>
      </c>
      <c r="K155" s="19" t="str">
        <f>テーブル1[[#This Row],[小物タグ]]&amp;""</f>
        <v/>
      </c>
      <c r="L155" s="19" t="str">
        <f>テーブル1[[#This Row],[ワンポイントタグ]]&amp;""</f>
        <v/>
      </c>
    </row>
    <row r="156" spans="1:12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/>
      </c>
      <c r="I156" s="19" t="str">
        <f>テーブル1[[#This Row],[種族タグ]]&amp;""</f>
        <v/>
      </c>
      <c r="J156" s="19" t="str">
        <f>テーブル1[[#This Row],[職業タグ]]&amp;""</f>
        <v/>
      </c>
      <c r="K156" s="19" t="str">
        <f>テーブル1[[#This Row],[小物タグ]]&amp;""</f>
        <v/>
      </c>
      <c r="L156" s="19" t="str">
        <f>テーブル1[[#This Row],[ワンポイントタグ]]&amp;""</f>
        <v/>
      </c>
    </row>
    <row r="157" spans="1:12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Row],[職業タグ]]&amp;""</f>
        <v/>
      </c>
      <c r="K157" s="19" t="str">
        <f>テーブル1[[#This Row],[小物タグ]]&amp;""</f>
        <v/>
      </c>
      <c r="L157" s="19" t="str">
        <f>テーブル1[[#This Row],[ワンポイントタグ]]&amp;""</f>
        <v/>
      </c>
    </row>
    <row r="158" spans="1:12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/>
      </c>
      <c r="I158" s="19" t="str">
        <f>テーブル1[[#This Row],[種族タグ]]&amp;""</f>
        <v/>
      </c>
      <c r="J158" s="19" t="str">
        <f>テーブル1[[#This Row],[職業タグ]]&amp;""</f>
        <v/>
      </c>
      <c r="K158" s="19" t="str">
        <f>テーブル1[[#This Row],[小物タグ]]&amp;""</f>
        <v/>
      </c>
      <c r="L158" s="19" t="str">
        <f>テーブル1[[#This Row],[ワンポイントタグ]]&amp;""</f>
        <v/>
      </c>
    </row>
    <row r="159" spans="1:12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Row],[職業タグ]]&amp;""</f>
        <v/>
      </c>
      <c r="K159" s="19" t="str">
        <f>テーブル1[[#This Row],[小物タグ]]&amp;""</f>
        <v/>
      </c>
      <c r="L159" s="19" t="str">
        <f>テーブル1[[#This Row],[ワンポイントタグ]]&amp;""</f>
        <v/>
      </c>
    </row>
    <row r="160" spans="1:12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Row],[職業タグ]]&amp;""</f>
        <v/>
      </c>
      <c r="K160" s="19" t="str">
        <f>テーブル1[[#This Row],[小物タグ]]&amp;""</f>
        <v/>
      </c>
      <c r="L160" s="19" t="str">
        <f>テーブル1[[#This Row],[ワンポイントタグ]]&amp;""</f>
        <v/>
      </c>
    </row>
    <row r="161" spans="1:12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Row],[職業タグ]]&amp;""</f>
        <v/>
      </c>
      <c r="K161" s="19" t="str">
        <f>テーブル1[[#This Row],[小物タグ]]&amp;""</f>
        <v/>
      </c>
      <c r="L161" s="19" t="str">
        <f>テーブル1[[#This Row],[ワンポイントタグ]]&amp;""</f>
        <v/>
      </c>
    </row>
    <row r="162" spans="1:12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Row],[職業タグ]]&amp;""</f>
        <v/>
      </c>
      <c r="K162" s="19" t="str">
        <f>テーブル1[[#This Row],[小物タグ]]&amp;""</f>
        <v/>
      </c>
      <c r="L162" s="19" t="str">
        <f>テーブル1[[#This Row],[ワンポイントタグ]]&amp;""</f>
        <v/>
      </c>
    </row>
    <row r="163" spans="1:12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Row],[職業タグ]]&amp;""</f>
        <v/>
      </c>
      <c r="K163" s="19" t="str">
        <f>テーブル1[[#This Row],[小物タグ]]&amp;""</f>
        <v/>
      </c>
      <c r="L163" s="19" t="str">
        <f>テーブル1[[#This Row],[ワンポイントタグ]]&amp;""</f>
        <v/>
      </c>
    </row>
    <row r="164" spans="1:12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Row],[職業タグ]]&amp;""</f>
        <v/>
      </c>
      <c r="K164" s="19" t="str">
        <f>テーブル1[[#This Row],[小物タグ]]&amp;""</f>
        <v/>
      </c>
      <c r="L164" s="19" t="str">
        <f>テーブル1[[#This Row],[ワンポイントタグ]]&amp;""</f>
        <v/>
      </c>
    </row>
    <row r="165" spans="1:12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Row],[職業タグ]]&amp;""</f>
        <v/>
      </c>
      <c r="K165" s="19" t="str">
        <f>テーブル1[[#This Row],[小物タグ]]&amp;""</f>
        <v/>
      </c>
      <c r="L165" s="19" t="str">
        <f>テーブル1[[#This Row],[ワンポイントタグ]]&amp;""</f>
        <v/>
      </c>
    </row>
    <row r="166" spans="1:12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Row],[職業タグ]]&amp;""</f>
        <v/>
      </c>
      <c r="K166" s="19" t="str">
        <f>テーブル1[[#This Row],[小物タグ]]&amp;""</f>
        <v/>
      </c>
      <c r="L166" s="19" t="str">
        <f>テーブル1[[#This Row],[ワンポイントタグ]]&amp;""</f>
        <v/>
      </c>
    </row>
    <row r="167" spans="1:12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Row],[職業タグ]]&amp;""</f>
        <v/>
      </c>
      <c r="K167" s="19" t="str">
        <f>テーブル1[[#This Row],[小物タグ]]&amp;""</f>
        <v/>
      </c>
      <c r="L167" s="19" t="str">
        <f>テーブル1[[#This Row],[ワンポイントタグ]]&amp;""</f>
        <v/>
      </c>
    </row>
    <row r="168" spans="1:12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Row],[職業タグ]]&amp;""</f>
        <v/>
      </c>
      <c r="K168" s="19" t="str">
        <f>テーブル1[[#This Row],[小物タグ]]&amp;""</f>
        <v/>
      </c>
      <c r="L168" s="19" t="str">
        <f>テーブル1[[#This Row],[ワンポイントタグ]]&amp;""</f>
        <v/>
      </c>
    </row>
    <row r="169" spans="1:12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Row],[職業タグ]]&amp;""</f>
        <v/>
      </c>
      <c r="K169" s="19" t="str">
        <f>テーブル1[[#This Row],[小物タグ]]&amp;""</f>
        <v/>
      </c>
      <c r="L169" s="19" t="str">
        <f>テーブル1[[#This Row],[ワンポイントタグ]]&amp;""</f>
        <v/>
      </c>
    </row>
    <row r="170" spans="1:12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Row],[職業タグ]]&amp;""</f>
        <v/>
      </c>
      <c r="K170" s="19" t="str">
        <f>テーブル1[[#This Row],[小物タグ]]&amp;""</f>
        <v/>
      </c>
      <c r="L170" s="19" t="str">
        <f>テーブル1[[#This Row],[ワンポイントタグ]]&amp;""</f>
        <v/>
      </c>
    </row>
    <row r="171" spans="1:12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Row],[職業タグ]]&amp;""</f>
        <v/>
      </c>
      <c r="K171" s="19" t="str">
        <f>テーブル1[[#This Row],[小物タグ]]&amp;""</f>
        <v>エンジェルヘイロゥ</v>
      </c>
      <c r="L171" s="19" t="str">
        <f>テーブル1[[#This Row],[ワンポイントタグ]]&amp;""</f>
        <v>メッシュ</v>
      </c>
    </row>
    <row r="172" spans="1:12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Row],[職業タグ]]&amp;""</f>
        <v/>
      </c>
      <c r="K172" s="19" t="str">
        <f>テーブル1[[#This Row],[小物タグ]]&amp;""</f>
        <v/>
      </c>
      <c r="L172" s="19" t="str">
        <f>テーブル1[[#This Row],[ワンポイントタグ]]&amp;""</f>
        <v/>
      </c>
    </row>
    <row r="173" spans="1:12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Row],[職業タグ]]&amp;""</f>
        <v/>
      </c>
      <c r="K173" s="19" t="str">
        <f>テーブル1[[#This Row],[小物タグ]]&amp;""</f>
        <v/>
      </c>
      <c r="L173" s="19" t="str">
        <f>テーブル1[[#This Row],[ワンポイントタグ]]&amp;""</f>
        <v/>
      </c>
    </row>
    <row r="174" spans="1:12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Row],[職業タグ]]&amp;""</f>
        <v/>
      </c>
      <c r="K174" s="19" t="str">
        <f>テーブル1[[#This Row],[小物タグ]]&amp;""</f>
        <v/>
      </c>
      <c r="L174" s="19" t="str">
        <f>テーブル1[[#This Row],[ワンポイントタグ]]&amp;""</f>
        <v/>
      </c>
    </row>
    <row r="175" spans="1:12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Row],[職業タグ]]&amp;""</f>
        <v/>
      </c>
      <c r="K175" s="19" t="str">
        <f>テーブル1[[#This Row],[小物タグ]]&amp;""</f>
        <v/>
      </c>
      <c r="L175" s="19" t="str">
        <f>テーブル1[[#This Row],[ワンポイントタグ]]&amp;""</f>
        <v/>
      </c>
    </row>
    <row r="176" spans="1:12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Row],[職業タグ]]&amp;""</f>
        <v/>
      </c>
      <c r="K176" s="19" t="str">
        <f>テーブル1[[#This Row],[小物タグ]]&amp;""</f>
        <v/>
      </c>
      <c r="L176" s="19" t="str">
        <f>テーブル1[[#This Row],[ワンポイントタグ]]&amp;""</f>
        <v/>
      </c>
    </row>
    <row r="177" spans="1:12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Row],[職業タグ]]&amp;""</f>
        <v/>
      </c>
      <c r="K177" s="19" t="str">
        <f>テーブル1[[#This Row],[小物タグ]]&amp;""</f>
        <v/>
      </c>
      <c r="L177" s="19" t="str">
        <f>テーブル1[[#This Row],[ワンポイントタグ]]&amp;""</f>
        <v/>
      </c>
    </row>
    <row r="178" spans="1:12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Row],[職業タグ]]&amp;""</f>
        <v/>
      </c>
      <c r="K178" s="19" t="str">
        <f>テーブル1[[#This Row],[小物タグ]]&amp;""</f>
        <v/>
      </c>
      <c r="L178" s="19" t="str">
        <f>テーブル1[[#This Row],[ワンポイントタグ]]&amp;""</f>
        <v/>
      </c>
    </row>
    <row r="179" spans="1:12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Row],[職業タグ]]&amp;""</f>
        <v/>
      </c>
      <c r="K179" s="19" t="str">
        <f>テーブル1[[#This Row],[小物タグ]]&amp;""</f>
        <v/>
      </c>
      <c r="L179" s="19" t="str">
        <f>テーブル1[[#This Row],[ワンポイントタグ]]&amp;""</f>
        <v/>
      </c>
    </row>
    <row r="180" spans="1:12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Row],[職業タグ]]&amp;""</f>
        <v/>
      </c>
      <c r="K180" s="19" t="str">
        <f>テーブル1[[#This Row],[小物タグ]]&amp;""</f>
        <v/>
      </c>
      <c r="L180" s="19" t="str">
        <f>テーブル1[[#This Row],[ワンポイントタグ]]&amp;""</f>
        <v/>
      </c>
    </row>
    <row r="181" spans="1:12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Row],[職業タグ]]&amp;""</f>
        <v/>
      </c>
      <c r="K181" s="19" t="str">
        <f>テーブル1[[#This Row],[小物タグ]]&amp;""</f>
        <v/>
      </c>
      <c r="L181" s="19" t="str">
        <f>テーブル1[[#This Row],[ワンポイントタグ]]&amp;""</f>
        <v/>
      </c>
    </row>
    <row r="182" spans="1:12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Row],[職業タグ]]&amp;""</f>
        <v/>
      </c>
      <c r="K182" s="19" t="str">
        <f>テーブル1[[#This Row],[小物タグ]]&amp;""</f>
        <v/>
      </c>
      <c r="L182" s="19" t="str">
        <f>テーブル1[[#This Row],[ワンポイントタグ]]&amp;""</f>
        <v/>
      </c>
    </row>
    <row r="183" spans="1:12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Row],[職業タグ]]&amp;""</f>
        <v/>
      </c>
      <c r="K183" s="19" t="str">
        <f>テーブル1[[#This Row],[小物タグ]]&amp;""</f>
        <v/>
      </c>
      <c r="L183" s="19" t="str">
        <f>テーブル1[[#This Row],[ワンポイントタグ]]&amp;""</f>
        <v/>
      </c>
    </row>
    <row r="184" spans="1:12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Row],[職業タグ]]&amp;""</f>
        <v/>
      </c>
      <c r="K184" s="19" t="str">
        <f>テーブル1[[#This Row],[小物タグ]]&amp;""</f>
        <v/>
      </c>
      <c r="L184" s="19" t="str">
        <f>テーブル1[[#This Row],[ワンポイントタグ]]&amp;""</f>
        <v/>
      </c>
    </row>
    <row r="185" spans="1:12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Row],[職業タグ]]&amp;""</f>
        <v>科学者</v>
      </c>
      <c r="K185" s="19" t="str">
        <f>テーブル1[[#This Row],[小物タグ]]&amp;""</f>
        <v>ゴーグル</v>
      </c>
      <c r="L185" s="19" t="str">
        <f>テーブル1[[#This Row],[ワンポイントタグ]]&amp;""</f>
        <v>両目隠れ</v>
      </c>
    </row>
    <row r="186" spans="1:12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Row],[職業タグ]]&amp;""</f>
        <v/>
      </c>
      <c r="K186" s="19" t="str">
        <f>テーブル1[[#This Row],[小物タグ]]&amp;""</f>
        <v/>
      </c>
      <c r="L186" s="19" t="str">
        <f>テーブル1[[#This Row],[ワンポイントタグ]]&amp;""</f>
        <v/>
      </c>
    </row>
    <row r="187" spans="1:12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Row],[職業タグ]]&amp;""</f>
        <v>元ヤン</v>
      </c>
      <c r="K187" s="19" t="str">
        <f>テーブル1[[#This Row],[小物タグ]]&amp;""</f>
        <v/>
      </c>
      <c r="L187" s="19" t="str">
        <f>テーブル1[[#This Row],[ワンポイントタグ]]&amp;""</f>
        <v/>
      </c>
    </row>
    <row r="188" spans="1:12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Row],[職業タグ]]&amp;""</f>
        <v/>
      </c>
      <c r="K188" s="19" t="str">
        <f>テーブル1[[#This Row],[小物タグ]]&amp;""</f>
        <v/>
      </c>
      <c r="L188" s="19" t="str">
        <f>テーブル1[[#This Row],[ワンポイントタグ]]&amp;""</f>
        <v/>
      </c>
    </row>
    <row r="189" spans="1:12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Row],[職業タグ]]&amp;""</f>
        <v/>
      </c>
      <c r="K189" s="19" t="str">
        <f>テーブル1[[#This Row],[小物タグ]]&amp;""</f>
        <v/>
      </c>
      <c r="L189" s="19" t="str">
        <f>テーブル1[[#This Row],[ワンポイントタグ]]&amp;""</f>
        <v/>
      </c>
    </row>
    <row r="190" spans="1:12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Row],[職業タグ]]&amp;""</f>
        <v/>
      </c>
      <c r="K190" s="19" t="str">
        <f>テーブル1[[#This Row],[小物タグ]]&amp;""</f>
        <v/>
      </c>
      <c r="L190" s="19" t="str">
        <f>テーブル1[[#This Row],[ワンポイントタグ]]&amp;""</f>
        <v/>
      </c>
    </row>
    <row r="191" spans="1:12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Row],[職業タグ]]&amp;""</f>
        <v/>
      </c>
      <c r="K191" s="19" t="str">
        <f>テーブル1[[#This Row],[小物タグ]]&amp;""</f>
        <v/>
      </c>
      <c r="L191" s="19" t="str">
        <f>テーブル1[[#This Row],[ワンポイントタグ]]&amp;""</f>
        <v/>
      </c>
    </row>
    <row r="192" spans="1:12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Row],[職業タグ]]&amp;""</f>
        <v/>
      </c>
      <c r="K192" s="19" t="str">
        <f>テーブル1[[#This Row],[小物タグ]]&amp;""</f>
        <v/>
      </c>
      <c r="L192" s="19" t="str">
        <f>テーブル1[[#This Row],[ワンポイントタグ]]&amp;""</f>
        <v/>
      </c>
    </row>
    <row r="193" spans="1:12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Row],[職業タグ]]&amp;""</f>
        <v/>
      </c>
      <c r="K193" s="19" t="str">
        <f>テーブル1[[#This Row],[小物タグ]]&amp;""</f>
        <v/>
      </c>
      <c r="L193" s="19" t="str">
        <f>テーブル1[[#This Row],[ワンポイントタグ]]&amp;""</f>
        <v/>
      </c>
    </row>
    <row r="194" spans="1:12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/>
      </c>
      <c r="I194" s="19" t="str">
        <f>テーブル1[[#This Row],[種族タグ]]&amp;""</f>
        <v/>
      </c>
      <c r="J194" s="19" t="str">
        <f>テーブル1[[#This Row],[職業タグ]]&amp;""</f>
        <v/>
      </c>
      <c r="K194" s="19" t="str">
        <f>テーブル1[[#This Row],[小物タグ]]&amp;""</f>
        <v/>
      </c>
      <c r="L194" s="19" t="str">
        <f>テーブル1[[#This Row],[ワンポイントタグ]]&amp;""</f>
        <v/>
      </c>
    </row>
    <row r="195" spans="1:12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Row],[職業タグ]]&amp;""</f>
        <v/>
      </c>
      <c r="K195" s="19" t="str">
        <f>テーブル1[[#This Row],[小物タグ]]&amp;""</f>
        <v/>
      </c>
      <c r="L195" s="19" t="str">
        <f>テーブル1[[#This Row],[ワンポイントタグ]]&amp;""</f>
        <v/>
      </c>
    </row>
    <row r="196" spans="1:12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Row],[職業タグ]]&amp;""</f>
        <v/>
      </c>
      <c r="K196" s="19" t="str">
        <f>テーブル1[[#This Row],[小物タグ]]&amp;""</f>
        <v/>
      </c>
      <c r="L196" s="19" t="str">
        <f>テーブル1[[#This Row],[ワンポイントタグ]]&amp;""</f>
        <v/>
      </c>
    </row>
    <row r="197" spans="1:12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Row],[職業タグ]]&amp;""</f>
        <v/>
      </c>
      <c r="K197" s="19" t="str">
        <f>テーブル1[[#This Row],[小物タグ]]&amp;""</f>
        <v/>
      </c>
      <c r="L197" s="19" t="str">
        <f>テーブル1[[#This Row],[ワンポイントタグ]]&amp;""</f>
        <v/>
      </c>
    </row>
    <row r="198" spans="1:12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Row],[職業タグ]]&amp;""</f>
        <v/>
      </c>
      <c r="K198" s="19" t="str">
        <f>テーブル1[[#This Row],[小物タグ]]&amp;""</f>
        <v/>
      </c>
      <c r="L198" s="19" t="str">
        <f>テーブル1[[#This Row],[ワンポイントタグ]]&amp;""</f>
        <v/>
      </c>
    </row>
    <row r="199" spans="1:12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Row],[職業タグ]]&amp;""</f>
        <v/>
      </c>
      <c r="K199" s="19" t="str">
        <f>テーブル1[[#This Row],[小物タグ]]&amp;""</f>
        <v/>
      </c>
      <c r="L199" s="19" t="str">
        <f>テーブル1[[#This Row],[ワンポイントタグ]]&amp;""</f>
        <v/>
      </c>
    </row>
    <row r="200" spans="1:12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Row],[職業タグ]]&amp;""</f>
        <v/>
      </c>
      <c r="K200" s="19" t="str">
        <f>テーブル1[[#This Row],[小物タグ]]&amp;""</f>
        <v/>
      </c>
      <c r="L200" s="19" t="str">
        <f>テーブル1[[#This Row],[ワンポイントタグ]]&amp;""</f>
        <v/>
      </c>
    </row>
    <row r="201" spans="1:12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Row],[職業タグ]]&amp;""</f>
        <v/>
      </c>
      <c r="K201" s="19" t="str">
        <f>テーブル1[[#This Row],[小物タグ]]&amp;""</f>
        <v/>
      </c>
      <c r="L201" s="19" t="str">
        <f>テーブル1[[#This Row],[ワンポイントタグ]]&amp;""</f>
        <v/>
      </c>
    </row>
    <row r="202" spans="1:12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Row],[職業タグ]]&amp;""</f>
        <v/>
      </c>
      <c r="K202" s="19" t="str">
        <f>テーブル1[[#This Row],[小物タグ]]&amp;""</f>
        <v/>
      </c>
      <c r="L202" s="19" t="str">
        <f>テーブル1[[#This Row],[ワンポイントタグ]]&amp;""</f>
        <v/>
      </c>
    </row>
    <row r="203" spans="1:12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Row],[職業タグ]]&amp;""</f>
        <v/>
      </c>
      <c r="K203" s="19" t="str">
        <f>テーブル1[[#This Row],[小物タグ]]&amp;""</f>
        <v/>
      </c>
      <c r="L203" s="19" t="str">
        <f>テーブル1[[#This Row],[ワンポイントタグ]]&amp;""</f>
        <v/>
      </c>
    </row>
    <row r="204" spans="1:12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Row],[職業タグ]]&amp;""</f>
        <v/>
      </c>
      <c r="K204" s="19" t="str">
        <f>テーブル1[[#This Row],[小物タグ]]&amp;""</f>
        <v/>
      </c>
      <c r="L204" s="19" t="str">
        <f>テーブル1[[#This Row],[ワンポイントタグ]]&amp;""</f>
        <v/>
      </c>
    </row>
    <row r="205" spans="1:12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Row],[職業タグ]]&amp;""</f>
        <v/>
      </c>
      <c r="K205" s="19" t="str">
        <f>テーブル1[[#This Row],[小物タグ]]&amp;""</f>
        <v/>
      </c>
      <c r="L205" s="19" t="str">
        <f>テーブル1[[#This Row],[ワンポイントタグ]]&amp;""</f>
        <v/>
      </c>
    </row>
    <row r="206" spans="1:12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Row],[職業タグ]]&amp;""</f>
        <v/>
      </c>
      <c r="K206" s="19" t="str">
        <f>テーブル1[[#This Row],[小物タグ]]&amp;""</f>
        <v/>
      </c>
      <c r="L206" s="19" t="str">
        <f>テーブル1[[#This Row],[ワンポイントタグ]]&amp;""</f>
        <v>セクションカラー</v>
      </c>
    </row>
    <row r="207" spans="1:12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Row],[職業タグ]]&amp;""</f>
        <v/>
      </c>
      <c r="K207" s="19" t="str">
        <f>テーブル1[[#This Row],[小物タグ]]&amp;""</f>
        <v/>
      </c>
      <c r="L207" s="19" t="str">
        <f>テーブル1[[#This Row],[ワンポイントタグ]]&amp;""</f>
        <v/>
      </c>
    </row>
    <row r="208" spans="1:12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Row],[職業タグ]]&amp;""</f>
        <v/>
      </c>
      <c r="K208" s="19" t="str">
        <f>テーブル1[[#This Row],[小物タグ]]&amp;""</f>
        <v/>
      </c>
      <c r="L208" s="19" t="str">
        <f>テーブル1[[#This Row],[ワンポイントタグ]]&amp;""</f>
        <v/>
      </c>
    </row>
    <row r="209" spans="1:12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Row],[職業タグ]]&amp;""</f>
        <v/>
      </c>
      <c r="K209" s="19" t="str">
        <f>テーブル1[[#This Row],[小物タグ]]&amp;""</f>
        <v/>
      </c>
      <c r="L209" s="19" t="str">
        <f>テーブル1[[#This Row],[ワンポイントタグ]]&amp;""</f>
        <v/>
      </c>
    </row>
    <row r="210" spans="1:12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Row],[職業タグ]]&amp;""</f>
        <v/>
      </c>
      <c r="K210" s="19" t="str">
        <f>テーブル1[[#This Row],[小物タグ]]&amp;""</f>
        <v/>
      </c>
      <c r="L210" s="19" t="str">
        <f>テーブル1[[#This Row],[ワンポイントタグ]]&amp;""</f>
        <v/>
      </c>
    </row>
    <row r="211" spans="1:12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Row],[職業タグ]]&amp;""</f>
        <v/>
      </c>
      <c r="K211" s="19" t="str">
        <f>テーブル1[[#This Row],[小物タグ]]&amp;""</f>
        <v/>
      </c>
      <c r="L211" s="19" t="str">
        <f>テーブル1[[#This Row],[ワンポイントタグ]]&amp;""</f>
        <v/>
      </c>
    </row>
    <row r="212" spans="1:12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Row],[職業タグ]]&amp;""</f>
        <v/>
      </c>
      <c r="K212" s="19" t="str">
        <f>テーブル1[[#This Row],[小物タグ]]&amp;""</f>
        <v>ヘッドセット</v>
      </c>
      <c r="L212" s="19" t="str">
        <f>テーブル1[[#This Row],[ワンポイントタグ]]&amp;""</f>
        <v/>
      </c>
    </row>
    <row r="213" spans="1:12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Row],[職業タグ]]&amp;""</f>
        <v/>
      </c>
      <c r="K213" s="19" t="str">
        <f>テーブル1[[#This Row],[小物タグ]]&amp;""</f>
        <v>ヘッドホン</v>
      </c>
      <c r="L213" s="19" t="str">
        <f>テーブル1[[#This Row],[ワンポイントタグ]]&amp;""</f>
        <v>アホ毛|オッドアイ|尻尾</v>
      </c>
    </row>
    <row r="214" spans="1:12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Row],[職業タグ]]&amp;""</f>
        <v/>
      </c>
      <c r="K214" s="19" t="str">
        <f>テーブル1[[#This Row],[小物タグ]]&amp;""</f>
        <v/>
      </c>
      <c r="L214" s="19" t="str">
        <f>テーブル1[[#This Row],[ワンポイントタグ]]&amp;""</f>
        <v/>
      </c>
    </row>
    <row r="215" spans="1:12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Row],[職業タグ]]&amp;""</f>
        <v/>
      </c>
      <c r="K215" s="19" t="str">
        <f>テーブル1[[#This Row],[小物タグ]]&amp;""</f>
        <v/>
      </c>
      <c r="L215" s="19" t="str">
        <f>テーブル1[[#This Row],[ワンポイントタグ]]&amp;""</f>
        <v/>
      </c>
    </row>
    <row r="216" spans="1:12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Row],[職業タグ]]&amp;""</f>
        <v/>
      </c>
      <c r="K216" s="19" t="str">
        <f>テーブル1[[#This Row],[小物タグ]]&amp;""</f>
        <v>眼鏡</v>
      </c>
      <c r="L216" s="19" t="str">
        <f>テーブル1[[#This Row],[ワンポイントタグ]]&amp;""</f>
        <v>黒肌</v>
      </c>
    </row>
    <row r="217" spans="1:12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Row],[職業タグ]]&amp;""</f>
        <v/>
      </c>
      <c r="K217" s="19" t="str">
        <f>テーブル1[[#This Row],[小物タグ]]&amp;""</f>
        <v/>
      </c>
      <c r="L217" s="19" t="str">
        <f>テーブル1[[#This Row],[ワンポイントタグ]]&amp;""</f>
        <v/>
      </c>
    </row>
    <row r="218" spans="1:12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Row],[職業タグ]]&amp;""</f>
        <v>科学者</v>
      </c>
      <c r="K218" s="19" t="str">
        <f>テーブル1[[#This Row],[小物タグ]]&amp;""</f>
        <v>眼鏡</v>
      </c>
      <c r="L218" s="19" t="str">
        <f>テーブル1[[#This Row],[ワンポイントタグ]]&amp;""</f>
        <v>褐色肌</v>
      </c>
    </row>
    <row r="219" spans="1:12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Row],[職業タグ]]&amp;""</f>
        <v/>
      </c>
      <c r="K219" s="19" t="str">
        <f>テーブル1[[#This Row],[小物タグ]]&amp;""</f>
        <v/>
      </c>
      <c r="L219" s="19" t="str">
        <f>テーブル1[[#This Row],[ワンポイントタグ]]&amp;""</f>
        <v/>
      </c>
    </row>
    <row r="220" spans="1:12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Row],[職業タグ]]&amp;""</f>
        <v/>
      </c>
      <c r="K220" s="19" t="str">
        <f>テーブル1[[#This Row],[小物タグ]]&amp;""</f>
        <v>ヘアピン</v>
      </c>
      <c r="L220" s="19" t="str">
        <f>テーブル1[[#This Row],[ワンポイントタグ]]&amp;""</f>
        <v/>
      </c>
    </row>
    <row r="221" spans="1:12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Row],[職業タグ]]&amp;""</f>
        <v/>
      </c>
      <c r="K221" s="19" t="str">
        <f>テーブル1[[#This Row],[小物タグ]]&amp;""</f>
        <v/>
      </c>
      <c r="L221" s="19" t="str">
        <f>テーブル1[[#This Row],[ワンポイントタグ]]&amp;""</f>
        <v/>
      </c>
    </row>
    <row r="222" spans="1:12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Row],[職業タグ]]&amp;""</f>
        <v/>
      </c>
      <c r="K222" s="19" t="str">
        <f>テーブル1[[#This Row],[小物タグ]]&amp;""</f>
        <v/>
      </c>
      <c r="L222" s="19" t="str">
        <f>テーブル1[[#This Row],[ワンポイントタグ]]&amp;""</f>
        <v/>
      </c>
    </row>
    <row r="223" spans="1:12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Row],[職業タグ]]&amp;""</f>
        <v/>
      </c>
      <c r="K223" s="19" t="str">
        <f>テーブル1[[#This Row],[小物タグ]]&amp;""</f>
        <v/>
      </c>
      <c r="L223" s="19" t="str">
        <f>テーブル1[[#This Row],[ワンポイントタグ]]&amp;""</f>
        <v/>
      </c>
    </row>
    <row r="224" spans="1:12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Row],[職業タグ]]&amp;""</f>
        <v/>
      </c>
      <c r="K224" s="19" t="str">
        <f>テーブル1[[#This Row],[小物タグ]]&amp;""</f>
        <v/>
      </c>
      <c r="L224" s="19" t="str">
        <f>テーブル1[[#This Row],[ワンポイントタグ]]&amp;""</f>
        <v/>
      </c>
    </row>
    <row r="225" spans="1:12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Row],[職業タグ]]&amp;""</f>
        <v/>
      </c>
      <c r="K225" s="19" t="str">
        <f>テーブル1[[#This Row],[小物タグ]]&amp;""</f>
        <v/>
      </c>
      <c r="L225" s="19" t="str">
        <f>テーブル1[[#This Row],[ワンポイントタグ]]&amp;""</f>
        <v/>
      </c>
    </row>
    <row r="226" spans="1:12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Row],[職業タグ]]&amp;""</f>
        <v/>
      </c>
      <c r="K226" s="19" t="str">
        <f>テーブル1[[#This Row],[小物タグ]]&amp;""</f>
        <v/>
      </c>
      <c r="L226" s="19" t="str">
        <f>テーブル1[[#This Row],[ワンポイントタグ]]&amp;""</f>
        <v/>
      </c>
    </row>
    <row r="227" spans="1:12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Row],[職業タグ]]&amp;""</f>
        <v/>
      </c>
      <c r="K227" s="19" t="str">
        <f>テーブル1[[#This Row],[小物タグ]]&amp;""</f>
        <v/>
      </c>
      <c r="L227" s="19" t="str">
        <f>テーブル1[[#This Row],[ワンポイントタグ]]&amp;""</f>
        <v/>
      </c>
    </row>
    <row r="228" spans="1:12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Row],[職業タグ]]&amp;""</f>
        <v>オタク</v>
      </c>
      <c r="K228" s="19" t="str">
        <f>テーブル1[[#This Row],[小物タグ]]&amp;""</f>
        <v>イヤーユニット|鍵</v>
      </c>
      <c r="L228" s="19" t="str">
        <f>テーブル1[[#This Row],[ワンポイントタグ]]&amp;""</f>
        <v>グラデーションカラー|まろ眉</v>
      </c>
    </row>
    <row r="229" spans="1:12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Row],[職業タグ]]&amp;""</f>
        <v/>
      </c>
      <c r="K229" s="19" t="str">
        <f>テーブル1[[#This Row],[小物タグ]]&amp;""</f>
        <v>ヘッドホン</v>
      </c>
      <c r="L229" s="19" t="str">
        <f>テーブル1[[#This Row],[ワンポイントタグ]]&amp;""</f>
        <v/>
      </c>
    </row>
    <row r="230" spans="1:12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Row],[職業タグ]]&amp;""</f>
        <v>吟遊詩人</v>
      </c>
      <c r="K230" s="19" t="str">
        <f>テーブル1[[#This Row],[小物タグ]]&amp;""</f>
        <v/>
      </c>
      <c r="L230" s="19" t="str">
        <f>テーブル1[[#This Row],[ワンポイントタグ]]&amp;""</f>
        <v/>
      </c>
    </row>
    <row r="231" spans="1:12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狼</v>
      </c>
      <c r="J231" s="19" t="str">
        <f>テーブル1[[#This Row],[職業タグ]]&amp;""</f>
        <v/>
      </c>
      <c r="K231" s="19" t="str">
        <f>テーブル1[[#This Row],[小物タグ]]&amp;""</f>
        <v>ピアス|首輪</v>
      </c>
      <c r="L231" s="19" t="str">
        <f>テーブル1[[#This Row],[ワンポイントタグ]]&amp;""</f>
        <v>ケモ耳|尻尾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4</vt:i4>
      </vt:variant>
    </vt:vector>
  </HeadingPairs>
  <TitlesOfParts>
    <vt:vector size="7" baseType="lpstr">
      <vt:lpstr>キャラ情報</vt:lpstr>
      <vt:lpstr>ガチャ</vt:lpstr>
      <vt:lpstr>csv変換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2026-06-14T14:03:59Z</dcterms:modified>
  <cp:category/>
  <cp:contentStatus/>
</cp:coreProperties>
</file>