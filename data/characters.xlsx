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7E078B56-03CA-46F5-A07D-870B5C6EF9E6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9" l="1"/>
  <c r="A265" i="9"/>
  <c r="A266" i="9"/>
  <c r="A267" i="9"/>
  <c r="A268" i="9"/>
  <c r="A269" i="9"/>
  <c r="B264" i="9"/>
  <c r="B265" i="9"/>
  <c r="B266" i="9"/>
  <c r="B267" i="9"/>
  <c r="B268" i="9"/>
  <c r="B269" i="9"/>
  <c r="C264" i="9"/>
  <c r="C265" i="9"/>
  <c r="C266" i="9"/>
  <c r="C267" i="9"/>
  <c r="C268" i="9"/>
  <c r="C269" i="9"/>
  <c r="D264" i="9"/>
  <c r="D265" i="9"/>
  <c r="D266" i="9"/>
  <c r="D267" i="9"/>
  <c r="D268" i="9"/>
  <c r="D269" i="9"/>
  <c r="E264" i="9"/>
  <c r="E265" i="9"/>
  <c r="E266" i="9"/>
  <c r="E267" i="9"/>
  <c r="E268" i="9"/>
  <c r="E269" i="9"/>
  <c r="F264" i="9"/>
  <c r="F265" i="9"/>
  <c r="F266" i="9"/>
  <c r="F267" i="9"/>
  <c r="F268" i="9"/>
  <c r="F269" i="9"/>
  <c r="G264" i="9"/>
  <c r="G265" i="9"/>
  <c r="G266" i="9"/>
  <c r="G267" i="9"/>
  <c r="G268" i="9"/>
  <c r="G269" i="9"/>
  <c r="H264" i="9"/>
  <c r="H265" i="9"/>
  <c r="H266" i="9"/>
  <c r="H267" i="9"/>
  <c r="H268" i="9"/>
  <c r="H269" i="9"/>
  <c r="I264" i="9"/>
  <c r="I265" i="9"/>
  <c r="I266" i="9"/>
  <c r="I267" i="9"/>
  <c r="I268" i="9"/>
  <c r="I269" i="9"/>
  <c r="J264" i="9"/>
  <c r="J265" i="9"/>
  <c r="J266" i="9"/>
  <c r="J267" i="9"/>
  <c r="J268" i="9"/>
  <c r="J269" i="9"/>
  <c r="K264" i="9"/>
  <c r="K265" i="9"/>
  <c r="K266" i="9"/>
  <c r="K267" i="9"/>
  <c r="K268" i="9"/>
  <c r="K269" i="9"/>
  <c r="L264" i="9"/>
  <c r="L265" i="9"/>
  <c r="L266" i="9"/>
  <c r="L267" i="9"/>
  <c r="L268" i="9"/>
  <c r="L269" i="9"/>
  <c r="M264" i="9"/>
  <c r="M265" i="9"/>
  <c r="M266" i="9"/>
  <c r="M267" i="9"/>
  <c r="M268" i="9"/>
  <c r="M269" i="9"/>
  <c r="B269" i="1"/>
  <c r="P269" i="1"/>
  <c r="T269" i="1"/>
  <c r="U269" i="1"/>
  <c r="V269" i="1"/>
  <c r="W269" i="1"/>
  <c r="X269" i="1"/>
  <c r="Y269" i="1"/>
  <c r="B268" i="1"/>
  <c r="P268" i="1"/>
  <c r="T268" i="1"/>
  <c r="U268" i="1"/>
  <c r="V268" i="1"/>
  <c r="W268" i="1"/>
  <c r="X268" i="1"/>
  <c r="Y268" i="1"/>
  <c r="B267" i="1"/>
  <c r="P267" i="1"/>
  <c r="T267" i="1"/>
  <c r="U267" i="1"/>
  <c r="V267" i="1"/>
  <c r="W267" i="1"/>
  <c r="X267" i="1"/>
  <c r="Y267" i="1"/>
  <c r="B266" i="1"/>
  <c r="U266" i="1"/>
  <c r="P266" i="1"/>
  <c r="T266" i="1"/>
  <c r="V266" i="1"/>
  <c r="W266" i="1"/>
  <c r="X266" i="1"/>
  <c r="Y266" i="1"/>
  <c r="B264" i="1"/>
  <c r="P264" i="1"/>
  <c r="T264" i="1"/>
  <c r="U264" i="1"/>
  <c r="V264" i="1"/>
  <c r="W264" i="1"/>
  <c r="X264" i="1"/>
  <c r="Y264" i="1"/>
  <c r="B265" i="1"/>
  <c r="P265" i="1"/>
  <c r="T265" i="1"/>
  <c r="U265" i="1"/>
  <c r="V265" i="1"/>
  <c r="W265" i="1"/>
  <c r="X265" i="1"/>
  <c r="Y265" i="1"/>
  <c r="A259" i="9"/>
  <c r="A260" i="9"/>
  <c r="A261" i="9"/>
  <c r="A262" i="9"/>
  <c r="A263" i="9"/>
  <c r="B259" i="9"/>
  <c r="B260" i="9"/>
  <c r="B261" i="9"/>
  <c r="B262" i="9"/>
  <c r="B263" i="9"/>
  <c r="C259" i="9"/>
  <c r="C260" i="9"/>
  <c r="C261" i="9"/>
  <c r="C262" i="9"/>
  <c r="C263" i="9"/>
  <c r="D259" i="9"/>
  <c r="D260" i="9"/>
  <c r="D261" i="9"/>
  <c r="D262" i="9"/>
  <c r="D263" i="9"/>
  <c r="F259" i="9"/>
  <c r="F260" i="9"/>
  <c r="F261" i="9"/>
  <c r="F262" i="9"/>
  <c r="F263" i="9"/>
  <c r="G259" i="9"/>
  <c r="G260" i="9"/>
  <c r="G261" i="9"/>
  <c r="G262" i="9"/>
  <c r="G263" i="9"/>
  <c r="H259" i="9"/>
  <c r="H260" i="9"/>
  <c r="H261" i="9"/>
  <c r="H262" i="9"/>
  <c r="H263" i="9"/>
  <c r="I259" i="9"/>
  <c r="I260" i="9"/>
  <c r="I261" i="9"/>
  <c r="I262" i="9"/>
  <c r="I263" i="9"/>
  <c r="J259" i="9"/>
  <c r="J260" i="9"/>
  <c r="J261" i="9"/>
  <c r="J262" i="9"/>
  <c r="J263" i="9"/>
  <c r="K259" i="9"/>
  <c r="K260" i="9"/>
  <c r="K261" i="9"/>
  <c r="K262" i="9"/>
  <c r="K263" i="9"/>
  <c r="L259" i="9"/>
  <c r="L260" i="9"/>
  <c r="L261" i="9"/>
  <c r="L262" i="9"/>
  <c r="L263" i="9"/>
  <c r="M259" i="9"/>
  <c r="M260" i="9"/>
  <c r="M261" i="9"/>
  <c r="M262" i="9"/>
  <c r="M263" i="9"/>
  <c r="B263" i="1"/>
  <c r="P263" i="1"/>
  <c r="T263" i="1"/>
  <c r="V263" i="1"/>
  <c r="W263" i="1"/>
  <c r="X263" i="1"/>
  <c r="Y263" i="1"/>
  <c r="B262" i="1"/>
  <c r="P262" i="1"/>
  <c r="T262" i="1"/>
  <c r="V262" i="1"/>
  <c r="W262" i="1"/>
  <c r="X262" i="1"/>
  <c r="Y262" i="1"/>
  <c r="B261" i="1"/>
  <c r="P261" i="1"/>
  <c r="T261" i="1"/>
  <c r="V261" i="1"/>
  <c r="W261" i="1"/>
  <c r="X261" i="1"/>
  <c r="Y261" i="1"/>
  <c r="B260" i="1"/>
  <c r="P260" i="1"/>
  <c r="T260" i="1"/>
  <c r="V260" i="1"/>
  <c r="W260" i="1"/>
  <c r="X260" i="1"/>
  <c r="Y260" i="1"/>
  <c r="B259" i="1"/>
  <c r="P259" i="1"/>
  <c r="T259" i="1"/>
  <c r="V259" i="1"/>
  <c r="W259" i="1"/>
  <c r="X259" i="1"/>
  <c r="Y259" i="1"/>
  <c r="A255" i="9"/>
  <c r="A256" i="9"/>
  <c r="A257" i="9"/>
  <c r="A258" i="9"/>
  <c r="B255" i="9"/>
  <c r="B256" i="9"/>
  <c r="B257" i="9"/>
  <c r="B258" i="9"/>
  <c r="C255" i="9"/>
  <c r="C256" i="9"/>
  <c r="C257" i="9"/>
  <c r="C258" i="9"/>
  <c r="D255" i="9"/>
  <c r="D256" i="9"/>
  <c r="D257" i="9"/>
  <c r="D258" i="9"/>
  <c r="F255" i="9"/>
  <c r="F256" i="9"/>
  <c r="F257" i="9"/>
  <c r="F258" i="9"/>
  <c r="G255" i="9"/>
  <c r="G256" i="9"/>
  <c r="H255" i="9"/>
  <c r="H256" i="9"/>
  <c r="H257" i="9"/>
  <c r="H258" i="9"/>
  <c r="I255" i="9"/>
  <c r="I256" i="9"/>
  <c r="I257" i="9"/>
  <c r="I258" i="9"/>
  <c r="J255" i="9"/>
  <c r="J256" i="9"/>
  <c r="J257" i="9"/>
  <c r="J258" i="9"/>
  <c r="K255" i="9"/>
  <c r="K256" i="9"/>
  <c r="K257" i="9"/>
  <c r="K258" i="9"/>
  <c r="L255" i="9"/>
  <c r="L256" i="9"/>
  <c r="L257" i="9"/>
  <c r="L258" i="9"/>
  <c r="M255" i="9"/>
  <c r="M256" i="9"/>
  <c r="M257" i="9"/>
  <c r="M258" i="9"/>
  <c r="B258" i="1"/>
  <c r="U258" i="1" s="1"/>
  <c r="P258" i="1"/>
  <c r="T258" i="1"/>
  <c r="V258" i="1"/>
  <c r="W258" i="1"/>
  <c r="X258" i="1"/>
  <c r="Y258" i="1"/>
  <c r="B257" i="1"/>
  <c r="U257" i="1" s="1"/>
  <c r="P257" i="1"/>
  <c r="T257" i="1"/>
  <c r="V257" i="1"/>
  <c r="W257" i="1"/>
  <c r="X257" i="1"/>
  <c r="Y257" i="1"/>
  <c r="B256" i="1"/>
  <c r="P256" i="1"/>
  <c r="T256" i="1"/>
  <c r="V256" i="1"/>
  <c r="W256" i="1"/>
  <c r="X256" i="1"/>
  <c r="Y256" i="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31" i="9"/>
  <c r="G32" i="9"/>
  <c r="G33" i="9"/>
  <c r="G34" i="9"/>
  <c r="G35" i="9"/>
  <c r="G36" i="9"/>
  <c r="G37" i="9"/>
  <c r="G38" i="9"/>
  <c r="G39" i="9"/>
  <c r="G40" i="9"/>
  <c r="G41" i="9"/>
  <c r="G43" i="9"/>
  <c r="G45" i="9"/>
  <c r="G48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2" i="9"/>
  <c r="G84" i="9"/>
  <c r="G85" i="9"/>
  <c r="G88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6" i="9"/>
  <c r="G117" i="9"/>
  <c r="G118" i="9"/>
  <c r="G119" i="9"/>
  <c r="G120" i="9"/>
  <c r="G121" i="9"/>
  <c r="G122" i="9"/>
  <c r="G125" i="9"/>
  <c r="G128" i="9"/>
  <c r="G129" i="9"/>
  <c r="G130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80" i="9"/>
  <c r="G181" i="9"/>
  <c r="G182" i="9"/>
  <c r="G184" i="9"/>
  <c r="G185" i="9"/>
  <c r="G187" i="9"/>
  <c r="G188" i="9"/>
  <c r="G189" i="9"/>
  <c r="G190" i="9"/>
  <c r="G194" i="9"/>
  <c r="G196" i="9"/>
  <c r="G197" i="9"/>
  <c r="G198" i="9"/>
  <c r="G199" i="9"/>
  <c r="G200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20" i="9"/>
  <c r="G224" i="9"/>
  <c r="G225" i="9"/>
  <c r="G226" i="9"/>
  <c r="G229" i="9"/>
  <c r="G230" i="9"/>
  <c r="G231" i="9"/>
  <c r="G232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A251" i="9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F251" i="9"/>
  <c r="F252" i="9"/>
  <c r="F253" i="9"/>
  <c r="F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K251" i="9"/>
  <c r="K252" i="9"/>
  <c r="K253" i="9"/>
  <c r="K254" i="9"/>
  <c r="L251" i="9"/>
  <c r="L252" i="9"/>
  <c r="L253" i="9"/>
  <c r="L254" i="9"/>
  <c r="M251" i="9"/>
  <c r="M252" i="9"/>
  <c r="M253" i="9"/>
  <c r="M254" i="9"/>
  <c r="B255" i="1"/>
  <c r="P255" i="1"/>
  <c r="T255" i="1"/>
  <c r="V255" i="1"/>
  <c r="W255" i="1"/>
  <c r="X255" i="1"/>
  <c r="Y255" i="1"/>
  <c r="B254" i="1"/>
  <c r="U254" i="1" s="1"/>
  <c r="P254" i="1"/>
  <c r="T254" i="1"/>
  <c r="V254" i="1"/>
  <c r="W254" i="1"/>
  <c r="X254" i="1"/>
  <c r="Y254" i="1"/>
  <c r="B253" i="1"/>
  <c r="P253" i="1"/>
  <c r="T253" i="1"/>
  <c r="V253" i="1"/>
  <c r="W253" i="1"/>
  <c r="X253" i="1"/>
  <c r="Y253" i="1"/>
  <c r="B252" i="1"/>
  <c r="P252" i="1"/>
  <c r="T252" i="1"/>
  <c r="V252" i="1"/>
  <c r="W252" i="1"/>
  <c r="X252" i="1"/>
  <c r="Y252" i="1"/>
  <c r="B251" i="1"/>
  <c r="U251" i="1" s="1"/>
  <c r="P251" i="1"/>
  <c r="T251" i="1"/>
  <c r="V251" i="1"/>
  <c r="W251" i="1"/>
  <c r="X251" i="1"/>
  <c r="Y251" i="1"/>
  <c r="A250" i="9"/>
  <c r="B250" i="9"/>
  <c r="C250" i="9"/>
  <c r="D250" i="9"/>
  <c r="F250" i="9"/>
  <c r="H250" i="9"/>
  <c r="I250" i="9"/>
  <c r="J250" i="9"/>
  <c r="K250" i="9"/>
  <c r="L250" i="9"/>
  <c r="M250" i="9"/>
  <c r="B250" i="1"/>
  <c r="U250" i="1" s="1"/>
  <c r="P250" i="1"/>
  <c r="T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U249" i="1" s="1"/>
  <c r="P249" i="1"/>
  <c r="T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H237" i="9"/>
  <c r="I237" i="9"/>
  <c r="J237" i="9"/>
  <c r="K237" i="9"/>
  <c r="L237" i="9"/>
  <c r="M237" i="9"/>
  <c r="A236" i="9"/>
  <c r="B236" i="9"/>
  <c r="C236" i="9"/>
  <c r="D236" i="9"/>
  <c r="F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A234" i="9"/>
  <c r="B234" i="9"/>
  <c r="C234" i="9"/>
  <c r="D234" i="9"/>
  <c r="F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H232" i="9"/>
  <c r="B232" i="1"/>
  <c r="P232" i="1"/>
  <c r="T232" i="1"/>
  <c r="V232" i="1"/>
  <c r="W232" i="1"/>
  <c r="X232" i="1"/>
  <c r="Y232" i="1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30" i="1"/>
  <c r="P230" i="1"/>
  <c r="T230" i="1"/>
  <c r="V230" i="1"/>
  <c r="W230" i="1"/>
  <c r="X230" i="1"/>
  <c r="Y230" i="1"/>
  <c r="A228" i="9"/>
  <c r="A229" i="9"/>
  <c r="B228" i="9"/>
  <c r="B229" i="9"/>
  <c r="C228" i="9"/>
  <c r="C229" i="9"/>
  <c r="D228" i="9"/>
  <c r="D229" i="9"/>
  <c r="F228" i="9"/>
  <c r="F229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5" i="1"/>
  <c r="Y234" i="1"/>
  <c r="Y238" i="1"/>
  <c r="Y239" i="1"/>
  <c r="Y240" i="1"/>
  <c r="Y237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5" i="1"/>
  <c r="B234" i="1"/>
  <c r="B238" i="1"/>
  <c r="B239" i="1"/>
  <c r="B240" i="1"/>
  <c r="B237" i="1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89" i="9" s="1"/>
  <c r="G160" i="1"/>
  <c r="G162" i="1"/>
  <c r="G44" i="9" s="1"/>
  <c r="G166" i="1"/>
  <c r="G179" i="1"/>
  <c r="G228" i="9" s="1"/>
  <c r="G207" i="1"/>
  <c r="G208" i="1"/>
  <c r="G124" i="9" s="1"/>
  <c r="G210" i="1"/>
  <c r="G258" i="9" s="1"/>
  <c r="G223" i="1"/>
  <c r="P227" i="1"/>
  <c r="T227" i="1"/>
  <c r="V227" i="1"/>
  <c r="W227" i="1"/>
  <c r="X227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20" i="1"/>
  <c r="T220" i="1"/>
  <c r="V220" i="1"/>
  <c r="W220" i="1"/>
  <c r="X220" i="1"/>
  <c r="P219" i="1"/>
  <c r="T219" i="1"/>
  <c r="V219" i="1"/>
  <c r="W219" i="1"/>
  <c r="X219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5" i="1"/>
  <c r="V234" i="1"/>
  <c r="V238" i="1"/>
  <c r="V239" i="1"/>
  <c r="V240" i="1"/>
  <c r="V237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5" i="1"/>
  <c r="W234" i="1"/>
  <c r="W238" i="1"/>
  <c r="W239" i="1"/>
  <c r="W240" i="1"/>
  <c r="W237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5" i="1"/>
  <c r="X234" i="1"/>
  <c r="X238" i="1"/>
  <c r="X239" i="1"/>
  <c r="X240" i="1"/>
  <c r="X237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188" i="1"/>
  <c r="T188" i="1"/>
  <c r="P174" i="1"/>
  <c r="T174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182" i="1"/>
  <c r="T182" i="1"/>
  <c r="P13" i="1"/>
  <c r="P17" i="1"/>
  <c r="P18" i="1"/>
  <c r="P86" i="1"/>
  <c r="P106" i="1"/>
  <c r="P95" i="1"/>
  <c r="P96" i="1"/>
  <c r="P40" i="1"/>
  <c r="P61" i="1"/>
  <c r="P80" i="1"/>
  <c r="P94" i="1"/>
  <c r="P199" i="1"/>
  <c r="P78" i="1"/>
  <c r="P89" i="1"/>
  <c r="P147" i="1"/>
  <c r="P139" i="1"/>
  <c r="P184" i="1"/>
  <c r="P19" i="1"/>
  <c r="P75" i="1"/>
  <c r="P155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176" i="1"/>
  <c r="P115" i="1"/>
  <c r="P141" i="1"/>
  <c r="P143" i="1"/>
  <c r="P28" i="1"/>
  <c r="P34" i="1"/>
  <c r="P144" i="1"/>
  <c r="P175" i="1"/>
  <c r="P157" i="1"/>
  <c r="P216" i="1"/>
  <c r="P185" i="1"/>
  <c r="P22" i="1"/>
  <c r="P112" i="1"/>
  <c r="P54" i="1"/>
  <c r="P103" i="1"/>
  <c r="P64" i="1"/>
  <c r="P44" i="1"/>
  <c r="P66" i="1"/>
  <c r="P4" i="1"/>
  <c r="P113" i="1"/>
  <c r="P117" i="1"/>
  <c r="P171" i="1"/>
  <c r="P149" i="1"/>
  <c r="P119" i="1"/>
  <c r="P159" i="1"/>
  <c r="P191" i="1"/>
  <c r="P190" i="1"/>
  <c r="P46" i="1"/>
  <c r="P93" i="1"/>
  <c r="P37" i="1"/>
  <c r="P16" i="1"/>
  <c r="P65" i="1"/>
  <c r="P11" i="1"/>
  <c r="P148" i="1"/>
  <c r="P138" i="1"/>
  <c r="P164" i="1"/>
  <c r="P26" i="1"/>
  <c r="P27" i="1"/>
  <c r="P201" i="1"/>
  <c r="P170" i="1"/>
  <c r="P153" i="1"/>
  <c r="P146" i="1"/>
  <c r="P29" i="1"/>
  <c r="P30" i="1"/>
  <c r="P130" i="1"/>
  <c r="P156" i="1"/>
  <c r="P43" i="1"/>
  <c r="P55" i="1"/>
  <c r="P110" i="1"/>
  <c r="P20" i="1"/>
  <c r="P21" i="1"/>
  <c r="P41" i="1"/>
  <c r="P7" i="1"/>
  <c r="P131" i="1"/>
  <c r="P23" i="1"/>
  <c r="P42" i="1"/>
  <c r="P63" i="1"/>
  <c r="P234" i="1"/>
  <c r="P235" i="1"/>
  <c r="P237" i="1"/>
  <c r="P238" i="1"/>
  <c r="P239" i="1"/>
  <c r="P240" i="1"/>
  <c r="P74" i="1"/>
  <c r="P85" i="1"/>
  <c r="P3" i="1"/>
  <c r="P50" i="1"/>
  <c r="P192" i="1"/>
  <c r="P180" i="1"/>
  <c r="P81" i="1"/>
  <c r="P181" i="1"/>
  <c r="P154" i="1"/>
  <c r="P168" i="1"/>
  <c r="P108" i="1"/>
  <c r="P125" i="1"/>
  <c r="P197" i="1"/>
  <c r="P121" i="1"/>
  <c r="P196" i="1"/>
  <c r="P5" i="1"/>
  <c r="P127" i="1"/>
  <c r="P57" i="1"/>
  <c r="P2" i="1"/>
  <c r="P25" i="1"/>
  <c r="P102" i="1"/>
  <c r="P194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135" i="1"/>
  <c r="P167" i="1"/>
  <c r="P62" i="1"/>
  <c r="P79" i="1"/>
  <c r="P10" i="1"/>
  <c r="P8" i="1"/>
  <c r="P24" i="1"/>
  <c r="P32" i="1"/>
  <c r="P76" i="1"/>
  <c r="P87" i="1"/>
  <c r="P88" i="1"/>
  <c r="P109" i="1"/>
  <c r="P187" i="1"/>
  <c r="P56" i="1"/>
  <c r="P126" i="1"/>
  <c r="P136" i="1"/>
  <c r="P172" i="1"/>
  <c r="P142" i="1"/>
  <c r="P14" i="1"/>
  <c r="P39" i="1"/>
  <c r="P72" i="1"/>
  <c r="P73" i="1"/>
  <c r="P133" i="1"/>
  <c r="P137" i="1"/>
  <c r="P83" i="1"/>
  <c r="P84" i="1"/>
  <c r="P162" i="1"/>
  <c r="P6" i="1"/>
  <c r="P15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166" i="1"/>
  <c r="P67" i="1"/>
  <c r="P71" i="1"/>
  <c r="P200" i="1"/>
  <c r="P122" i="1"/>
  <c r="P151" i="1"/>
  <c r="T201" i="1"/>
  <c r="T164" i="1"/>
  <c r="T240" i="1"/>
  <c r="T239" i="1"/>
  <c r="T238" i="1"/>
  <c r="T237" i="1"/>
  <c r="T235" i="1"/>
  <c r="T234" i="1"/>
  <c r="T190" i="1"/>
  <c r="T135" i="1"/>
  <c r="T166" i="1"/>
  <c r="T200" i="1"/>
  <c r="T159" i="1"/>
  <c r="T144" i="1"/>
  <c r="T139" i="1"/>
  <c r="T184" i="1"/>
  <c r="T176" i="1"/>
  <c r="T170" i="1"/>
  <c r="T181" i="1"/>
  <c r="T154" i="1"/>
  <c r="T168" i="1"/>
  <c r="T149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147" i="1"/>
  <c r="T155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143" i="1"/>
  <c r="T175" i="1"/>
  <c r="T157" i="1"/>
  <c r="T216" i="1"/>
  <c r="T185" i="1"/>
  <c r="T117" i="1"/>
  <c r="T171" i="1"/>
  <c r="T119" i="1"/>
  <c r="T191" i="1"/>
  <c r="T148" i="1"/>
  <c r="T138" i="1"/>
  <c r="T153" i="1"/>
  <c r="T146" i="1"/>
  <c r="T156" i="1"/>
  <c r="T130" i="1"/>
  <c r="T131" i="1"/>
  <c r="T192" i="1"/>
  <c r="T180" i="1"/>
  <c r="T125" i="1"/>
  <c r="T197" i="1"/>
  <c r="T196" i="1"/>
  <c r="T121" i="1"/>
  <c r="T127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136" i="1"/>
  <c r="T172" i="1"/>
  <c r="T142" i="1"/>
  <c r="T137" i="1"/>
  <c r="T133" i="1"/>
  <c r="T162" i="1"/>
  <c r="T160" i="1"/>
  <c r="T179" i="1"/>
  <c r="T151" i="1"/>
  <c r="T122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186" i="9" l="1"/>
  <c r="G191" i="9"/>
  <c r="G195" i="9"/>
  <c r="G201" i="9"/>
  <c r="G221" i="9"/>
  <c r="G227" i="9"/>
  <c r="G81" i="9"/>
  <c r="G83" i="9"/>
  <c r="G127" i="9"/>
  <c r="G131" i="9"/>
  <c r="G47" i="9"/>
  <c r="G49" i="9"/>
  <c r="Q269" i="1"/>
  <c r="R269" i="1" s="1"/>
  <c r="Q268" i="1"/>
  <c r="R268" i="1" s="1"/>
  <c r="Q267" i="1"/>
  <c r="R267" i="1" s="1"/>
  <c r="Q266" i="1"/>
  <c r="R266" i="1" s="1"/>
  <c r="E263" i="9"/>
  <c r="U263" i="1"/>
  <c r="Q264" i="1"/>
  <c r="R264" i="1" s="1"/>
  <c r="Q265" i="1"/>
  <c r="R265" i="1" s="1"/>
  <c r="E259" i="9"/>
  <c r="U259" i="1"/>
  <c r="E262" i="9"/>
  <c r="U262" i="1"/>
  <c r="E261" i="9"/>
  <c r="U261" i="1"/>
  <c r="U260" i="1"/>
  <c r="E260" i="9"/>
  <c r="G219" i="9"/>
  <c r="G222" i="9"/>
  <c r="Q263" i="1"/>
  <c r="R263" i="1" s="1"/>
  <c r="Q262" i="1"/>
  <c r="R262" i="1" s="1"/>
  <c r="Q260" i="1"/>
  <c r="R260" i="1" s="1"/>
  <c r="Q261" i="1"/>
  <c r="R261" i="1" s="1"/>
  <c r="G192" i="9"/>
  <c r="G193" i="9"/>
  <c r="G149" i="9"/>
  <c r="G87" i="9"/>
  <c r="Q259" i="1"/>
  <c r="R259" i="1" s="1"/>
  <c r="G233" i="9"/>
  <c r="G183" i="9"/>
  <c r="G115" i="9"/>
  <c r="G29" i="9"/>
  <c r="G143" i="9"/>
  <c r="G30" i="9"/>
  <c r="G160" i="9"/>
  <c r="G217" i="9"/>
  <c r="G162" i="9"/>
  <c r="G42" i="9"/>
  <c r="G166" i="9"/>
  <c r="G80" i="9"/>
  <c r="G179" i="9"/>
  <c r="G218" i="9"/>
  <c r="G207" i="9"/>
  <c r="G126" i="9"/>
  <c r="G208" i="9"/>
  <c r="G123" i="9"/>
  <c r="G223" i="9"/>
  <c r="G46" i="9"/>
  <c r="E258" i="9"/>
  <c r="E257" i="9"/>
  <c r="G86" i="9"/>
  <c r="G210" i="9"/>
  <c r="G257" i="9"/>
  <c r="U256" i="1"/>
  <c r="E256" i="9"/>
  <c r="U255" i="1"/>
  <c r="E255" i="9"/>
  <c r="Q258" i="1"/>
  <c r="R258" i="1" s="1"/>
  <c r="Q257" i="1"/>
  <c r="R257" i="1" s="1"/>
  <c r="Q256" i="1"/>
  <c r="R256" i="1" s="1"/>
  <c r="E251" i="9"/>
  <c r="E252" i="9"/>
  <c r="E253" i="9"/>
  <c r="E254" i="9"/>
  <c r="Q255" i="1"/>
  <c r="R255" i="1" s="1"/>
  <c r="Q254" i="1"/>
  <c r="R254" i="1" s="1"/>
  <c r="U253" i="1"/>
  <c r="U252" i="1"/>
  <c r="U248" i="1"/>
  <c r="Q253" i="1"/>
  <c r="R253" i="1" s="1"/>
  <c r="Q252" i="1"/>
  <c r="R252" i="1" s="1"/>
  <c r="Q251" i="1"/>
  <c r="R251" i="1" s="1"/>
  <c r="E250" i="9"/>
  <c r="Q250" i="1"/>
  <c r="R250" i="1" s="1"/>
  <c r="E249" i="9"/>
  <c r="Q249" i="1"/>
  <c r="R249" i="1" s="1"/>
  <c r="E248" i="9"/>
  <c r="U246" i="1"/>
  <c r="U247" i="1"/>
  <c r="Q248" i="1"/>
  <c r="R248" i="1" s="1"/>
  <c r="E247" i="9"/>
  <c r="Q247" i="1"/>
  <c r="R247" i="1" s="1"/>
  <c r="U245" i="1"/>
  <c r="E246" i="9"/>
  <c r="Q246" i="1"/>
  <c r="R246" i="1" s="1"/>
  <c r="E245" i="9"/>
  <c r="Q245" i="1"/>
  <c r="R245" i="1" s="1"/>
  <c r="E244" i="9"/>
  <c r="U242" i="1"/>
  <c r="U243" i="1"/>
  <c r="U244" i="1"/>
  <c r="Q244" i="1"/>
  <c r="R244" i="1" s="1"/>
  <c r="E243" i="9"/>
  <c r="Q243" i="1"/>
  <c r="R243" i="1" s="1"/>
  <c r="E242" i="9"/>
  <c r="Q242" i="1"/>
  <c r="R242" i="1" s="1"/>
  <c r="E238" i="9"/>
  <c r="E239" i="9"/>
  <c r="E240" i="9"/>
  <c r="E241" i="9"/>
  <c r="U241" i="1"/>
  <c r="Q241" i="1"/>
  <c r="R241" i="1" s="1"/>
  <c r="U236" i="1"/>
  <c r="E237" i="9"/>
  <c r="E236" i="9"/>
  <c r="Q236" i="1"/>
  <c r="R236" i="1" s="1"/>
  <c r="E235" i="9"/>
  <c r="U233" i="1"/>
  <c r="E234" i="9"/>
  <c r="E233" i="9"/>
  <c r="Q233" i="1"/>
  <c r="R233" i="1" s="1"/>
  <c r="U232" i="1"/>
  <c r="U231" i="1"/>
  <c r="E232" i="9"/>
  <c r="Q232" i="1"/>
  <c r="R232" i="1" s="1"/>
  <c r="Q93" i="1"/>
  <c r="Q156" i="1"/>
  <c r="Q172" i="1"/>
  <c r="Q21" i="1"/>
  <c r="Q107" i="1"/>
  <c r="Q16" i="1"/>
  <c r="Q35" i="1"/>
  <c r="Q106" i="1"/>
  <c r="Q55" i="1"/>
  <c r="Q90" i="1"/>
  <c r="Q25" i="1"/>
  <c r="Q137" i="1"/>
  <c r="Q154" i="1"/>
  <c r="Q101" i="1"/>
  <c r="Q22" i="1"/>
  <c r="Q89" i="1"/>
  <c r="Q112" i="1"/>
  <c r="Q240" i="1"/>
  <c r="Q195" i="1"/>
  <c r="Q9" i="1"/>
  <c r="Q108" i="1"/>
  <c r="Q62" i="1"/>
  <c r="Q193" i="1"/>
  <c r="Q168" i="1"/>
  <c r="Q86" i="1"/>
  <c r="Q126" i="1"/>
  <c r="Q235" i="1"/>
  <c r="Q129" i="1"/>
  <c r="Q117" i="1"/>
  <c r="Q125" i="1"/>
  <c r="Q113" i="1"/>
  <c r="Q20" i="1"/>
  <c r="Q53" i="1"/>
  <c r="Q157" i="1"/>
  <c r="Q209" i="1"/>
  <c r="Q141" i="1"/>
  <c r="Q33" i="1"/>
  <c r="Q65" i="1"/>
  <c r="Q194" i="1"/>
  <c r="Q4" i="1"/>
  <c r="Q110" i="1"/>
  <c r="Q31" i="1"/>
  <c r="Q237" i="1"/>
  <c r="Q128" i="1"/>
  <c r="Q48" i="1"/>
  <c r="Q37" i="1"/>
  <c r="Q111" i="1"/>
  <c r="Q185" i="1"/>
  <c r="Q97" i="1"/>
  <c r="Q136" i="1"/>
  <c r="Q18" i="1"/>
  <c r="Q161" i="1"/>
  <c r="Q79" i="1"/>
  <c r="Q140" i="1"/>
  <c r="Q102" i="1"/>
  <c r="Q191" i="1"/>
  <c r="Q78" i="1"/>
  <c r="Q43" i="1"/>
  <c r="Q175" i="1"/>
  <c r="Q38" i="1"/>
  <c r="Q143" i="1"/>
  <c r="Q190" i="1"/>
  <c r="Q239" i="1"/>
  <c r="Q238" i="1"/>
  <c r="Q216" i="1"/>
  <c r="Q166" i="1"/>
  <c r="Q167" i="1"/>
  <c r="Q189" i="1"/>
  <c r="E231" i="9"/>
  <c r="Q231" i="1"/>
  <c r="R231" i="1" s="1"/>
  <c r="E230" i="9"/>
  <c r="Q36" i="1"/>
  <c r="Q47" i="1"/>
  <c r="Q41" i="1"/>
  <c r="Q11" i="1"/>
  <c r="Q19" i="1"/>
  <c r="Q115" i="1"/>
  <c r="U230" i="1"/>
  <c r="U89" i="1"/>
  <c r="U90" i="1"/>
  <c r="U91" i="1"/>
  <c r="U92" i="1"/>
  <c r="U93" i="1"/>
  <c r="U94" i="1"/>
  <c r="U235" i="1"/>
  <c r="U234" i="1"/>
  <c r="U238" i="1"/>
  <c r="U239" i="1"/>
  <c r="U240" i="1"/>
  <c r="U237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E228" i="9"/>
  <c r="E229" i="9"/>
  <c r="Q68" i="1"/>
  <c r="Q197" i="1"/>
  <c r="Q74" i="1"/>
  <c r="Q148" i="1"/>
  <c r="Q171" i="1"/>
  <c r="Q198" i="1"/>
  <c r="Q147" i="1"/>
  <c r="Q95" i="1"/>
  <c r="Q45" i="1"/>
  <c r="Q229" i="1"/>
  <c r="R229" i="1" s="1"/>
  <c r="Q227" i="1"/>
  <c r="Q226" i="1"/>
  <c r="Q225" i="1"/>
  <c r="Q224" i="1"/>
  <c r="Q223" i="1"/>
  <c r="Q186" i="1"/>
  <c r="Q59" i="1"/>
  <c r="Q151" i="1"/>
  <c r="Q71" i="1"/>
  <c r="Q100" i="1"/>
  <c r="Q24" i="1"/>
  <c r="Q91" i="1"/>
  <c r="Q173" i="1"/>
  <c r="Q85" i="1"/>
  <c r="Q138" i="1"/>
  <c r="Q119" i="1"/>
  <c r="Q28" i="1"/>
  <c r="Q145" i="1"/>
  <c r="Q58" i="1"/>
  <c r="Q96" i="1"/>
  <c r="Q234" i="1"/>
  <c r="Q122" i="1"/>
  <c r="Q67" i="1"/>
  <c r="Q99" i="1"/>
  <c r="Q84" i="1"/>
  <c r="Q8" i="1"/>
  <c r="Q82" i="1"/>
  <c r="Q222" i="1"/>
  <c r="Q221" i="1"/>
  <c r="Q220" i="1"/>
  <c r="Q219" i="1"/>
  <c r="Q196" i="1"/>
  <c r="Q50" i="1"/>
  <c r="Q131" i="1"/>
  <c r="Q26" i="1"/>
  <c r="Q178" i="1"/>
  <c r="Q69" i="1"/>
  <c r="Q139" i="1"/>
  <c r="Q40" i="1"/>
  <c r="Q51" i="1"/>
  <c r="Q32" i="1"/>
  <c r="Q92" i="1"/>
  <c r="Q169" i="1"/>
  <c r="Q121" i="1"/>
  <c r="Q3" i="1"/>
  <c r="Q7" i="1"/>
  <c r="Q170" i="1"/>
  <c r="Q164" i="1"/>
  <c r="Q34" i="1"/>
  <c r="Q228" i="1"/>
  <c r="R228" i="1" s="1"/>
  <c r="Q213" i="1"/>
  <c r="Q212" i="1"/>
  <c r="Q211" i="1"/>
  <c r="Q70" i="1"/>
  <c r="Q162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204" i="1"/>
  <c r="Q206" i="1"/>
  <c r="Q183" i="1"/>
  <c r="Q165" i="1"/>
  <c r="Q150" i="1"/>
  <c r="Q177" i="1"/>
  <c r="Q174" i="1"/>
  <c r="Q188" i="1"/>
  <c r="Q182" i="1"/>
  <c r="Q56" i="1"/>
  <c r="Q133" i="1"/>
  <c r="Q130" i="1"/>
  <c r="Q135" i="1"/>
  <c r="Q163" i="1"/>
  <c r="Q13" i="1"/>
  <c r="Q200" i="1"/>
  <c r="Q17" i="1"/>
  <c r="Q52" i="1"/>
  <c r="Q98" i="1"/>
  <c r="Q104" i="1"/>
  <c r="Q15" i="1"/>
  <c r="Q73" i="1"/>
  <c r="Q187" i="1"/>
  <c r="Q116" i="1"/>
  <c r="Q2" i="1"/>
  <c r="Q181" i="1"/>
  <c r="Q63" i="1"/>
  <c r="Q30" i="1"/>
  <c r="Q44" i="1"/>
  <c r="Q176" i="1"/>
  <c r="Q123" i="1"/>
  <c r="Q155" i="1"/>
  <c r="Q199" i="1"/>
  <c r="Q179" i="1"/>
  <c r="Q87" i="1"/>
  <c r="Q60" i="1"/>
  <c r="Q124" i="1"/>
  <c r="Q5" i="1"/>
  <c r="Q192" i="1"/>
  <c r="Q153" i="1"/>
  <c r="Q27" i="1"/>
  <c r="Q46" i="1"/>
  <c r="Q159" i="1"/>
  <c r="Q149" i="1"/>
  <c r="Q54" i="1"/>
  <c r="Q144" i="1"/>
  <c r="Q152" i="1"/>
  <c r="Q114" i="1"/>
  <c r="Q184" i="1"/>
  <c r="Q61" i="1"/>
  <c r="C12" i="6"/>
  <c r="Q12" i="1"/>
  <c r="Q6" i="1"/>
  <c r="Q72" i="1"/>
  <c r="Q109" i="1"/>
  <c r="Q49" i="1"/>
  <c r="Q57" i="1"/>
  <c r="Q81" i="1"/>
  <c r="Q42" i="1"/>
  <c r="Q29" i="1"/>
  <c r="Q64" i="1"/>
  <c r="Q120" i="1"/>
  <c r="Q94" i="1"/>
  <c r="Q160" i="1"/>
  <c r="Q39" i="1"/>
  <c r="Q88" i="1"/>
  <c r="Q132" i="1"/>
  <c r="Q118" i="1"/>
  <c r="Q75" i="1"/>
  <c r="Q80" i="1"/>
  <c r="Q66" i="1"/>
  <c r="Q77" i="1"/>
  <c r="Q14" i="1"/>
  <c r="Q134" i="1"/>
  <c r="Q127" i="1"/>
  <c r="Q180" i="1"/>
  <c r="Q23" i="1"/>
  <c r="Q146" i="1"/>
  <c r="Q201" i="1"/>
  <c r="Q103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235" i="1" l="1"/>
  <c r="R239" i="1"/>
  <c r="R238" i="1"/>
  <c r="R240" i="1"/>
  <c r="R237" i="1"/>
  <c r="R234" i="1"/>
  <c r="R213" i="1"/>
  <c r="R212" i="1"/>
  <c r="C17" i="6"/>
  <c r="C11" i="6"/>
  <c r="B18" i="6"/>
  <c r="C5" i="6" l="1"/>
  <c r="C4" i="6" s="1"/>
  <c r="C6" i="6"/>
</calcChain>
</file>

<file path=xl/sharedStrings.xml><?xml version="1.0" encoding="utf-8"?>
<sst xmlns="http://schemas.openxmlformats.org/spreadsheetml/2006/main" count="2554" uniqueCount="1322">
  <si>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</si>
  <si>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</si>
  <si>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</si>
  <si>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</si>
  <si>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</si>
  <si>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</si>
  <si>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</si>
  <si>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</si>
  <si>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</si>
  <si>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</si>
  <si>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</si>
  <si>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</si>
  <si>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</si>
  <si>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</si>
  <si>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</si>
  <si>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</si>
  <si>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</si>
  <si>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</si>
  <si>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</si>
  <si>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</si>
  <si>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</si>
  <si>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</si>
  <si>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</si>
  <si>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#仟乃宮紫狼</t>
    <phoneticPr fontId="1"/>
  </si>
  <si>
    <t>猫垣一姫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</si>
  <si>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</si>
  <si>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</si>
  <si>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</si>
  <si>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</si>
  <si>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</si>
  <si>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</si>
  <si>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</si>
  <si>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</si>
  <si>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</si>
  <si>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</si>
  <si>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</si>
  <si>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</si>
  <si>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</si>
  <si>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</si>
  <si>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#拡音シャノン</t>
    <phoneticPr fontId="1"/>
  </si>
  <si>
    <t>取音テア</t>
    <phoneticPr fontId="1"/>
  </si>
  <si>
    <t>https://amiseniamnu.wixsite.com/amisenia</t>
    <phoneticPr fontId="1"/>
  </si>
  <si>
    <t>#取音テア</t>
    <phoneticPr fontId="1"/>
  </si>
  <si>
    <t>https://bellsworks.wixsite.com/bellsworks</t>
    <phoneticPr fontId="1"/>
  </si>
  <si>
    <t>#べるずわーくす</t>
    <phoneticPr fontId="1"/>
  </si>
  <si>
    <t>​弦音ステラ</t>
  </si>
  <si>
    <t>歌為にーと</t>
    <phoneticPr fontId="1"/>
  </si>
  <si>
    <t>#きのみあーと</t>
    <phoneticPr fontId="1"/>
  </si>
  <si>
    <t>キ音キネ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</si>
  <si>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</si>
  <si>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</si>
  <si>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</si>
  <si>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</si>
  <si>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#闇塚亭</t>
    <phoneticPr fontId="1"/>
  </si>
  <si>
    <t>闇塚黒逸</t>
    <phoneticPr fontId="1"/>
  </si>
  <si>
    <t>https://chaka000.wixsite.com/chaka</t>
    <phoneticPr fontId="1"/>
  </si>
  <si>
    <t>#御茶と歌</t>
    <phoneticPr fontId="1"/>
  </si>
  <si>
    <t>https://chunyinhui021.wixsite.com/mutyuusaisei</t>
    <phoneticPr fontId="1"/>
  </si>
  <si>
    <t>#無中彩声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</si>
  <si>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</si>
  <si>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</si>
  <si>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</si>
  <si>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</si>
  <si>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</si>
  <si>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</si>
  <si>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</si>
  <si>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</si>
  <si>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</si>
  <si>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</si>
  <si>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</si>
  <si>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</si>
  <si>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</si>
  <si>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https://hznonoka.wixsite.com/utau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</si>
  <si>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</si>
  <si>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</si>
  <si>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</si>
  <si>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</si>
  <si>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</si>
  <si>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</si>
  <si>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</si>
  <si>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</si>
  <si>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</si>
  <si>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</si>
  <si>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</si>
  <si>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</si>
  <si>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</si>
  <si>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</si>
  <si>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</si>
  <si>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</si>
  <si>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#花撫シオン</t>
    <phoneticPr fontId="1"/>
  </si>
  <si>
    <t>https://kaitoramma.chu.jp</t>
    <phoneticPr fontId="1"/>
  </si>
  <si>
    <t>#空音絵巻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</si>
  <si>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</si>
  <si>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</si>
  <si>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</si>
  <si>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</si>
  <si>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</si>
  <si>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</si>
  <si>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</si>
  <si>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</si>
  <si>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</si>
  <si>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</si>
  <si>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</si>
  <si>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https://kasaneteto.jp</t>
    <phoneticPr fontId="1"/>
  </si>
  <si>
    <t>#重音テッド</t>
    <phoneticPr fontId="1"/>
  </si>
  <si>
    <t>重音テト</t>
    <phoneticPr fontId="1"/>
  </si>
  <si>
    <t>#重音テト</t>
    <phoneticPr fontId="1"/>
  </si>
  <si>
    <t>京音ロン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</si>
  <si>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</si>
  <si>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</si>
  <si>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</si>
  <si>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</si>
  <si>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</si>
  <si>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</si>
  <si>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</si>
  <si>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</si>
  <si>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</si>
  <si>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</si>
  <si>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</si>
  <si>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</si>
  <si>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</si>
  <si>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</si>
  <si>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https://lenskkpb.wixsite.com/len-sakaki-official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</si>
  <si>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</si>
  <si>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</si>
  <si>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</si>
  <si>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</si>
  <si>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</si>
  <si>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</si>
  <si>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</si>
  <si>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</si>
  <si>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</si>
  <si>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</si>
  <si>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</si>
  <si>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</si>
  <si>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</si>
  <si>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</si>
  <si>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</si>
  <si>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</si>
  <si>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</si>
  <si>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</si>
  <si>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</si>
  <si>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</si>
  <si>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</si>
  <si>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</si>
  <si>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</si>
  <si>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</si>
  <si>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</si>
  <si>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</si>
  <si>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</si>
  <si>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</si>
  <si>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</si>
  <si>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</si>
  <si>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</si>
  <si>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</si>
  <si>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</si>
  <si>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</si>
  <si>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</si>
  <si>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https://nananasyrup.wixsite.com/13kka</t>
    <phoneticPr fontId="1"/>
  </si>
  <si>
    <t>#いちみっか</t>
    <phoneticPr fontId="1"/>
  </si>
  <si>
    <t>揺音リオ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</si>
  <si>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</si>
  <si>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</si>
  <si>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</si>
  <si>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</si>
  <si>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</si>
  <si>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</si>
  <si>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</si>
  <si>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</si>
  <si>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</si>
  <si>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</si>
  <si>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</si>
  <si>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</si>
  <si>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</si>
  <si>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​四方通ニチ</t>
    <phoneticPr fontId="1"/>
  </si>
  <si>
    <t>創星宙</t>
    <rPh sb="0" eb="3">
      <t>キズボシソラ</t>
    </rPh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</si>
  <si>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</si>
  <si>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</si>
  <si>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</si>
  <si>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</si>
  <si>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</si>
  <si>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</si>
  <si>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</si>
  <si>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</si>
  <si>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</si>
  <si>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#星河ティア</t>
    <phoneticPr fontId="1"/>
  </si>
  <si>
    <t>星河フレア</t>
    <rPh sb="0" eb="2">
      <t>ホシカワ</t>
    </rPh>
    <phoneticPr fontId="1"/>
  </si>
  <si>
    <t>#星河フレア</t>
    <phoneticPr fontId="1"/>
  </si>
  <si>
    <t>星雲アマト</t>
    <phoneticPr fontId="1"/>
  </si>
  <si>
    <t>https://offlamingo21.wixsite.com/amato-seiun</t>
    <phoneticPr fontId="1"/>
  </si>
  <si>
    <t>#星雲アマト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</si>
  <si>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</si>
  <si>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</si>
  <si>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</si>
  <si>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雨音うさぎ</t>
    <phoneticPr fontId="1"/>
  </si>
  <si>
    <t>https://sabaneko.amebaownd.com</t>
    <phoneticPr fontId="1"/>
  </si>
  <si>
    <t>#雨音うさぎ</t>
    <phoneticPr fontId="1"/>
  </si>
  <si>
    <t>アニマ・ライツハット</t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</si>
  <si>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</si>
  <si>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</si>
  <si>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</si>
  <si>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</si>
  <si>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</si>
  <si>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</si>
  <si>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</si>
  <si>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</si>
  <si>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</si>
  <si>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</si>
  <si>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</si>
  <si>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</si>
  <si>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</si>
  <si>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</si>
  <si>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</si>
  <si>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</si>
  <si>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</si>
  <si>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</si>
  <si>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</si>
  <si>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</si>
  <si>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</si>
  <si>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</si>
  <si>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</si>
  <si>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</si>
  <si>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</si>
  <si>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</si>
  <si>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https://suihankinonaka.wixsite.com/my-site-1</t>
    <phoneticPr fontId="1"/>
  </si>
  <si>
    <t>#お米炊けたよ</t>
    <phoneticPr fontId="1"/>
  </si>
  <si>
    <t>眠井ヨウ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</si>
  <si>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</si>
  <si>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</si>
  <si>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</si>
  <si>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花鶏音ひわ</t>
  </si>
  <si>
    <t>https://torinosu-hikikomori.jimdofree.com</t>
    <phoneticPr fontId="1"/>
  </si>
  <si>
    <t>#ひわわーアラート</t>
    <phoneticPr fontId="1"/>
  </si>
  <si>
    <t>オーロク&amp;小六郎</t>
  </si>
  <si>
    <t>泡沫紬</t>
  </si>
  <si>
    <t>https://tourist100f.wixsite.com/utakata-kosyo</t>
    <phoneticPr fontId="1"/>
  </si>
  <si>
    <t>#泡沫古書店</t>
    <phoneticPr fontId="1"/>
  </si>
  <si>
    <t>夢路語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</si>
  <si>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</si>
  <si>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</si>
  <si>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</si>
  <si>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芳歌ノト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</si>
  <si>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</si>
  <si>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</si>
  <si>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</si>
  <si>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</si>
  <si>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</si>
  <si>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</si>
  <si>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天使ふあわ</t>
  </si>
  <si>
    <t>https://utausuzuminnya.jimdofree.com</t>
    <phoneticPr fontId="1"/>
  </si>
  <si>
    <t>#ふあわあーと</t>
    <phoneticPr fontId="1"/>
  </si>
  <si>
    <t>苺愛みゅみゅ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</si>
  <si>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</si>
  <si>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</si>
  <si>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</si>
  <si>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</si>
  <si>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</si>
  <si>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</si>
  <si>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</si>
  <si>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</si>
  <si>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</si>
  <si>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Mx.Dream</t>
    <phoneticPr fontId="1"/>
  </si>
  <si>
    <t>https://witchdoll.jimdofree.com</t>
    <phoneticPr fontId="1"/>
  </si>
  <si>
    <t>#きちゃーと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</si>
  <si>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</si>
  <si>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</si>
  <si>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</si>
  <si>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</si>
  <si>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</si>
  <si>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</si>
  <si>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https://www.postype.com/@utau-deepvocal-dalso</t>
    <phoneticPr fontId="1"/>
  </si>
  <si>
    <t>#円音春二ノ前</t>
    <phoneticPr fontId="1"/>
  </si>
  <si>
    <t>https://yukiichik.wixsite.com/kokofool/utau</t>
    <phoneticPr fontId="1"/>
  </si>
  <si>
    <t>#KODOMEROIDO</t>
    <phoneticPr fontId="1"/>
  </si>
  <si>
    <t>唄音ウタ(デフォ子)</t>
    <rPh sb="8" eb="9">
      <t>コ</t>
    </rPh>
    <phoneticPr fontId="1"/>
  </si>
  <si>
    <t>#デフォ子</t>
    <phoneticPr fontId="1"/>
  </si>
  <si>
    <t>#そらいろマーチ</t>
    <phoneticPr fontId="1"/>
  </si>
  <si>
    <t>鍵合スズ</t>
  </si>
  <si>
    <t>覗キ視炉</t>
    <phoneticPr fontId="1"/>
  </si>
  <si>
    <t>-</t>
    <phoneticPr fontId="1"/>
  </si>
  <si>
    <t>欲音ルコ</t>
    <phoneticPr fontId="1"/>
  </si>
  <si>
    <t>#欲音ルコ</t>
    <phoneticPr fontId="1"/>
  </si>
  <si>
    <t>鈴音リオン</t>
    <phoneticPr fontId="1"/>
  </si>
  <si>
    <t>鈴音シオン</t>
    <phoneticPr fontId="1"/>
  </si>
  <si>
    <t>鈴音ユオン</t>
    <phoneticPr fontId="1"/>
  </si>
  <si>
    <t>鈴音レオン</t>
    <phoneticPr fontId="1"/>
  </si>
  <si>
    <t>琴音コト</t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</si>
  <si>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</si>
  <si>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</si>
  <si>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</si>
  <si>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</si>
  <si>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</si>
  <si>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</si>
  <si>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</si>
  <si>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</si>
  <si>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</si>
  <si>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</si>
  <si>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</si>
  <si>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</si>
  <si>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</si>
  <si>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</si>
  <si>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</si>
  <si>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​成瀬ミオ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</si>
  <si>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</si>
  <si>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</si>
  <si>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</si>
  <si>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</si>
  <si>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</si>
  <si>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</si>
  <si>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</si>
  <si>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</si>
  <si>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</si>
  <si>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</si>
  <si>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</si>
  <si>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</si>
  <si>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</si>
  <si>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</si>
  <si>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</si>
  <si>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</si>
  <si>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</si>
  <si>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#芯零須キシル</t>
    <phoneticPr fontId="1"/>
  </si>
  <si>
    <t>空音こだま</t>
    <phoneticPr fontId="1"/>
  </si>
  <si>
    <t>空音響</t>
    <phoneticPr fontId="1"/>
  </si>
  <si>
    <t>KuragE</t>
    <phoneticPr fontId="1"/>
  </si>
  <si>
    <t>くらげ</t>
    <phoneticPr fontId="1"/>
  </si>
  <si>
    <t>Kurage</t>
    <phoneticPr fontId="1"/>
  </si>
  <si>
    <t>籠詞鮫</t>
    <phoneticPr fontId="1"/>
  </si>
  <si>
    <t>曖米めろり</t>
    <phoneticPr fontId="1"/>
  </si>
  <si>
    <t>客寄せRiley</t>
    <phoneticPr fontId="1"/>
  </si>
  <si>
    <t>https://bowlroll.net/user/980255</t>
    <phoneticPr fontId="1"/>
  </si>
  <si>
    <t>ドット・ペル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</si>
  <si>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</si>
  <si>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</si>
  <si>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</si>
  <si>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</si>
  <si>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学静ショウ</t>
    <phoneticPr fontId="1"/>
  </si>
  <si>
    <t>https://bowlroll.net/file/336695</t>
    <phoneticPr fontId="1"/>
  </si>
  <si>
    <t>#学静出席簿</t>
    <phoneticPr fontId="1"/>
  </si>
  <si>
    <t>https://bowlroll.net/user/700434</t>
    <phoneticPr fontId="1"/>
  </si>
  <si>
    <t>悪戯清子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</si>
  <si>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</si>
  <si>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</si>
  <si>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</si>
  <si>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</si>
  <si>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</si>
  <si>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</si>
  <si>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</si>
  <si>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</si>
  <si>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</si>
  <si>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飴彩ねるね</t>
    <phoneticPr fontId="1"/>
  </si>
  <si>
    <t>形亡ズゥ</t>
    <phoneticPr fontId="1"/>
  </si>
  <si>
    <t>たむら しゅん</t>
  </si>
  <si>
    <t>Tamura Shun</t>
  </si>
  <si>
    <t>#めんのこ</t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</si>
  <si>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</si>
  <si>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</si>
  <si>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</si>
  <si>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</si>
  <si>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</si>
  <si>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レイイチロウ</t>
    <phoneticPr fontId="1"/>
  </si>
  <si>
    <t>れいいちろう</t>
    <phoneticPr fontId="1"/>
  </si>
  <si>
    <t>Reiichiro</t>
    <phoneticPr fontId="1"/>
  </si>
  <si>
    <t>Wilbur</t>
    <phoneticPr fontId="1"/>
  </si>
  <si>
    <t>うぃるばー</t>
    <phoneticPr fontId="1"/>
  </si>
  <si>
    <t>九作：Ｑ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</si>
  <si>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</si>
  <si>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</si>
  <si>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</si>
  <si>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</si>
  <si>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</si>
  <si>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</si>
  <si>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</si>
  <si>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</si>
  <si>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</si>
  <si>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</si>
  <si>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</si>
  <si>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</si>
  <si>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</si>
  <si>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https://mashimo0330.wixsite.com/awaka-utau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</si>
  <si>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</si>
  <si>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</si>
  <si>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</si>
  <si>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</si>
  <si>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</si>
  <si>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</si>
  <si>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</si>
  <si>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</si>
  <si>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</si>
  <si>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</si>
  <si>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https://ametro.jimdofree.com</t>
    <phoneticPr fontId="1"/>
  </si>
  <si>
    <t>#ぞんび線CB</t>
    <phoneticPr fontId="1"/>
  </si>
  <si>
    <t>澳音ぱす</t>
    <phoneticPr fontId="1"/>
  </si>
  <si>
    <t>https://teapartyandmugshelf.wixsite.com/my-site-1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</si>
  <si>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</si>
  <si>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</si>
  <si>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</si>
  <si>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</si>
  <si>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</si>
  <si>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</si>
  <si>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</si>
  <si>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マック音サイ</t>
    <phoneticPr fontId="1"/>
  </si>
  <si>
    <t>https://www.mackhouse-soft.com</t>
    <phoneticPr fontId="1"/>
  </si>
  <si>
    <t>マック音ヒトキ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</si>
  <si>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</si>
  <si>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</si>
  <si>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</si>
  <si>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</si>
  <si>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</si>
  <si>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</si>
  <si>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</si>
  <si>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</si>
  <si>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</si>
  <si>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</si>
  <si>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</si>
  <si>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</si>
  <si>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</si>
  <si>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</si>
  <si>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</si>
  <si>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飯音モグ</t>
    <phoneticPr fontId="1"/>
  </si>
  <si>
    <t>https://bowlroll.net/file/333777</t>
    <phoneticPr fontId="1"/>
  </si>
  <si>
    <t>青葉アオ</t>
    <phoneticPr fontId="1"/>
  </si>
  <si>
    <t>http://shadeofgreen.web.fc2.com</t>
    <phoneticPr fontId="1"/>
  </si>
  <si>
    <t xml:space="preserve">#玖夏参伏 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</si>
  <si>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</si>
  <si>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</si>
  <si>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</si>
  <si>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</si>
  <si>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</si>
  <si>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</si>
  <si>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</si>
  <si>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クリノクロア</t>
    <phoneticPr fontId="1"/>
  </si>
  <si>
    <t>くりのくろあ</t>
    <phoneticPr fontId="1"/>
  </si>
  <si>
    <t>Clinochlore</t>
    <phoneticPr fontId="1"/>
  </si>
  <si>
    <t>八雲しお</t>
    <phoneticPr fontId="1"/>
  </si>
  <si>
    <t>https://makurakue.wixsite.com/kemononokemono</t>
    <phoneticPr fontId="1"/>
  </si>
  <si>
    <t>#けもののけもの</t>
    <phoneticPr fontId="1"/>
  </si>
  <si>
    <t>不知英</t>
    <phoneticPr fontId="1"/>
  </si>
  <si>
    <t>https://ma2bana7.wixsite.com/sssr</t>
    <phoneticPr fontId="1"/>
  </si>
  <si>
    <t>刹葬セツリ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</si>
  <si>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</si>
  <si>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</si>
  <si>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</si>
  <si>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</si>
  <si>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轟雪マチ丸</t>
    <phoneticPr fontId="1"/>
  </si>
  <si>
    <t>#轟雪マチ丸</t>
    <phoneticPr fontId="1"/>
  </si>
  <si>
    <t>飴唄ニム</t>
    <phoneticPr fontId="1"/>
  </si>
  <si>
    <t>飴唄ニレチ</t>
    <phoneticPr fontId="1"/>
  </si>
  <si>
    <t>ウフーロ・ジョホマウ・シフショ</t>
    <phoneticPr fontId="1"/>
  </si>
  <si>
    <t>Silver Destrudo</t>
    <phoneticPr fontId="1"/>
  </si>
  <si>
    <t>https://yukimiyashimusho.jimdofree.com</t>
    <phoneticPr fontId="1"/>
  </si>
  <si>
    <t>#行宮事務所</t>
    <phoneticPr fontId="1"/>
  </si>
  <si>
    <t>霜咲れあに</t>
    <phoneticPr fontId="1"/>
  </si>
  <si>
    <t>吟児</t>
    <phoneticPr fontId="1"/>
  </si>
  <si>
    <t>Ginji</t>
    <phoneticPr fontId="1"/>
  </si>
  <si>
    <t>ぎんじ</t>
    <phoneticPr fontId="1"/>
  </si>
  <si>
    <t>https://yautau.wixsite.com/0909</t>
    <phoneticPr fontId="1"/>
  </si>
  <si>
    <t>https://osomatsu-poid.wixsite.com/konari-san-chi</t>
    <phoneticPr fontId="1"/>
  </si>
  <si>
    <t>狐鳴琴陽</t>
    <phoneticPr fontId="1"/>
  </si>
  <si>
    <t>#狐鳴さんち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</si>
  <si>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</si>
  <si>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</si>
  <si>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</si>
  <si>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</si>
  <si>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#喜怒哀ROCK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</si>
  <si>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</si>
  <si>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</si>
  <si>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</si>
  <si>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</si>
  <si>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榊れを</t>
    <phoneticPr fontId="1"/>
  </si>
  <si>
    <t>天辻雷</t>
    <phoneticPr fontId="1"/>
  </si>
  <si>
    <t>​地守葉風</t>
    <phoneticPr fontId="1"/>
  </si>
  <si>
    <t>六弦エレキ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</si>
  <si>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</si>
  <si>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</si>
  <si>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</si>
  <si>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</si>
  <si>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</si>
  <si>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</si>
  <si>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</si>
  <si>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</si>
  <si>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</si>
  <si>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https://inumokoco.wixsite.com/sleep-church</t>
    <phoneticPr fontId="1"/>
  </si>
  <si>
    <t>#楽園の子守唄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</si>
  <si>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</si>
  <si>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</si>
  <si>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</si>
  <si>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</si>
  <si>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</si>
  <si>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列1</t>
  </si>
  <si>
    <t>列2</t>
  </si>
  <si>
    <t>波音リツ</t>
    <phoneticPr fontId="1"/>
  </si>
  <si>
    <t>https://www.canon-voice.com</t>
    <phoneticPr fontId="1"/>
  </si>
  <si>
    <t>#波音リツ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</si>
  <si>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</si>
  <si>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</si>
  <si>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</si>
  <si>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</si>
  <si>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</si>
  <si>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</si>
  <si>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</si>
  <si>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</si>
  <si>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</si>
  <si>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</si>
  <si>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</si>
  <si>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</si>
  <si>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</si>
  <si>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</si>
  <si>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</si>
  <si>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</si>
  <si>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</si>
  <si>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</si>
  <si>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</si>
  <si>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</si>
  <si>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</si>
  <si>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</si>
  <si>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</si>
  <si>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</si>
  <si>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</si>
  <si>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</si>
  <si>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</si>
  <si>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</si>
  <si>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</si>
  <si>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</si>
  <si>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</si>
  <si>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</si>
  <si>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</si>
  <si>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</si>
  <si>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</si>
  <si>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</si>
  <si>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</si>
  <si>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</si>
  <si>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</si>
  <si>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</si>
  <si>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</si>
  <si>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</si>
  <si>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</si>
  <si>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</si>
  <si>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</si>
  <si>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</si>
  <si>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</si>
  <si>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https://todosho1192.wixsite.com/my-site-3</t>
    <phoneticPr fontId="1"/>
  </si>
  <si>
    <t>緑音翡翠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</si>
  <si>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</si>
  <si>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</si>
  <si>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</si>
  <si>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</si>
  <si>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</si>
  <si>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</si>
  <si>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</si>
  <si>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</si>
  <si>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</si>
  <si>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</si>
  <si>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</si>
  <si>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</si>
  <si>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</si>
  <si>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</si>
  <si>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</si>
  <si>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</si>
  <si>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</si>
  <si>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</si>
  <si>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</si>
  <si>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</si>
  <si>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</si>
  <si>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​星音ななし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</si>
  <si>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</si>
  <si>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</si>
  <si>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</si>
  <si>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</si>
  <si>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創音みか</t>
    <phoneticPr fontId="1"/>
  </si>
  <si>
    <t>寺戸ラヴ</t>
    <phoneticPr fontId="1"/>
  </si>
  <si>
    <t>寺永十逸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</si>
  <si>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</si>
  <si>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</si>
  <si>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</si>
  <si>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</si>
  <si>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申暋慧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</si>
  <si>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</si>
  <si>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</si>
  <si>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</si>
  <si>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</si>
  <si>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</si>
  <si>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</si>
  <si>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</si>
  <si>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</si>
  <si>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</si>
  <si>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</si>
  <si>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</si>
  <si>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</si>
  <si>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</si>
  <si>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</si>
  <si>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</si>
  <si>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</si>
  <si>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</si>
  <si>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</si>
  <si>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</si>
  <si>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</si>
  <si>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</si>
  <si>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</si>
  <si>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</si>
  <si>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</si>
  <si>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</si>
  <si>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</si>
  <si>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</si>
  <si>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</si>
  <si>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</si>
  <si>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</si>
  <si>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</si>
  <si>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</si>
  <si>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</si>
  <si>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</si>
  <si>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</si>
  <si>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</si>
  <si>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</si>
  <si>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</si>
  <si>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</si>
  <si>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</si>
  <si>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</si>
  <si>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</si>
  <si>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</si>
  <si>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</si>
  <si>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|画像</t>
  </si>
  <si>
    <t>|名前</t>
  </si>
  <si>
    <t>|なまえ</t>
  </si>
  <si>
    <t>|Name</t>
  </si>
  <si>
    <t>|キャラクター情報リンク|</t>
  </si>
  <si>
    <t>アスター・フローレス</t>
    <phoneticPr fontId="1"/>
  </si>
  <si>
    <t>Aster・Flores</t>
    <phoneticPr fontId="1"/>
  </si>
  <si>
    <t>宵月未雲</t>
    <phoneticPr fontId="1"/>
  </si>
  <si>
    <t>姜運心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</si>
  <si>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</si>
  <si>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</si>
  <si>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</si>
  <si>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</si>
  <si>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</si>
  <si>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</si>
  <si>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</si>
  <si>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</si>
  <si>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通音トオ</t>
    <phoneticPr fontId="1"/>
  </si>
  <si>
    <t>https://toooru421.booth.pm/items/8151791</t>
    <phoneticPr fontId="1"/>
  </si>
  <si>
    <t>不破マリア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</si>
  <si>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</si>
  <si>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</si>
  <si>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</si>
  <si>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</si>
  <si>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</si>
  <si>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</si>
  <si>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</si>
  <si>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</si>
  <si>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</si>
  <si>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</si>
  <si>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</si>
  <si>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</si>
  <si>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</si>
  <si>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</si>
  <si>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</si>
  <si>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</si>
  <si>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</si>
  <si>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</si>
  <si>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</si>
  <si>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</si>
  <si>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</si>
  <si>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</si>
  <si>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</si>
  <si>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</si>
  <si>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</si>
  <si>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</si>
  <si>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</si>
  <si>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</si>
  <si>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</si>
  <si>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</si>
  <si>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</si>
  <si>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</si>
  <si>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</si>
  <si>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</si>
  <si>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</si>
  <si>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</si>
  <si>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</si>
  <si>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</si>
  <si>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</si>
  <si>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</si>
  <si>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</si>
  <si>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</si>
  <si>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</si>
  <si>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</si>
  <si>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</si>
  <si>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</si>
  <si>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</si>
  <si>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</si>
  <si>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</si>
  <si>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</si>
  <si>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</si>
  <si>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</si>
  <si>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</si>
  <si>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</si>
  <si>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</si>
  <si>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</si>
  <si>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</si>
  <si>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</si>
  <si>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</si>
  <si>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</si>
  <si>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</si>
  <si>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書店員</t>
    <rPh sb="0" eb="3">
      <t>ショテンイン</t>
    </rPh>
    <phoneticPr fontId="1"/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</si>
  <si>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</si>
  <si>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</si>
  <si>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</si>
  <si>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</si>
  <si>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</si>
  <si>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</si>
  <si>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</si>
  <si>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</si>
  <si>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</si>
  <si>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</si>
  <si>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黒肌</t>
    <rPh sb="0" eb="2">
      <t>クロハダ</t>
    </rPh>
    <phoneticPr fontId="1"/>
  </si>
  <si>
    <t>いるやるい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</si>
  <si>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</si>
  <si>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</si>
  <si>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</si>
  <si>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</si>
  <si>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​https://kagerou009.hatenablog.com</t>
    <phoneticPr fontId="1"/>
  </si>
  <si>
    <t>#夕焼け研究所</t>
    <phoneticPr fontId="1"/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</si>
  <si>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</si>
  <si>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</si>
  <si>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さすらいのユーフォリア</t>
    <phoneticPr fontId="1"/>
  </si>
  <si>
    <t>さすらいのゆーふぉりあ</t>
    <phoneticPr fontId="1"/>
  </si>
  <si>
    <t>吟遊詩人</t>
    <phoneticPr fontId="1"/>
  </si>
  <si>
    <t>#ムジカの友人たち</t>
    <phoneticPr fontId="1"/>
  </si>
  <si>
    <t>https://pessieuph.wixsite.com/meusycaseuphoria</t>
    <phoneticPr fontId="1"/>
  </si>
  <si>
    <t>主音サラサ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</si>
  <si>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</si>
  <si>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</si>
  <si>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</si>
  <si>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</si>
  <si>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</si>
  <si>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</si>
  <si>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https://www.mizuiro.info/amagaelu</t>
    <phoneticPr fontId="1"/>
  </si>
  <si>
    <t>#雨歌エル</t>
    <phoneticPr fontId="1"/>
  </si>
  <si>
    <t>鳴上キョウ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</si>
  <si>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</si>
  <si>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</si>
  <si>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</si>
  <si>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</si>
  <si>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</si>
  <si>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</si>
  <si>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</si>
  <si>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蛙</t>
    <rPh sb="0" eb="1">
      <t>カエル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</si>
  <si>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</si>
  <si>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</si>
  <si>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</si>
  <si>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</si>
  <si>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</si>
  <si>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</si>
  <si>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</si>
  <si>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</si>
  <si>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</si>
  <si>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ニート</t>
    <phoneticPr fontId="1"/>
  </si>
  <si>
    <t>星</t>
    <rPh sb="0" eb="1">
      <t>ホシ</t>
    </rPh>
    <phoneticPr fontId="1"/>
  </si>
  <si>
    <t>魔法使い</t>
    <rPh sb="0" eb="2">
      <t>マホウ</t>
    </rPh>
    <rPh sb="2" eb="3">
      <t>ツカ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</si>
  <si>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</si>
  <si>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</si>
  <si>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</si>
  <si>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</si>
  <si>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</si>
  <si>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</si>
  <si>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</si>
  <si>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</si>
  <si>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</si>
  <si>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</si>
  <si>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</si>
  <si>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</si>
  <si>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</si>
  <si>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</si>
  <si>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</si>
  <si>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</si>
  <si>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隻眼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</si>
  <si>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</si>
  <si>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</si>
  <si>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</si>
  <si>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</si>
  <si>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</si>
  <si>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</si>
  <si>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</si>
  <si>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</si>
  <si>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</si>
  <si>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</si>
  <si>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</si>
  <si>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</si>
  <si>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</si>
  <si>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人間、双子</t>
    <rPh sb="0" eb="2">
      <t>ニンゲン</t>
    </rPh>
    <phoneticPr fontId="1"/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</si>
  <si>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</si>
  <si>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</si>
  <si>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</si>
  <si>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</si>
  <si>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サポーター、カウンセラー</t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</si>
  <si>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</si>
  <si>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</si>
  <si>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</si>
  <si>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</si>
  <si>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</si>
  <si>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</si>
  <si>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</si>
  <si>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</si>
  <si>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</si>
  <si>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</si>
  <si>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</si>
  <si>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</si>
  <si>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天使、長寿</t>
    <rPh sb="0" eb="2">
      <t>テンシ</t>
    </rPh>
    <rPh sb="3" eb="5">
      <t>チョウジュ</t>
    </rPh>
    <phoneticPr fontId="1"/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</si>
  <si>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</si>
  <si>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</si>
  <si>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</si>
  <si>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</si>
  <si>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</si>
  <si>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</si>
  <si>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</si>
  <si>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</si>
  <si>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グラデーションカラー、まろ眉</t>
  </si>
  <si>
    <t>灰咲囁</t>
    <phoneticPr fontId="1"/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</si>
  <si>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</si>
  <si>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</si>
  <si>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</si>
  <si>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</si>
  <si>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</si>
  <si>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</si>
  <si>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</si>
  <si>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</si>
  <si>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</si>
  <si>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</si>
  <si>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</si>
  <si>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</si>
  <si>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</si>
  <si>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</si>
  <si>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</si>
  <si>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</si>
  <si>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</si>
  <si>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</si>
  <si>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</si>
  <si>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</si>
  <si>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</si>
  <si>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</si>
  <si>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</si>
  <si>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</si>
  <si>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</si>
  <si>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</si>
  <si>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</si>
  <si>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</si>
  <si>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</si>
  <si>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</si>
  <si>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</si>
  <si>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</si>
  <si>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</si>
  <si>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</si>
  <si>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</si>
  <si>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</si>
  <si>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</si>
  <si>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</si>
  <si>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</si>
  <si>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F-113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</si>
  <si>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</si>
  <si>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</si>
  <si>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</si>
  <si>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</si>
  <si>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</si>
  <si>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蛇川蓮</t>
    <phoneticPr fontId="1"/>
  </si>
  <si>
    <t>蛇</t>
    <rPh sb="0" eb="1">
      <t>ヘビ</t>
    </rPh>
    <phoneticPr fontId="1"/>
  </si>
  <si>
    <t>鴉田椿</t>
    <phoneticPr fontId="1"/>
  </si>
  <si>
    <t>猫星人リセ</t>
    <phoneticPr fontId="1"/>
  </si>
  <si>
    <t>https://note.com/lycopema/n/n7abddbef7b6e</t>
    <phoneticPr fontId="1"/>
  </si>
  <si>
    <t>#猫星人リセ</t>
  </si>
  <si>
    <t>クルミヤキ吉行</t>
    <phoneticPr fontId="1"/>
  </si>
  <si>
    <t>https://hatonosuke5.booth.pm</t>
    <phoneticPr fontId="1"/>
  </si>
  <si>
    <t>家政婦</t>
    <rPh sb="0" eb="3">
      <t>カセイフ</t>
    </rPh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</si>
  <si>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</si>
  <si>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</si>
  <si>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ケモ耳、髭、尻尾</t>
    <rPh sb="4" eb="5">
      <t>ヒゲ</t>
    </rPh>
    <rPh sb="6" eb="8">
      <t>シッポ</t>
    </rPh>
    <phoneticPr fontId="1"/>
  </si>
  <si>
    <t>蛇川蓮(UTAU)</t>
    <phoneticPr fontId="1"/>
  </si>
  <si>
    <t>カラス</t>
    <phoneticPr fontId="1"/>
  </si>
  <si>
    <t>KR-725</t>
    <phoneticPr fontId="1"/>
  </si>
  <si>
    <t>けーあーる-ななにーご</t>
    <phoneticPr fontId="1"/>
  </si>
  <si>
    <t>KR-725(UTAU)</t>
    <phoneticPr fontId="1"/>
  </si>
  <si>
    <t>https://rapo080302.wixsite.com/twosibi</t>
    <phoneticPr fontId="1"/>
  </si>
  <si>
    <t>ねこせいじん りせ</t>
  </si>
  <si>
    <t>あかがね ふよう</t>
  </si>
  <si>
    <t>あずまやてい きゅういち</t>
  </si>
  <si>
    <t>あだち れい</t>
  </si>
  <si>
    <t>あとりね ひわ</t>
  </si>
  <si>
    <t>あにま らいつはっと</t>
  </si>
  <si>
    <t>あまつか ふあわ</t>
  </si>
  <si>
    <t>あまね うさぎ</t>
  </si>
  <si>
    <t>うたかた つむぎ</t>
  </si>
  <si>
    <t>うたね うた(でふぉこ)</t>
  </si>
  <si>
    <t>おーろく &amp; ころくろう</t>
  </si>
  <si>
    <t>かぎあい あや</t>
  </si>
  <si>
    <t>かぎあい すず</t>
  </si>
  <si>
    <t>かさね てっど</t>
  </si>
  <si>
    <t>かさね てと</t>
  </si>
  <si>
    <t>かすみ うあ</t>
  </si>
  <si>
    <t>かなで しあ</t>
  </si>
  <si>
    <t>かなで しおん</t>
  </si>
  <si>
    <t>かなり にーと</t>
  </si>
  <si>
    <t>からね きょうか</t>
  </si>
  <si>
    <t>からね ひびき</t>
  </si>
  <si>
    <t>きげき わろた</t>
  </si>
  <si>
    <t>きずぼし そら</t>
  </si>
  <si>
    <t>きね きね</t>
  </si>
  <si>
    <t>きょうまち もるて</t>
  </si>
  <si>
    <t>きらぼし わく</t>
  </si>
  <si>
    <t>くじゃく えれん</t>
  </si>
  <si>
    <t>くちなし あを</t>
  </si>
  <si>
    <t>けいね ろん</t>
  </si>
  <si>
    <t>こおん こくと</t>
  </si>
  <si>
    <t>こころね ふたば</t>
  </si>
  <si>
    <t>こどう はくや</t>
  </si>
  <si>
    <t>さばね かん</t>
  </si>
  <si>
    <t>じうら かざぎり</t>
  </si>
  <si>
    <t>しおん みよ</t>
  </si>
  <si>
    <t>すずの すず</t>
  </si>
  <si>
    <t>すずの みおん</t>
  </si>
  <si>
    <t>せいうん あまと</t>
  </si>
  <si>
    <t>せんのみや しろう</t>
  </si>
  <si>
    <t>そらね ななし</t>
  </si>
  <si>
    <t>ちもり はかぜ</t>
  </si>
  <si>
    <t>ちゃか なり</t>
  </si>
  <si>
    <t>ちゅんね はいき</t>
  </si>
  <si>
    <t>つくも いちおと</t>
  </si>
  <si>
    <t>つくりね みか</t>
  </si>
  <si>
    <t>つるね すてら</t>
  </si>
  <si>
    <t>てらど らぶ</t>
  </si>
  <si>
    <t>てらなが とおいち</t>
  </si>
  <si>
    <t>とうた ひさめ</t>
  </si>
  <si>
    <t>とどろき まだら</t>
  </si>
  <si>
    <t>どば じゅうが</t>
  </si>
  <si>
    <t>とるね てあ</t>
  </si>
  <si>
    <t>ながくら みじ</t>
  </si>
  <si>
    <t>ながれね ななし</t>
  </si>
  <si>
    <t>なこがき いつき</t>
  </si>
  <si>
    <t>なでね こまり</t>
  </si>
  <si>
    <t>ねむい よう</t>
  </si>
  <si>
    <t>ねむら ない</t>
  </si>
  <si>
    <t>のぞき みろ</t>
  </si>
  <si>
    <t>ほうが のと</t>
  </si>
  <si>
    <t>ほしかわ てぃあ</t>
  </si>
  <si>
    <t>ほしかわ ふれあ</t>
  </si>
  <si>
    <t>ほしよみ ゆめ</t>
  </si>
  <si>
    <t>まつゆき ちとせ</t>
  </si>
  <si>
    <t>まるね しゅんいち</t>
  </si>
  <si>
    <t>みくす どりーむ</t>
  </si>
  <si>
    <t>めるあ みゅみゅ</t>
  </si>
  <si>
    <t>やみつか くろいつ</t>
  </si>
  <si>
    <t>ゆめじ かたり</t>
  </si>
  <si>
    <t>ゆらぎね りお</t>
  </si>
  <si>
    <t>よくね るこ</t>
  </si>
  <si>
    <t>よもつ にち</t>
  </si>
  <si>
    <t>りゔぃ りゔぁーちぇ</t>
  </si>
  <si>
    <t>りんよう ふぉみ</t>
  </si>
  <si>
    <t>ことね せつり</t>
  </si>
  <si>
    <t>いいね もぐ</t>
  </si>
  <si>
    <t>とらのこく あめ</t>
  </si>
  <si>
    <t>じごくだに とうま</t>
  </si>
  <si>
    <t>ふえね ふえ</t>
  </si>
  <si>
    <t>くるい のいず</t>
  </si>
  <si>
    <t>つづね つづ</t>
  </si>
  <si>
    <t>なるせ みお</t>
  </si>
  <si>
    <t>くろはね みそら</t>
  </si>
  <si>
    <t>からね ひびく</t>
  </si>
  <si>
    <t>みなあわ うゆう</t>
  </si>
  <si>
    <t>こもりじ きょう</t>
  </si>
  <si>
    <t>ゆらぎね ゆい</t>
  </si>
  <si>
    <t>こなり こはる</t>
  </si>
  <si>
    <t>かづかまち めら</t>
  </si>
  <si>
    <t>あいまい めろり</t>
  </si>
  <si>
    <t>かたなし ずぅ</t>
  </si>
  <si>
    <t>あめうた にむ</t>
  </si>
  <si>
    <t>すずの しおん</t>
  </si>
  <si>
    <t>がくせい しょう</t>
  </si>
  <si>
    <t>むつみ きゅう</t>
  </si>
  <si>
    <t>いたずら せいこ</t>
  </si>
  <si>
    <t>うふーろ じょほまう しふしょ</t>
  </si>
  <si>
    <t>すずの るおん</t>
  </si>
  <si>
    <t>うつみ あくる</t>
  </si>
  <si>
    <t>あめうた にと</t>
  </si>
  <si>
    <t>あめいろ ねるね</t>
  </si>
  <si>
    <t>ねねお みゅー</t>
  </si>
  <si>
    <t>くるい ねいろ</t>
  </si>
  <si>
    <t>つるね れーや</t>
  </si>
  <si>
    <t>しらず はな</t>
  </si>
  <si>
    <t>あだごと かい</t>
  </si>
  <si>
    <t>からね こだま</t>
  </si>
  <si>
    <t>しんれす きしる</t>
  </si>
  <si>
    <t>しるばー ですとりゅーどー</t>
  </si>
  <si>
    <t>まっくね さい</t>
  </si>
  <si>
    <t>すずの ゆおん</t>
  </si>
  <si>
    <t>おくと ぱす</t>
  </si>
  <si>
    <t>かんい はく</t>
  </si>
  <si>
    <t>りつどき しどく</t>
  </si>
  <si>
    <t>やくも しお</t>
  </si>
  <si>
    <t>ようげん これ</t>
  </si>
  <si>
    <t>きゅうさく きゅう</t>
  </si>
  <si>
    <t>しゅちか ぴの</t>
  </si>
  <si>
    <t>ごうせつ まちまる</t>
  </si>
  <si>
    <t>つづね こはく</t>
  </si>
  <si>
    <t>まっくね ひとき</t>
  </si>
  <si>
    <t>せっそう せつり</t>
  </si>
  <si>
    <t>なみね りつ</t>
  </si>
  <si>
    <t>みどりね ひすい</t>
  </si>
  <si>
    <t>あめうた にれち</t>
  </si>
  <si>
    <t>どっと ぺる</t>
  </si>
  <si>
    <t>すずの れおん</t>
  </si>
  <si>
    <t>ことね れすと</t>
  </si>
  <si>
    <t>さわぐ りょすけ</t>
  </si>
  <si>
    <t>すず &amp; せる</t>
  </si>
  <si>
    <t>すずの ねおん</t>
  </si>
  <si>
    <t>あわか まかな</t>
  </si>
  <si>
    <t>すずの りおん</t>
  </si>
  <si>
    <t>あおば あお</t>
  </si>
  <si>
    <t>そうさき れあに</t>
  </si>
  <si>
    <t>ちぬ やん</t>
  </si>
  <si>
    <t>なやね ぶるー</t>
  </si>
  <si>
    <t>しん みんへ</t>
  </si>
  <si>
    <t>ごうおん ろき</t>
  </si>
  <si>
    <t>ことね こと</t>
  </si>
  <si>
    <t>ろんく いちごう</t>
  </si>
  <si>
    <t>ふかみ まりん</t>
  </si>
  <si>
    <t>からふる しゅがーすぷりんくる</t>
  </si>
  <si>
    <t>きゃくよせ らいりー</t>
  </si>
  <si>
    <t>めがねこ みっけた</t>
  </si>
  <si>
    <t>あすたー ふろーれす</t>
  </si>
  <si>
    <t>よいづき みくも</t>
  </si>
  <si>
    <t>かん うんしむ</t>
  </si>
  <si>
    <t>かいる たいらー</t>
  </si>
  <si>
    <t>とおね とお</t>
  </si>
  <si>
    <t>ふわ まりあ</t>
  </si>
  <si>
    <t>いるや るい</t>
  </si>
  <si>
    <t>はがね めた</t>
  </si>
  <si>
    <t>あるじね さらさ</t>
  </si>
  <si>
    <t>あまが える</t>
  </si>
  <si>
    <t>なるかみ きょう</t>
  </si>
  <si>
    <t>さかき れを</t>
  </si>
  <si>
    <t>あまつじ あずま</t>
  </si>
  <si>
    <t>はいざき しょう</t>
  </si>
  <si>
    <t>むげん えれき</t>
  </si>
  <si>
    <t>くもわたり つむぐ</t>
  </si>
  <si>
    <t>しらいし さくた</t>
  </si>
  <si>
    <t>はんえい くさい</t>
  </si>
  <si>
    <t>あいす くりむ</t>
  </si>
  <si>
    <t>うたかた つづり</t>
  </si>
  <si>
    <t>えふ いちいちさん</t>
  </si>
  <si>
    <t>へびかわ れん</t>
  </si>
  <si>
    <t>からすだ つばき</t>
  </si>
  <si>
    <t>くるみやき よしゆき</t>
  </si>
  <si>
    <t>Akagane Fuyo</t>
  </si>
  <si>
    <t>Azumayatei Kyuichi</t>
  </si>
  <si>
    <t>Adachi Rei</t>
  </si>
  <si>
    <t>Atorine Hiwa</t>
  </si>
  <si>
    <t>Anima Raituhatto</t>
  </si>
  <si>
    <t>Amatsuka Fuawa</t>
  </si>
  <si>
    <t>Amane Usagi</t>
  </si>
  <si>
    <t>Utakata Tsumugi</t>
  </si>
  <si>
    <t>Utane Uta(Defoko)</t>
  </si>
  <si>
    <t>Oroku &amp; korokuro</t>
  </si>
  <si>
    <t>Kagiai Aya</t>
  </si>
  <si>
    <t>Kagiai Suzu</t>
  </si>
  <si>
    <t>Kakune Shanonn</t>
  </si>
  <si>
    <t>Kasane Teddo</t>
  </si>
  <si>
    <t>Kasane Teto</t>
  </si>
  <si>
    <t>Kasumi Ua</t>
  </si>
  <si>
    <t>Kanade Shia</t>
  </si>
  <si>
    <t>Kanade Shion</t>
  </si>
  <si>
    <t>Kanari Nito</t>
  </si>
  <si>
    <t>Karane Kyoka</t>
  </si>
  <si>
    <t>Karane Hibiki</t>
  </si>
  <si>
    <t>Kigeki Warota</t>
  </si>
  <si>
    <t>Kizuboshi Sora</t>
  </si>
  <si>
    <t>Kine Kine</t>
  </si>
  <si>
    <t>Kyomachi Morte</t>
  </si>
  <si>
    <t>Kiraboshi Waku</t>
  </si>
  <si>
    <t>Kuzyaku Eren</t>
  </si>
  <si>
    <t>Kuchinashi Awo</t>
  </si>
  <si>
    <t>Keine Ron</t>
  </si>
  <si>
    <t>Kon Kokuto</t>
  </si>
  <si>
    <t>Kokorone Futaba</t>
  </si>
  <si>
    <t>Kodou Hakuya</t>
  </si>
  <si>
    <t>Sabane Kan</t>
  </si>
  <si>
    <t>Jiura Kazagiri</t>
  </si>
  <si>
    <t>Shion Miyo</t>
  </si>
  <si>
    <t>Suzuno Suzu</t>
  </si>
  <si>
    <t>Suzuno Mion</t>
  </si>
  <si>
    <t>Seiun Amato</t>
  </si>
  <si>
    <t>Sennomiya Sirou</t>
  </si>
  <si>
    <t>Sorane Nanashi</t>
  </si>
  <si>
    <t>Chimori Hakaze</t>
  </si>
  <si>
    <t>Chaka Nari</t>
  </si>
  <si>
    <t>Chunne Haiki</t>
  </si>
  <si>
    <t>Tsukumo Ichioto</t>
  </si>
  <si>
    <t>Tsukurine Mika</t>
  </si>
  <si>
    <t>Tsurune Sutera</t>
  </si>
  <si>
    <t>Terado Rabu</t>
  </si>
  <si>
    <t>Teranaga Toichi</t>
  </si>
  <si>
    <t>Tota Hisame</t>
  </si>
  <si>
    <t>Todoroki Madara</t>
  </si>
  <si>
    <t>Doba Juga</t>
  </si>
  <si>
    <t>Torune Tea</t>
  </si>
  <si>
    <t>Nagakura Miji</t>
  </si>
  <si>
    <t>Nagarene Nanashi</t>
  </si>
  <si>
    <t>Nakogaki Itsuki</t>
  </si>
  <si>
    <t>Nadene Komari</t>
  </si>
  <si>
    <t>Nemui You</t>
  </si>
  <si>
    <t>Nemura Nai</t>
  </si>
  <si>
    <t>Nozoki Miro</t>
  </si>
  <si>
    <t>Higeki Muripo</t>
  </si>
  <si>
    <t>Hoga Not</t>
  </si>
  <si>
    <t>Hoshikawa Tia</t>
  </si>
  <si>
    <t>Hoshikawa Furea</t>
  </si>
  <si>
    <t>Hosiyomi Yume</t>
  </si>
  <si>
    <t>Matsuyuki Chitose</t>
  </si>
  <si>
    <t>Marune Shunichi</t>
  </si>
  <si>
    <t>Melua Miumiu</t>
  </si>
  <si>
    <t>Yamitsuka Kuroitsu</t>
  </si>
  <si>
    <t>Yumeji Katari</t>
  </si>
  <si>
    <t>Yuragine Rio</t>
  </si>
  <si>
    <t>Yokune Ruko</t>
  </si>
  <si>
    <t>Yomotsu Nichi</t>
  </si>
  <si>
    <t>Rivi Revace</t>
  </si>
  <si>
    <t>Rinyou Fuomi</t>
  </si>
  <si>
    <t>Kotone Setsuri</t>
  </si>
  <si>
    <t>Ine Mogu</t>
  </si>
  <si>
    <t>Toranokoku Ame</t>
  </si>
  <si>
    <t>Jigokudani Thoma</t>
  </si>
  <si>
    <t>Fuene Fue</t>
  </si>
  <si>
    <t>Kurui Noise</t>
  </si>
  <si>
    <t>Tsuzune Tsuzu</t>
  </si>
  <si>
    <t>Naruse Mio</t>
  </si>
  <si>
    <t>Kurohane Misora</t>
  </si>
  <si>
    <t>Karane Hibiku</t>
  </si>
  <si>
    <t>Minaawa Uyu</t>
  </si>
  <si>
    <t>Komoriji Kyo</t>
  </si>
  <si>
    <t>Yuragine Yui</t>
  </si>
  <si>
    <t>Konari Koharu</t>
  </si>
  <si>
    <t>kazukamachi Mera</t>
  </si>
  <si>
    <t>Aimai Merori</t>
  </si>
  <si>
    <t>Katanashi zu</t>
  </si>
  <si>
    <t>Ameuta Nimu</t>
  </si>
  <si>
    <t>Suzuno Shion</t>
  </si>
  <si>
    <t>Gakusei Sho</t>
  </si>
  <si>
    <t>Mutsumi Q</t>
  </si>
  <si>
    <t>Itazura Seiko</t>
  </si>
  <si>
    <t>Ufuro Johomau Shifusyo</t>
  </si>
  <si>
    <t>Suzuno Ruon</t>
  </si>
  <si>
    <t>Utsumi Akuru</t>
  </si>
  <si>
    <t>Ameuta Nito</t>
  </si>
  <si>
    <t>Ameiro Nerune</t>
  </si>
  <si>
    <t>Neneo mu</t>
  </si>
  <si>
    <t>Kurui Neiro</t>
  </si>
  <si>
    <t>Tsurune Reya</t>
  </si>
  <si>
    <t>Shirazu Hana</t>
  </si>
  <si>
    <t>Adagoto Kai</t>
  </si>
  <si>
    <t>Karane Kodama</t>
  </si>
  <si>
    <t>Shinresu Kishiru</t>
  </si>
  <si>
    <t>Silver Destrudo</t>
  </si>
  <si>
    <t>Mackne Sai</t>
  </si>
  <si>
    <t>Suzuno Yuon</t>
  </si>
  <si>
    <t>Okuto Pasu</t>
  </si>
  <si>
    <t>Kani Haku</t>
  </si>
  <si>
    <t xml:space="preserve">	​Ritsudoki Shidoku</t>
  </si>
  <si>
    <t>Yakumo Shio</t>
  </si>
  <si>
    <t>Yogen Kore</t>
  </si>
  <si>
    <t>Kyusaku Q</t>
  </si>
  <si>
    <t>Shuchika Pino</t>
  </si>
  <si>
    <t>Gosetsu Machimaru</t>
  </si>
  <si>
    <t>Tsuzune Kohaku</t>
  </si>
  <si>
    <t>Mackne Hitoki</t>
  </si>
  <si>
    <t>Sessou Setsuri</t>
  </si>
  <si>
    <t>Namine Ritsu</t>
  </si>
  <si>
    <t>Midorine Hisui</t>
  </si>
  <si>
    <t>Ameuta Nirechi</t>
  </si>
  <si>
    <t>Dot Pell</t>
  </si>
  <si>
    <t>Suzuno Reon</t>
  </si>
  <si>
    <t>Kotone Resuto</t>
  </si>
  <si>
    <t>Sawagu Ryosuke</t>
  </si>
  <si>
    <t>Suzu &amp; Cell</t>
  </si>
  <si>
    <t>Suzuno Neon</t>
  </si>
  <si>
    <t>Awaka Makana</t>
  </si>
  <si>
    <t>Suzuno Rion</t>
  </si>
  <si>
    <t>Aoba Ao</t>
  </si>
  <si>
    <t>Sousaki Reani</t>
  </si>
  <si>
    <t>Chine Yan</t>
  </si>
  <si>
    <t>Nayane Blue</t>
  </si>
  <si>
    <t>Shin Min Hye</t>
  </si>
  <si>
    <t>Gouon Roki</t>
  </si>
  <si>
    <t>Kotone Koto</t>
  </si>
  <si>
    <t>Ronku No.1</t>
  </si>
  <si>
    <t>T kun</t>
  </si>
  <si>
    <t>Fukami Marine</t>
  </si>
  <si>
    <t>Colorful Sugar Sprinkle</t>
  </si>
  <si>
    <t>Kyakuyose Riley</t>
  </si>
  <si>
    <t>Meganeko Mikketa</t>
  </si>
  <si>
    <t>Yoizuki Mikumo</t>
  </si>
  <si>
    <t>Kang Unshim</t>
  </si>
  <si>
    <t>Kyle Tyler</t>
  </si>
  <si>
    <t>Tone Too</t>
  </si>
  <si>
    <t>Fuwa Maria</t>
  </si>
  <si>
    <t>Sanity Doyou</t>
  </si>
  <si>
    <t>Iruya Rui</t>
  </si>
  <si>
    <t>​Hagane Meta</t>
  </si>
  <si>
    <t>The Bard Euphoria</t>
  </si>
  <si>
    <t>Arujine Sarasa</t>
  </si>
  <si>
    <t>Amaga Eru</t>
  </si>
  <si>
    <t>Narukami Kyou</t>
  </si>
  <si>
    <t>Sakaki Leo</t>
  </si>
  <si>
    <t>Amatsuji Azuma</t>
  </si>
  <si>
    <t>Haizaki Sho</t>
  </si>
  <si>
    <t>Mugen Elec</t>
  </si>
  <si>
    <t>Kumowatari Tsumugu</t>
  </si>
  <si>
    <t>Shiraishi Sakuta</t>
  </si>
  <si>
    <t>Han'ei Xi</t>
  </si>
  <si>
    <t>Aisu Kurimu</t>
  </si>
  <si>
    <t>Utakata Tsuzuri</t>
  </si>
  <si>
    <t>Hebikawa Ren</t>
  </si>
  <si>
    <t>Karasuda Tsubaki</t>
  </si>
  <si>
    <t>The Alien Cat Lyce</t>
  </si>
  <si>
    <t>Kurumiyaki Yosiyuki</t>
  </si>
  <si>
    <t>#あひのん、#玖婥えれん</t>
  </si>
  <si>
    <t>#はなときつねごと、#十二ノ刻</t>
  </si>
  <si>
    <t>#通音トオ、#utau_tonetoo</t>
  </si>
  <si>
    <t>刺青、高身長</t>
    <phoneticPr fontId="1"/>
  </si>
  <si>
    <t>大海クリナ</t>
    <phoneticPr fontId="1"/>
  </si>
  <si>
    <t>おおうみ くりな</t>
    <phoneticPr fontId="1"/>
  </si>
  <si>
    <t>Oumi Kurina</t>
    <phoneticPr fontId="1"/>
  </si>
  <si>
    <t>https://uu.getuploader.com/mirakibonoutau</t>
    <phoneticPr fontId="1"/>
  </si>
  <si>
    <t>みたま</t>
    <phoneticPr fontId="1"/>
  </si>
  <si>
    <t>Mitama</t>
    <phoneticPr fontId="1"/>
  </si>
  <si>
    <t>みらきぼ11号</t>
    <phoneticPr fontId="1"/>
  </si>
  <si>
    <t>みらきぼじゅういちごう</t>
    <phoneticPr fontId="1"/>
  </si>
  <si>
    <t>Mirakibo 11-gou</t>
    <phoneticPr fontId="1"/>
  </si>
  <si>
    <t>架空生物</t>
    <rPh sb="0" eb="4">
      <t>カクウセイブツ</t>
    </rPh>
    <phoneticPr fontId="1"/>
  </si>
  <si>
    <t>人型</t>
  </si>
  <si>
    <t>人型</t>
    <phoneticPr fontId="1"/>
  </si>
  <si>
    <t>ケモ耳、片目隠れ、尻尾</t>
    <rPh sb="4" eb="6">
      <t>カタメ</t>
    </rPh>
    <rPh sb="6" eb="7">
      <t>カク</t>
    </rPh>
    <phoneticPr fontId="1"/>
  </si>
  <si>
    <t>#ボタン太の子、#クルミヤキ吉行</t>
    <phoneticPr fontId="1"/>
  </si>
  <si>
    <t>#大海クリナ</t>
    <phoneticPr fontId="1"/>
  </si>
  <si>
    <t>#みたま_UTAU</t>
    <phoneticPr fontId="1"/>
  </si>
  <si>
    <t>#みらきぼ11号</t>
    <phoneticPr fontId="1"/>
  </si>
  <si>
    <t>音夜秋月</t>
    <phoneticPr fontId="1"/>
  </si>
  <si>
    <t>おとや しゅうき</t>
    <phoneticPr fontId="1"/>
  </si>
  <si>
    <t>Otoya Syuki</t>
    <phoneticPr fontId="1"/>
  </si>
  <si>
    <t>https://sikiori.wepage.com</t>
    <phoneticPr fontId="1"/>
  </si>
  <si>
    <t>#四季折宛郵便</t>
    <phoneticPr fontId="1"/>
  </si>
  <si>
    <t>元ヤン、作家</t>
    <phoneticPr fontId="1"/>
  </si>
  <si>
    <t>夏乃星音</t>
    <phoneticPr fontId="1"/>
  </si>
  <si>
    <t>なつの せいと</t>
    <phoneticPr fontId="1"/>
  </si>
  <si>
    <t>Natsuno Seito</t>
    <phoneticPr fontId="1"/>
  </si>
  <si>
    <t>バーテンダー</t>
    <phoneticPr fontId="1"/>
  </si>
  <si>
    <t>薪宮風季</t>
    <phoneticPr fontId="1"/>
  </si>
  <si>
    <t>まきみや ふうき</t>
    <phoneticPr fontId="1"/>
  </si>
  <si>
    <t>Makimiya Fuki</t>
    <phoneticPr fontId="1"/>
  </si>
  <si>
    <t>https://mohumohuton.web.fc2.com/makimiya/index.html</t>
    <phoneticPr fontId="1"/>
  </si>
  <si>
    <t>わくねむ すぴか</t>
    <phoneticPr fontId="1"/>
  </si>
  <si>
    <t>Wakunemu Supika</t>
    <phoneticPr fontId="1"/>
  </si>
  <si>
    <t>わくねむすぴか</t>
    <phoneticPr fontId="1"/>
  </si>
  <si>
    <t>李音フヱル</t>
    <phoneticPr fontId="1"/>
  </si>
  <si>
    <t>すももね ふえる</t>
    <phoneticPr fontId="1"/>
  </si>
  <si>
    <t>Sumomone Fueru</t>
    <phoneticPr fontId="1"/>
  </si>
  <si>
    <t>https://suukedayo.wixsite.com/shiawasefairu</t>
    <phoneticPr fontId="1"/>
  </si>
  <si>
    <t>医者</t>
    <rPh sb="0" eb="2">
      <t>イシャ</t>
    </rPh>
    <phoneticPr fontId="1"/>
  </si>
  <si>
    <t>ヘイロー</t>
    <phoneticPr fontId="1"/>
  </si>
  <si>
    <t>羽、多眼</t>
    <rPh sb="0" eb="1">
      <t>ハネ</t>
    </rPh>
    <rPh sb="2" eb="4">
      <t>タガン</t>
    </rPh>
    <phoneticPr fontId="1"/>
  </si>
  <si>
    <t xml:space="preserve">#しあわせふぁいる </t>
    <phoneticPr fontId="1"/>
  </si>
  <si>
    <t>#わくねむすぴか</t>
    <phoneticPr fontId="1"/>
  </si>
  <si>
    <t>出血、ほくろ、ギザ歯</t>
    <rPh sb="0" eb="2">
      <t>シュッケツ</t>
    </rPh>
    <rPh sb="9" eb="10">
      <t>ハ</t>
    </rPh>
    <phoneticPr fontId="1"/>
  </si>
  <si>
    <t>義眼</t>
    <rPh sb="0" eb="2">
      <t>ギガン</t>
    </rPh>
    <phoneticPr fontId="1"/>
  </si>
  <si>
    <t>イラスト</t>
    <phoneticPr fontId="1"/>
  </si>
  <si>
    <t>#薪宮風季</t>
    <phoneticPr fontId="1"/>
  </si>
  <si>
    <t>歌手</t>
    <rPh sb="0" eb="2">
      <t>カシュ</t>
    </rPh>
    <phoneticPr fontId="1"/>
  </si>
  <si>
    <t>終歌カツエα</t>
    <phoneticPr fontId="1"/>
  </si>
  <si>
    <t>有部音ゴエμ</t>
    <phoneticPr fontId="1"/>
  </si>
  <si>
    <t>うぶおん ごえ</t>
    <phoneticPr fontId="1"/>
  </si>
  <si>
    <t>Ubuon Goe</t>
    <phoneticPr fontId="1"/>
  </si>
  <si>
    <t>しゅうた かつえ</t>
    <phoneticPr fontId="1"/>
  </si>
  <si>
    <t>Shuta Katsue</t>
    <phoneticPr fontId="1"/>
  </si>
  <si>
    <t>鳴音ベルy</t>
    <phoneticPr fontId="1"/>
  </si>
  <si>
    <t>なるね べる</t>
    <phoneticPr fontId="1"/>
  </si>
  <si>
    <t>Narune Bell</t>
    <phoneticPr fontId="1"/>
  </si>
  <si>
    <t>型式番号α-01</t>
    <phoneticPr fontId="1"/>
  </si>
  <si>
    <t>けいしきばんごうα-01</t>
    <phoneticPr fontId="1"/>
  </si>
  <si>
    <t>keishikibangoα-01</t>
    <phoneticPr fontId="1"/>
  </si>
  <si>
    <t>一色スウ</t>
    <phoneticPr fontId="1"/>
  </si>
  <si>
    <t>いっしき すう</t>
    <phoneticPr fontId="1"/>
  </si>
  <si>
    <t>Isshiki Su</t>
    <phoneticPr fontId="1"/>
  </si>
  <si>
    <t>亜音サイコ</t>
    <phoneticPr fontId="1"/>
  </si>
  <si>
    <t>つぎね さいこ</t>
    <phoneticPr fontId="1"/>
  </si>
  <si>
    <t>Tsugine Saiko</t>
    <phoneticPr fontId="1"/>
  </si>
  <si>
    <t>https://aisupiku.wixsite.com/tsuginesaiko</t>
    <phoneticPr fontId="1"/>
  </si>
  <si>
    <t>#亜音サイコ</t>
    <phoneticPr fontId="1"/>
  </si>
  <si>
    <t>http://utau.wikidot.com/utau:isshiki-suu</t>
    <phoneticPr fontId="1"/>
  </si>
  <si>
    <t>#一色スウ</t>
    <phoneticPr fontId="1"/>
  </si>
  <si>
    <t>アーティスト</t>
    <phoneticPr fontId="1"/>
  </si>
  <si>
    <t xml:space="preserve">#返り子の町 </t>
    <phoneticPr fontId="1"/>
  </si>
  <si>
    <t>https://nagimachi.wixsite.com/kairikonomachi</t>
    <phoneticPr fontId="1"/>
  </si>
  <si>
    <t>ベル</t>
    <phoneticPr fontId="1"/>
  </si>
  <si>
    <t>環境音</t>
    <rPh sb="0" eb="3">
      <t>カンキョウオン</t>
    </rPh>
    <phoneticPr fontId="1"/>
  </si>
  <si>
    <t>髪飾り</t>
  </si>
  <si>
    <t>眼部</t>
  </si>
  <si>
    <t>眼部</t>
    <phoneticPr fontId="1"/>
  </si>
  <si>
    <t>仮面・マスク</t>
  </si>
  <si>
    <t>耳装備</t>
  </si>
  <si>
    <t>髪飾り、眼部</t>
  </si>
  <si>
    <t>髪飾り</t>
    <phoneticPr fontId="1"/>
  </si>
  <si>
    <t>髪飾り、耳装備</t>
  </si>
  <si>
    <t>リボン、髪飾り</t>
  </si>
  <si>
    <t>ヘイロー、髪飾り</t>
  </si>
  <si>
    <t>耳装備、眼部、首装飾</t>
  </si>
  <si>
    <t>ヘイロー、首装飾</t>
    <phoneticPr fontId="1"/>
  </si>
  <si>
    <t>装身具、首装飾</t>
  </si>
  <si>
    <t>武器</t>
  </si>
  <si>
    <t>武器</t>
    <phoneticPr fontId="1"/>
  </si>
  <si>
    <t>道具</t>
  </si>
  <si>
    <t>道具</t>
    <phoneticPr fontId="1"/>
  </si>
  <si>
    <t>耳装備、道具</t>
    <phoneticPr fontId="1"/>
  </si>
  <si>
    <t>髪飾り、道具</t>
    <phoneticPr fontId="1"/>
  </si>
  <si>
    <t>ヘイロー、服飾</t>
  </si>
  <si>
    <t>ヘイロー、服飾</t>
    <phoneticPr fontId="1"/>
  </si>
  <si>
    <t>服飾、道具</t>
    <phoneticPr fontId="1"/>
  </si>
  <si>
    <t>モチーフ</t>
    <phoneticPr fontId="1"/>
  </si>
  <si>
    <t>警察官、元ヤン</t>
    <rPh sb="0" eb="3">
      <t>ケイサツカン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</si>
</sst>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176" fontId="3" fillId="0" borderId="0" xfId="0" applyNumberFormat="1" applyFont="1" applyFill="1" applyAlignment="1">
      <alignment horizontal="center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6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5"/>
      <tableStyleElement type="headerRow" dxfId="74"/>
      <tableStyleElement type="totalRow" dxfId="73"/>
      <tableStyleElement type="secondRowStripe" dxfId="72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269" headerRowDxfId="71" dataDxfId="70" tableBorderDxfId="69">
  <autoFilter ref="A1:Y269" xr:uid="{AFDEA6E0-6891-40ED-8736-87CEEF9CED2F}"/>
  <sortState xmlns:xlrd2="http://schemas.microsoft.com/office/spreadsheetml/2017/richdata2" ref="A2:Y269">
    <sortCondition ref="A1:A269"/>
  </sortState>
  <tableColumns count="25">
    <tableColumn id="7" xr3:uid="{9D671CE8-205F-4EC4-AF57-C49043815D5D}" name="番号" totalsRowLabel="集計" dataDxfId="68" totalsRowDxfId="67"/>
    <tableColumn id="1" xr3:uid="{BC0E7496-4241-40F3-92D1-BFEC8E2F21B0}" name="画像" dataDxfId="66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5" totalsRowDxfId="64"/>
    <tableColumn id="3" xr3:uid="{1CD1AB40-A0B3-43E1-8992-FB5152113AF0}" name="なまえ" dataDxfId="63" totalsRowDxfId="62"/>
    <tableColumn id="4" xr3:uid="{3A18F89A-C86D-435E-8081-BFA7EDB53407}" name="Name" dataDxfId="61" totalsRowDxfId="60"/>
    <tableColumn id="5" xr3:uid="{465CE434-66FF-4581-97B6-92FB1196AA88}" name="リンク" dataDxfId="59" totalsRowDxfId="58"/>
    <tableColumn id="6" xr3:uid="{C8A231EF-CEE1-4EDF-9F79-E20B4EE26A3B}" name="作品タグ" dataDxfId="57" totalsRowDxfId="56"/>
    <tableColumn id="21" xr3:uid="{A3F04976-FEAF-4AB6-883A-CBF50885B75B}" name="性別" dataDxfId="55" totalsRowDxfId="54"/>
    <tableColumn id="20" xr3:uid="{1BC45536-DCFC-46D8-8A1D-7CA1DB3A4086}" name="種族タグ" dataDxfId="53" totalsRowDxfId="52"/>
    <tableColumn id="22" xr3:uid="{A500EE07-F0A6-4CFF-83B6-145BEF44F05E}" name="モチーフタグ" dataDxfId="51" totalsRowDxfId="50"/>
    <tableColumn id="23" xr3:uid="{C7A460FE-A76F-44CC-BA42-F2EDCB5166B0}" name="職業タグ" dataDxfId="49" totalsRowDxfId="48"/>
    <tableColumn id="24" xr3:uid="{13CD4112-798D-4D06-B448-3A060DFAF850}" name="小物タグ" dataDxfId="47" totalsRowDxfId="46"/>
    <tableColumn id="25" xr3:uid="{BB31FC48-2C53-4F77-9754-878F1123A640}" name="ワンポイントタグ" dataDxfId="45" totalsRowDxfId="44"/>
    <tableColumn id="14" xr3:uid="{419D2296-96F6-49B6-A101-8BE8083A1FF8}" name="グッズ許可・許可" dataDxfId="43" totalsRowDxfId="42"/>
    <tableColumn id="10" xr3:uid="{A3DF9BE0-B684-4FD2-9C65-44C5CE7A0DC3}" name="描画状況" totalsRowFunction="count" dataDxfId="41" totalsRowDxfId="40"/>
    <tableColumn id="9" xr3:uid="{02AE6379-3B3C-4BB2-A47F-0A695072C3A9}" name="列1" dataDxfId="39" totalsRowDxfId="38">
      <calculatedColumnFormula>テーブル1[[#This Row],[リンク]]&amp;テーブル1[[#This Row],[描画状況]]</calculatedColumnFormula>
    </tableColumn>
    <tableColumn id="13" xr3:uid="{823DB8CC-CE55-4F0C-AE72-2EE293521925}" name="列2" dataDxfId="37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6" totalsRowDxfId="35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4" totalsRowDxfId="33">
      <totalsRowFormula>COUNTIF(テーブル1[投稿状況],"")</totalsRowFormula>
    </tableColumn>
    <tableColumn id="11" xr3:uid="{81D4E3E6-4E02-4A2D-B6F1-0BB82B392F85}" name="乱数B" dataDxfId="32" totalsRowDxfId="31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0" totalsRowDxfId="29">
      <calculatedColumnFormula>"|&amp;image("&amp;テーブル1[[#This Row],[画像]]&amp;".png,width=100,height=100)"</calculatedColumnFormula>
    </tableColumn>
    <tableColumn id="16" xr3:uid="{AC31EEC7-EDA4-4933-B34D-6F013BAC07AB}" name="|名前" dataDxfId="28" totalsRowDxfId="27">
      <calculatedColumnFormula>"|MIDDLE:​"&amp;テーブル1[[#This Row],[名前]]</calculatedColumnFormula>
    </tableColumn>
    <tableColumn id="17" xr3:uid="{5631FE5D-E14B-45F0-9DC6-C07DDBCF063D}" name="|なまえ" dataDxfId="26" totalsRowDxfId="25">
      <calculatedColumnFormula>"|MIDDLE:​"&amp;テーブル1[[#This Row],[なまえ]]</calculatedColumnFormula>
    </tableColumn>
    <tableColumn id="18" xr3:uid="{1D34E550-311D-4181-9DE5-9513280D0029}" name="|Name" dataDxfId="24" totalsRowDxfId="23">
      <calculatedColumnFormula>"|MIDDLE:​"&amp;テーブル1[[#This Row],[Name]]</calculatedColumnFormula>
    </tableColumn>
    <tableColumn id="19" xr3:uid="{742CFAB1-9F2D-444A-A881-F762695DCCB1}" name="|キャラクター情報リンク|" dataDxfId="22" totalsRowDxfId="21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69" totalsRowShown="0" headerRowDxfId="20" dataDxfId="19">
  <autoFilter ref="A1:M269" xr:uid="{E4C87AB3-D453-4364-A868-37CD257B126C}"/>
  <tableColumns count="13">
    <tableColumn id="1" xr3:uid="{1E92C13E-0744-4588-9D96-A833A7BD4B23}" name="id" dataDxfId="18">
      <calculatedColumnFormula>テーブル1[[#This Row],[番号]]</calculatedColumnFormula>
    </tableColumn>
    <tableColumn id="2" xr3:uid="{BFFC27FC-5A70-42B5-935F-18B299D9A450}" name="name" dataDxfId="17">
      <calculatedColumnFormula>テーブル1[[#This Row],[名前]]</calculatedColumnFormula>
    </tableColumn>
    <tableColumn id="3" xr3:uid="{376B9D63-7024-4C39-A1F3-F8A88D986D2E}" name="kana" dataDxfId="16">
      <calculatedColumnFormula>テーブル1[[#This Row],[なまえ]]</calculatedColumnFormula>
    </tableColumn>
    <tableColumn id="4" xr3:uid="{3A4FC950-495C-4C11-B6DB-96CE6A55121C}" name="romaji" dataDxfId="15">
      <calculatedColumnFormula>テーブル1[[#This Row],[Name]]</calculatedColumnFormula>
    </tableColumn>
    <tableColumn id="5" xr3:uid="{B264791E-28AE-437A-AA33-4258BDE55BAA}" name="icon" dataDxfId="14">
      <calculatedColumnFormula>"image/"&amp;テーブル1[[#This Row],[画像]]&amp;".png"</calculatedColumnFormula>
    </tableColumn>
    <tableColumn id="6" xr3:uid="{857A780E-B021-402A-872A-1CBFFEF7F813}" name="url" dataDxfId="13">
      <calculatedColumnFormula>テーブル1[[#This Row],[リンク]]</calculatedColumnFormula>
    </tableColumn>
    <tableColumn id="7" xr3:uid="{54796813-8C4A-4907-9B54-8EC5819BC55C}" name="workTags" dataDxfId="12">
      <calculatedColumnFormula>SUBSTITUTE(テーブル1[[#This Row],[作品タグ]],"、","|")</calculatedColumnFormula>
    </tableColumn>
    <tableColumn id="8" xr3:uid="{C71938D1-4F25-43A4-AC89-6B4F6A5026A2}" name="gender" dataDxfId="11">
      <calculatedColumnFormula>テーブル1[[#This Row],[性別]]&amp;""</calculatedColumnFormula>
    </tableColumn>
    <tableColumn id="9" xr3:uid="{39305227-2E4A-4CF9-88DD-B221FEC21124}" name="種族タグ" dataDxfId="10">
      <calculatedColumnFormula>SUBSTITUTE(テーブル1[[#This Row],[種族タグ]],"、","|")</calculatedColumnFormula>
    </tableColumn>
    <tableColumn id="13" xr3:uid="{B62C6CC3-DFD5-40D0-9E39-6AE6C719FF5E}" name="モチーフタグ" dataDxfId="9">
      <calculatedColumnFormula>SUBSTITUTE(テーブル1[[#This Row],[モチーフタグ]],"、","|")</calculatedColumnFormula>
    </tableColumn>
    <tableColumn id="10" xr3:uid="{4C1B4E5B-0816-4E7B-B94D-DABFCF9BB4A5}" name="職業タグ" dataDxfId="8">
      <calculatedColumnFormula>SUBSTITUTE(テーブル1[[#This Row],[職業タグ]],"、","|")</calculatedColumnFormula>
    </tableColumn>
    <tableColumn id="11" xr3:uid="{C1145559-52E6-4141-BB43-03D7F9D319F4}" name="小物タグ" dataDxfId="7">
      <calculatedColumnFormula>SUBSTITUTE(テーブル1[[#This Row],[小物タグ]],"、","|")</calculatedColumnFormula>
    </tableColumn>
    <tableColumn id="12" xr3:uid="{1869C5D2-E7D3-4710-BDB3-B35F4A761BEE}" name="ワンポイントタグ" dataDxfId="6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shimo0330.wixsite.com/awaka-utau" TargetMode="External"/><Relationship Id="rId21" Type="http://schemas.openxmlformats.org/officeDocument/2006/relationships/hyperlink" Target="https://lit.link/nemukoneko" TargetMode="External"/><Relationship Id="rId42" Type="http://schemas.openxmlformats.org/officeDocument/2006/relationships/hyperlink" Target="https://utauudon.wixsite.com/origamisyokudou" TargetMode="External"/><Relationship Id="rId63" Type="http://schemas.openxmlformats.org/officeDocument/2006/relationships/hyperlink" Target="https://abschandayo.wixsite.com/abschan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canon-voice.com/" TargetMode="External"/><Relationship Id="rId159" Type="http://schemas.openxmlformats.org/officeDocument/2006/relationships/hyperlink" Target="https://m.blog.naver.com/string_legacy/224045016399" TargetMode="External"/><Relationship Id="rId170" Type="http://schemas.openxmlformats.org/officeDocument/2006/relationships/hyperlink" Target="https://komagatabone.fc2.page/" TargetMode="External"/><Relationship Id="rId191" Type="http://schemas.openxmlformats.org/officeDocument/2006/relationships/hyperlink" Target="https://bowlroll.net/user/980255" TargetMode="External"/><Relationship Id="rId205" Type="http://schemas.openxmlformats.org/officeDocument/2006/relationships/hyperlink" Target="https://nyaruru.wixsite.com/s-p-w" TargetMode="External"/><Relationship Id="rId226" Type="http://schemas.openxmlformats.org/officeDocument/2006/relationships/hyperlink" Target="https://uu.getuploader.com/mirakibonoutau" TargetMode="External"/><Relationship Id="rId107" Type="http://schemas.openxmlformats.org/officeDocument/2006/relationships/hyperlink" Target="https://bowlroll.net/file/336695" TargetMode="External"/><Relationship Id="rId11" Type="http://schemas.openxmlformats.org/officeDocument/2006/relationships/hyperlink" Target="http://park2.wakwak.com/~mbox/vo/hk/hkfre.htm" TargetMode="External"/><Relationship Id="rId32" Type="http://schemas.openxmlformats.org/officeDocument/2006/relationships/hyperlink" Target="https://itsuriutau.wixsite.com/kanadeshia" TargetMode="External"/><Relationship Id="rId53" Type="http://schemas.openxmlformats.org/officeDocument/2006/relationships/hyperlink" Target="https://moqujc.wixsite.com/mqtop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://shadeofgreen.web.fc2.com/" TargetMode="External"/><Relationship Id="rId149" Type="http://schemas.openxmlformats.org/officeDocument/2006/relationships/hyperlink" Target="https://kakokyu102krbs.wixsite.com/greenmilky" TargetMode="External"/><Relationship Id="rId5" Type="http://schemas.openxmlformats.org/officeDocument/2006/relationships/hyperlink" Target="https://seirentoybox.jimdofree.com/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askdance.wixsite.com/monitor-room/monitor-room" TargetMode="External"/><Relationship Id="rId181" Type="http://schemas.openxmlformats.org/officeDocument/2006/relationships/hyperlink" Target="https://magnawitch.wixsite.com/seong-ah" TargetMode="External"/><Relationship Id="rId216" Type="http://schemas.openxmlformats.org/officeDocument/2006/relationships/hyperlink" Target="https://tourist100f.wixsite.com/utakata-kosyo" TargetMode="External"/><Relationship Id="rId22" Type="http://schemas.openxmlformats.org/officeDocument/2006/relationships/hyperlink" Target="https://lit.link/nemukoneko" TargetMode="External"/><Relationship Id="rId43" Type="http://schemas.openxmlformats.org/officeDocument/2006/relationships/hyperlink" Target="https://utauudon.wixsite.com/origamisyokudou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mikawayanerutoko.jimdofree.com/" TargetMode="External"/><Relationship Id="rId139" Type="http://schemas.openxmlformats.org/officeDocument/2006/relationships/hyperlink" Target="https://makaron3264.wixsite.com/utauotoohan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tropicalsamejima.wixsite.com/oyutau" TargetMode="External"/><Relationship Id="rId171" Type="http://schemas.openxmlformats.org/officeDocument/2006/relationships/hyperlink" Target="https://vividseekers.utau.sorairomarch.com/" TargetMode="External"/><Relationship Id="rId192" Type="http://schemas.openxmlformats.org/officeDocument/2006/relationships/hyperlink" Target="https://lclcofficial6565.wixsite.com/lclc" TargetMode="External"/><Relationship Id="rId206" Type="http://schemas.openxmlformats.org/officeDocument/2006/relationships/hyperlink" Target="https://nyaruru.wixsite.com/s-p-w" TargetMode="External"/><Relationship Id="rId227" Type="http://schemas.openxmlformats.org/officeDocument/2006/relationships/hyperlink" Target="https://sikiori.wepage.com/" TargetMode="External"/><Relationship Id="rId12" Type="http://schemas.openxmlformats.org/officeDocument/2006/relationships/hyperlink" Target="http://park2.wakwak.com/~mbox/vo/hk/hkfre.htm" TargetMode="External"/><Relationship Id="rId33" Type="http://schemas.openxmlformats.org/officeDocument/2006/relationships/hyperlink" Target="https://witchdoll.jimdofree.com/" TargetMode="External"/><Relationship Id="rId108" Type="http://schemas.openxmlformats.org/officeDocument/2006/relationships/hyperlink" Target="https://bowlroll.net/user/700434" TargetMode="External"/><Relationship Id="rId129" Type="http://schemas.openxmlformats.org/officeDocument/2006/relationships/hyperlink" Target="https://ma2bana7.wixsite.com/sssr" TargetMode="External"/><Relationship Id="rId54" Type="http://schemas.openxmlformats.org/officeDocument/2006/relationships/hyperlink" Target="https://lit.link/sereinrain" TargetMode="External"/><Relationship Id="rId75" Type="http://schemas.openxmlformats.org/officeDocument/2006/relationships/hyperlink" Target="https://kasaneteto.jp/" TargetMode="External"/><Relationship Id="rId96" Type="http://schemas.openxmlformats.org/officeDocument/2006/relationships/hyperlink" Target="https://nanarabo626.studio.site/" TargetMode="External"/><Relationship Id="rId140" Type="http://schemas.openxmlformats.org/officeDocument/2006/relationships/hyperlink" Target="https://maybeanglo0mochi.wixsite.com/mochiyanosouko" TargetMode="External"/><Relationship Id="rId161" Type="http://schemas.openxmlformats.org/officeDocument/2006/relationships/hyperlink" Target="https://chaka000.wixsite.com/chaka" TargetMode="External"/><Relationship Id="rId182" Type="http://schemas.openxmlformats.org/officeDocument/2006/relationships/hyperlink" Target="https://toooru421.booth.pm/items/8151791" TargetMode="External"/><Relationship Id="rId217" Type="http://schemas.openxmlformats.org/officeDocument/2006/relationships/hyperlink" Target="https://haingyoi.wixsite.com/utau" TargetMode="External"/><Relationship Id="rId6" Type="http://schemas.openxmlformats.org/officeDocument/2006/relationships/hyperlink" Target="https://seirentoybox.jimdofree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eapartyandmugshelf.wixsite.com/my-site-1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sabaneko.amebaownd.com/" TargetMode="External"/><Relationship Id="rId86" Type="http://schemas.openxmlformats.org/officeDocument/2006/relationships/hyperlink" Target="https://utausuzuminnya.jimdofree.com/" TargetMode="External"/><Relationship Id="rId130" Type="http://schemas.openxmlformats.org/officeDocument/2006/relationships/hyperlink" Target="https://suukedayo.wixsite.com/shiawasefairu" TargetMode="External"/><Relationship Id="rId151" Type="http://schemas.openxmlformats.org/officeDocument/2006/relationships/hyperlink" Target="https://hinoyuzirenraku.wixsite.com/mu-neneo" TargetMode="External"/><Relationship Id="rId172" Type="http://schemas.openxmlformats.org/officeDocument/2006/relationships/hyperlink" Target="https://vividseekers.utau.sorairomarch.com/" TargetMode="External"/><Relationship Id="rId193" Type="http://schemas.openxmlformats.org/officeDocument/2006/relationships/hyperlink" Target="https://kagerou009.hatenablog.com/" TargetMode="External"/><Relationship Id="rId207" Type="http://schemas.openxmlformats.org/officeDocument/2006/relationships/hyperlink" Target="https://kakokyu102krbs.wixsite.com/greenmilky" TargetMode="External"/><Relationship Id="rId228" Type="http://schemas.openxmlformats.org/officeDocument/2006/relationships/hyperlink" Target="https://sikiori.wepage.com/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inudanuki.wixsite.com/gottaniomotyabako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okome32500.wixsite.com/onekomochi" TargetMode="External"/><Relationship Id="rId141" Type="http://schemas.openxmlformats.org/officeDocument/2006/relationships/hyperlink" Target="https://ameutaulii.wixsite.com/telepathycapsule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chunyinhui021.wixsite.com/mutyuusaisei" TargetMode="External"/><Relationship Id="rId183" Type="http://schemas.openxmlformats.org/officeDocument/2006/relationships/hyperlink" Target="https://strife-horizon.weebly.com/" TargetMode="External"/><Relationship Id="rId218" Type="http://schemas.openxmlformats.org/officeDocument/2006/relationships/hyperlink" Target="https://lit.link/nemukoneko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inudanuki.wixsite.com/gottaniomotyabako" TargetMode="External"/><Relationship Id="rId131" Type="http://schemas.openxmlformats.org/officeDocument/2006/relationships/hyperlink" Target="https://ameutaulii.wixsite.com/telepathycapsule" TargetMode="External"/><Relationship Id="rId152" Type="http://schemas.openxmlformats.org/officeDocument/2006/relationships/hyperlink" Target="https://zaregotohitori.wixsite.com/ritsudokishidoku" TargetMode="External"/><Relationship Id="rId173" Type="http://schemas.openxmlformats.org/officeDocument/2006/relationships/hyperlink" Target="https://bowlroll.net/user/946776" TargetMode="External"/><Relationship Id="rId194" Type="http://schemas.openxmlformats.org/officeDocument/2006/relationships/hyperlink" Target="https://pessieuph.wixsite.com/meusycaseuphoria" TargetMode="External"/><Relationship Id="rId208" Type="http://schemas.openxmlformats.org/officeDocument/2006/relationships/hyperlink" Target="https://kakokyu102krbs.wixsite.com/greenmilky" TargetMode="External"/><Relationship Id="rId229" Type="http://schemas.openxmlformats.org/officeDocument/2006/relationships/hyperlink" Target="https://mohumohuton.web.fc2.com/makimiya/index.html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zakrotsukumo.wixsite.com/utau-zerozero" TargetMode="External"/><Relationship Id="rId142" Type="http://schemas.openxmlformats.org/officeDocument/2006/relationships/hyperlink" Target="https://cloudcatch1224.wixsite.com/godsfoot" TargetMode="External"/><Relationship Id="rId163" Type="http://schemas.openxmlformats.org/officeDocument/2006/relationships/hyperlink" Target="https://cmamizki.wixsite.com/edelstein" TargetMode="External"/><Relationship Id="rId184" Type="http://schemas.openxmlformats.org/officeDocument/2006/relationships/hyperlink" Target="https://bowlroll.net/user/946776" TargetMode="External"/><Relationship Id="rId219" Type="http://schemas.openxmlformats.org/officeDocument/2006/relationships/hyperlink" Target="https://lit.link/nemukoneko" TargetMode="External"/><Relationship Id="rId230" Type="http://schemas.openxmlformats.org/officeDocument/2006/relationships/hyperlink" Target="https://bowlroll.net/user/946776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kairi0utau.wixsite.com/arugamamanouta" TargetMode="External"/><Relationship Id="rId132" Type="http://schemas.openxmlformats.org/officeDocument/2006/relationships/hyperlink" Target="https://bowlroll.net/user/980255/files" TargetMode="External"/><Relationship Id="rId153" Type="http://schemas.openxmlformats.org/officeDocument/2006/relationships/hyperlink" Target="https://long-sleeper.net/" TargetMode="External"/><Relationship Id="rId174" Type="http://schemas.openxmlformats.org/officeDocument/2006/relationships/hyperlink" Target="https://piku.page/@toitoitoi23" TargetMode="External"/><Relationship Id="rId179" Type="http://schemas.openxmlformats.org/officeDocument/2006/relationships/hyperlink" Target="https://magnawitch.wixsite.com/seong-ah" TargetMode="External"/><Relationship Id="rId195" Type="http://schemas.openxmlformats.org/officeDocument/2006/relationships/hyperlink" Target="https://arujinesarasa.wixsite.com/official" TargetMode="External"/><Relationship Id="rId209" Type="http://schemas.openxmlformats.org/officeDocument/2006/relationships/hyperlink" Target="https://lenskkpb.wixsite.com/len-sakaki-official" TargetMode="External"/><Relationship Id="rId190" Type="http://schemas.openxmlformats.org/officeDocument/2006/relationships/hyperlink" Target="https://bowlroll.net/user/980255" TargetMode="External"/><Relationship Id="rId204" Type="http://schemas.openxmlformats.org/officeDocument/2006/relationships/hyperlink" Target="https://nyaruru.wixsite.com/s-p-w" TargetMode="External"/><Relationship Id="rId220" Type="http://schemas.openxmlformats.org/officeDocument/2006/relationships/hyperlink" Target="https://note.com/lycopema/n/n7abddbef7b6e" TargetMode="External"/><Relationship Id="rId225" Type="http://schemas.openxmlformats.org/officeDocument/2006/relationships/hyperlink" Target="https://mitamayade.wixsite.com/mitama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106" Type="http://schemas.openxmlformats.org/officeDocument/2006/relationships/hyperlink" Target="https://ne510channel.wixsite.com/website" TargetMode="External"/><Relationship Id="rId127" Type="http://schemas.openxmlformats.org/officeDocument/2006/relationships/hyperlink" Target="https://bowlroll.net/file/333777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78" Type="http://schemas.openxmlformats.org/officeDocument/2006/relationships/hyperlink" Target="http://lllll17.web.fc2.com/index.html" TargetMode="External"/><Relationship Id="rId94" Type="http://schemas.openxmlformats.org/officeDocument/2006/relationships/hyperlink" Target="https://lit.link/sereinrain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moqujc.wixsite.com/mqtop" TargetMode="External"/><Relationship Id="rId122" Type="http://schemas.openxmlformats.org/officeDocument/2006/relationships/hyperlink" Target="https://zakrotsukumo.wixsite.com/utau-zerozero" TargetMode="External"/><Relationship Id="rId143" Type="http://schemas.openxmlformats.org/officeDocument/2006/relationships/hyperlink" Target="https://grskmot8.wixsite.com/kdarock" TargetMode="External"/><Relationship Id="rId148" Type="http://schemas.openxmlformats.org/officeDocument/2006/relationships/hyperlink" Target="https://kaitoramma.chu.jp/" TargetMode="External"/><Relationship Id="rId164" Type="http://schemas.openxmlformats.org/officeDocument/2006/relationships/hyperlink" Target="https://flowerrocklove.wixsite.com/twilight-crisis" TargetMode="External"/><Relationship Id="rId169" Type="http://schemas.openxmlformats.org/officeDocument/2006/relationships/hyperlink" Target="https://cgamy40.wixsite.com/tsuraiuroyoi" TargetMode="External"/><Relationship Id="rId185" Type="http://schemas.openxmlformats.org/officeDocument/2006/relationships/hyperlink" Target="https://bowlroll.net/user/946776" TargetMode="External"/><Relationship Id="rId4" Type="http://schemas.openxmlformats.org/officeDocument/2006/relationships/hyperlink" Target="https://seirentoybox.jimdofree.com/" TargetMode="External"/><Relationship Id="rId9" Type="http://schemas.openxmlformats.org/officeDocument/2006/relationships/hyperlink" Target="https://sysynmnm.wixsite.com/oyasumi-zzz" TargetMode="External"/><Relationship Id="rId180" Type="http://schemas.openxmlformats.org/officeDocument/2006/relationships/hyperlink" Target="https://magnawitch.wixsite.com/seong-ah" TargetMode="External"/><Relationship Id="rId210" Type="http://schemas.openxmlformats.org/officeDocument/2006/relationships/hyperlink" Target="https://vividseekers.utau.sorairomarch.com/" TargetMode="External"/><Relationship Id="rId215" Type="http://schemas.openxmlformats.org/officeDocument/2006/relationships/hyperlink" Target="https://tourist100f.wixsite.com/utakata-kosyo" TargetMode="External"/><Relationship Id="rId236" Type="http://schemas.openxmlformats.org/officeDocument/2006/relationships/table" Target="../tables/table1.xm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suukedayo.wixsite.com/shiawasefairu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kuroi9603.wixsite.com/delu-lab-south" TargetMode="External"/><Relationship Id="rId133" Type="http://schemas.openxmlformats.org/officeDocument/2006/relationships/hyperlink" Target="https://yukimiyashimusho.jimdofree.com/" TargetMode="External"/><Relationship Id="rId154" Type="http://schemas.openxmlformats.org/officeDocument/2006/relationships/hyperlink" Target="https://todosho1192.wixsite.com/my-site-3" TargetMode="External"/><Relationship Id="rId175" Type="http://schemas.openxmlformats.org/officeDocument/2006/relationships/hyperlink" Target="https://seirentoybox.jimdofree.com/" TargetMode="External"/><Relationship Id="rId196" Type="http://schemas.openxmlformats.org/officeDocument/2006/relationships/hyperlink" Target="https://www.mizuiro.info/amagaelu" TargetMode="External"/><Relationship Id="rId200" Type="http://schemas.openxmlformats.org/officeDocument/2006/relationships/hyperlink" Target="https://kinomihautaimas.wixsite.com/dongurihiroba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sites.google.com/view/ronku99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suihankinonaka.wixsite.com/my-site-1" TargetMode="External"/><Relationship Id="rId123" Type="http://schemas.openxmlformats.org/officeDocument/2006/relationships/hyperlink" Target="https://www.mackhouse-soft.com/" TargetMode="External"/><Relationship Id="rId144" Type="http://schemas.openxmlformats.org/officeDocument/2006/relationships/hyperlink" Target="https://hinagitsune-utau.wixsite.com/utaukokoron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flowerrocklove.wixsite.com/twilight-crisis" TargetMode="External"/><Relationship Id="rId186" Type="http://schemas.openxmlformats.org/officeDocument/2006/relationships/hyperlink" Target="https://utau.kurotsuka.xyz/" TargetMode="External"/><Relationship Id="rId211" Type="http://schemas.openxmlformats.org/officeDocument/2006/relationships/hyperlink" Target="https://mitamayade.wixsite.com/mitama" TargetMode="External"/><Relationship Id="rId232" Type="http://schemas.openxmlformats.org/officeDocument/2006/relationships/hyperlink" Target="https://aisupiku.wixsite.com/tsuginesaiko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sites.google.com/view/qsuke-garden/home" TargetMode="External"/><Relationship Id="rId134" Type="http://schemas.openxmlformats.org/officeDocument/2006/relationships/hyperlink" Target="https://yautau.wixsite.com/0909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utau.fandom.com/wiki/Shizuruu" TargetMode="External"/><Relationship Id="rId176" Type="http://schemas.openxmlformats.org/officeDocument/2006/relationships/hyperlink" Target="https://mitoristu.wixsite.com/kousaibako" TargetMode="External"/><Relationship Id="rId197" Type="http://schemas.openxmlformats.org/officeDocument/2006/relationships/hyperlink" Target="https://sites.google.com/view/arcobaleno-utau/home" TargetMode="External"/><Relationship Id="rId201" Type="http://schemas.openxmlformats.org/officeDocument/2006/relationships/hyperlink" Target="https://nyaruru.wixsite.com/s-p-w" TargetMode="External"/><Relationship Id="rId222" Type="http://schemas.openxmlformats.org/officeDocument/2006/relationships/hyperlink" Target="https://hatonosuke5.booth.pm/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suihankinonaka.wixsite.com/my-site-1" TargetMode="External"/><Relationship Id="rId124" Type="http://schemas.openxmlformats.org/officeDocument/2006/relationships/hyperlink" Target="https://www.mackhouse-soft.com/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hznonoka.wixsite.com/utau" TargetMode="External"/><Relationship Id="rId166" Type="http://schemas.openxmlformats.org/officeDocument/2006/relationships/hyperlink" Target="https://hznonoka.wixsite.com/utau" TargetMode="External"/><Relationship Id="rId187" Type="http://schemas.openxmlformats.org/officeDocument/2006/relationships/hyperlink" Target="https://utau.kurotsuka.xyz/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lit.link/4ATEPQoK7bZP3auccNvRi28UQdf1" TargetMode="External"/><Relationship Id="rId233" Type="http://schemas.openxmlformats.org/officeDocument/2006/relationships/hyperlink" Target="http://utau.wikidot.com/utau:isshiki-su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sites.google.com/view/qsuke-garden/home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osomatsu-poid.wixsite.com/konari-san-chi" TargetMode="External"/><Relationship Id="rId156" Type="http://schemas.openxmlformats.org/officeDocument/2006/relationships/hyperlink" Target="https://sites.google.com/view/ronku99" TargetMode="External"/><Relationship Id="rId177" Type="http://schemas.openxmlformats.org/officeDocument/2006/relationships/hyperlink" Target="https://vividseekers.utau.sorairomarch.com/" TargetMode="External"/><Relationship Id="rId198" Type="http://schemas.openxmlformats.org/officeDocument/2006/relationships/hyperlink" Target="https://kinomihautaimas.wixsite.com/dongurihiroba" TargetMode="External"/><Relationship Id="rId202" Type="http://schemas.openxmlformats.org/officeDocument/2006/relationships/hyperlink" Target="https://nyaruru.wixsite.com/s-p-w" TargetMode="External"/><Relationship Id="rId223" Type="http://schemas.openxmlformats.org/officeDocument/2006/relationships/hyperlink" Target="https://rapo080302.wixsite.com/twosibi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bowlroll.net/user/980255" TargetMode="External"/><Relationship Id="rId125" Type="http://schemas.openxmlformats.org/officeDocument/2006/relationships/hyperlink" Target="https://grskmot8.wixsite.com/kdarock" TargetMode="External"/><Relationship Id="rId146" Type="http://schemas.openxmlformats.org/officeDocument/2006/relationships/hyperlink" Target="https://jiwajiwakirinn.wixsite.com/sakurada" TargetMode="External"/><Relationship Id="rId167" Type="http://schemas.openxmlformats.org/officeDocument/2006/relationships/hyperlink" Target="https://mackerel178.wixsite.com/yuusensuizokukan" TargetMode="External"/><Relationship Id="rId188" Type="http://schemas.openxmlformats.org/officeDocument/2006/relationships/hyperlink" Target="https://ameutaulii.wixsite.com/telepathycapsule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xi-voice.carrd.co/" TargetMode="External"/><Relationship Id="rId234" Type="http://schemas.openxmlformats.org/officeDocument/2006/relationships/hyperlink" Target="https://nagimachi.wixsite.com/kairikonomachi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mebisnori.wixsite.com/nori-mebis" TargetMode="External"/><Relationship Id="rId136" Type="http://schemas.openxmlformats.org/officeDocument/2006/relationships/hyperlink" Target="https://hakutoujelly.booth.pm/items/6496885" TargetMode="External"/><Relationship Id="rId157" Type="http://schemas.openxmlformats.org/officeDocument/2006/relationships/hyperlink" Target="https://abiencearray.carrd.co/" TargetMode="External"/><Relationship Id="rId178" Type="http://schemas.openxmlformats.org/officeDocument/2006/relationships/hyperlink" Target="https://vividseekers.utau.sorairomarch.com/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kinomihautaimas.wixsite.com/dongurihiroba" TargetMode="External"/><Relationship Id="rId203" Type="http://schemas.openxmlformats.org/officeDocument/2006/relationships/hyperlink" Target="https://nyaruru.wixsite.com/s-p-w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uu.getuploader.com/mirakibonoutau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ne510channel.wixsite.com/website" TargetMode="External"/><Relationship Id="rId126" Type="http://schemas.openxmlformats.org/officeDocument/2006/relationships/hyperlink" Target="https://shiromeneko162.wixsite.com/shiromean-official" TargetMode="External"/><Relationship Id="rId147" Type="http://schemas.openxmlformats.org/officeDocument/2006/relationships/hyperlink" Target="https://kairi0utau.wixsite.com/arugamamanouta" TargetMode="External"/><Relationship Id="rId168" Type="http://schemas.openxmlformats.org/officeDocument/2006/relationships/hyperlink" Target="https://mackerel178.wixsite.com/yuusensuizokukan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bowlroll.net/user/980255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utau.fandom.com/wiki/Aisu_Kurimu" TargetMode="External"/><Relationship Id="rId235" Type="http://schemas.openxmlformats.org/officeDocument/2006/relationships/hyperlink" Target="https://nagimachi.wixsite.com/kairikonomachi" TargetMode="External"/><Relationship Id="rId116" Type="http://schemas.openxmlformats.org/officeDocument/2006/relationships/hyperlink" Target="https://mebisnori.wixsite.com/nori-mebis" TargetMode="External"/><Relationship Id="rId137" Type="http://schemas.openxmlformats.org/officeDocument/2006/relationships/hyperlink" Target="https://inumokoco.wixsite.com/sleep-church" TargetMode="External"/><Relationship Id="rId158" Type="http://schemas.openxmlformats.org/officeDocument/2006/relationships/hyperlink" Target="https://sites.google.com/view/ronku9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280"/>
  <sheetViews>
    <sheetView tabSelected="1" zoomScale="85" zoomScaleNormal="85" workbookViewId="0">
      <pane xSplit="1" ySplit="1" topLeftCell="B252" activePane="bottomRight" state="frozen"/>
      <selection pane="topRight" activeCell="B1" sqref="B1"/>
      <selection pane="bottomLeft" activeCell="A2" sqref="A2"/>
      <selection pane="bottomRight" activeCell="B261" sqref="B261"/>
    </sheetView>
  </sheetViews>
  <sheetFormatPr defaultColWidth="8.6640625" defaultRowHeight="20.149999999999999" customHeight="1" x14ac:dyDescent="0.35"/>
  <cols>
    <col min="1" max="1" width="6.86328125" style="20" bestFit="1" customWidth="1"/>
    <col min="2" max="2" width="23.86328125" style="23" bestFit="1" customWidth="1"/>
    <col min="3" max="3" width="15.265625" style="24" bestFit="1" customWidth="1"/>
    <col min="4" max="4" width="18.19921875" style="23" bestFit="1" customWidth="1"/>
    <col min="5" max="5" width="18.46484375" style="23" bestFit="1" customWidth="1"/>
    <col min="6" max="6" width="45.46484375" style="23" bestFit="1" customWidth="1"/>
    <col min="7" max="7" width="17.06640625" style="23" bestFit="1" customWidth="1"/>
    <col min="8" max="12" width="17.06640625" style="23" customWidth="1"/>
    <col min="13" max="13" width="22.265625" style="23" bestFit="1" customWidth="1"/>
    <col min="14" max="14" width="13.59765625" style="1" bestFit="1" customWidth="1"/>
    <col min="15" max="15" width="9.46484375" style="1" bestFit="1" customWidth="1"/>
    <col min="16" max="16" width="42.86328125" style="24" hidden="1" customWidth="1"/>
    <col min="17" max="17" width="6.86328125" style="17" hidden="1" customWidth="1"/>
    <col min="18" max="18" width="10.46484375" style="16" hidden="1" customWidth="1"/>
    <col min="19" max="19" width="9.46484375" style="1" bestFit="1" customWidth="1"/>
    <col min="20" max="20" width="9.46484375" style="24" hidden="1" customWidth="1"/>
    <col min="21" max="21" width="42.46484375" style="23" bestFit="1" customWidth="1"/>
    <col min="22" max="22" width="22.6640625" style="23" bestFit="1" customWidth="1"/>
    <col min="23" max="23" width="24.86328125" style="23" bestFit="1" customWidth="1"/>
    <col min="24" max="24" width="25.265625" style="23" bestFit="1" customWidth="1"/>
    <col min="25" max="25" width="52.59765625" style="23" bestFit="1" customWidth="1"/>
    <col min="26" max="16384" width="8.664062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659</v>
      </c>
      <c r="H1" s="1" t="s">
        <v>658</v>
      </c>
      <c r="I1" s="1" t="s">
        <v>663</v>
      </c>
      <c r="J1" s="1" t="s">
        <v>742</v>
      </c>
      <c r="K1" s="1" t="s">
        <v>664</v>
      </c>
      <c r="L1" s="1" t="s">
        <v>665</v>
      </c>
      <c r="M1" s="1" t="s">
        <v>666</v>
      </c>
      <c r="N1" s="1" t="s">
        <v>596</v>
      </c>
      <c r="O1" s="1" t="s">
        <v>406</v>
      </c>
      <c r="P1" s="1" t="s">
        <v>488</v>
      </c>
      <c r="Q1" s="17" t="s">
        <v>489</v>
      </c>
      <c r="R1" s="22" t="s">
        <v>424</v>
      </c>
      <c r="S1" s="1" t="s">
        <v>6</v>
      </c>
      <c r="T1" s="1" t="s">
        <v>425</v>
      </c>
      <c r="U1" s="1" t="s">
        <v>620</v>
      </c>
      <c r="V1" s="1" t="s">
        <v>621</v>
      </c>
      <c r="W1" s="1" t="s">
        <v>622</v>
      </c>
      <c r="X1" s="1" t="s">
        <v>623</v>
      </c>
      <c r="Y1" s="1" t="s">
        <v>624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460</v>
      </c>
      <c r="D2" s="23" t="s">
        <v>880</v>
      </c>
      <c r="E2" s="23" t="s">
        <v>1048</v>
      </c>
      <c r="F2" s="2" t="s">
        <v>149</v>
      </c>
      <c r="G2" s="23" t="s">
        <v>150</v>
      </c>
      <c r="H2" s="23" t="s">
        <v>660</v>
      </c>
      <c r="I2" s="23" t="s">
        <v>667</v>
      </c>
      <c r="M2" s="23" t="s">
        <v>671</v>
      </c>
      <c r="N2" s="1" t="s">
        <v>594</v>
      </c>
      <c r="O2" s="1" t="s">
        <v>549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461</v>
      </c>
      <c r="D3" s="23" t="s">
        <v>881</v>
      </c>
      <c r="E3" s="23" t="s">
        <v>1049</v>
      </c>
      <c r="F3" s="2" t="s">
        <v>129</v>
      </c>
      <c r="G3" s="23" t="s">
        <v>130</v>
      </c>
      <c r="H3" s="23" t="s">
        <v>661</v>
      </c>
      <c r="I3" s="23" t="s">
        <v>669</v>
      </c>
      <c r="K3" s="23" t="s">
        <v>668</v>
      </c>
      <c r="L3" s="23" t="s">
        <v>1300</v>
      </c>
      <c r="M3" s="23" t="s">
        <v>779</v>
      </c>
      <c r="O3" s="1" t="s">
        <v>549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462</v>
      </c>
      <c r="D4" s="23" t="s">
        <v>59</v>
      </c>
      <c r="E4" s="23" t="s">
        <v>60</v>
      </c>
      <c r="F4" s="2" t="s">
        <v>61</v>
      </c>
      <c r="G4" s="23" t="s">
        <v>62</v>
      </c>
      <c r="H4" s="23" t="s">
        <v>661</v>
      </c>
      <c r="I4" s="23" t="s">
        <v>780</v>
      </c>
      <c r="J4" s="23" t="s">
        <v>738</v>
      </c>
      <c r="K4" s="23" t="s">
        <v>672</v>
      </c>
      <c r="M4" s="23" t="s">
        <v>781</v>
      </c>
      <c r="N4" s="1" t="s">
        <v>595</v>
      </c>
      <c r="O4" s="1" t="s">
        <v>549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142</v>
      </c>
      <c r="D5" s="23" t="s">
        <v>882</v>
      </c>
      <c r="E5" s="23" t="s">
        <v>1050</v>
      </c>
      <c r="F5" s="2" t="s">
        <v>143</v>
      </c>
      <c r="G5" s="23" t="s">
        <v>144</v>
      </c>
      <c r="H5" s="23" t="s">
        <v>660</v>
      </c>
      <c r="I5" s="23" t="s">
        <v>678</v>
      </c>
      <c r="L5" s="23" t="s">
        <v>1302</v>
      </c>
      <c r="O5" s="1" t="s">
        <v>549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230</v>
      </c>
      <c r="D6" s="23" t="s">
        <v>883</v>
      </c>
      <c r="E6" s="23" t="s">
        <v>1051</v>
      </c>
      <c r="F6" s="2" t="s">
        <v>231</v>
      </c>
      <c r="G6" s="23" t="s">
        <v>232</v>
      </c>
      <c r="H6" s="23" t="s">
        <v>660</v>
      </c>
      <c r="I6" s="23" t="s">
        <v>1233</v>
      </c>
      <c r="J6" s="23" t="s">
        <v>739</v>
      </c>
      <c r="L6" s="23" t="s">
        <v>1301</v>
      </c>
      <c r="M6" s="23" t="s">
        <v>679</v>
      </c>
      <c r="O6" s="1" t="s">
        <v>549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110</v>
      </c>
      <c r="D7" s="23" t="s">
        <v>111</v>
      </c>
      <c r="E7" s="23" t="s">
        <v>110</v>
      </c>
      <c r="F7" s="2" t="s">
        <v>112</v>
      </c>
      <c r="G7" s="23" t="s">
        <v>113</v>
      </c>
      <c r="H7" s="23" t="s">
        <v>682</v>
      </c>
      <c r="I7" s="23" t="s">
        <v>669</v>
      </c>
      <c r="O7" s="1" t="s">
        <v>549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197</v>
      </c>
      <c r="D8" s="23" t="s">
        <v>884</v>
      </c>
      <c r="E8" s="23" t="s">
        <v>1052</v>
      </c>
      <c r="F8" s="2" t="s">
        <v>198</v>
      </c>
      <c r="G8" s="23" t="s">
        <v>199</v>
      </c>
      <c r="H8" s="23" t="s">
        <v>684</v>
      </c>
      <c r="I8" s="23" t="s">
        <v>675</v>
      </c>
      <c r="L8" s="23" t="s">
        <v>1300</v>
      </c>
      <c r="M8" s="23" t="s">
        <v>686</v>
      </c>
      <c r="N8" s="1" t="s">
        <v>594</v>
      </c>
      <c r="O8" s="1" t="s">
        <v>549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248</v>
      </c>
      <c r="D9" s="23" t="s">
        <v>885</v>
      </c>
      <c r="E9" s="23" t="s">
        <v>1053</v>
      </c>
      <c r="F9" s="2" t="s">
        <v>249</v>
      </c>
      <c r="G9" s="23" t="s">
        <v>250</v>
      </c>
      <c r="H9" s="23" t="s">
        <v>660</v>
      </c>
      <c r="I9" s="23" t="s">
        <v>782</v>
      </c>
      <c r="M9" s="23" t="s">
        <v>679</v>
      </c>
      <c r="O9" s="1" t="s">
        <v>549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194</v>
      </c>
      <c r="D10" s="23" t="s">
        <v>886</v>
      </c>
      <c r="E10" s="23" t="s">
        <v>1054</v>
      </c>
      <c r="F10" s="2" t="s">
        <v>195</v>
      </c>
      <c r="G10" s="23" t="s">
        <v>196</v>
      </c>
      <c r="H10" s="23" t="s">
        <v>660</v>
      </c>
      <c r="I10" s="23" t="s">
        <v>669</v>
      </c>
      <c r="J10" s="23" t="s">
        <v>740</v>
      </c>
      <c r="L10" s="23" t="s">
        <v>1298</v>
      </c>
      <c r="M10" s="23" t="s">
        <v>697</v>
      </c>
      <c r="O10" s="1" t="s">
        <v>549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80</v>
      </c>
      <c r="D11" s="23" t="s">
        <v>81</v>
      </c>
      <c r="E11" s="23" t="s">
        <v>82</v>
      </c>
      <c r="F11" s="2" t="s">
        <v>83</v>
      </c>
      <c r="G11" s="23" t="s">
        <v>84</v>
      </c>
      <c r="H11" s="23" t="s">
        <v>661</v>
      </c>
      <c r="I11" s="23" t="s">
        <v>783</v>
      </c>
      <c r="M11" s="23" t="s">
        <v>698</v>
      </c>
      <c r="O11" s="1" t="s">
        <v>549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234</v>
      </c>
      <c r="D12" s="23" t="s">
        <v>887</v>
      </c>
      <c r="E12" s="23" t="s">
        <v>1055</v>
      </c>
      <c r="F12" s="2" t="s">
        <v>235</v>
      </c>
      <c r="G12" s="23" t="s">
        <v>236</v>
      </c>
      <c r="H12" s="23" t="s">
        <v>660</v>
      </c>
      <c r="I12" s="23" t="s">
        <v>669</v>
      </c>
      <c r="K12" s="23" t="s">
        <v>701</v>
      </c>
      <c r="L12" s="23" t="s">
        <v>1300</v>
      </c>
      <c r="N12" s="1" t="s">
        <v>631</v>
      </c>
      <c r="O12" s="1" t="s">
        <v>549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274</v>
      </c>
      <c r="D13" s="23" t="s">
        <v>888</v>
      </c>
      <c r="E13" s="23" t="s">
        <v>1056</v>
      </c>
      <c r="F13" s="23" t="s">
        <v>279</v>
      </c>
      <c r="G13" s="23" t="s">
        <v>275</v>
      </c>
      <c r="H13" s="23" t="s">
        <v>660</v>
      </c>
      <c r="L13" s="23" t="s">
        <v>1302</v>
      </c>
      <c r="N13" s="1" t="s">
        <v>592</v>
      </c>
      <c r="O13" s="1" t="s">
        <v>549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214</v>
      </c>
      <c r="D14" s="23" t="s">
        <v>215</v>
      </c>
      <c r="E14" s="23" t="s">
        <v>216</v>
      </c>
      <c r="F14" s="2" t="s">
        <v>217</v>
      </c>
      <c r="G14" s="23" t="s">
        <v>218</v>
      </c>
      <c r="H14" s="23" t="s">
        <v>660</v>
      </c>
      <c r="I14" s="23" t="s">
        <v>703</v>
      </c>
      <c r="J14" s="23" t="s">
        <v>741</v>
      </c>
      <c r="M14" s="23" t="s">
        <v>704</v>
      </c>
      <c r="O14" s="1" t="s">
        <v>549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233</v>
      </c>
      <c r="D15" s="23" t="s">
        <v>889</v>
      </c>
      <c r="E15" s="23" t="s">
        <v>1057</v>
      </c>
      <c r="F15" s="2" t="s">
        <v>231</v>
      </c>
      <c r="G15" s="23" t="s">
        <v>232</v>
      </c>
      <c r="H15" s="23" t="s">
        <v>661</v>
      </c>
      <c r="I15" s="23" t="s">
        <v>784</v>
      </c>
      <c r="K15" s="23" t="s">
        <v>680</v>
      </c>
      <c r="M15" s="23" t="s">
        <v>681</v>
      </c>
      <c r="O15" s="1" t="s">
        <v>549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73</v>
      </c>
      <c r="D16" s="23" t="s">
        <v>74</v>
      </c>
      <c r="E16" s="23" t="s">
        <v>75</v>
      </c>
      <c r="F16" s="2" t="s">
        <v>76</v>
      </c>
      <c r="G16" s="23" t="s">
        <v>77</v>
      </c>
      <c r="H16" s="23" t="s">
        <v>660</v>
      </c>
      <c r="I16" s="23" t="s">
        <v>705</v>
      </c>
      <c r="K16" s="23" t="s">
        <v>706</v>
      </c>
      <c r="M16" s="23" t="s">
        <v>677</v>
      </c>
      <c r="N16" s="1" t="s">
        <v>594</v>
      </c>
      <c r="O16" s="1" t="s">
        <v>549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593</v>
      </c>
      <c r="D17" s="23" t="s">
        <v>890</v>
      </c>
      <c r="E17" s="23" t="s">
        <v>1058</v>
      </c>
      <c r="F17" s="15" t="s">
        <v>611</v>
      </c>
      <c r="G17" s="23" t="s">
        <v>276</v>
      </c>
      <c r="H17" s="23" t="s">
        <v>684</v>
      </c>
      <c r="I17" s="23" t="s">
        <v>829</v>
      </c>
      <c r="L17" s="23" t="s">
        <v>1314</v>
      </c>
      <c r="N17" s="1" t="s">
        <v>594</v>
      </c>
      <c r="O17" s="1" t="s">
        <v>549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277</v>
      </c>
      <c r="D18" s="23" t="s">
        <v>891</v>
      </c>
      <c r="E18" s="23" t="s">
        <v>1059</v>
      </c>
      <c r="F18" s="2" t="s">
        <v>611</v>
      </c>
      <c r="G18" s="23" t="s">
        <v>276</v>
      </c>
      <c r="H18" s="23" t="s">
        <v>684</v>
      </c>
      <c r="I18" s="23" t="s">
        <v>829</v>
      </c>
      <c r="K18" s="23" t="s">
        <v>707</v>
      </c>
      <c r="L18" s="23" t="s">
        <v>1314</v>
      </c>
      <c r="N18" s="1" t="s">
        <v>594</v>
      </c>
      <c r="O18" s="1" t="s">
        <v>549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37</v>
      </c>
      <c r="D19" s="23" t="s">
        <v>38</v>
      </c>
      <c r="E19" s="23" t="s">
        <v>1060</v>
      </c>
      <c r="F19" s="15" t="s">
        <v>708</v>
      </c>
      <c r="G19" s="23" t="s">
        <v>39</v>
      </c>
      <c r="H19" s="23" t="s">
        <v>660</v>
      </c>
      <c r="L19" s="23" t="s">
        <v>1316</v>
      </c>
      <c r="N19" s="1" t="s">
        <v>595</v>
      </c>
      <c r="O19" s="1" t="s">
        <v>549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102</v>
      </c>
      <c r="D20" s="23" t="s">
        <v>892</v>
      </c>
      <c r="E20" s="23" t="s">
        <v>1061</v>
      </c>
      <c r="F20" s="2" t="s">
        <v>103</v>
      </c>
      <c r="G20" s="23" t="s">
        <v>104</v>
      </c>
      <c r="H20" s="23" t="s">
        <v>683</v>
      </c>
      <c r="I20" s="23" t="s">
        <v>785</v>
      </c>
      <c r="L20" s="23" t="s">
        <v>1302</v>
      </c>
      <c r="O20" s="1" t="s">
        <v>549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105</v>
      </c>
      <c r="D21" s="23" t="s">
        <v>893</v>
      </c>
      <c r="E21" s="23" t="s">
        <v>1062</v>
      </c>
      <c r="F21" s="2" t="s">
        <v>103</v>
      </c>
      <c r="G21" s="23" t="s">
        <v>106</v>
      </c>
      <c r="H21" s="23" t="s">
        <v>683</v>
      </c>
      <c r="I21" s="23" t="s">
        <v>785</v>
      </c>
      <c r="O21" s="1" t="s">
        <v>549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517</v>
      </c>
      <c r="D22" s="23" t="s">
        <v>894</v>
      </c>
      <c r="E22" s="23" t="s">
        <v>1063</v>
      </c>
      <c r="F22" s="2" t="s">
        <v>329</v>
      </c>
      <c r="G22" s="23" t="s">
        <v>49</v>
      </c>
      <c r="H22" s="23" t="s">
        <v>660</v>
      </c>
      <c r="I22" s="23" t="s">
        <v>710</v>
      </c>
      <c r="M22" s="23" t="s">
        <v>786</v>
      </c>
      <c r="N22" s="1" t="s">
        <v>594</v>
      </c>
      <c r="O22" s="1" t="s">
        <v>549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114</v>
      </c>
      <c r="D23" s="23" t="s">
        <v>115</v>
      </c>
      <c r="E23" s="23" t="s">
        <v>116</v>
      </c>
      <c r="F23" s="2" t="s">
        <v>117</v>
      </c>
      <c r="G23" s="23" t="s">
        <v>118</v>
      </c>
      <c r="H23" s="23" t="s">
        <v>661</v>
      </c>
      <c r="I23" s="23" t="s">
        <v>669</v>
      </c>
      <c r="K23" s="23" t="s">
        <v>745</v>
      </c>
      <c r="L23" s="23" t="s">
        <v>1309</v>
      </c>
      <c r="M23" s="23" t="s">
        <v>692</v>
      </c>
      <c r="N23" s="1" t="s">
        <v>631</v>
      </c>
      <c r="O23" s="1" t="s">
        <v>549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518</v>
      </c>
      <c r="D24" s="23" t="s">
        <v>200</v>
      </c>
      <c r="E24" s="23" t="s">
        <v>201</v>
      </c>
      <c r="F24" s="2" t="s">
        <v>198</v>
      </c>
      <c r="G24" s="23" t="s">
        <v>199</v>
      </c>
      <c r="H24" s="23" t="s">
        <v>683</v>
      </c>
      <c r="I24" s="23" t="s">
        <v>787</v>
      </c>
      <c r="L24" s="23" t="s">
        <v>1300</v>
      </c>
      <c r="N24" s="1" t="s">
        <v>594</v>
      </c>
      <c r="O24" s="1" t="s">
        <v>549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519</v>
      </c>
      <c r="D25" s="23" t="s">
        <v>151</v>
      </c>
      <c r="E25" s="23" t="s">
        <v>152</v>
      </c>
      <c r="F25" s="2" t="s">
        <v>153</v>
      </c>
      <c r="G25" s="23" t="s">
        <v>154</v>
      </c>
      <c r="H25" s="23" t="s">
        <v>661</v>
      </c>
      <c r="I25" s="23" t="s">
        <v>678</v>
      </c>
      <c r="L25" s="23" t="s">
        <v>1303</v>
      </c>
      <c r="M25" s="23" t="s">
        <v>692</v>
      </c>
      <c r="N25" s="1" t="s">
        <v>631</v>
      </c>
      <c r="O25" s="1" t="s">
        <v>549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85</v>
      </c>
      <c r="D26" s="23" t="s">
        <v>895</v>
      </c>
      <c r="E26" s="23" t="s">
        <v>1064</v>
      </c>
      <c r="F26" s="2" t="s">
        <v>86</v>
      </c>
      <c r="G26" s="23" t="s">
        <v>87</v>
      </c>
      <c r="H26" s="23" t="s">
        <v>660</v>
      </c>
      <c r="I26" s="23" t="s">
        <v>669</v>
      </c>
      <c r="K26" s="23" t="s">
        <v>750</v>
      </c>
      <c r="M26" s="23" t="s">
        <v>788</v>
      </c>
      <c r="N26" s="1" t="s">
        <v>631</v>
      </c>
      <c r="O26" s="1" t="s">
        <v>549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88</v>
      </c>
      <c r="D27" s="23" t="s">
        <v>896</v>
      </c>
      <c r="E27" s="23" t="s">
        <v>1065</v>
      </c>
      <c r="F27" s="2" t="s">
        <v>86</v>
      </c>
      <c r="G27" s="23" t="s">
        <v>89</v>
      </c>
      <c r="H27" s="23" t="s">
        <v>661</v>
      </c>
      <c r="I27" s="23" t="s">
        <v>669</v>
      </c>
      <c r="K27" s="23" t="s">
        <v>750</v>
      </c>
      <c r="M27" s="23" t="s">
        <v>752</v>
      </c>
      <c r="N27" s="1" t="s">
        <v>631</v>
      </c>
      <c r="O27" s="1" t="s">
        <v>549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46</v>
      </c>
      <c r="D28" s="23" t="s">
        <v>897</v>
      </c>
      <c r="E28" s="23" t="s">
        <v>1066</v>
      </c>
      <c r="F28" s="15" t="s">
        <v>753</v>
      </c>
      <c r="G28" s="23" t="s">
        <v>47</v>
      </c>
      <c r="H28" s="23" t="s">
        <v>683</v>
      </c>
      <c r="I28" s="23" t="s">
        <v>669</v>
      </c>
      <c r="J28" s="23" t="s">
        <v>755</v>
      </c>
      <c r="K28" s="23" t="s">
        <v>754</v>
      </c>
      <c r="N28" s="1" t="s">
        <v>594</v>
      </c>
      <c r="O28" s="1" t="s">
        <v>549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520</v>
      </c>
      <c r="D29" s="23" t="s">
        <v>898</v>
      </c>
      <c r="E29" s="23" t="s">
        <v>1067</v>
      </c>
      <c r="F29" s="2" t="s">
        <v>90</v>
      </c>
      <c r="G29" s="23" t="s">
        <v>91</v>
      </c>
      <c r="H29" s="23" t="s">
        <v>660</v>
      </c>
      <c r="I29" s="23" t="s">
        <v>669</v>
      </c>
      <c r="O29" s="1" t="s">
        <v>549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521</v>
      </c>
      <c r="D30" s="23" t="s">
        <v>899</v>
      </c>
      <c r="E30" s="23" t="s">
        <v>1068</v>
      </c>
      <c r="F30" s="2" t="s">
        <v>90</v>
      </c>
      <c r="G30" s="23" t="s">
        <v>91</v>
      </c>
      <c r="H30" s="23" t="s">
        <v>684</v>
      </c>
      <c r="I30" s="23" t="s">
        <v>669</v>
      </c>
      <c r="L30" s="23" t="s">
        <v>1311</v>
      </c>
      <c r="O30" s="1" t="s">
        <v>549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522</v>
      </c>
      <c r="D31" s="23" t="s">
        <v>244</v>
      </c>
      <c r="E31" s="23" t="s">
        <v>245</v>
      </c>
      <c r="F31" s="2" t="s">
        <v>246</v>
      </c>
      <c r="G31" s="23" t="s">
        <v>247</v>
      </c>
      <c r="H31" s="23" t="s">
        <v>660</v>
      </c>
      <c r="I31" s="23" t="s">
        <v>709</v>
      </c>
      <c r="O31" s="1" t="s">
        <v>549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523</v>
      </c>
      <c r="D32" s="23" t="s">
        <v>900</v>
      </c>
      <c r="E32" s="23" t="s">
        <v>1069</v>
      </c>
      <c r="F32" s="2" t="s">
        <v>198</v>
      </c>
      <c r="G32" s="23" t="s">
        <v>199</v>
      </c>
      <c r="H32" s="23" t="s">
        <v>660</v>
      </c>
      <c r="I32" s="23" t="s">
        <v>789</v>
      </c>
      <c r="K32" s="23" t="s">
        <v>687</v>
      </c>
      <c r="L32" s="23" t="s">
        <v>689</v>
      </c>
      <c r="M32" s="23" t="s">
        <v>690</v>
      </c>
      <c r="N32" s="1" t="s">
        <v>594</v>
      </c>
      <c r="O32" s="1" t="s">
        <v>549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175</v>
      </c>
      <c r="D33" s="23" t="s">
        <v>901</v>
      </c>
      <c r="E33" s="23" t="s">
        <v>1070</v>
      </c>
      <c r="F33" s="15" t="s">
        <v>176</v>
      </c>
      <c r="G33" s="23" t="s">
        <v>177</v>
      </c>
      <c r="H33" s="23" t="s">
        <v>661</v>
      </c>
      <c r="I33" s="23" t="s">
        <v>819</v>
      </c>
      <c r="K33" s="23" t="s">
        <v>758</v>
      </c>
      <c r="L33" s="23" t="s">
        <v>1311</v>
      </c>
      <c r="M33" s="23" t="s">
        <v>790</v>
      </c>
      <c r="N33" s="1" t="s">
        <v>631</v>
      </c>
      <c r="O33" s="1" t="s">
        <v>549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48</v>
      </c>
      <c r="D34" s="23" t="s">
        <v>902</v>
      </c>
      <c r="E34" s="23" t="s">
        <v>1071</v>
      </c>
      <c r="F34" s="2" t="s">
        <v>753</v>
      </c>
      <c r="G34" s="23" t="s">
        <v>47</v>
      </c>
      <c r="H34" s="23" t="s">
        <v>660</v>
      </c>
      <c r="I34" s="23" t="s">
        <v>669</v>
      </c>
      <c r="L34" s="23" t="s">
        <v>1310</v>
      </c>
      <c r="M34" s="23" t="s">
        <v>791</v>
      </c>
      <c r="N34" s="1" t="s">
        <v>594</v>
      </c>
      <c r="O34" s="1" t="s">
        <v>549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524</v>
      </c>
      <c r="D35" s="23" t="s">
        <v>903</v>
      </c>
      <c r="E35" s="23" t="s">
        <v>1072</v>
      </c>
      <c r="F35" s="2" t="s">
        <v>246</v>
      </c>
      <c r="G35" s="23" t="s">
        <v>247</v>
      </c>
      <c r="H35" s="23" t="s">
        <v>661</v>
      </c>
      <c r="I35" s="23" t="s">
        <v>783</v>
      </c>
      <c r="K35" s="23" t="s">
        <v>757</v>
      </c>
      <c r="L35" s="23" t="s">
        <v>1320</v>
      </c>
      <c r="M35" s="23" t="s">
        <v>681</v>
      </c>
      <c r="O35" s="1" t="s">
        <v>549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178</v>
      </c>
      <c r="D36" s="23" t="s">
        <v>904</v>
      </c>
      <c r="E36" s="23" t="s">
        <v>1073</v>
      </c>
      <c r="F36" s="2" t="s">
        <v>176</v>
      </c>
      <c r="G36" s="23" t="s">
        <v>179</v>
      </c>
      <c r="H36" s="23" t="s">
        <v>661</v>
      </c>
      <c r="I36" s="23" t="s">
        <v>747</v>
      </c>
      <c r="K36" s="23" t="s">
        <v>1321</v>
      </c>
      <c r="L36" s="23" t="s">
        <v>1303</v>
      </c>
      <c r="M36" s="23" t="s">
        <v>760</v>
      </c>
      <c r="N36" s="1" t="s">
        <v>631</v>
      </c>
      <c r="O36" s="1" t="s">
        <v>549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71</v>
      </c>
      <c r="D37" s="23" t="s">
        <v>905</v>
      </c>
      <c r="E37" s="23" t="s">
        <v>1074</v>
      </c>
      <c r="F37" s="15" t="s">
        <v>72</v>
      </c>
      <c r="G37" s="23" t="s">
        <v>1219</v>
      </c>
      <c r="H37" s="23" t="s">
        <v>661</v>
      </c>
      <c r="I37" s="23" t="s">
        <v>669</v>
      </c>
      <c r="K37" s="23" t="s">
        <v>749</v>
      </c>
      <c r="L37" s="23" t="s">
        <v>1298</v>
      </c>
      <c r="N37" s="1" t="s">
        <v>594</v>
      </c>
      <c r="O37" s="1" t="s">
        <v>549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525</v>
      </c>
      <c r="D38" s="23" t="s">
        <v>906</v>
      </c>
      <c r="E38" s="23" t="s">
        <v>1075</v>
      </c>
      <c r="F38" s="2" t="s">
        <v>167</v>
      </c>
      <c r="G38" s="23" t="s">
        <v>168</v>
      </c>
      <c r="H38" s="23" t="s">
        <v>660</v>
      </c>
      <c r="I38" s="23" t="s">
        <v>678</v>
      </c>
      <c r="K38" s="23" t="s">
        <v>792</v>
      </c>
      <c r="M38" s="23" t="s">
        <v>765</v>
      </c>
      <c r="N38" s="1" t="s">
        <v>631</v>
      </c>
      <c r="O38" s="1" t="s">
        <v>549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219</v>
      </c>
      <c r="D39" s="23" t="s">
        <v>220</v>
      </c>
      <c r="E39" s="23" t="s">
        <v>221</v>
      </c>
      <c r="F39" s="2" t="s">
        <v>222</v>
      </c>
      <c r="G39" s="23" t="s">
        <v>223</v>
      </c>
      <c r="H39" s="23" t="s">
        <v>661</v>
      </c>
      <c r="I39" s="23" t="s">
        <v>669</v>
      </c>
      <c r="O39" s="1" t="s">
        <v>549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661</v>
      </c>
      <c r="I40" s="23" t="s">
        <v>669</v>
      </c>
      <c r="K40" s="23" t="s">
        <v>761</v>
      </c>
      <c r="N40" s="1" t="s">
        <v>595</v>
      </c>
      <c r="O40" s="1" t="s">
        <v>549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107</v>
      </c>
      <c r="D41" s="23" t="s">
        <v>907</v>
      </c>
      <c r="E41" s="23" t="s">
        <v>1076</v>
      </c>
      <c r="F41" s="30" t="s">
        <v>108</v>
      </c>
      <c r="G41" s="23" t="s">
        <v>109</v>
      </c>
      <c r="H41" s="23" t="s">
        <v>661</v>
      </c>
      <c r="I41" s="23" t="s">
        <v>669</v>
      </c>
      <c r="O41" s="1" t="s">
        <v>549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119</v>
      </c>
      <c r="D42" s="23" t="s">
        <v>120</v>
      </c>
      <c r="E42" s="23" t="s">
        <v>121</v>
      </c>
      <c r="F42" s="2" t="s">
        <v>117</v>
      </c>
      <c r="G42" s="23" t="s">
        <v>118</v>
      </c>
      <c r="H42" s="23" t="s">
        <v>660</v>
      </c>
      <c r="I42" s="23" t="s">
        <v>669</v>
      </c>
      <c r="L42" s="23" t="s">
        <v>1318</v>
      </c>
      <c r="M42" s="23" t="s">
        <v>746</v>
      </c>
      <c r="N42" s="1" t="s">
        <v>631</v>
      </c>
      <c r="O42" s="1" t="s">
        <v>549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92</v>
      </c>
      <c r="D43" s="23" t="s">
        <v>93</v>
      </c>
      <c r="E43" s="23" t="s">
        <v>94</v>
      </c>
      <c r="F43" s="15" t="s">
        <v>95</v>
      </c>
      <c r="G43" s="23" t="s">
        <v>96</v>
      </c>
      <c r="H43" s="23" t="s">
        <v>661</v>
      </c>
      <c r="I43" s="23" t="s">
        <v>669</v>
      </c>
      <c r="N43" s="1" t="s">
        <v>631</v>
      </c>
      <c r="O43" s="1" t="s">
        <v>549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526</v>
      </c>
      <c r="D44" s="23" t="s">
        <v>908</v>
      </c>
      <c r="E44" s="23" t="s">
        <v>1077</v>
      </c>
      <c r="F44" s="27" t="s">
        <v>57</v>
      </c>
      <c r="G44" s="23" t="s">
        <v>58</v>
      </c>
      <c r="H44" s="23" t="s">
        <v>661</v>
      </c>
      <c r="I44" s="23" t="s">
        <v>793</v>
      </c>
      <c r="J44" s="23" t="s">
        <v>772</v>
      </c>
      <c r="M44" s="23" t="s">
        <v>794</v>
      </c>
      <c r="N44" s="1" t="s">
        <v>595</v>
      </c>
      <c r="O44" s="1" t="s">
        <v>549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527</v>
      </c>
      <c r="D45" s="23" t="s">
        <v>253</v>
      </c>
      <c r="E45" s="23" t="s">
        <v>254</v>
      </c>
      <c r="F45" s="2" t="s">
        <v>255</v>
      </c>
      <c r="G45" s="23" t="s">
        <v>256</v>
      </c>
      <c r="H45" s="23" t="s">
        <v>660</v>
      </c>
      <c r="I45" s="23" t="s">
        <v>669</v>
      </c>
      <c r="K45" s="23" t="s">
        <v>761</v>
      </c>
      <c r="L45" s="23" t="s">
        <v>1301</v>
      </c>
      <c r="O45" s="1" t="s">
        <v>549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528</v>
      </c>
      <c r="D46" s="23" t="s">
        <v>909</v>
      </c>
      <c r="E46" s="23" t="s">
        <v>1078</v>
      </c>
      <c r="F46" s="2" t="s">
        <v>66</v>
      </c>
      <c r="G46" s="23" t="s">
        <v>67</v>
      </c>
      <c r="H46" s="23" t="s">
        <v>660</v>
      </c>
      <c r="I46" s="23" t="s">
        <v>669</v>
      </c>
      <c r="K46" s="23" t="s">
        <v>795</v>
      </c>
      <c r="L46" s="23" t="s">
        <v>1306</v>
      </c>
      <c r="N46" s="1" t="s">
        <v>594</v>
      </c>
      <c r="O46" s="1" t="s">
        <v>549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529</v>
      </c>
      <c r="D47" s="23" t="s">
        <v>910</v>
      </c>
      <c r="E47" s="23" t="s">
        <v>1079</v>
      </c>
      <c r="F47" s="2" t="s">
        <v>158</v>
      </c>
      <c r="G47" s="23" t="s">
        <v>159</v>
      </c>
      <c r="O47" s="1" t="s">
        <v>549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530</v>
      </c>
      <c r="D48" s="23" t="s">
        <v>169</v>
      </c>
      <c r="E48" s="23" t="s">
        <v>170</v>
      </c>
      <c r="F48" s="2" t="s">
        <v>167</v>
      </c>
      <c r="G48" s="23" t="s">
        <v>168</v>
      </c>
      <c r="H48" s="23" t="s">
        <v>660</v>
      </c>
      <c r="I48" s="23" t="s">
        <v>766</v>
      </c>
      <c r="L48" s="23" t="s">
        <v>1304</v>
      </c>
      <c r="M48" s="23" t="s">
        <v>796</v>
      </c>
      <c r="N48" s="1" t="s">
        <v>631</v>
      </c>
      <c r="O48" s="1" t="s">
        <v>549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531</v>
      </c>
      <c r="D49" s="23" t="s">
        <v>163</v>
      </c>
      <c r="E49" s="23" t="s">
        <v>164</v>
      </c>
      <c r="F49" s="2" t="s">
        <v>165</v>
      </c>
      <c r="G49" s="23" t="s">
        <v>166</v>
      </c>
      <c r="O49" s="1" t="s">
        <v>549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131</v>
      </c>
      <c r="D50" s="23" t="s">
        <v>131</v>
      </c>
      <c r="E50" s="23" t="s">
        <v>132</v>
      </c>
      <c r="F50" s="2" t="s">
        <v>129</v>
      </c>
      <c r="G50" s="23" t="s">
        <v>133</v>
      </c>
      <c r="O50" s="1" t="s">
        <v>549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532</v>
      </c>
      <c r="D51" s="23" t="s">
        <v>911</v>
      </c>
      <c r="E51" s="23" t="s">
        <v>1080</v>
      </c>
      <c r="F51" s="2" t="s">
        <v>262</v>
      </c>
      <c r="G51" s="23" t="s">
        <v>263</v>
      </c>
      <c r="O51" s="1" t="s">
        <v>549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533</v>
      </c>
      <c r="D52" s="23" t="s">
        <v>912</v>
      </c>
      <c r="E52" s="23" t="s">
        <v>1081</v>
      </c>
      <c r="F52" s="2" t="s">
        <v>238</v>
      </c>
      <c r="G52" s="23" t="s">
        <v>239</v>
      </c>
      <c r="O52" s="1" t="s">
        <v>549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534</v>
      </c>
      <c r="D53" s="23" t="s">
        <v>171</v>
      </c>
      <c r="E53" s="23" t="s">
        <v>172</v>
      </c>
      <c r="F53" s="2" t="s">
        <v>167</v>
      </c>
      <c r="G53" s="23" t="s">
        <v>168</v>
      </c>
      <c r="H53" s="23" t="s">
        <v>661</v>
      </c>
      <c r="I53" s="23" t="s">
        <v>678</v>
      </c>
      <c r="K53" s="23" t="s">
        <v>763</v>
      </c>
      <c r="N53" s="1" t="s">
        <v>631</v>
      </c>
      <c r="O53" s="1" t="s">
        <v>549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535</v>
      </c>
      <c r="D54" s="23" t="s">
        <v>913</v>
      </c>
      <c r="E54" s="23" t="s">
        <v>1082</v>
      </c>
      <c r="F54" s="15" t="s">
        <v>662</v>
      </c>
      <c r="G54" s="23" t="s">
        <v>53</v>
      </c>
      <c r="N54" s="1" t="s">
        <v>595</v>
      </c>
      <c r="O54" s="1" t="s">
        <v>549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536</v>
      </c>
      <c r="D55" s="23" t="s">
        <v>97</v>
      </c>
      <c r="E55" s="23" t="s">
        <v>98</v>
      </c>
      <c r="F55" s="2" t="s">
        <v>95</v>
      </c>
      <c r="G55" s="28" t="s">
        <v>96</v>
      </c>
      <c r="H55" s="28" t="s">
        <v>660</v>
      </c>
      <c r="I55" s="28" t="s">
        <v>669</v>
      </c>
      <c r="J55" s="28"/>
      <c r="K55" s="28"/>
      <c r="L55" s="28"/>
      <c r="M55" s="28" t="s">
        <v>797</v>
      </c>
      <c r="N55" s="1" t="s">
        <v>631</v>
      </c>
      <c r="O55" s="1" t="s">
        <v>549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537</v>
      </c>
      <c r="D56" s="23" t="s">
        <v>210</v>
      </c>
      <c r="E56" s="23" t="s">
        <v>211</v>
      </c>
      <c r="F56" s="2" t="s">
        <v>212</v>
      </c>
      <c r="G56" s="23" t="s">
        <v>213</v>
      </c>
      <c r="O56" s="1" t="s">
        <v>549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145</v>
      </c>
      <c r="D57" s="23" t="s">
        <v>145</v>
      </c>
      <c r="E57" s="23" t="s">
        <v>146</v>
      </c>
      <c r="F57" s="2" t="s">
        <v>147</v>
      </c>
      <c r="G57" s="23" t="s">
        <v>148</v>
      </c>
      <c r="O57" s="1" t="s">
        <v>549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538</v>
      </c>
      <c r="D58" s="23" t="s">
        <v>914</v>
      </c>
      <c r="E58" s="23" t="s">
        <v>1083</v>
      </c>
      <c r="F58" s="2" t="s">
        <v>43</v>
      </c>
      <c r="G58" s="23" t="s">
        <v>44</v>
      </c>
      <c r="N58" s="1" t="s">
        <v>595</v>
      </c>
      <c r="O58" s="1" t="s">
        <v>549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539</v>
      </c>
      <c r="D59" s="23" t="s">
        <v>915</v>
      </c>
      <c r="E59" s="23" t="s">
        <v>1084</v>
      </c>
      <c r="F59" s="2" t="s">
        <v>43</v>
      </c>
      <c r="G59" s="23" t="s">
        <v>44</v>
      </c>
      <c r="N59" s="1" t="s">
        <v>595</v>
      </c>
      <c r="O59" s="1" t="s">
        <v>549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188</v>
      </c>
      <c r="D60" s="23" t="s">
        <v>916</v>
      </c>
      <c r="E60" s="23" t="s">
        <v>1085</v>
      </c>
      <c r="F60" s="2" t="s">
        <v>189</v>
      </c>
      <c r="G60" s="23" t="s">
        <v>190</v>
      </c>
      <c r="O60" s="1" t="s">
        <v>549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917</v>
      </c>
      <c r="E61" s="23" t="s">
        <v>1086</v>
      </c>
      <c r="F61" s="2" t="s">
        <v>20</v>
      </c>
      <c r="G61" s="23" t="s">
        <v>23</v>
      </c>
      <c r="H61" s="23" t="s">
        <v>661</v>
      </c>
      <c r="I61" s="23" t="s">
        <v>769</v>
      </c>
      <c r="J61" s="23" t="s">
        <v>770</v>
      </c>
      <c r="N61" s="1" t="s">
        <v>595</v>
      </c>
      <c r="O61" s="1" t="s">
        <v>549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563</v>
      </c>
      <c r="D62" s="23" t="s">
        <v>918</v>
      </c>
      <c r="E62" s="23" t="s">
        <v>1087</v>
      </c>
      <c r="F62" s="2" t="s">
        <v>191</v>
      </c>
      <c r="G62" s="23" t="s">
        <v>192</v>
      </c>
      <c r="O62" s="1" t="s">
        <v>549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470</v>
      </c>
      <c r="D63" s="23" t="s">
        <v>919</v>
      </c>
      <c r="E63" s="23" t="s">
        <v>1088</v>
      </c>
      <c r="F63" s="15" t="s">
        <v>122</v>
      </c>
      <c r="G63" s="24" t="s">
        <v>778</v>
      </c>
      <c r="H63" s="23" t="s">
        <v>661</v>
      </c>
      <c r="I63" s="23" t="s">
        <v>831</v>
      </c>
      <c r="J63" s="23" t="s">
        <v>775</v>
      </c>
      <c r="K63" s="23" t="s">
        <v>761</v>
      </c>
      <c r="L63" s="24" t="s">
        <v>1302</v>
      </c>
      <c r="M63" s="23" t="s">
        <v>779</v>
      </c>
      <c r="N63" s="1" t="s">
        <v>631</v>
      </c>
      <c r="O63" s="1" t="s">
        <v>549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564</v>
      </c>
      <c r="D64" s="23" t="s">
        <v>920</v>
      </c>
      <c r="E64" s="23" t="s">
        <v>1089</v>
      </c>
      <c r="F64" s="26" t="s">
        <v>55</v>
      </c>
      <c r="G64" s="23" t="s">
        <v>56</v>
      </c>
      <c r="N64" s="1" t="s">
        <v>594</v>
      </c>
      <c r="O64" s="1" t="s">
        <v>549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565</v>
      </c>
      <c r="D65" s="23" t="s">
        <v>78</v>
      </c>
      <c r="E65" s="23" t="s">
        <v>79</v>
      </c>
      <c r="F65" s="2" t="s">
        <v>76</v>
      </c>
      <c r="G65" s="23" t="s">
        <v>77</v>
      </c>
      <c r="H65" s="23" t="s">
        <v>661</v>
      </c>
      <c r="I65" s="23" t="s">
        <v>678</v>
      </c>
      <c r="L65" s="23" t="s">
        <v>1302</v>
      </c>
      <c r="N65" s="1" t="s">
        <v>594</v>
      </c>
      <c r="O65" s="1" t="s">
        <v>549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566</v>
      </c>
      <c r="D66" s="23" t="s">
        <v>921</v>
      </c>
      <c r="E66" s="23" t="s">
        <v>1090</v>
      </c>
      <c r="F66" s="27" t="s">
        <v>57</v>
      </c>
      <c r="G66" s="23" t="s">
        <v>58</v>
      </c>
      <c r="H66" s="23" t="s">
        <v>660</v>
      </c>
      <c r="I66" s="23" t="s">
        <v>696</v>
      </c>
      <c r="M66" s="23" t="s">
        <v>798</v>
      </c>
      <c r="N66" s="1" t="s">
        <v>595</v>
      </c>
      <c r="O66" s="1" t="s">
        <v>549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567</v>
      </c>
      <c r="D67" s="23" t="s">
        <v>922</v>
      </c>
      <c r="E67" s="23" t="s">
        <v>1091</v>
      </c>
      <c r="F67" s="2" t="s">
        <v>272</v>
      </c>
      <c r="G67" s="23" t="s">
        <v>273</v>
      </c>
      <c r="O67" s="1" t="s">
        <v>549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568</v>
      </c>
      <c r="D68" s="23" t="s">
        <v>923</v>
      </c>
      <c r="E68" s="23" t="s">
        <v>1092</v>
      </c>
      <c r="F68" s="2" t="s">
        <v>158</v>
      </c>
      <c r="G68" s="23" t="s">
        <v>159</v>
      </c>
      <c r="O68" s="1" t="s">
        <v>549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45</v>
      </c>
      <c r="D69" s="23" t="s">
        <v>924</v>
      </c>
      <c r="E69" s="23" t="s">
        <v>1093</v>
      </c>
      <c r="F69" s="2" t="s">
        <v>43</v>
      </c>
      <c r="G69" s="23" t="s">
        <v>44</v>
      </c>
      <c r="N69" s="1" t="s">
        <v>595</v>
      </c>
      <c r="O69" s="1" t="s">
        <v>549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569</v>
      </c>
      <c r="D70" s="23" t="s">
        <v>925</v>
      </c>
      <c r="E70" s="23" t="s">
        <v>1094</v>
      </c>
      <c r="F70" s="2" t="s">
        <v>262</v>
      </c>
      <c r="G70" s="23" t="s">
        <v>263</v>
      </c>
      <c r="O70" s="1" t="s">
        <v>549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570</v>
      </c>
      <c r="D71" s="23" t="s">
        <v>926</v>
      </c>
      <c r="E71" s="23" t="s">
        <v>1095</v>
      </c>
      <c r="F71" s="2" t="s">
        <v>272</v>
      </c>
      <c r="G71" s="23" t="s">
        <v>273</v>
      </c>
      <c r="O71" s="1" t="s">
        <v>549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571</v>
      </c>
      <c r="D72" s="23" t="s">
        <v>927</v>
      </c>
      <c r="E72" s="23" t="s">
        <v>1096</v>
      </c>
      <c r="F72" s="2" t="s">
        <v>224</v>
      </c>
      <c r="G72" s="23" t="s">
        <v>225</v>
      </c>
      <c r="O72" s="1" t="s">
        <v>549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572</v>
      </c>
      <c r="D73" s="23" t="s">
        <v>928</v>
      </c>
      <c r="E73" s="23" t="s">
        <v>1097</v>
      </c>
      <c r="F73" s="2" t="s">
        <v>224</v>
      </c>
      <c r="G73" s="23" t="s">
        <v>225</v>
      </c>
      <c r="O73" s="1" t="s">
        <v>549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573</v>
      </c>
      <c r="D74" s="23" t="s">
        <v>929</v>
      </c>
      <c r="E74" s="23" t="s">
        <v>1098</v>
      </c>
      <c r="F74" s="2" t="s">
        <v>123</v>
      </c>
      <c r="G74" s="23" t="s">
        <v>124</v>
      </c>
      <c r="O74" s="1" t="s">
        <v>549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40</v>
      </c>
      <c r="D75" s="23" t="s">
        <v>930</v>
      </c>
      <c r="E75" s="23" t="s">
        <v>1099</v>
      </c>
      <c r="F75" s="2" t="s">
        <v>41</v>
      </c>
      <c r="G75" s="23" t="s">
        <v>42</v>
      </c>
      <c r="N75" s="1" t="s">
        <v>594</v>
      </c>
      <c r="O75" s="1" t="s">
        <v>549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574</v>
      </c>
      <c r="D76" s="23" t="s">
        <v>202</v>
      </c>
      <c r="E76" s="23" t="s">
        <v>203</v>
      </c>
      <c r="F76" s="2" t="s">
        <v>198</v>
      </c>
      <c r="G76" s="23" t="s">
        <v>199</v>
      </c>
      <c r="H76" s="23" t="s">
        <v>660</v>
      </c>
      <c r="I76" s="23" t="s">
        <v>691</v>
      </c>
      <c r="L76" s="23" t="s">
        <v>688</v>
      </c>
      <c r="N76" s="1" t="s">
        <v>594</v>
      </c>
      <c r="O76" s="1" t="s">
        <v>549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264</v>
      </c>
      <c r="D77" s="23" t="s">
        <v>265</v>
      </c>
      <c r="E77" s="23" t="s">
        <v>266</v>
      </c>
      <c r="F77" s="2" t="s">
        <v>267</v>
      </c>
      <c r="G77" s="23" t="s">
        <v>268</v>
      </c>
      <c r="O77" s="1" t="s">
        <v>549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29</v>
      </c>
      <c r="D78" s="23" t="s">
        <v>931</v>
      </c>
      <c r="E78" s="23" t="s">
        <v>1100</v>
      </c>
      <c r="F78" s="2" t="s">
        <v>30</v>
      </c>
      <c r="G78" s="23" t="s">
        <v>31</v>
      </c>
      <c r="N78" s="1" t="s">
        <v>594</v>
      </c>
      <c r="O78" s="1" t="s">
        <v>549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193</v>
      </c>
      <c r="D79" s="23" t="s">
        <v>932</v>
      </c>
      <c r="E79" s="23" t="s">
        <v>1101</v>
      </c>
      <c r="F79" s="2" t="s">
        <v>191</v>
      </c>
      <c r="G79" s="23" t="s">
        <v>192</v>
      </c>
      <c r="O79" s="1" t="s">
        <v>549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24</v>
      </c>
      <c r="D80" s="23" t="s">
        <v>933</v>
      </c>
      <c r="E80" s="23" t="s">
        <v>1102</v>
      </c>
      <c r="F80" s="2" t="s">
        <v>20</v>
      </c>
      <c r="G80" s="23" t="s">
        <v>25</v>
      </c>
      <c r="H80" s="23" t="s">
        <v>660</v>
      </c>
      <c r="I80" s="23" t="s">
        <v>1233</v>
      </c>
      <c r="J80" s="23" t="s">
        <v>771</v>
      </c>
      <c r="L80" s="23" t="s">
        <v>688</v>
      </c>
      <c r="M80" s="23" t="s">
        <v>799</v>
      </c>
      <c r="N80" s="1" t="s">
        <v>595</v>
      </c>
      <c r="O80" s="1" t="s">
        <v>549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134</v>
      </c>
      <c r="D81" s="23" t="s">
        <v>934</v>
      </c>
      <c r="E81" s="23" t="s">
        <v>1103</v>
      </c>
      <c r="F81" s="2" t="s">
        <v>135</v>
      </c>
      <c r="G81" s="23" t="s">
        <v>136</v>
      </c>
      <c r="O81" s="1" t="s">
        <v>549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180</v>
      </c>
      <c r="D82" s="23" t="s">
        <v>181</v>
      </c>
      <c r="E82" s="23" t="s">
        <v>182</v>
      </c>
      <c r="F82" s="2" t="s">
        <v>176</v>
      </c>
      <c r="G82" s="23" t="s">
        <v>183</v>
      </c>
      <c r="H82" s="23" t="s">
        <v>684</v>
      </c>
      <c r="I82" s="23" t="s">
        <v>747</v>
      </c>
      <c r="J82" s="23" t="s">
        <v>800</v>
      </c>
      <c r="M82" s="23" t="s">
        <v>872</v>
      </c>
      <c r="N82" s="1" t="s">
        <v>631</v>
      </c>
      <c r="O82" s="1" t="s">
        <v>549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226</v>
      </c>
      <c r="D83" s="23" t="s">
        <v>935</v>
      </c>
      <c r="E83" s="23" t="s">
        <v>1104</v>
      </c>
      <c r="F83" s="2" t="s">
        <v>227</v>
      </c>
      <c r="G83" s="23" t="s">
        <v>228</v>
      </c>
      <c r="O83" s="1" t="s">
        <v>549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229</v>
      </c>
      <c r="D84" s="23" t="s">
        <v>936</v>
      </c>
      <c r="E84" s="23" t="s">
        <v>1105</v>
      </c>
      <c r="F84" s="2" t="s">
        <v>227</v>
      </c>
      <c r="G84" s="23" t="s">
        <v>228</v>
      </c>
      <c r="O84" s="1" t="s">
        <v>549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125</v>
      </c>
      <c r="D85" s="23" t="s">
        <v>126</v>
      </c>
      <c r="E85" s="23" t="s">
        <v>127</v>
      </c>
      <c r="F85" s="2" t="s">
        <v>123</v>
      </c>
      <c r="G85" s="23" t="s">
        <v>128</v>
      </c>
      <c r="O85" s="1" t="s">
        <v>549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278</v>
      </c>
      <c r="D86" s="23" t="s">
        <v>937</v>
      </c>
      <c r="E86" s="23" t="s">
        <v>1106</v>
      </c>
      <c r="F86" s="23" t="s">
        <v>279</v>
      </c>
      <c r="G86" s="23" t="str">
        <f>テーブル1[[#This Row],[名前]]&amp;"(UTAU)"</f>
        <v>覗キ視炉(UTAU)</v>
      </c>
      <c r="N86" s="1" t="s">
        <v>594</v>
      </c>
      <c r="O86" s="1" t="s">
        <v>549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204</v>
      </c>
      <c r="D87" s="23" t="s">
        <v>205</v>
      </c>
      <c r="E87" s="23" t="s">
        <v>1107</v>
      </c>
      <c r="F87" s="2" t="s">
        <v>198</v>
      </c>
      <c r="G87" s="23" t="s">
        <v>199</v>
      </c>
      <c r="H87" s="23" t="s">
        <v>661</v>
      </c>
      <c r="I87" s="23" t="s">
        <v>789</v>
      </c>
      <c r="K87" s="23" t="s">
        <v>687</v>
      </c>
      <c r="L87" s="23" t="s">
        <v>689</v>
      </c>
      <c r="M87" s="23" t="s">
        <v>690</v>
      </c>
      <c r="N87" s="1" t="s">
        <v>594</v>
      </c>
      <c r="O87" s="1" t="s">
        <v>549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206</v>
      </c>
      <c r="D88" s="23" t="s">
        <v>207</v>
      </c>
      <c r="E88" s="23" t="s">
        <v>208</v>
      </c>
      <c r="F88" s="2" t="s">
        <v>198</v>
      </c>
      <c r="G88" s="23" t="s">
        <v>199</v>
      </c>
      <c r="H88" s="23" t="s">
        <v>661</v>
      </c>
      <c r="I88" s="23" t="s">
        <v>669</v>
      </c>
      <c r="L88" s="23" t="s">
        <v>1300</v>
      </c>
      <c r="M88" s="23" t="s">
        <v>692</v>
      </c>
      <c r="N88" s="1" t="s">
        <v>594</v>
      </c>
      <c r="O88" s="1" t="s">
        <v>549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32</v>
      </c>
      <c r="D89" s="23" t="s">
        <v>33</v>
      </c>
      <c r="E89" s="23" t="s">
        <v>34</v>
      </c>
      <c r="F89" s="2" t="s">
        <v>35</v>
      </c>
      <c r="G89" s="23" t="s">
        <v>36</v>
      </c>
      <c r="N89" s="1" t="s">
        <v>594</v>
      </c>
      <c r="O89" s="1" t="s">
        <v>549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241</v>
      </c>
      <c r="D90" s="23" t="s">
        <v>938</v>
      </c>
      <c r="E90" s="23" t="s">
        <v>1108</v>
      </c>
      <c r="F90" s="2" t="s">
        <v>242</v>
      </c>
      <c r="G90" s="23" t="s">
        <v>243</v>
      </c>
      <c r="O90" s="1" t="s">
        <v>549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184</v>
      </c>
      <c r="D91" s="23" t="s">
        <v>939</v>
      </c>
      <c r="E91" s="23" t="s">
        <v>1109</v>
      </c>
      <c r="F91" s="2" t="s">
        <v>176</v>
      </c>
      <c r="G91" s="23" t="s">
        <v>185</v>
      </c>
      <c r="H91" s="23" t="s">
        <v>660</v>
      </c>
      <c r="I91" s="23" t="s">
        <v>747</v>
      </c>
      <c r="K91" s="23" t="s">
        <v>761</v>
      </c>
      <c r="L91" s="23" t="s">
        <v>1298</v>
      </c>
      <c r="N91" s="1" t="s">
        <v>631</v>
      </c>
      <c r="O91" s="1" t="s">
        <v>549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186</v>
      </c>
      <c r="D92" s="23" t="s">
        <v>940</v>
      </c>
      <c r="E92" s="23" t="s">
        <v>1110</v>
      </c>
      <c r="F92" s="2" t="s">
        <v>176</v>
      </c>
      <c r="G92" s="23" t="s">
        <v>187</v>
      </c>
      <c r="H92" s="23" t="s">
        <v>660</v>
      </c>
      <c r="I92" s="23" t="s">
        <v>747</v>
      </c>
      <c r="K92" s="23" t="s">
        <v>759</v>
      </c>
      <c r="L92" s="23" t="s">
        <v>1298</v>
      </c>
      <c r="N92" s="1" t="s">
        <v>631</v>
      </c>
      <c r="O92" s="1" t="s">
        <v>549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68</v>
      </c>
      <c r="D93" s="23" t="s">
        <v>941</v>
      </c>
      <c r="E93" s="23" t="s">
        <v>1111</v>
      </c>
      <c r="F93" s="2" t="s">
        <v>69</v>
      </c>
      <c r="G93" s="23" t="s">
        <v>70</v>
      </c>
      <c r="N93" s="1" t="s">
        <v>594</v>
      </c>
      <c r="O93" s="1" t="s">
        <v>549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26</v>
      </c>
      <c r="D94" s="23" t="s">
        <v>27</v>
      </c>
      <c r="E94" s="23" t="s">
        <v>28</v>
      </c>
      <c r="F94" s="2" t="s">
        <v>20</v>
      </c>
      <c r="G94" s="23" t="s">
        <v>21</v>
      </c>
      <c r="H94" s="23" t="s">
        <v>660</v>
      </c>
      <c r="I94" s="23" t="s">
        <v>669</v>
      </c>
      <c r="K94" s="23" t="s">
        <v>761</v>
      </c>
      <c r="N94" s="1" t="s">
        <v>595</v>
      </c>
      <c r="O94" s="1" t="s">
        <v>549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594</v>
      </c>
      <c r="O95" s="1" t="s">
        <v>549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594</v>
      </c>
      <c r="O96" s="1" t="s">
        <v>549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173</v>
      </c>
      <c r="D97" s="23" t="s">
        <v>942</v>
      </c>
      <c r="E97" s="23" t="s">
        <v>1112</v>
      </c>
      <c r="F97" s="2" t="s">
        <v>167</v>
      </c>
      <c r="G97" s="23" t="s">
        <v>168</v>
      </c>
      <c r="H97" s="23" t="s">
        <v>660</v>
      </c>
      <c r="I97" s="23" t="s">
        <v>669</v>
      </c>
      <c r="K97" s="23" t="s">
        <v>767</v>
      </c>
      <c r="M97" s="23" t="s">
        <v>801</v>
      </c>
      <c r="N97" s="1" t="s">
        <v>631</v>
      </c>
      <c r="O97" s="1" t="s">
        <v>549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269</v>
      </c>
      <c r="D98" s="23" t="s">
        <v>943</v>
      </c>
      <c r="E98" s="23" t="s">
        <v>1113</v>
      </c>
      <c r="F98" s="2" t="s">
        <v>270</v>
      </c>
      <c r="G98" s="23" t="s">
        <v>271</v>
      </c>
      <c r="O98" s="1" t="s">
        <v>549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257</v>
      </c>
      <c r="D99" s="23" t="s">
        <v>258</v>
      </c>
      <c r="E99" s="23" t="s">
        <v>259</v>
      </c>
      <c r="F99" s="2" t="s">
        <v>255</v>
      </c>
      <c r="G99" s="23" t="s">
        <v>256</v>
      </c>
      <c r="H99" s="23" t="s">
        <v>661</v>
      </c>
      <c r="I99" s="23" t="s">
        <v>669</v>
      </c>
      <c r="M99" s="23" t="s">
        <v>773</v>
      </c>
      <c r="O99" s="1" t="s">
        <v>549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260</v>
      </c>
      <c r="D100" s="23" t="s">
        <v>944</v>
      </c>
      <c r="E100" s="23" t="s">
        <v>261</v>
      </c>
      <c r="F100" s="2" t="s">
        <v>255</v>
      </c>
      <c r="G100" s="23" t="s">
        <v>256</v>
      </c>
      <c r="H100" s="23" t="s">
        <v>684</v>
      </c>
      <c r="I100" s="23" t="s">
        <v>802</v>
      </c>
      <c r="K100" s="23" t="s">
        <v>803</v>
      </c>
      <c r="O100" s="1" t="s">
        <v>549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251</v>
      </c>
      <c r="D101" s="23" t="s">
        <v>945</v>
      </c>
      <c r="E101" s="23" t="s">
        <v>1114</v>
      </c>
      <c r="F101" s="2" t="s">
        <v>249</v>
      </c>
      <c r="G101" s="23" t="s">
        <v>252</v>
      </c>
      <c r="H101" s="23" t="s">
        <v>660</v>
      </c>
      <c r="I101" s="23" t="s">
        <v>696</v>
      </c>
      <c r="J101" s="23" t="s">
        <v>804</v>
      </c>
      <c r="K101" s="23" t="s">
        <v>756</v>
      </c>
      <c r="L101" s="23" t="s">
        <v>1298</v>
      </c>
      <c r="O101" s="1" t="s">
        <v>549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155</v>
      </c>
      <c r="D102" s="23" t="s">
        <v>156</v>
      </c>
      <c r="E102" s="23" t="s">
        <v>157</v>
      </c>
      <c r="F102" s="2" t="s">
        <v>153</v>
      </c>
      <c r="G102" s="23" t="s">
        <v>154</v>
      </c>
      <c r="H102" s="23" t="s">
        <v>661</v>
      </c>
      <c r="I102" s="23" t="s">
        <v>678</v>
      </c>
      <c r="L102" s="23" t="s">
        <v>1299</v>
      </c>
      <c r="M102" s="23" t="s">
        <v>681</v>
      </c>
      <c r="N102" s="1" t="s">
        <v>631</v>
      </c>
      <c r="O102" s="1" t="s">
        <v>549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54</v>
      </c>
      <c r="D103" s="23" t="s">
        <v>946</v>
      </c>
      <c r="E103" s="23" t="s">
        <v>1115</v>
      </c>
      <c r="F103" s="27" t="s">
        <v>662</v>
      </c>
      <c r="G103" s="23" t="s">
        <v>53</v>
      </c>
      <c r="N103" s="1" t="s">
        <v>595</v>
      </c>
      <c r="O103" s="1" t="s">
        <v>549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237</v>
      </c>
      <c r="D104" s="23" t="s">
        <v>947</v>
      </c>
      <c r="E104" s="23" t="s">
        <v>1116</v>
      </c>
      <c r="F104" s="2" t="s">
        <v>235</v>
      </c>
      <c r="G104" s="23" t="s">
        <v>236</v>
      </c>
      <c r="H104" s="23" t="s">
        <v>661</v>
      </c>
      <c r="I104" s="23" t="s">
        <v>669</v>
      </c>
      <c r="K104" s="23" t="s">
        <v>701</v>
      </c>
      <c r="L104" s="23" t="s">
        <v>1300</v>
      </c>
      <c r="N104" s="1" t="s">
        <v>631</v>
      </c>
      <c r="O104" s="1" t="s">
        <v>549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160</v>
      </c>
      <c r="D105" s="23" t="s">
        <v>948</v>
      </c>
      <c r="E105" s="23" t="s">
        <v>1117</v>
      </c>
      <c r="F105" s="2" t="s">
        <v>161</v>
      </c>
      <c r="G105" s="23" t="s">
        <v>162</v>
      </c>
      <c r="O105" s="1" t="s">
        <v>549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280</v>
      </c>
      <c r="D106" s="23" t="s">
        <v>949</v>
      </c>
      <c r="E106" s="23" t="s">
        <v>1118</v>
      </c>
      <c r="F106" s="15" t="s">
        <v>516</v>
      </c>
      <c r="G106" s="23" t="s">
        <v>281</v>
      </c>
      <c r="O106" s="1" t="s">
        <v>549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174</v>
      </c>
      <c r="D107" s="23" t="s">
        <v>950</v>
      </c>
      <c r="E107" s="23" t="s">
        <v>1119</v>
      </c>
      <c r="F107" s="2" t="s">
        <v>167</v>
      </c>
      <c r="G107" s="23" t="s">
        <v>168</v>
      </c>
      <c r="H107" s="23" t="s">
        <v>660</v>
      </c>
      <c r="I107" s="23" t="s">
        <v>805</v>
      </c>
      <c r="K107" s="23" t="s">
        <v>768</v>
      </c>
      <c r="L107" s="23" t="s">
        <v>1309</v>
      </c>
      <c r="M107" s="23" t="s">
        <v>779</v>
      </c>
      <c r="N107" s="1" t="s">
        <v>631</v>
      </c>
      <c r="O107" s="1" t="s">
        <v>549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137</v>
      </c>
      <c r="D108" s="23" t="s">
        <v>138</v>
      </c>
      <c r="E108" s="23" t="s">
        <v>139</v>
      </c>
      <c r="F108" s="2" t="s">
        <v>140</v>
      </c>
      <c r="G108" s="23" t="s">
        <v>141</v>
      </c>
      <c r="O108" s="1" t="s">
        <v>549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209</v>
      </c>
      <c r="D109" s="23" t="s">
        <v>951</v>
      </c>
      <c r="E109" s="23" t="s">
        <v>1120</v>
      </c>
      <c r="F109" s="2" t="s">
        <v>198</v>
      </c>
      <c r="G109" s="23" t="s">
        <v>199</v>
      </c>
      <c r="H109" s="23" t="s">
        <v>661</v>
      </c>
      <c r="I109" s="23" t="s">
        <v>678</v>
      </c>
      <c r="K109" s="23" t="s">
        <v>693</v>
      </c>
      <c r="M109" s="23" t="s">
        <v>685</v>
      </c>
      <c r="N109" s="1" t="s">
        <v>594</v>
      </c>
      <c r="O109" s="1" t="s">
        <v>549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99</v>
      </c>
      <c r="D110" s="23" t="s">
        <v>100</v>
      </c>
      <c r="E110" s="23" t="s">
        <v>101</v>
      </c>
      <c r="F110" s="2" t="s">
        <v>95</v>
      </c>
      <c r="G110" s="23" t="s">
        <v>96</v>
      </c>
      <c r="H110" s="23" t="s">
        <v>661</v>
      </c>
      <c r="M110" s="23" t="s">
        <v>751</v>
      </c>
      <c r="N110" s="1" t="s">
        <v>631</v>
      </c>
      <c r="O110" s="1" t="s">
        <v>549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240</v>
      </c>
      <c r="D111" s="23" t="s">
        <v>952</v>
      </c>
      <c r="E111" s="23" t="s">
        <v>1121</v>
      </c>
      <c r="F111" s="2" t="s">
        <v>238</v>
      </c>
      <c r="G111" s="23" t="s">
        <v>239</v>
      </c>
      <c r="O111" s="1" t="s">
        <v>549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50</v>
      </c>
      <c r="D112" s="23" t="s">
        <v>51</v>
      </c>
      <c r="E112" s="23" t="s">
        <v>52</v>
      </c>
      <c r="F112" s="2" t="s">
        <v>329</v>
      </c>
      <c r="G112" s="23" t="s">
        <v>49</v>
      </c>
      <c r="H112" s="23" t="s">
        <v>661</v>
      </c>
      <c r="I112" s="23" t="s">
        <v>678</v>
      </c>
      <c r="K112" s="23" t="s">
        <v>711</v>
      </c>
      <c r="L112" s="23" t="s">
        <v>1299</v>
      </c>
      <c r="M112" s="23" t="s">
        <v>681</v>
      </c>
      <c r="N112" s="1" t="s">
        <v>594</v>
      </c>
      <c r="O112" s="1" t="s">
        <v>549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63</v>
      </c>
      <c r="D113" s="23" t="s">
        <v>64</v>
      </c>
      <c r="E113" s="23" t="s">
        <v>65</v>
      </c>
      <c r="F113" s="2" t="s">
        <v>61</v>
      </c>
      <c r="G113" s="23" t="s">
        <v>62</v>
      </c>
      <c r="H113" s="23" t="s">
        <v>660</v>
      </c>
      <c r="I113" s="23" t="s">
        <v>669</v>
      </c>
      <c r="K113" s="23" t="s">
        <v>673</v>
      </c>
      <c r="L113" s="23" t="s">
        <v>1307</v>
      </c>
      <c r="M113" s="23" t="s">
        <v>806</v>
      </c>
      <c r="N113" s="1" t="s">
        <v>595</v>
      </c>
      <c r="O113" s="1" t="s">
        <v>549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580</v>
      </c>
      <c r="D114" s="23" t="s">
        <v>953</v>
      </c>
      <c r="E114" s="23" t="s">
        <v>1122</v>
      </c>
      <c r="F114" s="2" t="s">
        <v>43</v>
      </c>
      <c r="G114" s="23" t="s">
        <v>44</v>
      </c>
      <c r="N114" s="1" t="s">
        <v>595</v>
      </c>
      <c r="O114" s="1" t="s">
        <v>549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428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418</v>
      </c>
      <c r="D115" s="23" t="s">
        <v>954</v>
      </c>
      <c r="E115" s="23" t="s">
        <v>1123</v>
      </c>
      <c r="F115" s="15" t="s">
        <v>419</v>
      </c>
      <c r="G115" s="23" t="str">
        <f>テーブル1[[#This Row],[名前]]&amp;"(UTAU)"</f>
        <v>飯音モグ(UTAU)</v>
      </c>
      <c r="N115" s="1" t="s">
        <v>594</v>
      </c>
      <c r="O115" s="1" t="s">
        <v>549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428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334</v>
      </c>
      <c r="D116" s="23" t="s">
        <v>955</v>
      </c>
      <c r="E116" s="23" t="s">
        <v>1124</v>
      </c>
      <c r="F116" s="2" t="s">
        <v>165</v>
      </c>
      <c r="G116" s="23" t="s">
        <v>1220</v>
      </c>
      <c r="O116" s="1" t="s">
        <v>549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428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340</v>
      </c>
      <c r="D117" s="23" t="s">
        <v>341</v>
      </c>
      <c r="E117" s="23" t="s">
        <v>342</v>
      </c>
      <c r="F117" s="2" t="s">
        <v>61</v>
      </c>
      <c r="G117" s="23" t="s">
        <v>62</v>
      </c>
      <c r="H117" s="23" t="s">
        <v>661</v>
      </c>
      <c r="I117" s="23" t="s">
        <v>780</v>
      </c>
      <c r="J117" s="23" t="s">
        <v>743</v>
      </c>
      <c r="K117" s="23" t="s">
        <v>674</v>
      </c>
      <c r="L117" s="23" t="s">
        <v>1302</v>
      </c>
      <c r="M117" s="23" t="s">
        <v>807</v>
      </c>
      <c r="N117" s="1" t="s">
        <v>595</v>
      </c>
      <c r="O117" s="1" t="s">
        <v>549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428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287</v>
      </c>
      <c r="D118" s="23" t="s">
        <v>288</v>
      </c>
      <c r="E118" s="23" t="s">
        <v>289</v>
      </c>
      <c r="F118" s="2" t="s">
        <v>43</v>
      </c>
      <c r="G118" s="23" t="s">
        <v>44</v>
      </c>
      <c r="N118" s="1" t="s">
        <v>595</v>
      </c>
      <c r="O118" s="1" t="s">
        <v>549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428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385</v>
      </c>
      <c r="D119" s="23" t="s">
        <v>956</v>
      </c>
      <c r="E119" s="23" t="s">
        <v>1125</v>
      </c>
      <c r="F119" s="15" t="s">
        <v>386</v>
      </c>
      <c r="G119" s="23" t="s">
        <v>387</v>
      </c>
      <c r="N119" s="1" t="s">
        <v>594</v>
      </c>
      <c r="O119" s="1" t="s">
        <v>549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428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581</v>
      </c>
      <c r="D120" s="23" t="s">
        <v>957</v>
      </c>
      <c r="E120" s="23" t="s">
        <v>1126</v>
      </c>
      <c r="F120" s="2" t="s">
        <v>43</v>
      </c>
      <c r="G120" s="23" t="s">
        <v>44</v>
      </c>
      <c r="N120" s="1" t="s">
        <v>595</v>
      </c>
      <c r="O120" s="1" t="s">
        <v>549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428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374</v>
      </c>
      <c r="D121" s="23" t="s">
        <v>375</v>
      </c>
      <c r="E121" s="23" t="s">
        <v>376</v>
      </c>
      <c r="F121" s="2" t="s">
        <v>371</v>
      </c>
      <c r="G121" s="23" t="s">
        <v>373</v>
      </c>
      <c r="O121" s="1" t="s">
        <v>549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428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399</v>
      </c>
      <c r="D122" s="23" t="s">
        <v>958</v>
      </c>
      <c r="E122" s="23" t="s">
        <v>1127</v>
      </c>
      <c r="F122" s="2" t="s">
        <v>397</v>
      </c>
      <c r="G122" s="23" t="s">
        <v>398</v>
      </c>
      <c r="O122" s="1" t="s">
        <v>549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428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582</v>
      </c>
      <c r="D123" s="23" t="s">
        <v>959</v>
      </c>
      <c r="E123" s="23" t="s">
        <v>1128</v>
      </c>
      <c r="F123" s="2" t="s">
        <v>43</v>
      </c>
      <c r="G123" s="23" t="s">
        <v>44</v>
      </c>
      <c r="N123" s="1" t="s">
        <v>595</v>
      </c>
      <c r="O123" s="1" t="s">
        <v>549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428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302</v>
      </c>
      <c r="D124" s="23" t="s">
        <v>960</v>
      </c>
      <c r="E124" s="23" t="s">
        <v>1129</v>
      </c>
      <c r="F124" s="15" t="s">
        <v>161</v>
      </c>
      <c r="G124" s="23" t="s">
        <v>162</v>
      </c>
      <c r="O124" s="1" t="s">
        <v>549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428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359</v>
      </c>
      <c r="D125" s="23" t="s">
        <v>360</v>
      </c>
      <c r="E125" s="23" t="s">
        <v>361</v>
      </c>
      <c r="F125" s="2" t="s">
        <v>140</v>
      </c>
      <c r="G125" s="23" t="s">
        <v>141</v>
      </c>
      <c r="O125" s="1" t="s">
        <v>549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428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583</v>
      </c>
      <c r="D126" s="23" t="s">
        <v>414</v>
      </c>
      <c r="E126" s="23" t="s">
        <v>415</v>
      </c>
      <c r="F126" s="2" t="s">
        <v>417</v>
      </c>
      <c r="G126" s="23" t="s">
        <v>416</v>
      </c>
      <c r="O126" s="1" t="s">
        <v>549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428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380</v>
      </c>
      <c r="D127" s="23" t="s">
        <v>381</v>
      </c>
      <c r="E127" s="23" t="s">
        <v>382</v>
      </c>
      <c r="F127" s="2" t="s">
        <v>383</v>
      </c>
      <c r="G127" s="23" t="s">
        <v>384</v>
      </c>
      <c r="O127" s="1" t="s">
        <v>549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428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290</v>
      </c>
      <c r="D128" s="23" t="s">
        <v>291</v>
      </c>
      <c r="E128" s="23" t="s">
        <v>292</v>
      </c>
      <c r="F128" s="2" t="s">
        <v>43</v>
      </c>
      <c r="G128" s="23" t="s">
        <v>44</v>
      </c>
      <c r="N128" s="1" t="s">
        <v>595</v>
      </c>
      <c r="O128" s="1" t="s">
        <v>549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428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584</v>
      </c>
      <c r="D129" s="23" t="s">
        <v>961</v>
      </c>
      <c r="E129" s="23" t="s">
        <v>1130</v>
      </c>
      <c r="F129" s="2" t="s">
        <v>43</v>
      </c>
      <c r="G129" s="23" t="s">
        <v>44</v>
      </c>
      <c r="N129" s="1" t="s">
        <v>595</v>
      </c>
      <c r="O129" s="1" t="s">
        <v>549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428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322</v>
      </c>
      <c r="D130" s="23" t="s">
        <v>962</v>
      </c>
      <c r="E130" s="23" t="s">
        <v>1131</v>
      </c>
      <c r="F130" s="2" t="s">
        <v>90</v>
      </c>
      <c r="G130" s="23" t="s">
        <v>91</v>
      </c>
      <c r="H130" s="23" t="s">
        <v>661</v>
      </c>
      <c r="I130" s="23" t="s">
        <v>669</v>
      </c>
      <c r="L130" s="23" t="s">
        <v>1311</v>
      </c>
      <c r="O130" s="1" t="s">
        <v>549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428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362</v>
      </c>
      <c r="D131" s="23" t="s">
        <v>363</v>
      </c>
      <c r="E131" s="24" t="s">
        <v>362</v>
      </c>
      <c r="F131" s="2" t="s">
        <v>112</v>
      </c>
      <c r="G131" s="23" t="s">
        <v>113</v>
      </c>
      <c r="H131" s="23" t="s">
        <v>661</v>
      </c>
      <c r="I131" s="23" t="s">
        <v>669</v>
      </c>
      <c r="O131" s="1" t="s">
        <v>549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428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394</v>
      </c>
      <c r="D132" s="23" t="s">
        <v>963</v>
      </c>
      <c r="E132" s="23" t="s">
        <v>1132</v>
      </c>
      <c r="F132" s="2" t="s">
        <v>393</v>
      </c>
      <c r="G132" s="23" t="s">
        <v>395</v>
      </c>
      <c r="O132" s="1" t="s">
        <v>549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428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326</v>
      </c>
      <c r="D133" s="23" t="s">
        <v>964</v>
      </c>
      <c r="E133" s="23" t="s">
        <v>1133</v>
      </c>
      <c r="F133" s="2" t="s">
        <v>224</v>
      </c>
      <c r="G133" s="23" t="s">
        <v>225</v>
      </c>
      <c r="O133" s="1" t="s">
        <v>549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428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301</v>
      </c>
      <c r="D134" s="23" t="s">
        <v>965</v>
      </c>
      <c r="E134" s="23" t="s">
        <v>1134</v>
      </c>
      <c r="F134" s="2" t="s">
        <v>161</v>
      </c>
      <c r="G134" s="23" t="s">
        <v>162</v>
      </c>
      <c r="O134" s="1" t="s">
        <v>549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428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457</v>
      </c>
      <c r="D135" s="23" t="s">
        <v>966</v>
      </c>
      <c r="E135" s="23" t="s">
        <v>1135</v>
      </c>
      <c r="F135" s="2" t="s">
        <v>456</v>
      </c>
      <c r="G135" s="23" t="s">
        <v>458</v>
      </c>
      <c r="O135" s="1" t="s">
        <v>549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459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313</v>
      </c>
      <c r="D136" s="23" t="s">
        <v>967</v>
      </c>
      <c r="E136" s="23" t="s">
        <v>1136</v>
      </c>
      <c r="F136" s="2" t="s">
        <v>314</v>
      </c>
      <c r="G136" s="23" t="s">
        <v>315</v>
      </c>
      <c r="O136" s="1" t="s">
        <v>549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459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327</v>
      </c>
      <c r="D137" s="23" t="s">
        <v>968</v>
      </c>
      <c r="E137" s="23" t="s">
        <v>1137</v>
      </c>
      <c r="F137" s="2" t="s">
        <v>224</v>
      </c>
      <c r="G137" s="23" t="s">
        <v>225</v>
      </c>
      <c r="O137" s="1" t="s">
        <v>549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459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350</v>
      </c>
      <c r="D138" s="23" t="s">
        <v>969</v>
      </c>
      <c r="E138" s="23" t="s">
        <v>1138</v>
      </c>
      <c r="F138" s="2" t="s">
        <v>83</v>
      </c>
      <c r="G138" s="23" t="s">
        <v>84</v>
      </c>
      <c r="H138" s="23" t="s">
        <v>660</v>
      </c>
      <c r="I138" s="23" t="s">
        <v>808</v>
      </c>
      <c r="L138" s="23" t="s">
        <v>1299</v>
      </c>
      <c r="M138" s="23" t="s">
        <v>809</v>
      </c>
      <c r="O138" s="1" t="s">
        <v>549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459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445</v>
      </c>
      <c r="D139" s="23" t="s">
        <v>970</v>
      </c>
      <c r="E139" s="23" t="s">
        <v>1139</v>
      </c>
      <c r="F139" s="2" t="s">
        <v>389</v>
      </c>
      <c r="G139" s="23" t="s">
        <v>390</v>
      </c>
      <c r="N139" s="1" t="s">
        <v>594</v>
      </c>
      <c r="O139" s="1" t="s">
        <v>549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459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283</v>
      </c>
      <c r="D140" s="23" t="s">
        <v>971</v>
      </c>
      <c r="E140" s="23" t="s">
        <v>1140</v>
      </c>
      <c r="F140" s="2" t="s">
        <v>43</v>
      </c>
      <c r="G140" s="23" t="s">
        <v>44</v>
      </c>
      <c r="N140" s="1" t="s">
        <v>595</v>
      </c>
      <c r="O140" s="1" t="s">
        <v>549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459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335</v>
      </c>
      <c r="D141" s="23" t="s">
        <v>972</v>
      </c>
      <c r="E141" s="23" t="s">
        <v>1141</v>
      </c>
      <c r="F141" s="2" t="s">
        <v>336</v>
      </c>
      <c r="G141" s="23" t="s">
        <v>337</v>
      </c>
      <c r="N141" s="1" t="s">
        <v>594</v>
      </c>
      <c r="O141" s="1" t="s">
        <v>549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459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367</v>
      </c>
      <c r="D142" s="23" t="s">
        <v>973</v>
      </c>
      <c r="E142" s="23" t="s">
        <v>1142</v>
      </c>
      <c r="F142" s="2" t="s">
        <v>365</v>
      </c>
      <c r="G142" s="23" t="s">
        <v>372</v>
      </c>
      <c r="O142" s="1" t="s">
        <v>549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459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339</v>
      </c>
      <c r="D143" s="23" t="s">
        <v>974</v>
      </c>
      <c r="E143" s="23" t="s">
        <v>1143</v>
      </c>
      <c r="F143" s="2" t="s">
        <v>338</v>
      </c>
      <c r="G143" s="23" t="str">
        <f>テーブル1[[#This Row],[名前]]&amp;"(UTAU)"</f>
        <v>悪戯清子(UTAU)</v>
      </c>
      <c r="N143" s="1" t="s">
        <v>594</v>
      </c>
      <c r="O143" s="1" t="s">
        <v>549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459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447</v>
      </c>
      <c r="D144" s="23" t="s">
        <v>975</v>
      </c>
      <c r="E144" s="23" t="s">
        <v>1144</v>
      </c>
      <c r="F144" s="2" t="s">
        <v>753</v>
      </c>
      <c r="G144" s="23" t="s">
        <v>47</v>
      </c>
      <c r="H144" s="23" t="s">
        <v>660</v>
      </c>
      <c r="I144" s="23" t="s">
        <v>810</v>
      </c>
      <c r="K144" s="23" t="s">
        <v>756</v>
      </c>
      <c r="L144" s="23" t="s">
        <v>1312</v>
      </c>
      <c r="N144" s="1" t="s">
        <v>594</v>
      </c>
      <c r="O144" s="1" t="s">
        <v>549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459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585</v>
      </c>
      <c r="D145" s="23" t="s">
        <v>976</v>
      </c>
      <c r="E145" s="23" t="s">
        <v>1145</v>
      </c>
      <c r="F145" s="2" t="s">
        <v>43</v>
      </c>
      <c r="G145" s="23" t="s">
        <v>44</v>
      </c>
      <c r="N145" s="1" t="s">
        <v>595</v>
      </c>
      <c r="O145" s="1" t="s">
        <v>549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459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358</v>
      </c>
      <c r="D146" s="23" t="s">
        <v>977</v>
      </c>
      <c r="E146" s="23" t="s">
        <v>1146</v>
      </c>
      <c r="F146" s="2" t="s">
        <v>356</v>
      </c>
      <c r="G146" s="23" t="s">
        <v>357</v>
      </c>
      <c r="O146" s="1" t="s">
        <v>549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459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388</v>
      </c>
      <c r="D147" s="23" t="s">
        <v>978</v>
      </c>
      <c r="E147" s="23" t="s">
        <v>1147</v>
      </c>
      <c r="F147" s="2" t="s">
        <v>389</v>
      </c>
      <c r="G147" s="23" t="s">
        <v>390</v>
      </c>
      <c r="N147" s="1" t="s">
        <v>594</v>
      </c>
      <c r="O147" s="1" t="s">
        <v>549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459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349</v>
      </c>
      <c r="D148" s="23" t="s">
        <v>979</v>
      </c>
      <c r="E148" s="23" t="s">
        <v>1148</v>
      </c>
      <c r="F148" s="2" t="s">
        <v>83</v>
      </c>
      <c r="G148" s="23" t="s">
        <v>84</v>
      </c>
      <c r="H148" s="23" t="s">
        <v>660</v>
      </c>
      <c r="I148" s="23" t="s">
        <v>669</v>
      </c>
      <c r="J148" s="23" t="s">
        <v>740</v>
      </c>
      <c r="M148" s="23" t="s">
        <v>700</v>
      </c>
      <c r="O148" s="1" t="s">
        <v>549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459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430</v>
      </c>
      <c r="D149" s="23" t="s">
        <v>431</v>
      </c>
      <c r="E149" s="23" t="s">
        <v>432</v>
      </c>
      <c r="F149" s="15" t="s">
        <v>429</v>
      </c>
      <c r="G149" s="23" t="str">
        <f>テーブル1[[#This Row],[名前]]&amp;"(UTAU)"</f>
        <v>クリノクロア(UTAU)</v>
      </c>
      <c r="N149" s="1" t="s">
        <v>594</v>
      </c>
      <c r="O149" s="1" t="s">
        <v>549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459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508</v>
      </c>
      <c r="D150" s="23" t="s">
        <v>980</v>
      </c>
      <c r="E150" s="23" t="s">
        <v>1149</v>
      </c>
      <c r="F150" s="15" t="s">
        <v>509</v>
      </c>
      <c r="G150" s="23" t="s">
        <v>510</v>
      </c>
      <c r="N150" s="1" t="s">
        <v>594</v>
      </c>
      <c r="O150" s="1" t="s">
        <v>549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459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396</v>
      </c>
      <c r="D151" s="23" t="s">
        <v>981</v>
      </c>
      <c r="E151" s="23" t="s">
        <v>1150</v>
      </c>
      <c r="F151" s="2" t="s">
        <v>397</v>
      </c>
      <c r="G151" s="23" t="s">
        <v>398</v>
      </c>
      <c r="O151" s="1" t="s">
        <v>549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459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586</v>
      </c>
      <c r="D152" s="23" t="s">
        <v>982</v>
      </c>
      <c r="E152" s="23" t="s">
        <v>1151</v>
      </c>
      <c r="F152" s="2" t="s">
        <v>43</v>
      </c>
      <c r="G152" s="23" t="s">
        <v>44</v>
      </c>
      <c r="N152" s="1" t="s">
        <v>595</v>
      </c>
      <c r="O152" s="1" t="s">
        <v>549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459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354</v>
      </c>
      <c r="D153" s="23" t="s">
        <v>355</v>
      </c>
      <c r="E153" s="23" t="s">
        <v>354</v>
      </c>
      <c r="F153" s="2" t="s">
        <v>356</v>
      </c>
      <c r="G153" s="23" t="s">
        <v>357</v>
      </c>
      <c r="O153" s="1" t="s">
        <v>549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459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436</v>
      </c>
      <c r="D154" s="23" t="s">
        <v>983</v>
      </c>
      <c r="E154" s="23" t="s">
        <v>1152</v>
      </c>
      <c r="F154" s="2" t="s">
        <v>434</v>
      </c>
      <c r="G154" s="23" t="s">
        <v>435</v>
      </c>
      <c r="O154" s="1" t="s">
        <v>549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459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348</v>
      </c>
      <c r="D155" s="23" t="s">
        <v>984</v>
      </c>
      <c r="E155" s="23" t="s">
        <v>1153</v>
      </c>
      <c r="F155" s="2" t="s">
        <v>346</v>
      </c>
      <c r="G155" s="23" t="s">
        <v>347</v>
      </c>
      <c r="N155" s="1" t="s">
        <v>594</v>
      </c>
      <c r="O155" s="1" t="s">
        <v>549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459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321</v>
      </c>
      <c r="D156" s="23" t="s">
        <v>985</v>
      </c>
      <c r="E156" s="23" t="s">
        <v>1154</v>
      </c>
      <c r="F156" s="2" t="s">
        <v>90</v>
      </c>
      <c r="G156" s="23" t="s">
        <v>91</v>
      </c>
      <c r="H156" s="23" t="s">
        <v>660</v>
      </c>
      <c r="I156" s="23" t="s">
        <v>802</v>
      </c>
      <c r="O156" s="1" t="s">
        <v>549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459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319</v>
      </c>
      <c r="D157" s="23" t="s">
        <v>986</v>
      </c>
      <c r="E157" s="23" t="s">
        <v>1155</v>
      </c>
      <c r="F157" s="2" t="s">
        <v>317</v>
      </c>
      <c r="G157" s="23" t="s">
        <v>320</v>
      </c>
      <c r="N157" s="1" t="s">
        <v>594</v>
      </c>
      <c r="O157" s="1" t="s">
        <v>549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459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404</v>
      </c>
      <c r="D158" s="23" t="s">
        <v>403</v>
      </c>
      <c r="E158" s="23" t="s">
        <v>404</v>
      </c>
      <c r="F158" s="2" t="s">
        <v>176</v>
      </c>
      <c r="G158" s="23" t="s">
        <v>405</v>
      </c>
      <c r="H158" s="23" t="s">
        <v>684</v>
      </c>
      <c r="I158" s="23" t="s">
        <v>678</v>
      </c>
      <c r="J158" s="23" t="s">
        <v>762</v>
      </c>
      <c r="K158" s="23" t="s">
        <v>764</v>
      </c>
      <c r="M158" s="23" t="s">
        <v>704</v>
      </c>
      <c r="N158" s="1" t="s">
        <v>631</v>
      </c>
      <c r="O158" s="1" t="s">
        <v>549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459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448</v>
      </c>
      <c r="D159" s="23" t="s">
        <v>987</v>
      </c>
      <c r="E159" s="24" t="s">
        <v>1156</v>
      </c>
      <c r="F159" s="15" t="s">
        <v>386</v>
      </c>
      <c r="G159" s="23" t="s">
        <v>387</v>
      </c>
      <c r="N159" s="1" t="s">
        <v>594</v>
      </c>
      <c r="O159" s="1" t="s">
        <v>549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459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400</v>
      </c>
      <c r="D160" s="23" t="s">
        <v>988</v>
      </c>
      <c r="E160" s="23" t="s">
        <v>1157</v>
      </c>
      <c r="F160" s="2" t="s">
        <v>401</v>
      </c>
      <c r="G160" s="23" t="str">
        <f>テーブル1[[#This Row],[名前]]&amp;"(UTAU)"</f>
        <v>マック音サイ(UTAU)</v>
      </c>
      <c r="O160" s="1" t="s">
        <v>549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459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284</v>
      </c>
      <c r="D161" s="23" t="s">
        <v>989</v>
      </c>
      <c r="E161" s="23" t="s">
        <v>1158</v>
      </c>
      <c r="F161" s="2" t="s">
        <v>43</v>
      </c>
      <c r="G161" s="23" t="s">
        <v>44</v>
      </c>
      <c r="N161" s="1" t="s">
        <v>595</v>
      </c>
      <c r="O161" s="1" t="s">
        <v>549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459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391</v>
      </c>
      <c r="D162" s="23" t="s">
        <v>990</v>
      </c>
      <c r="E162" s="23" t="s">
        <v>1159</v>
      </c>
      <c r="F162" s="2" t="s">
        <v>392</v>
      </c>
      <c r="G162" s="23" t="str">
        <f>テーブル1[[#This Row],[名前]]&amp;"(UTAU)"</f>
        <v>澳音ぱす(UTAU)</v>
      </c>
      <c r="O162" s="1" t="s">
        <v>549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459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331</v>
      </c>
      <c r="D163" s="23" t="s">
        <v>332</v>
      </c>
      <c r="E163" s="23" t="s">
        <v>333</v>
      </c>
      <c r="F163" s="2" t="s">
        <v>165</v>
      </c>
      <c r="G163" s="23" t="s">
        <v>166</v>
      </c>
      <c r="O163" s="1" t="s">
        <v>549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459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515</v>
      </c>
      <c r="D164" s="23" t="s">
        <v>991</v>
      </c>
      <c r="E164" s="23" t="s">
        <v>1160</v>
      </c>
      <c r="F164" s="15" t="s">
        <v>481</v>
      </c>
      <c r="G164" s="23" t="s">
        <v>482</v>
      </c>
      <c r="O164" s="1" t="s">
        <v>549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459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511</v>
      </c>
      <c r="D165" s="23" t="s">
        <v>992</v>
      </c>
      <c r="E165" s="23" t="s">
        <v>1161</v>
      </c>
      <c r="F165" s="2" t="s">
        <v>512</v>
      </c>
      <c r="G165" s="23" t="s">
        <v>513</v>
      </c>
      <c r="O165" s="1" t="s">
        <v>549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459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452</v>
      </c>
      <c r="D166" s="23" t="s">
        <v>454</v>
      </c>
      <c r="E166" s="23" t="s">
        <v>453</v>
      </c>
      <c r="F166" s="15" t="s">
        <v>455</v>
      </c>
      <c r="G166" s="23" t="str">
        <f>テーブル1[[#This Row],[名前]]&amp;"(UTAU)"</f>
        <v>吟児(UTAU)</v>
      </c>
      <c r="O166" s="1" t="s">
        <v>549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459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587</v>
      </c>
      <c r="D167" s="23" t="s">
        <v>351</v>
      </c>
      <c r="E167" s="23" t="s">
        <v>352</v>
      </c>
      <c r="F167" s="2" t="s">
        <v>410</v>
      </c>
      <c r="G167" s="23" t="s">
        <v>353</v>
      </c>
      <c r="O167" s="1" t="s">
        <v>549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459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433</v>
      </c>
      <c r="D168" s="23" t="s">
        <v>993</v>
      </c>
      <c r="E168" s="23" t="s">
        <v>1162</v>
      </c>
      <c r="F168" s="2" t="s">
        <v>434</v>
      </c>
      <c r="G168" s="23" t="s">
        <v>435</v>
      </c>
      <c r="O168" s="1" t="s">
        <v>549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459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306</v>
      </c>
      <c r="E169" s="23" t="s">
        <v>307</v>
      </c>
      <c r="F169" s="2" t="s">
        <v>308</v>
      </c>
      <c r="G169" s="23" t="s">
        <v>309</v>
      </c>
      <c r="O169" s="1" t="s">
        <v>549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459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442</v>
      </c>
      <c r="D170" s="23" t="s">
        <v>994</v>
      </c>
      <c r="E170" s="23" t="s">
        <v>1163</v>
      </c>
      <c r="F170" s="2" t="s">
        <v>440</v>
      </c>
      <c r="G170" s="23" t="s">
        <v>441</v>
      </c>
      <c r="O170" s="1" t="s">
        <v>549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459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343</v>
      </c>
      <c r="D171" s="23" t="s">
        <v>344</v>
      </c>
      <c r="E171" s="23" t="s">
        <v>345</v>
      </c>
      <c r="F171" s="2" t="s">
        <v>61</v>
      </c>
      <c r="G171" s="23" t="s">
        <v>62</v>
      </c>
      <c r="H171" s="23" t="s">
        <v>661</v>
      </c>
      <c r="I171" s="23" t="s">
        <v>676</v>
      </c>
      <c r="L171" s="23" t="s">
        <v>776</v>
      </c>
      <c r="M171" s="23" t="s">
        <v>677</v>
      </c>
      <c r="N171" s="1" t="s">
        <v>595</v>
      </c>
      <c r="O171" s="1" t="s">
        <v>549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459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364</v>
      </c>
      <c r="D172" s="23" t="s">
        <v>995</v>
      </c>
      <c r="E172" s="23" t="s">
        <v>1164</v>
      </c>
      <c r="F172" s="2" t="s">
        <v>365</v>
      </c>
      <c r="G172" s="23" t="s">
        <v>366</v>
      </c>
      <c r="O172" s="1" t="s">
        <v>549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459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310</v>
      </c>
      <c r="E173" s="23" t="s">
        <v>311</v>
      </c>
      <c r="F173" s="2" t="s">
        <v>308</v>
      </c>
      <c r="G173" s="23" t="s">
        <v>312</v>
      </c>
      <c r="O173" s="1" t="s">
        <v>549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459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493</v>
      </c>
      <c r="D174" s="23" t="s">
        <v>494</v>
      </c>
      <c r="E174" s="23" t="s">
        <v>495</v>
      </c>
      <c r="F174" s="15" t="s">
        <v>514</v>
      </c>
      <c r="G174" s="23" t="s">
        <v>496</v>
      </c>
      <c r="O174" s="1" t="s">
        <v>549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459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316</v>
      </c>
      <c r="D175" s="23" t="s">
        <v>996</v>
      </c>
      <c r="E175" s="23" t="s">
        <v>1165</v>
      </c>
      <c r="F175" s="2" t="s">
        <v>317</v>
      </c>
      <c r="G175" s="23" t="s">
        <v>318</v>
      </c>
      <c r="N175" s="1" t="s">
        <v>594</v>
      </c>
      <c r="O175" s="1" t="s">
        <v>549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459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443</v>
      </c>
      <c r="D176" s="23" t="s">
        <v>997</v>
      </c>
      <c r="E176" s="23" t="s">
        <v>1166</v>
      </c>
      <c r="F176" s="15" t="s">
        <v>502</v>
      </c>
      <c r="G176" s="23" t="s">
        <v>444</v>
      </c>
      <c r="O176" s="1" t="s">
        <v>549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459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503</v>
      </c>
      <c r="D177" s="23" t="s">
        <v>504</v>
      </c>
      <c r="E177" s="23" t="s">
        <v>505</v>
      </c>
      <c r="F177" s="15" t="s">
        <v>506</v>
      </c>
      <c r="G177" s="23" t="s">
        <v>507</v>
      </c>
      <c r="O177" s="1" t="s">
        <v>549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459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588</v>
      </c>
      <c r="D178" s="23" t="s">
        <v>998</v>
      </c>
      <c r="E178" s="23" t="s">
        <v>1167</v>
      </c>
      <c r="F178" s="2" t="s">
        <v>43</v>
      </c>
      <c r="G178" s="23" t="s">
        <v>44</v>
      </c>
      <c r="N178" s="1" t="s">
        <v>595</v>
      </c>
      <c r="O178" s="1" t="s">
        <v>549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459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402</v>
      </c>
      <c r="D179" s="23" t="s">
        <v>999</v>
      </c>
      <c r="E179" s="23" t="s">
        <v>1168</v>
      </c>
      <c r="F179" s="2" t="s">
        <v>401</v>
      </c>
      <c r="G179" s="23" t="str">
        <f>テーブル1[[#This Row],[名前]]&amp;"(UTAU)"</f>
        <v>マック音ヒトキ(UTAU)</v>
      </c>
      <c r="O179" s="1" t="s">
        <v>549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459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297</v>
      </c>
      <c r="D180" s="23" t="s">
        <v>298</v>
      </c>
      <c r="E180" s="23" t="s">
        <v>299</v>
      </c>
      <c r="F180" s="2" t="s">
        <v>129</v>
      </c>
      <c r="G180" s="23" t="s">
        <v>300</v>
      </c>
      <c r="O180" s="1" t="s">
        <v>549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459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438</v>
      </c>
      <c r="D181" s="23" t="s">
        <v>1000</v>
      </c>
      <c r="E181" s="23" t="s">
        <v>1169</v>
      </c>
      <c r="F181" s="15" t="s">
        <v>437</v>
      </c>
      <c r="G181" s="23" t="s">
        <v>439</v>
      </c>
      <c r="O181" s="1" t="s">
        <v>549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459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490</v>
      </c>
      <c r="D182" s="23" t="s">
        <v>1001</v>
      </c>
      <c r="E182" s="23" t="s">
        <v>1170</v>
      </c>
      <c r="F182" s="15" t="s">
        <v>491</v>
      </c>
      <c r="G182" s="23" t="s">
        <v>492</v>
      </c>
      <c r="O182" s="1" t="s">
        <v>549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459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541</v>
      </c>
      <c r="D183" s="23" t="s">
        <v>1002</v>
      </c>
      <c r="E183" s="23" t="s">
        <v>1171</v>
      </c>
      <c r="F183" s="15" t="s">
        <v>540</v>
      </c>
      <c r="G183" s="23" t="s">
        <v>547</v>
      </c>
      <c r="O183" s="1" t="s">
        <v>549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459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446</v>
      </c>
      <c r="D184" s="23" t="s">
        <v>1003</v>
      </c>
      <c r="E184" s="23" t="s">
        <v>1172</v>
      </c>
      <c r="F184" s="2" t="s">
        <v>389</v>
      </c>
      <c r="G184" s="23" t="s">
        <v>390</v>
      </c>
      <c r="N184" s="1" t="s">
        <v>594</v>
      </c>
      <c r="O184" s="1" t="s">
        <v>549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459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330</v>
      </c>
      <c r="D185" s="23" t="s">
        <v>1004</v>
      </c>
      <c r="E185" s="23" t="s">
        <v>1173</v>
      </c>
      <c r="F185" s="2" t="s">
        <v>329</v>
      </c>
      <c r="G185" s="23" t="s">
        <v>49</v>
      </c>
      <c r="H185" s="23" t="s">
        <v>661</v>
      </c>
      <c r="I185" s="23" t="s">
        <v>669</v>
      </c>
      <c r="K185" s="23" t="s">
        <v>668</v>
      </c>
      <c r="L185" s="23" t="s">
        <v>1299</v>
      </c>
      <c r="M185" s="23" t="s">
        <v>681</v>
      </c>
      <c r="N185" s="1" t="s">
        <v>594</v>
      </c>
      <c r="O185" s="1" t="s">
        <v>549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459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285</v>
      </c>
      <c r="D186" s="23" t="s">
        <v>1005</v>
      </c>
      <c r="E186" s="23" t="s">
        <v>1174</v>
      </c>
      <c r="F186" s="2" t="s">
        <v>43</v>
      </c>
      <c r="G186" s="23" t="s">
        <v>44</v>
      </c>
      <c r="N186" s="1" t="s">
        <v>595</v>
      </c>
      <c r="O186" s="1" t="s">
        <v>549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459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303</v>
      </c>
      <c r="D187" s="23" t="s">
        <v>304</v>
      </c>
      <c r="E187" s="23" t="s">
        <v>305</v>
      </c>
      <c r="F187" s="2" t="s">
        <v>198</v>
      </c>
      <c r="G187" s="23" t="s">
        <v>199</v>
      </c>
      <c r="H187" s="23" t="s">
        <v>683</v>
      </c>
      <c r="I187" s="23" t="s">
        <v>811</v>
      </c>
      <c r="K187" s="23" t="s">
        <v>694</v>
      </c>
      <c r="N187" s="1" t="s">
        <v>594</v>
      </c>
      <c r="O187" s="1" t="s">
        <v>549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459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497</v>
      </c>
      <c r="D188" s="23" t="s">
        <v>498</v>
      </c>
      <c r="E188" s="23" t="s">
        <v>499</v>
      </c>
      <c r="F188" s="2" t="s">
        <v>500</v>
      </c>
      <c r="G188" s="23" t="s">
        <v>501</v>
      </c>
      <c r="O188" s="1" t="s">
        <v>549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459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589</v>
      </c>
      <c r="D189" s="23" t="s">
        <v>1006</v>
      </c>
      <c r="E189" s="23" t="s">
        <v>1175</v>
      </c>
      <c r="F189" s="2" t="s">
        <v>43</v>
      </c>
      <c r="G189" s="23" t="s">
        <v>44</v>
      </c>
      <c r="N189" s="1" t="s">
        <v>595</v>
      </c>
      <c r="O189" s="1" t="s">
        <v>549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459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464</v>
      </c>
      <c r="D190" s="23" t="s">
        <v>466</v>
      </c>
      <c r="E190" s="23" t="s">
        <v>550</v>
      </c>
      <c r="F190" s="15" t="s">
        <v>467</v>
      </c>
      <c r="G190" s="23" t="s">
        <v>465</v>
      </c>
      <c r="N190" s="1" t="s">
        <v>594</v>
      </c>
      <c r="O190" s="1" t="s">
        <v>549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459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412</v>
      </c>
      <c r="D191" s="23" t="s">
        <v>1007</v>
      </c>
      <c r="E191" s="23" t="s">
        <v>1176</v>
      </c>
      <c r="F191" s="15" t="s">
        <v>413</v>
      </c>
      <c r="G191" s="23" t="s">
        <v>463</v>
      </c>
      <c r="N191" s="1" t="s">
        <v>595</v>
      </c>
      <c r="O191" s="1" t="s">
        <v>549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459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293</v>
      </c>
      <c r="D192" s="23" t="s">
        <v>294</v>
      </c>
      <c r="E192" s="23" t="s">
        <v>295</v>
      </c>
      <c r="F192" s="2" t="s">
        <v>129</v>
      </c>
      <c r="G192" s="23" t="s">
        <v>296</v>
      </c>
      <c r="O192" s="1" t="s">
        <v>549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459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590</v>
      </c>
      <c r="D193" s="23" t="s">
        <v>1008</v>
      </c>
      <c r="E193" s="23" t="s">
        <v>1177</v>
      </c>
      <c r="F193" s="2" t="s">
        <v>43</v>
      </c>
      <c r="G193" s="23" t="s">
        <v>44</v>
      </c>
      <c r="N193" s="1" t="s">
        <v>595</v>
      </c>
      <c r="O193" s="1" t="s">
        <v>549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459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323</v>
      </c>
      <c r="D194" s="23" t="s">
        <v>324</v>
      </c>
      <c r="E194" s="23" t="s">
        <v>325</v>
      </c>
      <c r="F194" s="2" t="s">
        <v>153</v>
      </c>
      <c r="G194" s="23" t="s">
        <v>154</v>
      </c>
      <c r="H194" s="23" t="s">
        <v>660</v>
      </c>
      <c r="I194" s="23" t="s">
        <v>747</v>
      </c>
      <c r="J194" s="23" t="s">
        <v>748</v>
      </c>
      <c r="M194" s="23" t="s">
        <v>812</v>
      </c>
      <c r="N194" s="1" t="s">
        <v>631</v>
      </c>
      <c r="O194" s="1" t="s">
        <v>549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459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591</v>
      </c>
      <c r="D195" s="23" t="s">
        <v>1009</v>
      </c>
      <c r="E195" s="23" t="s">
        <v>1178</v>
      </c>
      <c r="F195" s="2" t="s">
        <v>43</v>
      </c>
      <c r="G195" s="23" t="s">
        <v>44</v>
      </c>
      <c r="N195" s="1" t="s">
        <v>595</v>
      </c>
      <c r="O195" s="1" t="s">
        <v>549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459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369</v>
      </c>
      <c r="D196" s="23" t="s">
        <v>370</v>
      </c>
      <c r="E196" s="23" t="s">
        <v>368</v>
      </c>
      <c r="F196" s="2" t="s">
        <v>371</v>
      </c>
      <c r="G196" s="23" t="s">
        <v>373</v>
      </c>
      <c r="O196" s="1" t="s">
        <v>549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459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377</v>
      </c>
      <c r="D197" s="23" t="s">
        <v>1010</v>
      </c>
      <c r="E197" s="23" t="s">
        <v>1179</v>
      </c>
      <c r="F197" s="2" t="s">
        <v>378</v>
      </c>
      <c r="G197" s="23" t="s">
        <v>379</v>
      </c>
      <c r="O197" s="1" t="s">
        <v>549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459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282</v>
      </c>
      <c r="D198" s="23" t="s">
        <v>1011</v>
      </c>
      <c r="E198" s="23" t="s">
        <v>1180</v>
      </c>
      <c r="F198" s="2" t="s">
        <v>43</v>
      </c>
      <c r="G198" s="23" t="s">
        <v>44</v>
      </c>
      <c r="N198" s="1" t="s">
        <v>595</v>
      </c>
      <c r="O198" s="1" t="s">
        <v>549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459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420</v>
      </c>
      <c r="D199" s="23" t="s">
        <v>1012</v>
      </c>
      <c r="E199" s="23" t="s">
        <v>1181</v>
      </c>
      <c r="F199" s="15" t="s">
        <v>421</v>
      </c>
      <c r="G199" s="23" t="s">
        <v>422</v>
      </c>
      <c r="N199" s="1" t="s">
        <v>594</v>
      </c>
      <c r="O199" s="1" t="s">
        <v>549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459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451</v>
      </c>
      <c r="D200" s="23" t="s">
        <v>1013</v>
      </c>
      <c r="E200" s="23" t="s">
        <v>1182</v>
      </c>
      <c r="F200" s="15" t="s">
        <v>449</v>
      </c>
      <c r="G200" s="23" t="s">
        <v>450</v>
      </c>
      <c r="O200" s="1" t="s">
        <v>549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459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483</v>
      </c>
      <c r="D201" s="23" t="s">
        <v>485</v>
      </c>
      <c r="E201" s="23" t="s">
        <v>484</v>
      </c>
      <c r="F201" s="15" t="s">
        <v>486</v>
      </c>
      <c r="G201" s="23" t="s">
        <v>487</v>
      </c>
      <c r="O201" s="1" t="s">
        <v>549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459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577</v>
      </c>
      <c r="D202" s="23" t="s">
        <v>1014</v>
      </c>
      <c r="E202" s="23" t="s">
        <v>1183</v>
      </c>
      <c r="F202" s="2" t="s">
        <v>578</v>
      </c>
      <c r="G202" s="23" t="s">
        <v>579</v>
      </c>
      <c r="O202" s="1" t="s">
        <v>549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459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559</v>
      </c>
      <c r="D203" s="23" t="s">
        <v>1015</v>
      </c>
      <c r="E203" s="23" t="s">
        <v>1184</v>
      </c>
      <c r="F203" s="15" t="s">
        <v>560</v>
      </c>
      <c r="G203" s="23" t="s">
        <v>561</v>
      </c>
      <c r="N203" s="1" t="s">
        <v>594</v>
      </c>
      <c r="O203" s="1" t="s">
        <v>549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459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542</v>
      </c>
      <c r="D204" s="23" t="s">
        <v>543</v>
      </c>
      <c r="E204" s="23" t="s">
        <v>544</v>
      </c>
      <c r="F204" s="15" t="s">
        <v>540</v>
      </c>
      <c r="G204" s="23" t="s">
        <v>548</v>
      </c>
      <c r="O204" s="1" t="s">
        <v>549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459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575</v>
      </c>
      <c r="D205" s="23" t="s">
        <v>1016</v>
      </c>
      <c r="E205" s="23" t="s">
        <v>1185</v>
      </c>
      <c r="F205" s="30" t="s">
        <v>878</v>
      </c>
      <c r="G205" s="23" t="s">
        <v>576</v>
      </c>
      <c r="O205" s="1" t="s">
        <v>549</v>
      </c>
      <c r="P205" s="24" t="str">
        <f>テーブル1[[#This Row],[リンク]]&amp;テーブル1[[#This Row],[描画状況]]</f>
        <v>https://rapo080302.wixsite.com/twosibi済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459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|MIDDLE:​&amp;link(配布所はこちら){​https://rapo080302.wixsite.com/twosibi}|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545</v>
      </c>
      <c r="D206" s="23" t="s">
        <v>1017</v>
      </c>
      <c r="E206" s="23" t="s">
        <v>1186</v>
      </c>
      <c r="F206" s="15" t="s">
        <v>540</v>
      </c>
      <c r="G206" s="23" t="s">
        <v>546</v>
      </c>
      <c r="M206" s="23" t="s">
        <v>699</v>
      </c>
      <c r="O206" s="1" t="s">
        <v>549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459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555</v>
      </c>
      <c r="D207" s="23" t="s">
        <v>558</v>
      </c>
      <c r="E207" s="23" t="s">
        <v>556</v>
      </c>
      <c r="F207" s="15" t="s">
        <v>557</v>
      </c>
      <c r="G207" s="23" t="str">
        <f>テーブル1[[#This Row],[名前]]&amp;"(UTAU)"</f>
        <v>16号(UTAU)</v>
      </c>
      <c r="H207" s="23" t="s">
        <v>683</v>
      </c>
      <c r="I207" s="23" t="s">
        <v>871</v>
      </c>
      <c r="N207" s="1" t="s">
        <v>631</v>
      </c>
      <c r="O207" s="1" t="s">
        <v>549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459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551</v>
      </c>
      <c r="D208" s="23" t="s">
        <v>552</v>
      </c>
      <c r="E208" s="23" t="s">
        <v>553</v>
      </c>
      <c r="F208" s="15" t="s">
        <v>554</v>
      </c>
      <c r="G208" s="23" t="str">
        <f>テーブル1[[#This Row],[名前]]&amp;"(UTAU)"</f>
        <v>シズルう(UTAU)</v>
      </c>
      <c r="O208" s="1" t="s">
        <v>549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459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286</v>
      </c>
      <c r="D209" s="23" t="s">
        <v>1018</v>
      </c>
      <c r="E209" s="23" t="s">
        <v>1187</v>
      </c>
      <c r="F209" s="2" t="s">
        <v>43</v>
      </c>
      <c r="G209" s="23" t="s">
        <v>44</v>
      </c>
      <c r="N209" s="1" t="s">
        <v>595</v>
      </c>
      <c r="O209" s="1" t="s">
        <v>549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459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562</v>
      </c>
      <c r="D210" s="23" t="s">
        <v>1019</v>
      </c>
      <c r="E210" s="23" t="s">
        <v>1188</v>
      </c>
      <c r="F210" s="15" t="s">
        <v>557</v>
      </c>
      <c r="G210" s="23" t="str">
        <f>テーブル1[[#This Row],[名前]]&amp;"(UTAU)"</f>
        <v>ろんく1号(UTAU)</v>
      </c>
      <c r="H210" s="23" t="s">
        <v>684</v>
      </c>
      <c r="I210" s="23" t="s">
        <v>678</v>
      </c>
      <c r="N210" s="1" t="s">
        <v>631</v>
      </c>
      <c r="O210" s="1" t="s">
        <v>549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459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598</v>
      </c>
      <c r="D211" s="23" t="s">
        <v>597</v>
      </c>
      <c r="E211" s="23" t="s">
        <v>599</v>
      </c>
      <c r="F211" s="26" t="s">
        <v>607</v>
      </c>
      <c r="G211" s="23" t="s">
        <v>600</v>
      </c>
      <c r="N211" s="1" t="s">
        <v>594</v>
      </c>
      <c r="O211" s="1" t="s">
        <v>549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459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731</v>
      </c>
      <c r="D212" s="23" t="s">
        <v>602</v>
      </c>
      <c r="E212" s="23" t="s">
        <v>1189</v>
      </c>
      <c r="F212" s="15" t="s">
        <v>603</v>
      </c>
      <c r="G212" s="23" t="s">
        <v>606</v>
      </c>
      <c r="H212" s="23" t="s">
        <v>661</v>
      </c>
      <c r="I212" s="23" t="s">
        <v>669</v>
      </c>
      <c r="L212" s="23" t="s">
        <v>1302</v>
      </c>
      <c r="N212" s="1" t="s">
        <v>595</v>
      </c>
      <c r="O212" s="1" t="s">
        <v>549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459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604</v>
      </c>
      <c r="E213" s="23" t="s">
        <v>605</v>
      </c>
      <c r="F213" s="15" t="s">
        <v>603</v>
      </c>
      <c r="G213" s="23" t="s">
        <v>606</v>
      </c>
      <c r="H213" s="23" t="s">
        <v>684</v>
      </c>
      <c r="I213" s="23" t="s">
        <v>732</v>
      </c>
      <c r="L213" s="23" t="s">
        <v>1302</v>
      </c>
      <c r="M213" s="23" t="s">
        <v>813</v>
      </c>
      <c r="N213" s="1" t="s">
        <v>595</v>
      </c>
      <c r="O213" s="1" t="s">
        <v>549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459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608</v>
      </c>
      <c r="D214" s="23" t="s">
        <v>1020</v>
      </c>
      <c r="E214" s="23" t="s">
        <v>1190</v>
      </c>
      <c r="F214" s="15" t="s">
        <v>610</v>
      </c>
      <c r="G214" s="23" t="s">
        <v>609</v>
      </c>
      <c r="N214" s="1" t="s">
        <v>594</v>
      </c>
      <c r="O214" s="1" t="s">
        <v>549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459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612</v>
      </c>
      <c r="D215" s="23" t="s">
        <v>1021</v>
      </c>
      <c r="E215" s="23" t="s">
        <v>1191</v>
      </c>
      <c r="F215" s="15" t="s">
        <v>645</v>
      </c>
      <c r="G215" s="23" t="s">
        <v>613</v>
      </c>
      <c r="H215" s="23" t="s">
        <v>660</v>
      </c>
      <c r="I215" s="23" t="s">
        <v>705</v>
      </c>
      <c r="N215" s="1" t="s">
        <v>594</v>
      </c>
      <c r="O215" s="1" t="s">
        <v>549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459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328</v>
      </c>
      <c r="D216" s="23" t="s">
        <v>1022</v>
      </c>
      <c r="E216" s="23" t="s">
        <v>1192</v>
      </c>
      <c r="F216" s="2" t="s">
        <v>329</v>
      </c>
      <c r="G216" s="23" t="s">
        <v>49</v>
      </c>
      <c r="H216" s="23" t="s">
        <v>661</v>
      </c>
      <c r="I216" s="23" t="s">
        <v>675</v>
      </c>
      <c r="L216" s="23" t="s">
        <v>1300</v>
      </c>
      <c r="M216" s="23" t="s">
        <v>712</v>
      </c>
      <c r="N216" s="1" t="s">
        <v>594</v>
      </c>
      <c r="O216" s="1" t="s">
        <v>549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459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614</v>
      </c>
      <c r="D217" s="23" t="s">
        <v>615</v>
      </c>
      <c r="E217" s="23" t="s">
        <v>616</v>
      </c>
      <c r="F217" s="15" t="s">
        <v>617</v>
      </c>
      <c r="G217" s="23" t="s">
        <v>618</v>
      </c>
      <c r="N217" s="1" t="s">
        <v>594</v>
      </c>
      <c r="O217" s="1" t="s">
        <v>549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459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619</v>
      </c>
      <c r="D218" s="23" t="s">
        <v>1023</v>
      </c>
      <c r="E218" s="23" t="s">
        <v>1193</v>
      </c>
      <c r="F218" s="15" t="s">
        <v>198</v>
      </c>
      <c r="G218" s="23" t="s">
        <v>199</v>
      </c>
      <c r="H218" s="23" t="s">
        <v>661</v>
      </c>
      <c r="I218" s="23" t="s">
        <v>669</v>
      </c>
      <c r="K218" s="23" t="s">
        <v>668</v>
      </c>
      <c r="L218" s="23" t="s">
        <v>1300</v>
      </c>
      <c r="M218" s="23" t="s">
        <v>695</v>
      </c>
      <c r="N218" s="1" t="s">
        <v>594</v>
      </c>
      <c r="O218" s="1" t="s">
        <v>549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459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625</v>
      </c>
      <c r="D219" s="23" t="s">
        <v>1024</v>
      </c>
      <c r="E219" s="23" t="s">
        <v>626</v>
      </c>
      <c r="F219" s="2" t="s">
        <v>149</v>
      </c>
      <c r="G219" s="23" t="s">
        <v>150</v>
      </c>
      <c r="N219" s="1" t="s">
        <v>594</v>
      </c>
      <c r="O219" s="1" t="s">
        <v>549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459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627</v>
      </c>
      <c r="D220" s="23" t="s">
        <v>1025</v>
      </c>
      <c r="E220" s="23" t="s">
        <v>1194</v>
      </c>
      <c r="F220" s="15" t="s">
        <v>611</v>
      </c>
      <c r="G220" s="23" t="s">
        <v>276</v>
      </c>
      <c r="H220" s="23" t="s">
        <v>660</v>
      </c>
      <c r="I220" s="23" t="s">
        <v>675</v>
      </c>
      <c r="L220" s="23" t="s">
        <v>1298</v>
      </c>
      <c r="N220" s="1" t="s">
        <v>594</v>
      </c>
      <c r="O220" s="1" t="s">
        <v>549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459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628</v>
      </c>
      <c r="D221" s="23" t="s">
        <v>1026</v>
      </c>
      <c r="E221" s="23" t="s">
        <v>1195</v>
      </c>
      <c r="F221" s="15" t="s">
        <v>629</v>
      </c>
      <c r="G221" s="23" t="s">
        <v>630</v>
      </c>
      <c r="N221" s="1" t="s">
        <v>631</v>
      </c>
      <c r="O221" s="1" t="s">
        <v>549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459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632</v>
      </c>
      <c r="D222" s="23" t="s">
        <v>633</v>
      </c>
      <c r="E222" s="23" t="s">
        <v>634</v>
      </c>
      <c r="F222" s="15" t="s">
        <v>629</v>
      </c>
      <c r="G222" s="23" t="s">
        <v>635</v>
      </c>
      <c r="N222" s="1" t="s">
        <v>631</v>
      </c>
      <c r="O222" s="1" t="s">
        <v>549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459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636</v>
      </c>
      <c r="D223" s="23" t="s">
        <v>1027</v>
      </c>
      <c r="E223" s="23" t="s">
        <v>1196</v>
      </c>
      <c r="F223" s="15" t="s">
        <v>629</v>
      </c>
      <c r="G223" s="23" t="str">
        <f>テーブル1[[#This Row],[名前]]&amp;"(UTAU)"</f>
        <v>カイル・タイラー(UTAU)</v>
      </c>
      <c r="N223" s="1" t="s">
        <v>631</v>
      </c>
      <c r="O223" s="1" t="s">
        <v>549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459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637</v>
      </c>
      <c r="D224" s="23" t="s">
        <v>1028</v>
      </c>
      <c r="E224" s="23" t="s">
        <v>1197</v>
      </c>
      <c r="F224" s="15" t="s">
        <v>638</v>
      </c>
      <c r="G224" s="23" t="s">
        <v>1221</v>
      </c>
      <c r="O224" s="1" t="s">
        <v>549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459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639</v>
      </c>
      <c r="D225" s="23" t="s">
        <v>1029</v>
      </c>
      <c r="E225" s="23" t="s">
        <v>1198</v>
      </c>
      <c r="F225" s="15" t="s">
        <v>640</v>
      </c>
      <c r="G225" s="23" t="s">
        <v>641</v>
      </c>
      <c r="N225" s="1" t="s">
        <v>631</v>
      </c>
      <c r="O225" s="1" t="s">
        <v>549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459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642</v>
      </c>
      <c r="D226" s="23" t="s">
        <v>643</v>
      </c>
      <c r="E226" s="23" t="s">
        <v>644</v>
      </c>
      <c r="F226" s="15" t="s">
        <v>645</v>
      </c>
      <c r="G226" s="23" t="s">
        <v>646</v>
      </c>
      <c r="H226" s="23" t="s">
        <v>661</v>
      </c>
      <c r="I226" s="23" t="s">
        <v>669</v>
      </c>
      <c r="M226" s="23" t="s">
        <v>1266</v>
      </c>
      <c r="N226" s="1" t="s">
        <v>631</v>
      </c>
      <c r="O226" s="1" t="s">
        <v>549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459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647</v>
      </c>
      <c r="D227" s="23" t="s">
        <v>648</v>
      </c>
      <c r="E227" s="23" t="s">
        <v>1199</v>
      </c>
      <c r="F227" s="15" t="s">
        <v>645</v>
      </c>
      <c r="G227" s="23" t="s">
        <v>649</v>
      </c>
      <c r="H227" s="23" t="s">
        <v>660</v>
      </c>
      <c r="I227" s="23" t="s">
        <v>669</v>
      </c>
      <c r="K227" s="23" t="s">
        <v>759</v>
      </c>
      <c r="M227" s="23" t="s">
        <v>1267</v>
      </c>
      <c r="N227" s="1" t="s">
        <v>631</v>
      </c>
      <c r="O227" s="1" t="s">
        <v>549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459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713</v>
      </c>
      <c r="D228" s="23" t="s">
        <v>1030</v>
      </c>
      <c r="E228" s="23" t="s">
        <v>1200</v>
      </c>
      <c r="F228" s="15" t="s">
        <v>714</v>
      </c>
      <c r="G228" s="23" t="s">
        <v>715</v>
      </c>
      <c r="H228" s="23" t="s">
        <v>660</v>
      </c>
      <c r="I228" s="23" t="s">
        <v>675</v>
      </c>
      <c r="K228" s="23" t="s">
        <v>716</v>
      </c>
      <c r="L228" s="23" t="s">
        <v>1315</v>
      </c>
      <c r="M228" s="23" t="s">
        <v>814</v>
      </c>
      <c r="N228" s="1" t="s">
        <v>631</v>
      </c>
      <c r="O228" s="1" t="s">
        <v>549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459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717</v>
      </c>
      <c r="D229" s="23" t="s">
        <v>1031</v>
      </c>
      <c r="E229" s="23" t="s">
        <v>1201</v>
      </c>
      <c r="F229" s="3" t="s">
        <v>718</v>
      </c>
      <c r="G229" s="23" t="s">
        <v>719</v>
      </c>
      <c r="H229" s="23" t="s">
        <v>660</v>
      </c>
      <c r="I229" s="23" t="s">
        <v>669</v>
      </c>
      <c r="L229" s="23" t="s">
        <v>1302</v>
      </c>
      <c r="N229" s="1" t="s">
        <v>720</v>
      </c>
      <c r="O229" s="1" t="s">
        <v>549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459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722</v>
      </c>
      <c r="D230" s="23" t="s">
        <v>723</v>
      </c>
      <c r="E230" s="23" t="s">
        <v>1202</v>
      </c>
      <c r="F230" s="29" t="s">
        <v>726</v>
      </c>
      <c r="G230" s="23" t="s">
        <v>725</v>
      </c>
      <c r="H230" s="23" t="s">
        <v>683</v>
      </c>
      <c r="I230" s="23" t="s">
        <v>669</v>
      </c>
      <c r="K230" s="23" t="s">
        <v>724</v>
      </c>
      <c r="N230" s="1" t="s">
        <v>631</v>
      </c>
      <c r="O230" s="1" t="s">
        <v>549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459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727</v>
      </c>
      <c r="D231" s="23" t="s">
        <v>1032</v>
      </c>
      <c r="E231" s="23" t="s">
        <v>1203</v>
      </c>
      <c r="F231" s="29" t="s">
        <v>728</v>
      </c>
      <c r="G231" s="23" t="s">
        <v>729</v>
      </c>
      <c r="H231" s="23" t="s">
        <v>661</v>
      </c>
      <c r="I231" s="23" t="s">
        <v>1233</v>
      </c>
      <c r="J231" s="23" t="s">
        <v>730</v>
      </c>
      <c r="L231" s="23" t="s">
        <v>1310</v>
      </c>
      <c r="M231" s="23" t="s">
        <v>799</v>
      </c>
      <c r="N231" s="1" t="s">
        <v>631</v>
      </c>
      <c r="O231" s="1" t="s">
        <v>549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459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733</v>
      </c>
      <c r="D232" s="23" t="s">
        <v>1033</v>
      </c>
      <c r="E232" s="23" t="s">
        <v>1204</v>
      </c>
      <c r="F232" s="29" t="s">
        <v>734</v>
      </c>
      <c r="G232" s="23" t="s">
        <v>735</v>
      </c>
      <c r="H232" s="23" t="s">
        <v>660</v>
      </c>
      <c r="I232" s="23" t="s">
        <v>669</v>
      </c>
      <c r="J232" s="23" t="s">
        <v>744</v>
      </c>
      <c r="L232" s="23" t="s">
        <v>1304</v>
      </c>
      <c r="N232" s="1" t="s">
        <v>631</v>
      </c>
      <c r="O232" s="1" t="s">
        <v>549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459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736</v>
      </c>
      <c r="D233" s="23" t="s">
        <v>1034</v>
      </c>
      <c r="E233" s="23" t="s">
        <v>1205</v>
      </c>
      <c r="F233" s="29" t="s">
        <v>737</v>
      </c>
      <c r="G233" s="23" t="str">
        <f>テーブル1[[#This Row],[名前]]&amp;"(UTAU)"</f>
        <v>鳴上キョウ(UTAU)</v>
      </c>
      <c r="H233" s="23" t="s">
        <v>661</v>
      </c>
      <c r="I233" s="23" t="s">
        <v>669</v>
      </c>
      <c r="N233" s="1" t="s">
        <v>631</v>
      </c>
      <c r="O233" s="1" t="s">
        <v>549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459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468</v>
      </c>
      <c r="D234" s="23" t="s">
        <v>1035</v>
      </c>
      <c r="E234" s="23" t="s">
        <v>1206</v>
      </c>
      <c r="F234" s="15" t="s">
        <v>122</v>
      </c>
      <c r="G234" s="24" t="s">
        <v>778</v>
      </c>
      <c r="H234" s="24" t="s">
        <v>661</v>
      </c>
      <c r="I234" s="24" t="s">
        <v>678</v>
      </c>
      <c r="J234" s="24"/>
      <c r="K234" s="24" t="s">
        <v>774</v>
      </c>
      <c r="L234" s="24" t="s">
        <v>1302</v>
      </c>
      <c r="M234" s="24" t="s">
        <v>834</v>
      </c>
      <c r="N234" s="1" t="s">
        <v>631</v>
      </c>
      <c r="O234" s="1" t="s">
        <v>549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459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469</v>
      </c>
      <c r="D235" s="23" t="s">
        <v>1036</v>
      </c>
      <c r="E235" s="23" t="s">
        <v>1207</v>
      </c>
      <c r="F235" s="15" t="s">
        <v>122</v>
      </c>
      <c r="G235" s="24" t="s">
        <v>777</v>
      </c>
      <c r="H235" s="24" t="s">
        <v>661</v>
      </c>
      <c r="I235" s="24" t="s">
        <v>817</v>
      </c>
      <c r="J235" s="24"/>
      <c r="K235" s="24" t="s">
        <v>761</v>
      </c>
      <c r="L235" s="24" t="s">
        <v>1302</v>
      </c>
      <c r="M235" s="24" t="s">
        <v>818</v>
      </c>
      <c r="N235" s="1" t="s">
        <v>631</v>
      </c>
      <c r="O235" s="1" t="s">
        <v>549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459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815</v>
      </c>
      <c r="D236" s="23" t="s">
        <v>1037</v>
      </c>
      <c r="E236" s="23" t="s">
        <v>1208</v>
      </c>
      <c r="F236" s="15" t="s">
        <v>122</v>
      </c>
      <c r="G236" s="24" t="s">
        <v>777</v>
      </c>
      <c r="H236" s="24" t="s">
        <v>661</v>
      </c>
      <c r="I236" s="24" t="s">
        <v>696</v>
      </c>
      <c r="J236" s="24"/>
      <c r="K236" s="24"/>
      <c r="L236" s="24" t="s">
        <v>1302</v>
      </c>
      <c r="M236" s="24" t="s">
        <v>816</v>
      </c>
      <c r="N236" s="1" t="s">
        <v>631</v>
      </c>
      <c r="O236" s="1" t="s">
        <v>549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459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471</v>
      </c>
      <c r="D237" s="23" t="s">
        <v>1038</v>
      </c>
      <c r="E237" s="23" t="s">
        <v>1209</v>
      </c>
      <c r="F237" s="15" t="s">
        <v>122</v>
      </c>
      <c r="G237" s="24" t="s">
        <v>777</v>
      </c>
      <c r="H237" s="24" t="s">
        <v>684</v>
      </c>
      <c r="I237" s="24" t="s">
        <v>817</v>
      </c>
      <c r="J237" s="24" t="s">
        <v>820</v>
      </c>
      <c r="K237" s="24"/>
      <c r="L237" s="24" t="s">
        <v>1302</v>
      </c>
      <c r="M237" s="24" t="s">
        <v>704</v>
      </c>
      <c r="N237" s="1" t="s">
        <v>631</v>
      </c>
      <c r="O237" s="1" t="s">
        <v>549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459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472</v>
      </c>
      <c r="D238" s="23" t="s">
        <v>474</v>
      </c>
      <c r="E238" s="23" t="s">
        <v>473</v>
      </c>
      <c r="F238" s="15" t="s">
        <v>122</v>
      </c>
      <c r="G238" s="24" t="s">
        <v>777</v>
      </c>
      <c r="H238" s="24" t="s">
        <v>661</v>
      </c>
      <c r="I238" s="24"/>
      <c r="J238" s="24"/>
      <c r="K238" s="24"/>
      <c r="L238" s="24"/>
      <c r="M238" s="24" t="s">
        <v>821</v>
      </c>
      <c r="N238" s="1" t="s">
        <v>631</v>
      </c>
      <c r="O238" s="1" t="s">
        <v>549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459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475</v>
      </c>
      <c r="D239" s="23" t="s">
        <v>477</v>
      </c>
      <c r="E239" s="23" t="s">
        <v>476</v>
      </c>
      <c r="F239" s="15" t="s">
        <v>122</v>
      </c>
      <c r="G239" s="24" t="s">
        <v>777</v>
      </c>
      <c r="H239" s="24" t="s">
        <v>661</v>
      </c>
      <c r="I239" s="24"/>
      <c r="J239" s="24"/>
      <c r="K239" s="24"/>
      <c r="L239" s="24"/>
      <c r="M239" s="24"/>
      <c r="N239" s="1" t="s">
        <v>631</v>
      </c>
      <c r="O239" s="1" t="s">
        <v>549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459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478</v>
      </c>
      <c r="D240" s="23" t="s">
        <v>480</v>
      </c>
      <c r="E240" s="23" t="s">
        <v>479</v>
      </c>
      <c r="F240" s="15" t="s">
        <v>122</v>
      </c>
      <c r="G240" s="24" t="s">
        <v>777</v>
      </c>
      <c r="H240" s="24" t="s">
        <v>661</v>
      </c>
      <c r="I240" s="24"/>
      <c r="J240" s="24"/>
      <c r="K240" s="24"/>
      <c r="L240" s="24"/>
      <c r="M240" s="24" t="s">
        <v>822</v>
      </c>
      <c r="N240" s="1" t="s">
        <v>631</v>
      </c>
      <c r="O240" s="1" t="s">
        <v>549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459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823</v>
      </c>
      <c r="D241" s="23" t="s">
        <v>1039</v>
      </c>
      <c r="E241" s="23" t="s">
        <v>1210</v>
      </c>
      <c r="F241" s="15" t="s">
        <v>122</v>
      </c>
      <c r="G241" s="24" t="s">
        <v>777</v>
      </c>
      <c r="H241" s="24" t="s">
        <v>661</v>
      </c>
      <c r="I241" s="24" t="s">
        <v>824</v>
      </c>
      <c r="J241" s="23" t="s">
        <v>825</v>
      </c>
      <c r="K241" s="24"/>
      <c r="L241" s="24"/>
      <c r="M241" s="24"/>
      <c r="N241" s="1" t="s">
        <v>631</v>
      </c>
      <c r="O241" s="1" t="s">
        <v>549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459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826</v>
      </c>
      <c r="D242" s="23" t="s">
        <v>827</v>
      </c>
      <c r="E242" s="23" t="s">
        <v>828</v>
      </c>
      <c r="F242" s="15" t="s">
        <v>122</v>
      </c>
      <c r="G242" s="24" t="s">
        <v>777</v>
      </c>
      <c r="H242" s="24" t="s">
        <v>661</v>
      </c>
      <c r="I242" s="24" t="s">
        <v>678</v>
      </c>
      <c r="K242" s="24"/>
      <c r="L242" s="24"/>
      <c r="M242" s="24" t="s">
        <v>830</v>
      </c>
      <c r="N242" s="1" t="s">
        <v>631</v>
      </c>
      <c r="O242" s="1" t="s">
        <v>549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459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832</v>
      </c>
      <c r="D243" s="23" t="s">
        <v>1040</v>
      </c>
      <c r="E243" s="23" t="s">
        <v>1211</v>
      </c>
      <c r="F243" s="15" t="s">
        <v>122</v>
      </c>
      <c r="G243" s="24" t="s">
        <v>777</v>
      </c>
      <c r="H243" s="24" t="s">
        <v>661</v>
      </c>
      <c r="I243" s="24" t="s">
        <v>835</v>
      </c>
      <c r="K243" s="24" t="s">
        <v>833</v>
      </c>
      <c r="L243" s="24" t="s">
        <v>1311</v>
      </c>
      <c r="M243" s="24" t="s">
        <v>834</v>
      </c>
      <c r="N243" s="1" t="s">
        <v>631</v>
      </c>
      <c r="O243" s="1" t="s">
        <v>549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459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836</v>
      </c>
      <c r="D244" s="23" t="s">
        <v>836</v>
      </c>
      <c r="E244" s="23" t="s">
        <v>837</v>
      </c>
      <c r="F244" s="15" t="s">
        <v>838</v>
      </c>
      <c r="G244" s="24" t="s">
        <v>839</v>
      </c>
      <c r="H244" s="24" t="s">
        <v>661</v>
      </c>
      <c r="I244" s="24"/>
      <c r="K244" s="24"/>
      <c r="L244" s="24"/>
      <c r="M244" s="24" t="s">
        <v>834</v>
      </c>
      <c r="N244" s="1" t="s">
        <v>631</v>
      </c>
      <c r="O244" s="1" t="s">
        <v>549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459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840</v>
      </c>
      <c r="D245" s="23" t="s">
        <v>841</v>
      </c>
      <c r="E245" s="23" t="s">
        <v>842</v>
      </c>
      <c r="F245" s="15" t="s">
        <v>843</v>
      </c>
      <c r="G245" s="24" t="s">
        <v>845</v>
      </c>
      <c r="H245" s="24" t="s">
        <v>661</v>
      </c>
      <c r="I245" s="24" t="s">
        <v>844</v>
      </c>
      <c r="K245" s="24"/>
      <c r="L245" s="24"/>
      <c r="N245" s="1" t="s">
        <v>720</v>
      </c>
      <c r="O245" s="1" t="s">
        <v>549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459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846</v>
      </c>
      <c r="D246" s="23" t="s">
        <v>1041</v>
      </c>
      <c r="E246" s="23" t="s">
        <v>1212</v>
      </c>
      <c r="F246" s="15" t="s">
        <v>847</v>
      </c>
      <c r="G246" s="24" t="s">
        <v>848</v>
      </c>
      <c r="H246" s="24" t="s">
        <v>683</v>
      </c>
      <c r="I246" s="24"/>
      <c r="K246" s="24"/>
      <c r="L246" s="24"/>
      <c r="M246" s="24" t="s">
        <v>849</v>
      </c>
      <c r="N246" s="1" t="s">
        <v>720</v>
      </c>
      <c r="O246" s="1" t="s">
        <v>549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459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850</v>
      </c>
      <c r="D247" s="23" t="s">
        <v>1042</v>
      </c>
      <c r="E247" s="23" t="s">
        <v>1213</v>
      </c>
      <c r="F247" s="15" t="s">
        <v>851</v>
      </c>
      <c r="G247" s="24" t="s">
        <v>852</v>
      </c>
      <c r="H247" s="24" t="s">
        <v>660</v>
      </c>
      <c r="I247" s="24" t="s">
        <v>678</v>
      </c>
      <c r="J247" s="23" t="s">
        <v>853</v>
      </c>
      <c r="K247" s="24"/>
      <c r="L247" s="24"/>
      <c r="M247" s="24" t="s">
        <v>702</v>
      </c>
      <c r="N247" s="1" t="s">
        <v>631</v>
      </c>
      <c r="O247" s="1" t="s">
        <v>549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459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854</v>
      </c>
      <c r="D248" s="23" t="s">
        <v>1043</v>
      </c>
      <c r="E248" s="23" t="s">
        <v>1214</v>
      </c>
      <c r="F248" s="15" t="s">
        <v>235</v>
      </c>
      <c r="G248" s="23" t="s">
        <v>236</v>
      </c>
      <c r="H248" s="24" t="s">
        <v>660</v>
      </c>
      <c r="I248" s="24" t="s">
        <v>669</v>
      </c>
      <c r="K248" s="23" t="s">
        <v>701</v>
      </c>
      <c r="L248" s="24"/>
      <c r="M248" s="24"/>
      <c r="N248" s="1" t="s">
        <v>631</v>
      </c>
      <c r="O248" s="1" t="s">
        <v>549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459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855</v>
      </c>
      <c r="D249" s="23" t="s">
        <v>1044</v>
      </c>
      <c r="E249" s="23" t="s">
        <v>855</v>
      </c>
      <c r="F249" s="15" t="s">
        <v>235</v>
      </c>
      <c r="G249" s="23" t="s">
        <v>236</v>
      </c>
      <c r="H249" s="24" t="s">
        <v>660</v>
      </c>
      <c r="I249" s="24" t="s">
        <v>678</v>
      </c>
      <c r="L249" s="24" t="s">
        <v>1311</v>
      </c>
      <c r="M249" s="24"/>
      <c r="N249" s="1" t="s">
        <v>631</v>
      </c>
      <c r="O249" s="1" t="s">
        <v>549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459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856</v>
      </c>
      <c r="D250" s="23" t="s">
        <v>857</v>
      </c>
      <c r="E250" s="23" t="s">
        <v>858</v>
      </c>
      <c r="F250" s="15" t="s">
        <v>859</v>
      </c>
      <c r="G250" s="23" t="s">
        <v>860</v>
      </c>
      <c r="H250" s="24" t="s">
        <v>683</v>
      </c>
      <c r="I250" s="24" t="s">
        <v>669</v>
      </c>
      <c r="K250" s="23" t="s">
        <v>668</v>
      </c>
      <c r="L250" s="24" t="s">
        <v>1319</v>
      </c>
      <c r="M250" s="24" t="s">
        <v>779</v>
      </c>
      <c r="N250" s="1" t="s">
        <v>631</v>
      </c>
      <c r="O250" s="1" t="s">
        <v>549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S250" s="1" t="s">
        <v>459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49999999999999" customHeight="1" x14ac:dyDescent="0.35">
      <c r="A251" s="20">
        <v>250</v>
      </c>
      <c r="B251" s="23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861</v>
      </c>
      <c r="D251" s="23" t="s">
        <v>1045</v>
      </c>
      <c r="E251" s="23" t="s">
        <v>1215</v>
      </c>
      <c r="F251" s="15" t="s">
        <v>123</v>
      </c>
      <c r="G251" s="23" t="s">
        <v>873</v>
      </c>
      <c r="H251" s="24" t="s">
        <v>661</v>
      </c>
      <c r="I251" s="24" t="s">
        <v>1233</v>
      </c>
      <c r="J251" s="23" t="s">
        <v>862</v>
      </c>
      <c r="L251" s="24"/>
      <c r="M251" s="24" t="s">
        <v>1222</v>
      </c>
      <c r="N251" s="1" t="s">
        <v>631</v>
      </c>
      <c r="O251" s="1" t="s">
        <v>549</v>
      </c>
      <c r="P251" s="24" t="str">
        <f>テーブル1[[#This Row],[リンク]]&amp;テーブル1[[#This Row],[描画状況]]</f>
        <v>https://lit.link/nemukoneko済</v>
      </c>
      <c r="Q251" s="17">
        <f>1-(COUNTIF(P:P,_xlfn.TEXTJOIN(",",TRUE,テーブル1[[#This Row],[リンク]],テーブル1[[#This Row],[描画状況]]))/COUNTIF(F:F,テーブル1[[#This Row],[リンク]]))</f>
        <v>1</v>
      </c>
      <c r="R251" s="16" t="str">
        <f ca="1">IFERROR(IF(テーブル1[[#This Row],[描画状況]]="",RAND()+(テーブル1[[#This Row],[列2]]*100),""),RAND())</f>
        <v/>
      </c>
      <c r="S251" s="1" t="s">
        <v>459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|&amp;image(hebikawa-ren.png,width=100,height=100)</v>
      </c>
      <c r="V251" s="23" t="str">
        <f>"|MIDDLE:​"&amp;テーブル1[[#This Row],[名前]]</f>
        <v>|MIDDLE:​蛇川蓮</v>
      </c>
      <c r="W251" s="23" t="str">
        <f>"|MIDDLE:​"&amp;テーブル1[[#This Row],[なまえ]]</f>
        <v>|MIDDLE:​へびかわ れん</v>
      </c>
      <c r="X251" s="23" t="str">
        <f>"|MIDDLE:​"&amp;テーブル1[[#This Row],[Name]]</f>
        <v>|MIDDLE:​Hebikawa Ren</v>
      </c>
      <c r="Y251" s="23" t="str">
        <f>"|MIDDLE:​&amp;link(配布所はこちら){​"&amp;テーブル1[[#This Row],[リンク]]&amp;"}|"</f>
        <v>|MIDDLE:​&amp;link(配布所はこちら){​https://lit.link/nemukoneko}|</v>
      </c>
    </row>
    <row r="252" spans="1:25" ht="20.149999999999999" customHeight="1" x14ac:dyDescent="0.35">
      <c r="A252" s="20">
        <v>251</v>
      </c>
      <c r="B252" s="23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863</v>
      </c>
      <c r="D252" s="23" t="s">
        <v>1046</v>
      </c>
      <c r="E252" s="23" t="s">
        <v>1216</v>
      </c>
      <c r="F252" s="15" t="s">
        <v>123</v>
      </c>
      <c r="G252" s="24" t="s">
        <v>870</v>
      </c>
      <c r="H252" s="24" t="s">
        <v>661</v>
      </c>
      <c r="I252" s="24" t="s">
        <v>1234</v>
      </c>
      <c r="J252" s="23" t="s">
        <v>874</v>
      </c>
      <c r="L252" s="24"/>
      <c r="M252" s="24"/>
      <c r="N252" s="1" t="s">
        <v>631</v>
      </c>
      <c r="O252" s="1" t="s">
        <v>549</v>
      </c>
      <c r="P252" s="24" t="str">
        <f>テーブル1[[#This Row],[リンク]]&amp;テーブル1[[#This Row],[描画状況]]</f>
        <v>https://lit.link/nemukoneko済</v>
      </c>
      <c r="Q252" s="17">
        <f>1-(COUNTIF(P:P,_xlfn.TEXTJOIN(",",TRUE,テーブル1[[#This Row],[リンク]],テーブル1[[#This Row],[描画状況]]))/COUNTIF(F:F,テーブル1[[#This Row],[リンク]]))</f>
        <v>1</v>
      </c>
      <c r="R252" s="16" t="str">
        <f ca="1">IFERROR(IF(テーブル1[[#This Row],[描画状況]]="",RAND()+(テーブル1[[#This Row],[列2]]*100),""),RAND())</f>
        <v/>
      </c>
      <c r="S252" s="1" t="s">
        <v>459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|&amp;image(karasuda-tsubaki.png,width=100,height=100)</v>
      </c>
      <c r="V252" s="23" t="str">
        <f>"|MIDDLE:​"&amp;テーブル1[[#This Row],[名前]]</f>
        <v>|MIDDLE:​鴉田椿</v>
      </c>
      <c r="W252" s="23" t="str">
        <f>"|MIDDLE:​"&amp;テーブル1[[#This Row],[なまえ]]</f>
        <v>|MIDDLE:​からすだ つばき</v>
      </c>
      <c r="X252" s="23" t="str">
        <f>"|MIDDLE:​"&amp;テーブル1[[#This Row],[Name]]</f>
        <v>|MIDDLE:​Karasuda Tsubaki</v>
      </c>
      <c r="Y252" s="23" t="str">
        <f>"|MIDDLE:​&amp;link(配布所はこちら){​"&amp;テーブル1[[#This Row],[リンク]]&amp;"}|"</f>
        <v>|MIDDLE:​&amp;link(配布所はこちら){​https://lit.link/nemukoneko}|</v>
      </c>
    </row>
    <row r="253" spans="1:25" ht="20.149999999999999" customHeight="1" x14ac:dyDescent="0.35">
      <c r="A253" s="20">
        <v>252</v>
      </c>
      <c r="B253" s="23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864</v>
      </c>
      <c r="D253" s="23" t="s">
        <v>879</v>
      </c>
      <c r="E253" s="23" t="s">
        <v>1217</v>
      </c>
      <c r="F253" s="15" t="s">
        <v>865</v>
      </c>
      <c r="G253" s="24" t="s">
        <v>866</v>
      </c>
      <c r="H253" s="24" t="s">
        <v>684</v>
      </c>
      <c r="I253" s="24" t="s">
        <v>747</v>
      </c>
      <c r="J253" s="23" t="s">
        <v>771</v>
      </c>
      <c r="L253" s="24"/>
      <c r="M253" s="23" t="s">
        <v>799</v>
      </c>
      <c r="N253" s="1" t="s">
        <v>631</v>
      </c>
      <c r="O253" s="1" t="s">
        <v>549</v>
      </c>
      <c r="P253" s="24" t="str">
        <f>テーブル1[[#This Row],[リンク]]&amp;テーブル1[[#This Row],[描画状況]]</f>
        <v>https://note.com/lycopema/n/n7abddbef7b6e済</v>
      </c>
      <c r="Q253" s="17">
        <f>1-(COUNTIF(P:P,_xlfn.TEXTJOIN(",",TRUE,テーブル1[[#This Row],[リンク]],テーブル1[[#This Row],[描画状況]]))/COUNTIF(F:F,テーブル1[[#This Row],[リンク]]))</f>
        <v>1</v>
      </c>
      <c r="R253" s="16" t="str">
        <f ca="1">IFERROR(IF(テーブル1[[#This Row],[描画状況]]="",RAND()+(テーブル1[[#This Row],[列2]]*100),""),RAND())</f>
        <v/>
      </c>
      <c r="S253" s="1" t="s">
        <v>459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|&amp;image(the-alien-cat-lyce.png,width=100,height=100)</v>
      </c>
      <c r="V253" s="23" t="str">
        <f>"|MIDDLE:​"&amp;テーブル1[[#This Row],[名前]]</f>
        <v>|MIDDLE:​猫星人リセ</v>
      </c>
      <c r="W253" s="23" t="str">
        <f>"|MIDDLE:​"&amp;テーブル1[[#This Row],[なまえ]]</f>
        <v>|MIDDLE:​ねこせいじん りせ</v>
      </c>
      <c r="X253" s="23" t="str">
        <f>"|MIDDLE:​"&amp;テーブル1[[#This Row],[Name]]</f>
        <v>|MIDDLE:​The Alien Cat Lyce</v>
      </c>
      <c r="Y253" s="23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5" ht="20.149999999999999" customHeight="1" x14ac:dyDescent="0.35">
      <c r="A254" s="20">
        <v>253</v>
      </c>
      <c r="B254" s="23" t="str">
        <f>SUBSTITUTE(SUBSTITUTE(SUBSTITUTE(SUBSTITUTE(SUBSTITUTE(SUBSTITUTE(SUBSTITUTE(SUBSTITUTE(LOWER(テーブル1[[#This Row],[Name]])," ","-"),".","-"),"&amp;","-"),"_","-"),"・","-"),"=","-"),"--","-"),"--","-")</f>
        <v>kr-725</v>
      </c>
      <c r="C254" s="24" t="s">
        <v>875</v>
      </c>
      <c r="D254" s="23" t="s">
        <v>876</v>
      </c>
      <c r="E254" s="23" t="s">
        <v>875</v>
      </c>
      <c r="F254" s="15" t="s">
        <v>557</v>
      </c>
      <c r="G254" s="24" t="s">
        <v>877</v>
      </c>
      <c r="H254" s="24" t="s">
        <v>660</v>
      </c>
      <c r="I254" s="24" t="s">
        <v>678</v>
      </c>
      <c r="K254" s="23" t="s">
        <v>869</v>
      </c>
      <c r="L254" s="24"/>
      <c r="M254" s="24" t="s">
        <v>670</v>
      </c>
      <c r="N254" s="1" t="s">
        <v>631</v>
      </c>
      <c r="O254" s="1" t="s">
        <v>549</v>
      </c>
      <c r="P254" s="24" t="str">
        <f>テーブル1[[#This Row],[リンク]]&amp;テーブル1[[#This Row],[描画状況]]</f>
        <v>https://sites.google.com/view/ronku99済</v>
      </c>
      <c r="Q254" s="17">
        <f>1-(COUNTIF(P:P,_xlfn.TEXTJOIN(",",TRUE,テーブル1[[#This Row],[リンク]],テーブル1[[#This Row],[描画状況]]))/COUNTIF(F:F,テーブル1[[#This Row],[リンク]]))</f>
        <v>1</v>
      </c>
      <c r="R254" s="16" t="str">
        <f ca="1">IFERROR(IF(テーブル1[[#This Row],[描画状況]]="",RAND()+(テーブル1[[#This Row],[列2]]*100),""),RAND())</f>
        <v/>
      </c>
      <c r="S254" s="1" t="s">
        <v>459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|&amp;image(kr-725.png,width=100,height=100)</v>
      </c>
      <c r="V254" s="23" t="str">
        <f>"|MIDDLE:​"&amp;テーブル1[[#This Row],[名前]]</f>
        <v>|MIDDLE:​KR-725</v>
      </c>
      <c r="W254" s="23" t="str">
        <f>"|MIDDLE:​"&amp;テーブル1[[#This Row],[なまえ]]</f>
        <v>|MIDDLE:​けーあーる-ななにーご</v>
      </c>
      <c r="X254" s="23" t="str">
        <f>"|MIDDLE:​"&amp;テーブル1[[#This Row],[Name]]</f>
        <v>|MIDDLE:​KR-725</v>
      </c>
      <c r="Y254" s="23" t="str">
        <f>"|MIDDLE:​&amp;link(配布所はこちら){​"&amp;テーブル1[[#This Row],[リンク]]&amp;"}|"</f>
        <v>|MIDDLE:​&amp;link(配布所はこちら){​https://sites.google.com/view/ronku99}|</v>
      </c>
    </row>
    <row r="255" spans="1:25" ht="20.149999999999999" customHeight="1" x14ac:dyDescent="0.35">
      <c r="A255" s="20">
        <v>254</v>
      </c>
      <c r="B255" s="23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867</v>
      </c>
      <c r="D255" s="23" t="s">
        <v>1047</v>
      </c>
      <c r="E255" s="23" t="s">
        <v>1218</v>
      </c>
      <c r="F255" s="15" t="s">
        <v>868</v>
      </c>
      <c r="G255" s="24" t="s">
        <v>1236</v>
      </c>
      <c r="H255" s="24" t="s">
        <v>683</v>
      </c>
      <c r="I255" s="24" t="s">
        <v>1233</v>
      </c>
      <c r="J255" s="23" t="s">
        <v>1232</v>
      </c>
      <c r="L255" s="24" t="s">
        <v>1317</v>
      </c>
      <c r="M255" s="24" t="s">
        <v>1235</v>
      </c>
      <c r="N255" s="1" t="s">
        <v>631</v>
      </c>
      <c r="O255" s="1" t="s">
        <v>549</v>
      </c>
      <c r="P255" s="24" t="str">
        <f>テーブル1[[#This Row],[リンク]]&amp;テーブル1[[#This Row],[描画状況]]</f>
        <v>https://hatonosuke5.booth.pm済</v>
      </c>
      <c r="Q255" s="17">
        <f>1-(COUNTIF(P:P,_xlfn.TEXTJOIN(",",TRUE,テーブル1[[#This Row],[リンク]],テーブル1[[#This Row],[描画状況]]))/COUNTIF(F:F,テーブル1[[#This Row],[リンク]]))</f>
        <v>1</v>
      </c>
      <c r="R255" s="16" t="str">
        <f ca="1">IFERROR(IF(テーブル1[[#This Row],[描画状況]]="",RAND()+(テーブル1[[#This Row],[列2]]*100),""),RAND())</f>
        <v/>
      </c>
      <c r="S255" s="1" t="s">
        <v>459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|&amp;image(kurumiyaki-yosiyuki.png,width=100,height=100)</v>
      </c>
      <c r="V255" s="23" t="str">
        <f>"|MIDDLE:​"&amp;テーブル1[[#This Row],[名前]]</f>
        <v>|MIDDLE:​クルミヤキ吉行</v>
      </c>
      <c r="W255" s="23" t="str">
        <f>"|MIDDLE:​"&amp;テーブル1[[#This Row],[なまえ]]</f>
        <v>|MIDDLE:​くるみやき よしゆき</v>
      </c>
      <c r="X255" s="23" t="str">
        <f>"|MIDDLE:​"&amp;テーブル1[[#This Row],[Name]]</f>
        <v>|MIDDLE:​Kurumiyaki Yosiyuki</v>
      </c>
      <c r="Y255" s="23" t="str">
        <f>"|MIDDLE:​&amp;link(配布所はこちら){​"&amp;テーブル1[[#This Row],[リンク]]&amp;"}|"</f>
        <v>|MIDDLE:​&amp;link(配布所はこちら){​https://hatonosuke5.booth.pm}|</v>
      </c>
    </row>
    <row r="256" spans="1:25" ht="20.149999999999999" customHeight="1" x14ac:dyDescent="0.35">
      <c r="A256" s="20">
        <v>255</v>
      </c>
      <c r="B256" s="23" t="str">
        <f>SUBSTITUTE(SUBSTITUTE(SUBSTITUTE(SUBSTITUTE(SUBSTITUTE(SUBSTITUTE(SUBSTITUTE(SUBSTITUTE(LOWER(テーブル1[[#This Row],[Name]])," ","-"),".","-"),"&amp;","-"),"_","-"),"・","-"),"=","-"),"--","-"),"--","-")</f>
        <v>oumi-kurina</v>
      </c>
      <c r="C256" s="24" t="s">
        <v>1223</v>
      </c>
      <c r="D256" s="23" t="s">
        <v>1224</v>
      </c>
      <c r="E256" s="23" t="s">
        <v>1225</v>
      </c>
      <c r="F256" s="15" t="s">
        <v>1226</v>
      </c>
      <c r="G256" s="24" t="s">
        <v>1237</v>
      </c>
      <c r="H256" s="24" t="s">
        <v>660</v>
      </c>
      <c r="I256" s="24" t="s">
        <v>669</v>
      </c>
      <c r="L256" s="24"/>
      <c r="M256" s="24"/>
      <c r="N256" s="1" t="s">
        <v>631</v>
      </c>
      <c r="O256" s="1" t="s">
        <v>549</v>
      </c>
      <c r="P256" s="24" t="str">
        <f>テーブル1[[#This Row],[リンク]]&amp;テーブル1[[#This Row],[描画状況]]</f>
        <v>https://uu.getuploader.com/mirakibonoutau済</v>
      </c>
      <c r="Q256" s="17">
        <f>1-(COUNTIF(P:P,_xlfn.TEXTJOIN(",",TRUE,テーブル1[[#This Row],[リンク]],テーブル1[[#This Row],[描画状況]]))/COUNTIF(F:F,テーブル1[[#This Row],[リンク]]))</f>
        <v>1</v>
      </c>
      <c r="R256" s="16" t="str">
        <f ca="1">IFERROR(IF(テーブル1[[#This Row],[描画状況]]="",RAND()+(テーブル1[[#This Row],[列2]]*100),""),RAND())</f>
        <v/>
      </c>
      <c r="S256" s="1" t="s">
        <v>459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|&amp;image(oumi-kurina.png,width=100,height=100)</v>
      </c>
      <c r="V256" s="23" t="str">
        <f>"|MIDDLE:​"&amp;テーブル1[[#This Row],[名前]]</f>
        <v>|MIDDLE:​大海クリナ</v>
      </c>
      <c r="W256" s="23" t="str">
        <f>"|MIDDLE:​"&amp;テーブル1[[#This Row],[なまえ]]</f>
        <v>|MIDDLE:​おおうみ くりな</v>
      </c>
      <c r="X256" s="23" t="str">
        <f>"|MIDDLE:​"&amp;テーブル1[[#This Row],[Name]]</f>
        <v>|MIDDLE:​Oumi Kurina</v>
      </c>
      <c r="Y256" s="23" t="str">
        <f>"|MIDDLE:​&amp;link(配布所はこちら){​"&amp;テーブル1[[#This Row],[リンク]]&amp;"}|"</f>
        <v>|MIDDLE:​&amp;link(配布所はこちら){​https://uu.getuploader.com/mirakibonoutau}|</v>
      </c>
    </row>
    <row r="257" spans="1:25" ht="20.149999999999999" customHeight="1" x14ac:dyDescent="0.35">
      <c r="A257" s="20">
        <v>256</v>
      </c>
      <c r="B257" s="23" t="str">
        <f>SUBSTITUTE(SUBSTITUTE(SUBSTITUTE(SUBSTITUTE(SUBSTITUTE(SUBSTITUTE(SUBSTITUTE(SUBSTITUTE(LOWER(テーブル1[[#This Row],[Name]])," ","-"),".","-"),"&amp;","-"),"_","-"),"・","-"),"=","-"),"--","-"),"--","-")</f>
        <v>mitama</v>
      </c>
      <c r="C257" s="24" t="s">
        <v>1227</v>
      </c>
      <c r="D257" s="23" t="s">
        <v>1227</v>
      </c>
      <c r="E257" s="23" t="s">
        <v>1228</v>
      </c>
      <c r="F257" s="15" t="s">
        <v>838</v>
      </c>
      <c r="G257" s="24" t="s">
        <v>1238</v>
      </c>
      <c r="H257" s="24" t="s">
        <v>660</v>
      </c>
      <c r="I257" s="24" t="s">
        <v>669</v>
      </c>
      <c r="L257" s="24" t="s">
        <v>1302</v>
      </c>
      <c r="M257" s="24" t="s">
        <v>816</v>
      </c>
      <c r="N257" s="1" t="s">
        <v>631</v>
      </c>
      <c r="O257" s="1" t="s">
        <v>549</v>
      </c>
      <c r="P257" s="24" t="str">
        <f>テーブル1[[#This Row],[リンク]]&amp;テーブル1[[#This Row],[描画状況]]</f>
        <v>https://mitamayade.wixsite.com/mitama済</v>
      </c>
      <c r="Q257" s="17">
        <f>1-(COUNTIF(P:P,_xlfn.TEXTJOIN(",",TRUE,テーブル1[[#This Row],[リンク]],テーブル1[[#This Row],[描画状況]]))/COUNTIF(F:F,テーブル1[[#This Row],[リンク]]))</f>
        <v>1</v>
      </c>
      <c r="R257" s="16" t="str">
        <f ca="1">IFERROR(IF(テーブル1[[#This Row],[描画状況]]="",RAND()+(テーブル1[[#This Row],[列2]]*100),""),RAND())</f>
        <v/>
      </c>
      <c r="S257" s="1" t="s">
        <v>459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|&amp;image(mitama.png,width=100,height=100)</v>
      </c>
      <c r="V257" s="23" t="str">
        <f>"|MIDDLE:​"&amp;テーブル1[[#This Row],[名前]]</f>
        <v>|MIDDLE:​みたま</v>
      </c>
      <c r="W257" s="23" t="str">
        <f>"|MIDDLE:​"&amp;テーブル1[[#This Row],[なまえ]]</f>
        <v>|MIDDLE:​みたま</v>
      </c>
      <c r="X257" s="23" t="str">
        <f>"|MIDDLE:​"&amp;テーブル1[[#This Row],[Name]]</f>
        <v>|MIDDLE:​Mitama</v>
      </c>
      <c r="Y257" s="23" t="str">
        <f>"|MIDDLE:​&amp;link(配布所はこちら){​"&amp;テーブル1[[#This Row],[リンク]]&amp;"}|"</f>
        <v>|MIDDLE:​&amp;link(配布所はこちら){​https://mitamayade.wixsite.com/mitama}|</v>
      </c>
    </row>
    <row r="258" spans="1:25" ht="20.149999999999999" customHeight="1" x14ac:dyDescent="0.35">
      <c r="A258" s="20">
        <v>257</v>
      </c>
      <c r="B258" s="23" t="str">
        <f>SUBSTITUTE(SUBSTITUTE(SUBSTITUTE(SUBSTITUTE(SUBSTITUTE(SUBSTITUTE(SUBSTITUTE(SUBSTITUTE(LOWER(テーブル1[[#This Row],[Name]])," ","-"),".","-"),"&amp;","-"),"_","-"),"・","-"),"=","-"),"--","-"),"--","-")</f>
        <v>mirakibo-11-gou</v>
      </c>
      <c r="C258" s="24" t="s">
        <v>1229</v>
      </c>
      <c r="D258" s="23" t="s">
        <v>1230</v>
      </c>
      <c r="E258" s="23" t="s">
        <v>1231</v>
      </c>
      <c r="F258" s="15" t="s">
        <v>1226</v>
      </c>
      <c r="G258" s="24" t="s">
        <v>1239</v>
      </c>
      <c r="H258" s="24" t="s">
        <v>683</v>
      </c>
      <c r="I258" s="24" t="s">
        <v>678</v>
      </c>
      <c r="L258" s="24"/>
      <c r="M258" s="24" t="s">
        <v>704</v>
      </c>
      <c r="N258" s="1" t="s">
        <v>631</v>
      </c>
      <c r="O258" s="1" t="s">
        <v>549</v>
      </c>
      <c r="P258" s="24" t="str">
        <f>テーブル1[[#This Row],[リンク]]&amp;テーブル1[[#This Row],[描画状況]]</f>
        <v>https://uu.getuploader.com/mirakibonoutau済</v>
      </c>
      <c r="Q258" s="17">
        <f>1-(COUNTIF(P:P,_xlfn.TEXTJOIN(",",TRUE,テーブル1[[#This Row],[リンク]],テーブル1[[#This Row],[描画状況]]))/COUNTIF(F:F,テーブル1[[#This Row],[リンク]]))</f>
        <v>1</v>
      </c>
      <c r="R258" s="16" t="str">
        <f ca="1">IFERROR(IF(テーブル1[[#This Row],[描画状況]]="",RAND()+(テーブル1[[#This Row],[列2]]*100),""),RAND())</f>
        <v/>
      </c>
      <c r="S258" s="1" t="s">
        <v>459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|&amp;image(mirakibo-11-gou.png,width=100,height=100)</v>
      </c>
      <c r="V258" s="23" t="str">
        <f>"|MIDDLE:​"&amp;テーブル1[[#This Row],[名前]]</f>
        <v>|MIDDLE:​みらきぼ11号</v>
      </c>
      <c r="W258" s="23" t="str">
        <f>"|MIDDLE:​"&amp;テーブル1[[#This Row],[なまえ]]</f>
        <v>|MIDDLE:​みらきぼじゅういちごう</v>
      </c>
      <c r="X258" s="23" t="str">
        <f>"|MIDDLE:​"&amp;テーブル1[[#This Row],[Name]]</f>
        <v>|MIDDLE:​Mirakibo 11-gou</v>
      </c>
      <c r="Y258" s="23" t="str">
        <f>"|MIDDLE:​&amp;link(配布所はこちら){​"&amp;テーブル1[[#This Row],[リンク]]&amp;"}|"</f>
        <v>|MIDDLE:​&amp;link(配布所はこちら){​https://uu.getuploader.com/mirakibonoutau}|</v>
      </c>
    </row>
    <row r="259" spans="1:25" ht="20.149999999999999" customHeight="1" x14ac:dyDescent="0.35">
      <c r="A259" s="20">
        <v>258</v>
      </c>
      <c r="B259" s="23" t="str">
        <f>SUBSTITUTE(SUBSTITUTE(SUBSTITUTE(SUBSTITUTE(SUBSTITUTE(SUBSTITUTE(SUBSTITUTE(SUBSTITUTE(LOWER(テーブル1[[#This Row],[Name]])," ","-"),".","-"),"&amp;","-"),"_","-"),"・","-"),"=","-"),"--","-"),"--","-")</f>
        <v>otoya-syuki</v>
      </c>
      <c r="C259" s="24" t="s">
        <v>1240</v>
      </c>
      <c r="D259" s="23" t="s">
        <v>1241</v>
      </c>
      <c r="E259" s="23" t="s">
        <v>1242</v>
      </c>
      <c r="F259" s="29" t="s">
        <v>1243</v>
      </c>
      <c r="G259" s="23" t="s">
        <v>1244</v>
      </c>
      <c r="H259" s="23" t="s">
        <v>661</v>
      </c>
      <c r="I259" s="23" t="s">
        <v>669</v>
      </c>
      <c r="K259" s="23" t="s">
        <v>1245</v>
      </c>
      <c r="L259" s="24" t="s">
        <v>1300</v>
      </c>
      <c r="M259" s="24" t="s">
        <v>816</v>
      </c>
      <c r="N259" s="1" t="s">
        <v>631</v>
      </c>
      <c r="O259" s="1" t="s">
        <v>549</v>
      </c>
      <c r="P259" s="24" t="str">
        <f>テーブル1[[#This Row],[リンク]]&amp;テーブル1[[#This Row],[描画状況]]</f>
        <v>https://sikiori.wepage.com済</v>
      </c>
      <c r="Q259" s="17">
        <f>1-(COUNTIF(P:P,_xlfn.TEXTJOIN(",",TRUE,テーブル1[[#This Row],[リンク]],テーブル1[[#This Row],[描画状況]]))/COUNTIF(F:F,テーブル1[[#This Row],[リンク]]))</f>
        <v>1</v>
      </c>
      <c r="R259" s="16" t="str">
        <f ca="1">IFERROR(IF(テーブル1[[#This Row],[描画状況]]="",RAND()+(テーブル1[[#This Row],[列2]]*100),""),RAND())</f>
        <v/>
      </c>
      <c r="S259" s="1" t="s">
        <v>459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|&amp;image(otoya-syuki.png,width=100,height=100)</v>
      </c>
      <c r="V259" s="23" t="str">
        <f>"|MIDDLE:​"&amp;テーブル1[[#This Row],[名前]]</f>
        <v>|MIDDLE:​音夜秋月</v>
      </c>
      <c r="W259" s="23" t="str">
        <f>"|MIDDLE:​"&amp;テーブル1[[#This Row],[なまえ]]</f>
        <v>|MIDDLE:​おとや しゅうき</v>
      </c>
      <c r="X259" s="23" t="str">
        <f>"|MIDDLE:​"&amp;テーブル1[[#This Row],[Name]]</f>
        <v>|MIDDLE:​Otoya Syuki</v>
      </c>
      <c r="Y259" s="23" t="str">
        <f>"|MIDDLE:​&amp;link(配布所はこちら){​"&amp;テーブル1[[#This Row],[リンク]]&amp;"}|"</f>
        <v>|MIDDLE:​&amp;link(配布所はこちら){​https://sikiori.wepage.com}|</v>
      </c>
    </row>
    <row r="260" spans="1:25" ht="20.149999999999999" customHeight="1" x14ac:dyDescent="0.35">
      <c r="A260" s="20">
        <v>259</v>
      </c>
      <c r="B260" s="23" t="str">
        <f>SUBSTITUTE(SUBSTITUTE(SUBSTITUTE(SUBSTITUTE(SUBSTITUTE(SUBSTITUTE(SUBSTITUTE(SUBSTITUTE(LOWER(テーブル1[[#This Row],[Name]])," ","-"),".","-"),"&amp;","-"),"_","-"),"・","-"),"=","-"),"--","-"),"--","-")</f>
        <v>natsuno-seito</v>
      </c>
      <c r="C260" s="24" t="s">
        <v>1246</v>
      </c>
      <c r="D260" s="23" t="s">
        <v>1247</v>
      </c>
      <c r="E260" s="23" t="s">
        <v>1248</v>
      </c>
      <c r="F260" s="29" t="s">
        <v>1243</v>
      </c>
      <c r="G260" s="23" t="s">
        <v>1244</v>
      </c>
      <c r="H260" s="23" t="s">
        <v>661</v>
      </c>
      <c r="I260" s="23" t="s">
        <v>669</v>
      </c>
      <c r="K260" s="23" t="s">
        <v>1249</v>
      </c>
      <c r="M260" s="24" t="s">
        <v>816</v>
      </c>
      <c r="N260" s="1" t="s">
        <v>631</v>
      </c>
      <c r="O260" s="1" t="s">
        <v>549</v>
      </c>
      <c r="P260" s="24" t="str">
        <f>テーブル1[[#This Row],[リンク]]&amp;テーブル1[[#This Row],[描画状況]]</f>
        <v>https://sikiori.wepage.com済</v>
      </c>
      <c r="Q260" s="17">
        <f>1-(COUNTIF(P:P,_xlfn.TEXTJOIN(",",TRUE,テーブル1[[#This Row],[リンク]],テーブル1[[#This Row],[描画状況]]))/COUNTIF(F:F,テーブル1[[#This Row],[リンク]]))</f>
        <v>1</v>
      </c>
      <c r="R260" s="16" t="str">
        <f ca="1">IFERROR(IF(テーブル1[[#This Row],[描画状況]]="",RAND()+(テーブル1[[#This Row],[列2]]*100),""),RAND())</f>
        <v/>
      </c>
      <c r="S260" s="1" t="s">
        <v>459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|&amp;image(natsuno-seito.png,width=100,height=100)</v>
      </c>
      <c r="V260" s="23" t="str">
        <f>"|MIDDLE:​"&amp;テーブル1[[#This Row],[名前]]</f>
        <v>|MIDDLE:​夏乃星音</v>
      </c>
      <c r="W260" s="23" t="str">
        <f>"|MIDDLE:​"&amp;テーブル1[[#This Row],[なまえ]]</f>
        <v>|MIDDLE:​なつの せいと</v>
      </c>
      <c r="X260" s="23" t="str">
        <f>"|MIDDLE:​"&amp;テーブル1[[#This Row],[Name]]</f>
        <v>|MIDDLE:​Natsuno Seito</v>
      </c>
      <c r="Y260" s="23" t="str">
        <f>"|MIDDLE:​&amp;link(配布所はこちら){​"&amp;テーブル1[[#This Row],[リンク]]&amp;"}|"</f>
        <v>|MIDDLE:​&amp;link(配布所はこちら){​https://sikiori.wepage.com}|</v>
      </c>
    </row>
    <row r="261" spans="1:25" ht="20.149999999999999" customHeight="1" x14ac:dyDescent="0.35">
      <c r="A261" s="20">
        <v>260</v>
      </c>
      <c r="B261" s="23" t="str">
        <f>SUBSTITUTE(SUBSTITUTE(SUBSTITUTE(SUBSTITUTE(SUBSTITUTE(SUBSTITUTE(SUBSTITUTE(SUBSTITUTE(LOWER(テーブル1[[#This Row],[Name]])," ","-"),".","-"),"&amp;","-"),"_","-"),"・","-"),"=","-"),"--","-"),"--","-")</f>
        <v>makimiya-fuki</v>
      </c>
      <c r="C261" s="24" t="s">
        <v>1250</v>
      </c>
      <c r="D261" s="23" t="s">
        <v>1251</v>
      </c>
      <c r="E261" s="23" t="s">
        <v>1252</v>
      </c>
      <c r="F261" s="29" t="s">
        <v>1253</v>
      </c>
      <c r="G261" s="23" t="s">
        <v>1269</v>
      </c>
      <c r="H261" s="23" t="s">
        <v>661</v>
      </c>
      <c r="I261" s="23" t="s">
        <v>669</v>
      </c>
      <c r="K261" s="23" t="s">
        <v>1270</v>
      </c>
      <c r="L261" s="23" t="s">
        <v>1308</v>
      </c>
      <c r="N261" s="1" t="s">
        <v>631</v>
      </c>
      <c r="O261" s="1" t="s">
        <v>549</v>
      </c>
      <c r="P261" s="24" t="str">
        <f>テーブル1[[#This Row],[リンク]]&amp;テーブル1[[#This Row],[描画状況]]</f>
        <v>https://mohumohuton.web.fc2.com/makimiya/index.html済</v>
      </c>
      <c r="Q261" s="17">
        <f>1-(COUNTIF(P:P,_xlfn.TEXTJOIN(",",TRUE,テーブル1[[#This Row],[リンク]],テーブル1[[#This Row],[描画状況]]))/COUNTIF(F:F,テーブル1[[#This Row],[リンク]]))</f>
        <v>1</v>
      </c>
      <c r="R261" s="16" t="str">
        <f ca="1">IFERROR(IF(テーブル1[[#This Row],[描画状況]]="",RAND()+(テーブル1[[#This Row],[列2]]*100),""),RAND())</f>
        <v/>
      </c>
      <c r="S261" s="1" t="s">
        <v>459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|&amp;image(makimiya-fuki.png,width=100,height=100)</v>
      </c>
      <c r="V261" s="23" t="str">
        <f>"|MIDDLE:​"&amp;テーブル1[[#This Row],[名前]]</f>
        <v>|MIDDLE:​薪宮風季</v>
      </c>
      <c r="W261" s="23" t="str">
        <f>"|MIDDLE:​"&amp;テーブル1[[#This Row],[なまえ]]</f>
        <v>|MIDDLE:​まきみや ふうき</v>
      </c>
      <c r="X261" s="23" t="str">
        <f>"|MIDDLE:​"&amp;テーブル1[[#This Row],[Name]]</f>
        <v>|MIDDLE:​Makimiya Fuki</v>
      </c>
      <c r="Y261" s="23" t="str">
        <f>"|MIDDLE:​&amp;link(配布所はこちら){​"&amp;テーブル1[[#This Row],[リンク]]&amp;"}|"</f>
        <v>|MIDDLE:​&amp;link(配布所はこちら){​https://mohumohuton.web.fc2.com/makimiya/index.html}|</v>
      </c>
    </row>
    <row r="262" spans="1:25" ht="20.149999999999999" customHeight="1" x14ac:dyDescent="0.35">
      <c r="A262" s="20">
        <v>261</v>
      </c>
      <c r="B262" s="23" t="str">
        <f>SUBSTITUTE(SUBSTITUTE(SUBSTITUTE(SUBSTITUTE(SUBSTITUTE(SUBSTITUTE(SUBSTITUTE(SUBSTITUTE(LOWER(テーブル1[[#This Row],[Name]])," ","-"),".","-"),"&amp;","-"),"_","-"),"・","-"),"=","-"),"--","-"),"--","-")</f>
        <v>wakunemu-supika</v>
      </c>
      <c r="C262" s="24" t="s">
        <v>1256</v>
      </c>
      <c r="D262" s="23" t="s">
        <v>1254</v>
      </c>
      <c r="E262" s="28" t="s">
        <v>1255</v>
      </c>
      <c r="F262" s="29" t="s">
        <v>645</v>
      </c>
      <c r="G262" s="23" t="s">
        <v>1265</v>
      </c>
      <c r="H262" s="23" t="s">
        <v>660</v>
      </c>
      <c r="I262" s="23" t="s">
        <v>1233</v>
      </c>
      <c r="J262" s="23" t="s">
        <v>1268</v>
      </c>
      <c r="N262" s="1" t="s">
        <v>631</v>
      </c>
      <c r="O262" s="1" t="s">
        <v>549</v>
      </c>
      <c r="P262" s="24" t="str">
        <f>テーブル1[[#This Row],[リンク]]&amp;テーブル1[[#This Row],[描画状況]]</f>
        <v>https://bowlroll.net/user/946776済</v>
      </c>
      <c r="Q262" s="17">
        <f>1-(COUNTIF(P:P,_xlfn.TEXTJOIN(",",TRUE,テーブル1[[#This Row],[リンク]],テーブル1[[#This Row],[描画状況]]))/COUNTIF(F:F,テーブル1[[#This Row],[リンク]]))</f>
        <v>1</v>
      </c>
      <c r="R262" s="16" t="str">
        <f ca="1">IFERROR(IF(テーブル1[[#This Row],[描画状況]]="",RAND()+(テーブル1[[#This Row],[列2]]*100),""),RAND())</f>
        <v/>
      </c>
      <c r="S262" s="1" t="s">
        <v>459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|&amp;image(wakunemu-supika.png,width=100,height=100)</v>
      </c>
      <c r="V262" s="23" t="str">
        <f>"|MIDDLE:​"&amp;テーブル1[[#This Row],[名前]]</f>
        <v>|MIDDLE:​わくねむすぴか</v>
      </c>
      <c r="W262" s="23" t="str">
        <f>"|MIDDLE:​"&amp;テーブル1[[#This Row],[なまえ]]</f>
        <v>|MIDDLE:​わくねむ すぴか</v>
      </c>
      <c r="X262" s="23" t="str">
        <f>"|MIDDLE:​"&amp;テーブル1[[#This Row],[Name]]</f>
        <v>|MIDDLE:​Wakunemu Supika</v>
      </c>
      <c r="Y262" s="23" t="str">
        <f>"|MIDDLE:​&amp;link(配布所はこちら){​"&amp;テーブル1[[#This Row],[リンク]]&amp;"}|"</f>
        <v>|MIDDLE:​&amp;link(配布所はこちら){​https://bowlroll.net/user/946776}|</v>
      </c>
    </row>
    <row r="263" spans="1:25" ht="20.149999999999999" customHeight="1" x14ac:dyDescent="0.35">
      <c r="A263" s="20">
        <v>262</v>
      </c>
      <c r="B263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263" s="24" t="s">
        <v>1257</v>
      </c>
      <c r="D263" s="23" t="s">
        <v>1258</v>
      </c>
      <c r="E263" s="23" t="s">
        <v>1259</v>
      </c>
      <c r="F263" s="29" t="s">
        <v>1260</v>
      </c>
      <c r="G263" s="23" t="s">
        <v>1264</v>
      </c>
      <c r="H263" s="23" t="s">
        <v>684</v>
      </c>
      <c r="I263" s="23" t="s">
        <v>705</v>
      </c>
      <c r="K263" s="23" t="s">
        <v>1261</v>
      </c>
      <c r="L263" s="23" t="s">
        <v>1262</v>
      </c>
      <c r="M263" s="23" t="s">
        <v>1263</v>
      </c>
      <c r="N263" s="1" t="s">
        <v>631</v>
      </c>
      <c r="O263" s="1" t="s">
        <v>549</v>
      </c>
      <c r="P263" s="24" t="str">
        <f>テーブル1[[#This Row],[リンク]]&amp;テーブル1[[#This Row],[描画状況]]</f>
        <v>https://suukedayo.wixsite.com/shiawasefairu済</v>
      </c>
      <c r="Q263" s="17">
        <f>1-(COUNTIF(P:P,_xlfn.TEXTJOIN(",",TRUE,テーブル1[[#This Row],[リンク]],テーブル1[[#This Row],[描画状況]]))/COUNTIF(F:F,テーブル1[[#This Row],[リンク]]))</f>
        <v>1</v>
      </c>
      <c r="R263" s="16" t="str">
        <f ca="1">IFERROR(IF(テーブル1[[#This Row],[描画状況]]="",RAND()+(テーブル1[[#This Row],[列2]]*100),""),RAND())</f>
        <v/>
      </c>
      <c r="S263" s="1" t="s">
        <v>459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|&amp;image(sumomone-fueru.png,width=100,height=100)</v>
      </c>
      <c r="V263" s="23" t="str">
        <f>"|MIDDLE:​"&amp;テーブル1[[#This Row],[名前]]</f>
        <v>|MIDDLE:​李音フヱル</v>
      </c>
      <c r="W263" s="23" t="str">
        <f>"|MIDDLE:​"&amp;テーブル1[[#This Row],[なまえ]]</f>
        <v>|MIDDLE:​すももね ふえる</v>
      </c>
      <c r="X263" s="23" t="str">
        <f>"|MIDDLE:​"&amp;テーブル1[[#This Row],[Name]]</f>
        <v>|MIDDLE:​Sumomone Fueru</v>
      </c>
      <c r="Y263" s="23" t="str">
        <f>"|MIDDLE:​&amp;link(配布所はこちら){​"&amp;テーブル1[[#This Row],[リンク]]&amp;"}|"</f>
        <v>|MIDDLE:​&amp;link(配布所はこちら){​https://suukedayo.wixsite.com/shiawasefairu}|</v>
      </c>
    </row>
    <row r="264" spans="1:25" ht="20.149999999999999" customHeight="1" x14ac:dyDescent="0.35">
      <c r="A264" s="34">
        <v>263</v>
      </c>
      <c r="B264" s="23" t="str">
        <f>SUBSTITUTE(SUBSTITUTE(SUBSTITUTE(SUBSTITUTE(SUBSTITUTE(SUBSTITUTE(SUBSTITUTE(SUBSTITUTE(LOWER(テーブル1[[#This Row],[Name]])," ","-"),".","-"),"&amp;","-"),"_","-"),"・","-"),"=","-"),"--","-"),"--","-")</f>
        <v>ubuon-goe</v>
      </c>
      <c r="C264" s="24" t="s">
        <v>1272</v>
      </c>
      <c r="D264" s="23" t="s">
        <v>1273</v>
      </c>
      <c r="E264" s="23" t="s">
        <v>1274</v>
      </c>
      <c r="F264" s="29" t="s">
        <v>1295</v>
      </c>
      <c r="G264" s="23" t="s">
        <v>1294</v>
      </c>
      <c r="H264" s="23" t="s">
        <v>683</v>
      </c>
      <c r="I264" s="23" t="s">
        <v>783</v>
      </c>
      <c r="L264" s="23" t="s">
        <v>1313</v>
      </c>
      <c r="N264" s="1" t="s">
        <v>631</v>
      </c>
      <c r="O264" s="1" t="s">
        <v>549</v>
      </c>
      <c r="P264" s="24" t="str">
        <f>テーブル1[[#This Row],[リンク]]&amp;テーブル1[[#This Row],[描画状況]]</f>
        <v>https://nagimachi.wixsite.com/kairikonomachi済</v>
      </c>
      <c r="Q264" s="17">
        <f>1-(COUNTIF(P:P,_xlfn.TEXTJOIN(",",TRUE,テーブル1[[#This Row],[リンク]],テーブル1[[#This Row],[描画状況]]))/COUNTIF(F:F,テーブル1[[#This Row],[リンク]]))</f>
        <v>1</v>
      </c>
      <c r="R264" s="16" t="str">
        <f ca="1">IFERROR(IF(テーブル1[[#This Row],[描画状況]]="",RAND()+(テーブル1[[#This Row],[列2]]*100),""),RAND())</f>
        <v/>
      </c>
      <c r="T264" s="24">
        <f ca="1">IF(AND(テーブル1[[#This Row],[描画状況]]="済",テーブル1[[#This Row],[投稿状況]]=""),RAND(),"")</f>
        <v>0.84773905082587875</v>
      </c>
      <c r="U264" s="23" t="str">
        <f>"|&amp;image("&amp;テーブル1[[#This Row],[画像]]&amp;".png,width=100,height=100)"</f>
        <v>|&amp;image(ubuon-goe.png,width=100,height=100)</v>
      </c>
      <c r="V264" s="23" t="str">
        <f>"|MIDDLE:​"&amp;テーブル1[[#This Row],[名前]]</f>
        <v>|MIDDLE:​有部音ゴエμ</v>
      </c>
      <c r="W264" s="23" t="str">
        <f>"|MIDDLE:​"&amp;テーブル1[[#This Row],[なまえ]]</f>
        <v>|MIDDLE:​うぶおん ごえ</v>
      </c>
      <c r="X264" s="23" t="str">
        <f>"|MIDDLE:​"&amp;テーブル1[[#This Row],[Name]]</f>
        <v>|MIDDLE:​Ubuon Goe</v>
      </c>
      <c r="Y264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5" spans="1:25" ht="20.149999999999999" customHeight="1" x14ac:dyDescent="0.35">
      <c r="A265" s="34">
        <v>264</v>
      </c>
      <c r="B265" s="23" t="str">
        <f>SUBSTITUTE(SUBSTITUTE(SUBSTITUTE(SUBSTITUTE(SUBSTITUTE(SUBSTITUTE(SUBSTITUTE(SUBSTITUTE(LOWER(テーブル1[[#This Row],[Name]])," ","-"),".","-"),"&amp;","-"),"_","-"),"・","-"),"=","-"),"--","-"),"--","-")</f>
        <v>shuta-katsue</v>
      </c>
      <c r="C265" s="24" t="s">
        <v>1271</v>
      </c>
      <c r="D265" s="23" t="s">
        <v>1275</v>
      </c>
      <c r="E265" s="23" t="s">
        <v>1276</v>
      </c>
      <c r="F265" s="29" t="s">
        <v>1295</v>
      </c>
      <c r="G265" s="23" t="s">
        <v>1294</v>
      </c>
      <c r="H265" s="23" t="s">
        <v>660</v>
      </c>
      <c r="I265" s="23" t="s">
        <v>669</v>
      </c>
      <c r="L265" s="23" t="s">
        <v>1300</v>
      </c>
      <c r="N265" s="1" t="s">
        <v>631</v>
      </c>
      <c r="P265" s="24" t="str">
        <f>テーブル1[[#This Row],[リンク]]&amp;テーブル1[[#This Row],[描画状況]]</f>
        <v>https://nagimachi.wixsite.com/kairikonomachi</v>
      </c>
      <c r="Q265" s="17">
        <f>1-(COUNTIF(P:P,_xlfn.TEXTJOIN(",",TRUE,テーブル1[[#This Row],[リンク]],テーブル1[[#This Row],[描画状況]]))/COUNTIF(F:F,テーブル1[[#This Row],[リンク]]))</f>
        <v>0.25</v>
      </c>
      <c r="R265" s="16">
        <f ca="1">IFERROR(IF(テーブル1[[#This Row],[描画状況]]="",RAND()+(テーブル1[[#This Row],[列2]]*100),""),RAND())</f>
        <v>25.463509101207258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|&amp;image(shuta-katsue.png,width=100,height=100)</v>
      </c>
      <c r="V265" s="23" t="str">
        <f>"|MIDDLE:​"&amp;テーブル1[[#This Row],[名前]]</f>
        <v>|MIDDLE:​終歌カツエα</v>
      </c>
      <c r="W265" s="23" t="str">
        <f>"|MIDDLE:​"&amp;テーブル1[[#This Row],[なまえ]]</f>
        <v>|MIDDLE:​しゅうた かつえ</v>
      </c>
      <c r="X265" s="23" t="str">
        <f>"|MIDDLE:​"&amp;テーブル1[[#This Row],[Name]]</f>
        <v>|MIDDLE:​Shuta Katsue</v>
      </c>
      <c r="Y265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6" spans="1:25" ht="20.149999999999999" customHeight="1" x14ac:dyDescent="0.35">
      <c r="A266" s="34">
        <v>265</v>
      </c>
      <c r="B266" s="23" t="str">
        <f>SUBSTITUTE(SUBSTITUTE(SUBSTITUTE(SUBSTITUTE(SUBSTITUTE(SUBSTITUTE(SUBSTITUTE(SUBSTITUTE(LOWER(テーブル1[[#This Row],[Name]])," ","-"),".","-"),"&amp;","-"),"_","-"),"・","-"),"=","-"),"--","-"),"--","-")</f>
        <v>narune-bell</v>
      </c>
      <c r="C266" s="24" t="s">
        <v>1277</v>
      </c>
      <c r="D266" s="23" t="s">
        <v>1278</v>
      </c>
      <c r="E266" s="23" t="s">
        <v>1279</v>
      </c>
      <c r="F266" s="29" t="s">
        <v>1295</v>
      </c>
      <c r="G266" s="23" t="s">
        <v>1294</v>
      </c>
      <c r="H266" s="23" t="s">
        <v>683</v>
      </c>
      <c r="I266" s="23" t="s">
        <v>678</v>
      </c>
      <c r="J266" s="23" t="s">
        <v>1296</v>
      </c>
      <c r="L266" s="23" t="s">
        <v>1302</v>
      </c>
      <c r="N266" s="1" t="s">
        <v>631</v>
      </c>
      <c r="P266" s="24" t="str">
        <f>テーブル1[[#This Row],[リンク]]&amp;テーブル1[[#This Row],[描画状況]]</f>
        <v>https://nagimachi.wixsite.com/kairikonomachi</v>
      </c>
      <c r="Q266" s="17">
        <f>1-(COUNTIF(P:P,_xlfn.TEXTJOIN(",",TRUE,テーブル1[[#This Row],[リンク]],テーブル1[[#This Row],[描画状況]]))/COUNTIF(F:F,テーブル1[[#This Row],[リンク]]))</f>
        <v>0.25</v>
      </c>
      <c r="R266" s="16">
        <f ca="1">IFERROR(IF(テーブル1[[#This Row],[描画状況]]="",RAND()+(テーブル1[[#This Row],[列2]]*100),""),RAND())</f>
        <v>25.303125500354565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|&amp;image(narune-bell.png,width=100,height=100)</v>
      </c>
      <c r="V266" s="23" t="str">
        <f>"|MIDDLE:​"&amp;テーブル1[[#This Row],[名前]]</f>
        <v>|MIDDLE:​鳴音ベルy</v>
      </c>
      <c r="W266" s="23" t="str">
        <f>"|MIDDLE:​"&amp;テーブル1[[#This Row],[なまえ]]</f>
        <v>|MIDDLE:​なるね べる</v>
      </c>
      <c r="X266" s="23" t="str">
        <f>"|MIDDLE:​"&amp;テーブル1[[#This Row],[Name]]</f>
        <v>|MIDDLE:​Narune Bell</v>
      </c>
      <c r="Y266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7" spans="1:25" ht="20.149999999999999" customHeight="1" x14ac:dyDescent="0.35">
      <c r="A267" s="34">
        <v>266</v>
      </c>
      <c r="B267" s="32" t="str">
        <f>SUBSTITUTE(SUBSTITUTE(SUBSTITUTE(SUBSTITUTE(SUBSTITUTE(SUBSTITUTE(SUBSTITUTE(SUBSTITUTE(LOWER(テーブル1[[#This Row],[Name]])," ","-"),".","-"),"&amp;","-"),"_","-"),"・","-"),"=","-"),"--","-"),"--","-")</f>
        <v>keishikibangoα-01</v>
      </c>
      <c r="C267" s="24" t="s">
        <v>1280</v>
      </c>
      <c r="D267" s="23" t="s">
        <v>1281</v>
      </c>
      <c r="E267" s="23" t="s">
        <v>1282</v>
      </c>
      <c r="F267" s="29" t="s">
        <v>1295</v>
      </c>
      <c r="G267" s="23" t="s">
        <v>1294</v>
      </c>
      <c r="H267" s="23" t="s">
        <v>661</v>
      </c>
      <c r="I267" s="23" t="s">
        <v>678</v>
      </c>
      <c r="J267" s="23" t="s">
        <v>1297</v>
      </c>
      <c r="L267" s="23" t="s">
        <v>1305</v>
      </c>
      <c r="N267" s="1" t="s">
        <v>631</v>
      </c>
      <c r="P267" s="33" t="str">
        <f>テーブル1[[#This Row],[リンク]]&amp;テーブル1[[#This Row],[描画状況]]</f>
        <v>https://nagimachi.wixsite.com/kairikonomachi</v>
      </c>
      <c r="Q267" s="17">
        <f>1-(COUNTIF(P:P,_xlfn.TEXTJOIN(",",TRUE,テーブル1[[#This Row],[リンク]],テーブル1[[#This Row],[描画状況]]))/COUNTIF(F:F,テーブル1[[#This Row],[リンク]]))</f>
        <v>0.25</v>
      </c>
      <c r="R267" s="16">
        <f ca="1">IFERROR(IF(テーブル1[[#This Row],[描画状況]]="",RAND()+(テーブル1[[#This Row],[列2]]*100),""),RAND())</f>
        <v>25.721952292964257</v>
      </c>
      <c r="T267" s="33" t="str">
        <f ca="1">IF(AND(テーブル1[[#This Row],[描画状況]]="済",テーブル1[[#This Row],[投稿状況]]=""),RAND(),"")</f>
        <v/>
      </c>
      <c r="U267" s="32" t="str">
        <f>"|&amp;image("&amp;テーブル1[[#This Row],[画像]]&amp;".png,width=100,height=100)"</f>
        <v>|&amp;image(keishikibangoα-01.png,width=100,height=100)</v>
      </c>
      <c r="V267" s="32" t="str">
        <f>"|MIDDLE:​"&amp;テーブル1[[#This Row],[名前]]</f>
        <v>|MIDDLE:​型式番号α-01</v>
      </c>
      <c r="W267" s="32" t="str">
        <f>"|MIDDLE:​"&amp;テーブル1[[#This Row],[なまえ]]</f>
        <v>|MIDDLE:​けいしきばんごうα-01</v>
      </c>
      <c r="X267" s="32" t="str">
        <f>"|MIDDLE:​"&amp;テーブル1[[#This Row],[Name]]</f>
        <v>|MIDDLE:​keishikibangoα-01</v>
      </c>
      <c r="Y267" s="32" t="str">
        <f>"|MIDDLE:​&amp;link(配布所はこちら){​"&amp;テーブル1[[#This Row],[リンク]]&amp;"}|"</f>
        <v>|MIDDLE:​&amp;link(配布所はこちら){​https://nagimachi.wixsite.com/kairikonomachi}|</v>
      </c>
    </row>
    <row r="268" spans="1:25" ht="20.149999999999999" customHeight="1" x14ac:dyDescent="0.35">
      <c r="A268" s="34">
        <v>267</v>
      </c>
      <c r="B268" s="32" t="str">
        <f>SUBSTITUTE(SUBSTITUTE(SUBSTITUTE(SUBSTITUTE(SUBSTITUTE(SUBSTITUTE(SUBSTITUTE(SUBSTITUTE(LOWER(テーブル1[[#This Row],[Name]])," ","-"),".","-"),"&amp;","-"),"_","-"),"・","-"),"=","-"),"--","-"),"--","-")</f>
        <v>isshiki-su</v>
      </c>
      <c r="C268" s="24" t="s">
        <v>1283</v>
      </c>
      <c r="D268" s="23" t="s">
        <v>1284</v>
      </c>
      <c r="E268" s="23" t="s">
        <v>1285</v>
      </c>
      <c r="F268" s="29" t="s">
        <v>1291</v>
      </c>
      <c r="G268" s="23" t="s">
        <v>1292</v>
      </c>
      <c r="H268" s="23" t="s">
        <v>661</v>
      </c>
      <c r="I268" s="23" t="s">
        <v>669</v>
      </c>
      <c r="K268" s="23" t="s">
        <v>1293</v>
      </c>
      <c r="L268" s="23" t="s">
        <v>1302</v>
      </c>
      <c r="N268" s="1" t="s">
        <v>631</v>
      </c>
      <c r="P268" s="33" t="str">
        <f>テーブル1[[#This Row],[リンク]]&amp;テーブル1[[#This Row],[描画状況]]</f>
        <v>http://utau.wikidot.com/utau:isshiki-suu</v>
      </c>
      <c r="Q268" s="17">
        <f>1-(COUNTIF(P:P,_xlfn.TEXTJOIN(",",TRUE,テーブル1[[#This Row],[リンク]],テーブル1[[#This Row],[描画状況]]))/COUNTIF(F:F,テーブル1[[#This Row],[リンク]]))</f>
        <v>0</v>
      </c>
      <c r="R268" s="16">
        <f ca="1">IFERROR(IF(テーブル1[[#This Row],[描画状況]]="",RAND()+(テーブル1[[#This Row],[列2]]*100),""),RAND())</f>
        <v>0.65513352069163744</v>
      </c>
      <c r="T268" s="33" t="str">
        <f ca="1">IF(AND(テーブル1[[#This Row],[描画状況]]="済",テーブル1[[#This Row],[投稿状況]]=""),RAND(),"")</f>
        <v/>
      </c>
      <c r="U268" s="32" t="str">
        <f>"|&amp;image("&amp;テーブル1[[#This Row],[画像]]&amp;".png,width=100,height=100)"</f>
        <v>|&amp;image(isshiki-su.png,width=100,height=100)</v>
      </c>
      <c r="V268" s="32" t="str">
        <f>"|MIDDLE:​"&amp;テーブル1[[#This Row],[名前]]</f>
        <v>|MIDDLE:​一色スウ</v>
      </c>
      <c r="W268" s="32" t="str">
        <f>"|MIDDLE:​"&amp;テーブル1[[#This Row],[なまえ]]</f>
        <v>|MIDDLE:​いっしき すう</v>
      </c>
      <c r="X268" s="32" t="str">
        <f>"|MIDDLE:​"&amp;テーブル1[[#This Row],[Name]]</f>
        <v>|MIDDLE:​Isshiki Su</v>
      </c>
      <c r="Y268" s="32" t="str">
        <f>"|MIDDLE:​&amp;link(配布所はこちら){​"&amp;テーブル1[[#This Row],[リンク]]&amp;"}|"</f>
        <v>|MIDDLE:​&amp;link(配布所はこちら){​http://utau.wikidot.com/utau:isshiki-suu}|</v>
      </c>
    </row>
    <row r="269" spans="1:25" ht="20.149999999999999" customHeight="1" x14ac:dyDescent="0.35">
      <c r="A269" s="34">
        <v>268</v>
      </c>
      <c r="B269" s="32" t="str">
        <f>SUBSTITUTE(SUBSTITUTE(SUBSTITUTE(SUBSTITUTE(SUBSTITUTE(SUBSTITUTE(SUBSTITUTE(SUBSTITUTE(LOWER(テーブル1[[#This Row],[Name]])," ","-"),".","-"),"&amp;","-"),"_","-"),"・","-"),"=","-"),"--","-"),"--","-")</f>
        <v>tsugine-saiko</v>
      </c>
      <c r="C269" s="24" t="s">
        <v>1286</v>
      </c>
      <c r="D269" s="23" t="s">
        <v>1287</v>
      </c>
      <c r="E269" s="28" t="s">
        <v>1288</v>
      </c>
      <c r="F269" s="29" t="s">
        <v>1289</v>
      </c>
      <c r="G269" s="23" t="s">
        <v>1290</v>
      </c>
      <c r="H269" s="23" t="s">
        <v>660</v>
      </c>
      <c r="I269" s="23" t="s">
        <v>669</v>
      </c>
      <c r="K269" s="23" t="s">
        <v>1270</v>
      </c>
      <c r="L269" s="23" t="s">
        <v>1308</v>
      </c>
      <c r="M269" s="23" t="s">
        <v>807</v>
      </c>
      <c r="N269" s="1" t="s">
        <v>631</v>
      </c>
      <c r="P269" s="33" t="str">
        <f>テーブル1[[#This Row],[リンク]]&amp;テーブル1[[#This Row],[描画状況]]</f>
        <v>https://aisupiku.wixsite.com/tsuginesaiko</v>
      </c>
      <c r="Q269" s="17">
        <f>1-(COUNTIF(P:P,_xlfn.TEXTJOIN(",",TRUE,テーブル1[[#This Row],[リンク]],テーブル1[[#This Row],[描画状況]]))/COUNTIF(F:F,テーブル1[[#This Row],[リンク]]))</f>
        <v>0</v>
      </c>
      <c r="R269" s="16">
        <f ca="1">IFERROR(IF(テーブル1[[#This Row],[描画状況]]="",RAND()+(テーブル1[[#This Row],[列2]]*100),""),RAND())</f>
        <v>0.58698733099778566</v>
      </c>
      <c r="T269" s="33" t="str">
        <f ca="1">IF(AND(テーブル1[[#This Row],[描画状況]]="済",テーブル1[[#This Row],[投稿状況]]=""),RAND(),"")</f>
        <v/>
      </c>
      <c r="U269" s="32" t="str">
        <f>"|&amp;image("&amp;テーブル1[[#This Row],[画像]]&amp;".png,width=100,height=100)"</f>
        <v>|&amp;image(tsugine-saiko.png,width=100,height=100)</v>
      </c>
      <c r="V269" s="32" t="str">
        <f>"|MIDDLE:​"&amp;テーブル1[[#This Row],[名前]]</f>
        <v>|MIDDLE:​亜音サイコ</v>
      </c>
      <c r="W269" s="32" t="str">
        <f>"|MIDDLE:​"&amp;テーブル1[[#This Row],[なまえ]]</f>
        <v>|MIDDLE:​つぎね さいこ</v>
      </c>
      <c r="X269" s="32" t="str">
        <f>"|MIDDLE:​"&amp;テーブル1[[#This Row],[Name]]</f>
        <v>|MIDDLE:​Tsugine Saiko</v>
      </c>
      <c r="Y269" s="32" t="str">
        <f>"|MIDDLE:​&amp;link(配布所はこちら){​"&amp;テーブル1[[#This Row],[リンク]]&amp;"}|"</f>
        <v>|MIDDLE:​&amp;link(配布所はこちら){​https://aisupiku.wixsite.com/tsuginesaiko}|</v>
      </c>
    </row>
    <row r="270" spans="1:25" ht="20.149999999999999" customHeight="1" x14ac:dyDescent="0.35">
      <c r="M270" s="24"/>
    </row>
    <row r="271" spans="1:25" ht="20.149999999999999" customHeight="1" x14ac:dyDescent="0.35">
      <c r="M271" s="24"/>
    </row>
    <row r="272" spans="1:25" ht="20.149999999999999" customHeight="1" x14ac:dyDescent="0.35">
      <c r="M272" s="24"/>
    </row>
    <row r="273" spans="13:13" ht="20.149999999999999" customHeight="1" x14ac:dyDescent="0.35">
      <c r="M273" s="24"/>
    </row>
    <row r="274" spans="13:13" ht="20.149999999999999" customHeight="1" x14ac:dyDescent="0.35">
      <c r="M274" s="24"/>
    </row>
    <row r="275" spans="13:13" ht="20.149999999999999" customHeight="1" x14ac:dyDescent="0.35">
      <c r="M275" s="24"/>
    </row>
    <row r="276" spans="13:13" ht="20.149999999999999" customHeight="1" x14ac:dyDescent="0.35">
      <c r="M276" s="24"/>
    </row>
    <row r="277" spans="13:13" ht="20.149999999999999" customHeight="1" x14ac:dyDescent="0.35">
      <c r="M277" s="24"/>
    </row>
    <row r="278" spans="13:13" ht="20.149999999999999" customHeight="1" x14ac:dyDescent="0.35">
      <c r="M278" s="24"/>
    </row>
    <row r="279" spans="13:13" ht="20.149999999999999" customHeight="1" x14ac:dyDescent="0.35">
      <c r="M279" s="24"/>
    </row>
    <row r="280" spans="13:13" ht="20.149999999999999" customHeight="1" x14ac:dyDescent="0.35">
      <c r="M280" s="24"/>
    </row>
  </sheetData>
  <phoneticPr fontId="1"/>
  <conditionalFormatting sqref="A1:A1048576">
    <cfRule type="duplicateValues" dxfId="5" priority="4"/>
  </conditionalFormatting>
  <conditionalFormatting sqref="B1 B3:B1048576">
    <cfRule type="duplicateValues" dxfId="4" priority="5"/>
  </conditionalFormatting>
  <conditionalFormatting sqref="C1:C1048576">
    <cfRule type="duplicateValues" dxfId="3" priority="3"/>
  </conditionalFormatting>
  <conditionalFormatting sqref="G92">
    <cfRule type="duplicateValues" dxfId="2" priority="1"/>
  </conditionalFormatting>
  <conditionalFormatting sqref="G252:G258">
    <cfRule type="duplicateValues" dxfId="1" priority="26"/>
  </conditionalFormatting>
  <conditionalFormatting sqref="M278:M279 O1:T1048576">
    <cfRule type="cellIs" dxfId="0" priority="12" operator="equal">
      <formula>"済"</formula>
    </cfRule>
  </conditionalFormatting>
  <dataValidations count="9">
    <dataValidation type="list" allowBlank="1" showInputMessage="1" sqref="I2:I269" xr:uid="{C65A1E30-8F1A-43F7-95C8-9A27EB918408}">
      <formula1>種族タグ</formula1>
    </dataValidation>
    <dataValidation type="list" allowBlank="1" showInputMessage="1" sqref="K2:K269" xr:uid="{F4C1FC31-8189-42FE-9CDF-1184FF0909B9}">
      <formula1>職業タグ</formula1>
    </dataValidation>
    <dataValidation type="list" allowBlank="1" showInputMessage="1" sqref="K144 J2:J143 J145:J269" xr:uid="{71D1DCE5-85B0-4960-9B38-ABC74300BCF2}">
      <formula1>モチーフタグ</formula1>
    </dataValidation>
    <dataValidation type="list" allowBlank="1" showInputMessage="1" sqref="M2:M36 L46 M38:M45 M47:M244 M246:M269" xr:uid="{1578619E-9A71-4986-9378-87AD2388468F}">
      <formula1>ワンポイントタグ</formula1>
    </dataValidation>
    <dataValidation type="list" allowBlank="1" showInputMessage="1" showErrorMessage="1" sqref="S2:S269" xr:uid="{05A634BD-4DB9-4CF6-97DC-6B95FBE6232B}">
      <formula1>"済,個別済"</formula1>
    </dataValidation>
    <dataValidation type="list" allowBlank="1" showInputMessage="1" showErrorMessage="1" sqref="N2:N269" xr:uid="{92493CA5-E237-4453-B08F-89E5ABEEA9EA}">
      <formula1>"〇 / 必要,〇 / 不要,×"</formula1>
    </dataValidation>
    <dataValidation type="list" allowBlank="1" showInputMessage="1" sqref="L2:L269" xr:uid="{6CD751E0-96FF-4645-8251-894B2CC5C15F}">
      <formula1>小物タグ</formula1>
    </dataValidation>
    <dataValidation type="list" allowBlank="1" showInputMessage="1" showErrorMessage="1" sqref="H2:H269" xr:uid="{35C507EC-8DB1-4F3E-8DD4-3BFDA6513A59}">
      <formula1>"女性,男性,両性,キメラ,無性別,不明"</formula1>
    </dataValidation>
    <dataValidation type="list" allowBlank="1" showInputMessage="1" showErrorMessage="1" sqref="M278:M279 O2:O1048576" xr:uid="{1E2E563C-97C6-4274-B6CC-64A3EA5A69C8}">
      <formula1>"済"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194" r:id="rId101" xr:uid="{4ACC6E24-8E89-42B4-A2EA-E0269CD0E7C9}"/>
    <hyperlink ref="F133" r:id="rId102" xr:uid="{95C161E9-B78A-4EA5-809A-7C3680BAD633}"/>
    <hyperlink ref="F137" r:id="rId103" xr:uid="{F5E636BF-CBA0-4A0B-80B7-D3F75D4DE6E6}"/>
    <hyperlink ref="F216" r:id="rId104" xr:uid="{BE7080FC-A30B-464A-BB36-B86CB6D8D031}"/>
    <hyperlink ref="F163" r:id="rId105" xr:uid="{FEA58DEA-6D3D-4A0D-9DD7-1BFA40F46C8E}"/>
    <hyperlink ref="F116" r:id="rId106" xr:uid="{0AFB065D-CE22-4CB4-B6D7-06A8140CB781}"/>
    <hyperlink ref="F141" r:id="rId107" xr:uid="{3FFBE5E1-C7F2-49A0-8F3F-5748522A0A40}"/>
    <hyperlink ref="F143" r:id="rId108" xr:uid="{1196818E-3BE0-43E2-8A04-FF0579441629}"/>
    <hyperlink ref="F148" r:id="rId109" xr:uid="{502D1FC9-3462-4765-9E5E-E7C3C3459F33}"/>
    <hyperlink ref="F138" r:id="rId110" xr:uid="{F9367E16-C882-47BD-BA28-B6D498EBBBDF}"/>
    <hyperlink ref="F153" r:id="rId111" xr:uid="{5827E670-CC22-4A19-80E9-0FAD13040207}"/>
    <hyperlink ref="F131" r:id="rId112" xr:uid="{7324D0C3-0788-4576-AD24-8BECB1C99D92}"/>
    <hyperlink ref="F172" r:id="rId113" xr:uid="{AB5FBDF7-D37E-491D-9946-3160548AE6A8}"/>
    <hyperlink ref="F142" r:id="rId114" xr:uid="{EA23B5B8-7220-47DD-BCAC-CD4FB5AD8E36}"/>
    <hyperlink ref="F196" r:id="rId115" xr:uid="{F1E6C078-3238-4230-9B3C-5D344E88DC8F}"/>
    <hyperlink ref="F121" r:id="rId116" xr:uid="{86323CF0-65DC-4A65-8178-22D15088B81A}"/>
    <hyperlink ref="F197" r:id="rId117" xr:uid="{17EDE4B8-6AB5-4081-918F-58864B31B294}"/>
    <hyperlink ref="F127" r:id="rId118" xr:uid="{7872A657-8431-4E07-8F9C-BBD08118F4F1}"/>
    <hyperlink ref="F162" r:id="rId119" xr:uid="{0C62126B-9A87-4D2E-9714-28C23B4E3A67}"/>
    <hyperlink ref="F132" r:id="rId120" xr:uid="{55280FAB-A52C-4C9A-9794-D989F91BB6C5}"/>
    <hyperlink ref="F151" r:id="rId121" xr:uid="{9D14D9D0-2F6E-4378-8B66-C33A9603D422}"/>
    <hyperlink ref="F122" r:id="rId122" xr:uid="{C67B0835-73EE-4F4C-9D02-3E8DA3B1B9B5}"/>
    <hyperlink ref="F160" r:id="rId123" xr:uid="{3274074E-579B-401B-AFF4-2A7A312FAC03}"/>
    <hyperlink ref="F179" r:id="rId124" xr:uid="{0CD7DF02-C241-4BA9-845F-E878E8E44AC8}"/>
    <hyperlink ref="F191" r:id="rId125" xr:uid="{4F6ACE4D-F13A-4C63-A73A-187B9954DBD3}"/>
    <hyperlink ref="F126" r:id="rId126" xr:uid="{A8F0391F-F0A1-4EEC-BF97-F84975CAD894}"/>
    <hyperlink ref="F115" r:id="rId127" xr:uid="{8633D6DB-267F-4B4F-887C-C6C81786673C}"/>
    <hyperlink ref="F199" r:id="rId128" xr:uid="{5F804CD1-4685-4DB6-A8B3-16A4B23D4A0E}"/>
    <hyperlink ref="F181" r:id="rId129" xr:uid="{135CCDDC-FF90-4368-A48D-53FD458AB884}"/>
    <hyperlink ref="F13" r:id="rId130" display="https://suukedayo.wixsite.com/shiawasefairu" xr:uid="{5C87068A-9493-4575-9F2F-8AFF93967857}"/>
    <hyperlink ref="F41:F43" r:id="rId131" display="https://ameutaulii.wixsite.com/telepathycapsule" xr:uid="{1FCB85EF-9DB3-4BBB-840F-DED40B847B9D}"/>
    <hyperlink ref="F100:F102" r:id="rId132" location="target-tab" display="https://bowlroll.net/user/980255/files#target-tab" xr:uid="{213D3A81-9A42-4C7F-B2E5-32243417CB1A}"/>
    <hyperlink ref="F200" r:id="rId133" xr:uid="{BF5E860E-C594-4BB0-8BF4-0E67EAE670CD}"/>
    <hyperlink ref="F166" r:id="rId134" xr:uid="{5084134B-5F22-463F-A65C-BF93696D01E8}"/>
    <hyperlink ref="F135" r:id="rId135" xr:uid="{4E21A862-7310-4927-A746-53535E255C32}"/>
    <hyperlink ref="F190" r:id="rId136" xr:uid="{6289F76C-A975-44BE-A9EB-AD05A06F4776}"/>
    <hyperlink ref="F164" r:id="rId137" xr:uid="{6709143C-EC1C-4E22-8A6B-914136721DDA}"/>
    <hyperlink ref="F182" r:id="rId138" xr:uid="{A3591E43-7C22-4FD1-924E-15894D717A6F}"/>
    <hyperlink ref="F174" r:id="rId139" xr:uid="{771B46BB-CD8D-4DC4-AD1A-01F2CC50F599}"/>
    <hyperlink ref="F188" r:id="rId140" xr:uid="{DA94E514-95ED-48D5-8917-4CEB2D10AC09}"/>
    <hyperlink ref="F43:F47" r:id="rId141" display="https://ameutaulii.wixsite.com/telepathycapsule" xr:uid="{9D76E74C-8DF7-4F45-8589-E0807CE20677}"/>
    <hyperlink ref="F122:F125" r:id="rId142" display="https://cloudcatch1224.wixsite.com/godsfoot" xr:uid="{CF5CE9BC-4A5E-4FDE-B94E-70935778B8EE}"/>
    <hyperlink ref="F152:F153" r:id="rId143" display="https://grskmot8.wixsite.com/kdarock" xr:uid="{778A948E-0EB6-40B0-AEE3-C5B9A74B484A}"/>
    <hyperlink ref="F161:F164" r:id="rId144" display="https://hinagitsune-utau.wixsite.com/utaukokorone" xr:uid="{17B7B1A7-5C8D-466F-9936-50A01D2B01C7}"/>
    <hyperlink ref="F167:F168" r:id="rId145" display="https://hznonoka.wixsite.com/utau" xr:uid="{D4534A9A-D5A7-47DB-94B1-B6EE14D00FF9}"/>
    <hyperlink ref="F178:F181" r:id="rId146" display="https://jiwajiwakirinn.wixsite.com/sakurada" xr:uid="{A2742A21-A88E-4230-8D16-C14D41FFCE82}"/>
    <hyperlink ref="F146" r:id="rId147" xr:uid="{C797C69C-628B-412A-8EB3-9694BDDA7CA1}"/>
    <hyperlink ref="F195:F197" r:id="rId148" display="https://kaitoramma.chu.jp" xr:uid="{C20E8B38-57F4-4C2D-AA94-00D46DE98F12}"/>
    <hyperlink ref="F199:F200" r:id="rId149" display="https://kakokyu102krbs.wixsite.com/greenmilky" xr:uid="{244FAF66-4026-4EBC-8C9D-C8C09B8D909A}"/>
    <hyperlink ref="F177" r:id="rId150" xr:uid="{16E14A36-56AA-44B9-AA98-E05426A8C9C7}"/>
    <hyperlink ref="F150" r:id="rId151" xr:uid="{6E9C4F6F-FA1B-42F3-AC46-DA64382550D2}"/>
    <hyperlink ref="F165" r:id="rId152" xr:uid="{56736E0F-0AFA-4271-AAC9-8F1B2DE4CA11}"/>
    <hyperlink ref="F106" r:id="rId153" xr:uid="{D5485F09-193C-4CB0-8551-2D0B6663FC90}"/>
    <hyperlink ref="F206" r:id="rId154" xr:uid="{3CD97486-7ED3-4925-831A-7A3E2E192FC7}"/>
    <hyperlink ref="F208" r:id="rId155" xr:uid="{26BA9F98-6D8A-4FB8-94ED-728D56FB66EE}"/>
    <hyperlink ref="F207" r:id="rId156" xr:uid="{930D44F6-7039-41BB-B714-0AE06971BF30}"/>
    <hyperlink ref="F203" r:id="rId157" xr:uid="{4B026699-18B4-4413-BDE1-0CD08B74FB8F}"/>
    <hyperlink ref="F210" r:id="rId158" xr:uid="{1C4B71BE-855F-43C6-816A-C413C4057B75}"/>
    <hyperlink ref="F202" r:id="rId159" xr:uid="{5099072F-AB96-4254-A9FD-54871C4A74A2}"/>
    <hyperlink ref="F155" r:id="rId160" xr:uid="{CA7CC9AE-7315-42BE-937F-A3819BB9EBE0}"/>
    <hyperlink ref="F64" r:id="rId161" xr:uid="{418C9B4B-CFA8-4994-A14D-BC445F33856C}"/>
    <hyperlink ref="F119:F123" r:id="rId162" display="https://chunyinhui021.wixsite.com/mutyuusaisei" xr:uid="{FABDAE2C-7F63-441F-84B2-028938338884}"/>
    <hyperlink ref="F149" r:id="rId163" xr:uid="{C6473DEC-BF73-419B-AA56-146489756280}"/>
    <hyperlink ref="F119" r:id="rId164" xr:uid="{28C97FB3-933D-45FF-9628-75334EC574F4}"/>
    <hyperlink ref="F145:F152" r:id="rId165" display="https://flowerrocklove.wixsite.com/twilight-crisis" xr:uid="{FDAA4323-4883-4BB6-9181-C86DC3ADB7F0}"/>
    <hyperlink ref="F37" r:id="rId166" xr:uid="{AD3B11AA-D587-4DF1-8BC5-E508A5AD4F14}"/>
    <hyperlink ref="F212" r:id="rId167" xr:uid="{0E759D8E-9DE5-44ED-A2BE-A99A9E2627DB}"/>
    <hyperlink ref="F213" r:id="rId168" xr:uid="{406FC7AC-2166-4FD4-99F2-4BB095DB43CC}"/>
    <hyperlink ref="F211" r:id="rId169" xr:uid="{F9779F13-F0A4-4D78-98A1-1A2293AAA7FD}"/>
    <hyperlink ref="F214" r:id="rId170" xr:uid="{6CC49D90-7570-4B72-88D0-94D3708E5825}"/>
    <hyperlink ref="F17" r:id="rId171" xr:uid="{53566C5F-FB16-421E-81DF-F6230E99E473}"/>
    <hyperlink ref="F18" r:id="rId172" xr:uid="{72C86F07-C5A0-4A7B-9EE3-83CBC908E342}"/>
    <hyperlink ref="F215" r:id="rId173" xr:uid="{1B923E2D-7B61-46E7-9CD1-4FFE9FF203C6}"/>
    <hyperlink ref="F217" r:id="rId174" xr:uid="{ACD6D043-DC6C-4915-B869-0962630001EE}"/>
    <hyperlink ref="F218" r:id="rId175" xr:uid="{1BB09921-A1B5-4E8A-AF07-B858C21DFBCC}"/>
    <hyperlink ref="F219" r:id="rId176" xr:uid="{47501218-C0AE-448A-80CE-563AF7997BE9}"/>
    <hyperlink ref="F220" r:id="rId177" xr:uid="{3D463FD1-CA5E-441E-866F-5DDAABBEEC52}"/>
    <hyperlink ref="F234:F235" r:id="rId178" display="https://vividseekers.utau.sorairomarch.com" xr:uid="{77AABF20-E38A-4E5E-9256-98D67B3EFAD5}"/>
    <hyperlink ref="F221" r:id="rId179" xr:uid="{56FB0977-3126-4BA1-999A-6CCD84394835}"/>
    <hyperlink ref="F222" r:id="rId180" xr:uid="{034A46DA-F5A4-44C6-9E6C-646402456BD6}"/>
    <hyperlink ref="F223" r:id="rId181" xr:uid="{2A4F1930-4F68-493D-ABC5-F7A025BBE45F}"/>
    <hyperlink ref="F224" r:id="rId182" xr:uid="{BCE8DD4E-A8D7-4383-B8EB-68099CA41E17}"/>
    <hyperlink ref="F225" r:id="rId183" xr:uid="{0FC88DEF-F889-4B6B-8CCB-F686BBAEB5A1}"/>
    <hyperlink ref="F226" r:id="rId184" xr:uid="{39EF5822-BBE0-4D3D-A5F3-58E8CAA40F99}"/>
    <hyperlink ref="F227" r:id="rId185" xr:uid="{9AAFB909-13C3-424B-AFA4-345246155E51}"/>
    <hyperlink ref="F103" r:id="rId186" xr:uid="{3FE6181D-9E89-466D-A7CE-1D0B0A3A3BEA}"/>
    <hyperlink ref="F54" r:id="rId187" xr:uid="{56EDA6B7-5404-4B84-8803-D3F8DF00406E}"/>
    <hyperlink ref="F19" r:id="rId188" xr:uid="{29E00CE5-F341-424F-B6FD-353D0A58F088}"/>
    <hyperlink ref="F22" r:id="rId189" xr:uid="{C2676C57-00EE-443E-AF00-E0791C6E740E}"/>
    <hyperlink ref="F112" r:id="rId190" xr:uid="{2D89B21B-0461-4B5E-882D-8497ABF2C187}"/>
    <hyperlink ref="F185" r:id="rId191" xr:uid="{99C721D3-51F8-4C8D-9B5E-758137429D70}"/>
    <hyperlink ref="F228" r:id="rId192" xr:uid="{0D9566A2-B460-4D31-B72E-DEB0F19225F4}"/>
    <hyperlink ref="F229" r:id="rId193" display="https://kagerou009.hatenablog.com/" xr:uid="{3F9ACAE0-AC00-4378-9823-58DCEE87392D}"/>
    <hyperlink ref="F230" r:id="rId194" xr:uid="{A565DDFB-D389-4E52-B7CB-2398C4F3C765}"/>
    <hyperlink ref="F231" r:id="rId195" xr:uid="{41A10682-311A-4BA7-AE6F-603DD0D67F66}"/>
    <hyperlink ref="F232" r:id="rId196" xr:uid="{05BD7CD2-B093-43EE-8DC5-4C12CAED47A2}"/>
    <hyperlink ref="F233" r:id="rId197" xr:uid="{B570437B-1A43-46E5-A410-00F3E1539A09}"/>
    <hyperlink ref="F28" r:id="rId198" xr:uid="{63C1D56C-B991-45F8-94EC-E35369DC603E}"/>
    <hyperlink ref="F34" r:id="rId199" xr:uid="{A67D21AA-F815-41E4-BFD9-6807006DDE4E}"/>
    <hyperlink ref="F144" r:id="rId200" xr:uid="{4CBC728E-5763-42D6-A346-C8E3B0B203A9}"/>
    <hyperlink ref="F33" r:id="rId201" xr:uid="{D7D153FA-F757-4FE6-8E3E-ABC7E2EA0867}"/>
    <hyperlink ref="F36" r:id="rId202" xr:uid="{F2DC715E-9B0D-4BAA-8664-8E54D0C7F9E1}"/>
    <hyperlink ref="F82" r:id="rId203" xr:uid="{A55531EC-FC14-40F4-BEBC-99E58E049C85}"/>
    <hyperlink ref="F91" r:id="rId204" xr:uid="{A8BDD7AF-52A6-464A-988A-C1913D72E2C8}"/>
    <hyperlink ref="F92" r:id="rId205" xr:uid="{DE30E5AF-17EB-4450-BD2E-595A72C7204C}"/>
    <hyperlink ref="F158" r:id="rId206" xr:uid="{820134B8-ED42-4B4C-A25A-8338EF6EEEB0}"/>
    <hyperlink ref="F55" r:id="rId207" xr:uid="{CA4A437D-844A-4B30-BA65-9BDA11F750D9}"/>
    <hyperlink ref="F110" r:id="rId208" xr:uid="{6199CBBA-251A-4B48-8FCD-16DAC0BDCA3D}"/>
    <hyperlink ref="F63" r:id="rId209" xr:uid="{F7F8E687-6C4F-43B0-8BCD-CFD5182A4526}"/>
    <hyperlink ref="F236" r:id="rId210" display="https://vividseekers.utau.sorairomarch.com" xr:uid="{B9DF16B4-BAA8-4CFA-BC89-BFAC9010DC2D}"/>
    <hyperlink ref="F244" r:id="rId211" xr:uid="{71B32ECB-E3E3-4F9F-A681-9398B315E667}"/>
    <hyperlink ref="F245" r:id="rId212" xr:uid="{CAB57B14-7B3E-4E38-9775-54BD4B44DD64}"/>
    <hyperlink ref="F246" r:id="rId213" xr:uid="{D553FEB6-A31C-4E97-9F18-812BB8CD2247}"/>
    <hyperlink ref="F247" r:id="rId214" xr:uid="{481AA471-6038-4895-A289-8F72A0256A69}"/>
    <hyperlink ref="F248" r:id="rId215" xr:uid="{8F5207BC-58E2-45C2-9E92-FC6F6647CA37}"/>
    <hyperlink ref="F249" r:id="rId216" xr:uid="{9FC0B6E4-50F4-4534-ABBE-FF6E10E7DF9F}"/>
    <hyperlink ref="F250" r:id="rId217" xr:uid="{3A8E06B2-6E60-4755-8FF1-6A74DEADA27E}"/>
    <hyperlink ref="F251" r:id="rId218" xr:uid="{4D2986EF-454D-4598-8FCB-4339D505FC25}"/>
    <hyperlink ref="F252" r:id="rId219" xr:uid="{8E10B67B-DE30-467B-8188-8D9806DDDB93}"/>
    <hyperlink ref="F253" r:id="rId220" xr:uid="{89C74825-12F9-4E51-B4FB-2EEA0B53CBDB}"/>
    <hyperlink ref="F254" r:id="rId221" xr:uid="{DE58865E-E3D1-4F91-8E99-E15C8042256F}"/>
    <hyperlink ref="F255" r:id="rId222" xr:uid="{F2F74337-57C9-4AD2-851A-BFC306D347C5}"/>
    <hyperlink ref="F205" r:id="rId223" xr:uid="{2385E38C-050D-4845-BD06-7831447AED82}"/>
    <hyperlink ref="F256" r:id="rId224" xr:uid="{B6155AD2-8C9D-477F-92E1-238F333F52A8}"/>
    <hyperlink ref="F257" r:id="rId225" xr:uid="{8E696F60-1C4B-4157-ACE9-DC0E97D857BA}"/>
    <hyperlink ref="F258" r:id="rId226" xr:uid="{985919F2-D3E0-4E31-B775-348CE930877C}"/>
    <hyperlink ref="F259" r:id="rId227" xr:uid="{808E03FB-1DE1-42B2-9486-78546BBD3870}"/>
    <hyperlink ref="F260" r:id="rId228" xr:uid="{97BD1655-688C-43CC-8DFD-3BAFCEFF4022}"/>
    <hyperlink ref="F261" r:id="rId229" xr:uid="{9DE6D681-3406-447E-B911-10C675BB2C86}"/>
    <hyperlink ref="F262" r:id="rId230" xr:uid="{C738A581-A93D-4132-A3C0-11F0A6CD0135}"/>
    <hyperlink ref="F263" r:id="rId231" xr:uid="{BBBDDB5E-5676-4C83-B8D1-F535BF6DF7A6}"/>
    <hyperlink ref="F269" r:id="rId232" xr:uid="{3E74F0C7-67E2-448E-9F67-E6EFA99883C6}"/>
    <hyperlink ref="F268" r:id="rId233" xr:uid="{E0DA35B9-3164-4F31-9165-0FF83FD5A473}"/>
    <hyperlink ref="F264" r:id="rId234" xr:uid="{F26668EA-0337-4454-87F0-0583CCC1DDA3}"/>
    <hyperlink ref="F265:F267" r:id="rId235" display="https://nagimachi.wixsite.com/kairikonomachi" xr:uid="{9E02321C-FB1F-4E7A-B665-955F0CCBDFAE}"/>
  </hyperlinks>
  <pageMargins left="0.7" right="0.7" top="0.75" bottom="0.75" header="0.3" footer="0.3"/>
  <tableParts count="1"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640625" defaultRowHeight="30" customHeight="1" x14ac:dyDescent="0.35"/>
  <cols>
    <col min="1" max="2" width="8.6640625" style="5"/>
    <col min="3" max="3" width="60.46484375" style="5" customWidth="1"/>
    <col min="4" max="16384" width="8.6640625" style="5"/>
  </cols>
  <sheetData>
    <row r="2" spans="2:3" ht="30" customHeight="1" x14ac:dyDescent="0.35">
      <c r="B2" s="31" t="s">
        <v>407</v>
      </c>
      <c r="C2" s="31"/>
    </row>
    <row r="4" spans="2:3" ht="30" customHeight="1" x14ac:dyDescent="0.35">
      <c r="B4" s="4" t="s">
        <v>411</v>
      </c>
      <c r="C4" s="7">
        <f ca="1">MATCH(C5,キャラ情報!C:C,0)</f>
        <v>269</v>
      </c>
    </row>
    <row r="5" spans="2:3" ht="30" customHeight="1" x14ac:dyDescent="0.35">
      <c r="B5" s="4" t="s">
        <v>408</v>
      </c>
      <c r="C5" s="6" t="str">
        <f ca="1">INDEX(キャラ情報!C:R,MATCH(MIN(キャラ情報!R:R),キャラ情報!R:R,0),1)</f>
        <v>亜音サイコ</v>
      </c>
    </row>
    <row r="6" spans="2:3" ht="30" customHeight="1" x14ac:dyDescent="0.35">
      <c r="B6" s="4" t="s">
        <v>409</v>
      </c>
      <c r="C6" s="6" t="str">
        <f ca="1">INDEX(キャラ情報!C:R,MATCH(MIN(キャラ情報!R:R),キャラ情報!R:R,0),4)</f>
        <v>https://aisupiku.wixsite.com/tsuginesaiko</v>
      </c>
    </row>
    <row r="9" spans="2:3" ht="30" customHeight="1" x14ac:dyDescent="0.35">
      <c r="B9" s="31" t="s">
        <v>423</v>
      </c>
      <c r="C9" s="31"/>
    </row>
    <row r="11" spans="2:3" ht="30" customHeight="1" x14ac:dyDescent="0.35">
      <c r="B11" s="4" t="s">
        <v>411</v>
      </c>
      <c r="C11" s="7">
        <f ca="1">MATCH(C12,キャラ情報!C:C,0)</f>
        <v>264</v>
      </c>
    </row>
    <row r="12" spans="2:3" ht="30" customHeight="1" x14ac:dyDescent="0.35">
      <c r="B12" s="4" t="s">
        <v>408</v>
      </c>
      <c r="C12" s="6" t="str">
        <f ca="1">INDEX(キャラ情報!C:T,MATCH(MIN(キャラ情報!T:T),キャラ情報!T:T,0),1)</f>
        <v>有部音ゴエμ</v>
      </c>
    </row>
    <row r="14" spans="2:3" ht="30" customHeight="1" thickBot="1" x14ac:dyDescent="0.4">
      <c r="B14" s="8" t="s">
        <v>426</v>
      </c>
    </row>
    <row r="15" spans="2:3" ht="30" customHeight="1" thickTop="1" x14ac:dyDescent="0.35">
      <c r="B15" s="9" t="s">
        <v>601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No.269｜</v>
      </c>
      <c r="C17" s="12" t="str">
        <f ca="1">C12</f>
        <v>有部音ゴエμ</v>
      </c>
    </row>
    <row r="18" spans="2:3" ht="30" customHeight="1" x14ac:dyDescent="0.35">
      <c r="B18" s="11" t="str">
        <f ca="1">INDEX(キャラ情報!C:G,MATCH(C12,キャラ情報!C:C,0),5)</f>
        <v xml:space="preserve">#返り子の町 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427</v>
      </c>
      <c r="C20" s="12"/>
    </row>
    <row r="21" spans="2:3" ht="30" customHeight="1" thickBot="1" x14ac:dyDescent="0.4">
      <c r="B21" s="13" t="s">
        <v>721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69"/>
  <sheetViews>
    <sheetView topLeftCell="A248" zoomScale="55" zoomScaleNormal="55" workbookViewId="0">
      <selection activeCell="D277" sqref="D277"/>
    </sheetView>
  </sheetViews>
  <sheetFormatPr defaultColWidth="9.06640625" defaultRowHeight="20.149999999999999" customHeight="1" x14ac:dyDescent="0.35"/>
  <cols>
    <col min="1" max="1" width="5.86328125" style="19" bestFit="1" customWidth="1"/>
    <col min="2" max="2" width="19.06640625" style="19" bestFit="1" customWidth="1"/>
    <col min="3" max="3" width="19" style="19" bestFit="1" customWidth="1"/>
    <col min="4" max="4" width="20.6640625" style="19" bestFit="1" customWidth="1"/>
    <col min="5" max="5" width="30.19921875" style="19" bestFit="1" customWidth="1"/>
    <col min="6" max="6" width="54.46484375" style="19" bestFit="1" customWidth="1"/>
    <col min="7" max="7" width="20.8632812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654</v>
      </c>
      <c r="B1" s="18" t="s">
        <v>650</v>
      </c>
      <c r="C1" s="18" t="s">
        <v>651</v>
      </c>
      <c r="D1" s="18" t="s">
        <v>652</v>
      </c>
      <c r="E1" s="18" t="s">
        <v>653</v>
      </c>
      <c r="F1" s="18" t="s">
        <v>655</v>
      </c>
      <c r="G1" s="18" t="s">
        <v>656</v>
      </c>
      <c r="H1" s="18" t="s">
        <v>657</v>
      </c>
      <c r="I1" s="1" t="s">
        <v>663</v>
      </c>
      <c r="J1" s="1" t="s">
        <v>742</v>
      </c>
      <c r="K1" s="1" t="s">
        <v>664</v>
      </c>
      <c r="L1" s="1" t="s">
        <v>665</v>
      </c>
      <c r="M1" s="1" t="s">
        <v>666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Row],[作品タグ]],"、","|")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Row],[作品タグ]],"、","|")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科学者</v>
      </c>
      <c r="L3" s="19" t="str">
        <f>SUBSTITUTE(テーブル1[[#This Row],[小物タグ]],"、","|")</f>
        <v>眼部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Row],[作品タグ]],"、","|")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Row],[作品タグ]],"、","|")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耳装備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Row],[作品タグ]],"、","|")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人型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仮面・マスク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Row],[作品タグ]],"、","|")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Row],[作品タグ]],"、","|")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眼部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Row],[作品タグ]],"、","|")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Row],[作品タグ]],"、","|")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髪飾り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Row],[作品タグ]],"、","|")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Row],[作品タグ]],"、","|")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眼部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Row],[作品タグ]],"、","|")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耳装備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Row],[作品タグ]],"、","|")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Row],[作品タグ]],"、","|")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Row],[作品タグ]],"、","|")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Row],[作品タグ]],"、","|")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道具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Row],[作品タグ]],"、","|")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道具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Row],[作品タグ]],"、","|")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髪飾り|道具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Row],[作品タグ]],"、","|")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耳装備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Row],[作品タグ]],"、","|")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Row],[作品タグ]],"、","|")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Row],[作品タグ]],"、","|")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ヘイロー|首装飾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Row],[作品タグ]],"、","|")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眼部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Row],[作品タグ]],"、","|")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髪飾り|眼部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Row],[作品タグ]],"、","|")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Row],[作品タグ]],"、","|")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Row],[作品タグ]],"、","|")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Row],[作品タグ]],"、","|")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Row],[作品タグ]],"、","|")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武器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Row],[作品タグ]],"、","|")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Row],[作品タグ]],"、","|")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Row],[作品タグ]],"、","|")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武器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Row],[作品タグ]],"、","|")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装身具|首装飾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Row],[作品タグ]],"、","|")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モチーフ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Row],[作品タグ]],"、","|")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警察官|元ヤン</v>
      </c>
      <c r="L36" s="19" t="str">
        <f>SUBSTITUTE(テーブル1[[#This Row],[小物タグ]],"、","|")</f>
        <v>髪飾り|眼部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Row],[作品タグ]],"、","|")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髪飾り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Row],[作品タグ]],"、","|")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Row],[作品タグ]],"、","|")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Row],[作品タグ]],"、","|")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Row],[作品タグ]],"、","|")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Row],[作品タグ]],"、","|")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ヘイロー|服飾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Row],[作品タグ]],"、","|")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Row],[作品タグ]],"、","|")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Row],[作品タグ]],"、","|")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仮面・マスク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Row],[作品タグ]],"、","|")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リボン|髪飾り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Row],[作品タグ]],"、","|")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Row],[作品タグ]],"、","|")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Row],[作品タグ]],"、","|")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Row],[作品タグ]],"、","|")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Row],[作品タグ]],"、","|")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Row],[作品タグ]],"、","|")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Row],[作品タグ]],"、","|")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Row],[作品タグ]],"、","|")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Row],[作品タグ]],"、","|")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Row],[作品タグ]],"、","|")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Row],[作品タグ]],"、","|")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Row],[作品タグ]],"、","|")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Row],[作品タグ]],"、","|")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Row],[作品タグ]],"、","|")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Row],[作品タグ]],"、","|")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Row],[作品タグ]],"、","|")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Row],[作品タグ]],"、","|")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耳装備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Row],[作品タグ]],"、","|")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Row],[作品タグ]],"、","|")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耳装備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Row],[作品タグ]],"、","|")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Row],[作品タグ]],"、","|")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Row],[作品タグ]],"、","|")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Row],[作品タグ]],"、","|")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Row],[作品タグ]],"、","|")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Row],[作品タグ]],"、","|")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Row],[作品タグ]],"、","|")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Row],[作品タグ]],"、","|")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Row],[作品タグ]],"、","|")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Row],[作品タグ]],"、","|")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Row],[作品タグ]],"、","|")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Row],[作品タグ]],"、","|")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Row],[作品タグ]],"、","|")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Row],[作品タグ]],"、","|")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Row],[作品タグ]],"、","|")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人型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Row],[作品タグ]],"、","|")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Row],[作品タグ]],"、","|")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ケモ耳|髭|尻尾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Row],[作品タグ]],"、","|")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Row],[作品タグ]],"、","|")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Row],[作品タグ]],"、","|")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Row],[作品タグ]],"、","|")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Row],[作品タグ]],"、","|")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Row],[作品タグ]],"、","|")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眼部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Row],[作品タグ]],"、","|")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Row],[作品タグ]],"、","|")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Row],[作品タグ]],"、","|")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髪飾り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Row],[作品タグ]],"、","|")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髪飾り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Row],[作品タグ]],"、","|")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Row],[作品タグ]],"、","|")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Row],[作品タグ]],"、","|")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Row],[作品タグ]],"、","|")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Row],[作品タグ]],"、","|")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Row],[作品タグ]],"、","|")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Row],[作品タグ]],"、","|")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Row],[作品タグ]],"、","|")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Row],[作品タグ]],"、","|")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Row],[作品タグ]],"、","|")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眼部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Row],[作品タグ]],"、","|")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Row],[作品タグ]],"、","|")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眼部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Row],[作品タグ]],"、","|")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Row],[作品タグ]],"、","|")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Row],[作品タグ]],"、","|")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ヘイロー|首装飾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Row],[作品タグ]],"、","|")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Row],[作品タグ]],"、","|")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Row],[作品タグ]],"、","|")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Row],[作品タグ]],"、","|")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Row],[作品タグ]],"、","|")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眼部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Row],[作品タグ]],"、","|")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ヘイロー|髪飾り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Row],[作品タグ]],"、","|")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Row],[作品タグ]],"、","|")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Row],[作品タグ]],"、","|")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Row],[作品タグ]],"、","|")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耳装備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Row],[作品タグ]],"、","|")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Row],[作品タグ]],"、","|")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Row],[作品タグ]],"、","|")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Row],[作品タグ]],"、","|")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Row],[作品タグ]],"、","|")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Row],[作品タグ]],"、","|")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Row],[作品タグ]],"、","|")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Row],[作品タグ]],"、","|")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Row],[作品タグ]],"、","|")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Row],[作品タグ]],"、","|")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Row],[作品タグ]],"、","|")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Row],[作品タグ]],"、","|")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Row],[作品タグ]],"、","|")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武器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Row],[作品タグ]],"、","|")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Row],[作品タグ]],"、","|")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Row],[作品タグ]],"、","|")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Row],[作品タグ]],"、","|")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Row],[作品タグ]],"、","|")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Row],[作品タグ]],"、","|")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Row],[作品タグ]],"、","|")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Row],[作品タグ]],"、","|")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眼部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Row],[作品タグ]],"、","|")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Row],[作品タグ]],"、","|")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Row],[作品タグ]],"、","|")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Row],[作品タグ]],"、","|")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Row],[作品タグ]],"、","|")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Row],[作品タグ]],"、","|")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武器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Row],[作品タグ]],"、","|")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Row],[作品タグ]],"、","|")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Row],[作品タグ]],"、","|")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Row],[作品タグ]],"、","|")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Row],[作品タグ]],"、","|")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Row],[作品タグ]],"、","|")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Row],[作品タグ]],"、","|")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Row],[作品タグ]],"、","|")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Row],[作品タグ]],"、","|")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Row],[作品タグ]],"、","|")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Row],[作品タグ]],"、","|")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Row],[作品タグ]],"、","|")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Row],[作品タグ]],"、","|")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Row],[作品タグ]],"、","|")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Row],[作品タグ]],"、","|")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Row],[作品タグ]],"、","|")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Row],[作品タグ]],"、","|")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Row],[作品タグ]],"、","|")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Row],[作品タグ]],"、","|")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Row],[作品タグ]],"、","|")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Row],[作品タグ]],"、","|")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Row],[作品タグ]],"、","|")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Row],[作品タグ]],"、","|")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Row],[作品タグ]],"、","|")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Row],[作品タグ]],"、","|")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Row],[作品タグ]],"、","|")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Row],[作品タグ]],"、","|")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Row],[作品タグ]],"、","|")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Row],[作品タグ]],"、","|")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Row],[作品タグ]],"、","|")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Row],[作品タグ]],"、","|")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Row],[作品タグ]],"、","|")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Row],[作品タグ]],"、","|")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Row],[作品タグ]],"、","|")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Row],[作品タグ]],"、","|")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Row],[作品タグ]],"、","|")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Row],[作品タグ]],"、","|")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Row],[作品タグ]],"、","|")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Row],[作品タグ]],"、","|")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Row],[作品タグ]],"、","|")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Row],[作品タグ]],"、","|")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眼部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Row],[作品タグ]],"、","|")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Row],[作品タグ]],"、","|")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Row],[作品タグ]],"、","|")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Row],[作品タグ]],"、","|")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Row],[作品タグ]],"、","|")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Row],[作品タグ]],"、","|")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Row],[作品タグ]],"、","|")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Row],[作品タグ]],"、","|")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Row],[作品タグ]],"、","|")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Row],[作品タグ]],"、","|")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Row],[作品タグ]],"、","|")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Row],[作品タグ]],"、","|")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Row],[作品タグ]],"、","|")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Row],[作品タグ]],"、","|")</f>
        <v xml:space="preserve">#玖夏参伏 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Row],[作品タグ]],"、","|")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Row],[作品タグ]],"、","|")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Row],[作品タグ]],"、","|")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Row],[作品タグ]],"、","|")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Row],[作品タグ]],"、","|")</f>
        <v>#グウ 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https://rapo080302.wixsite.com/twosibi</v>
      </c>
      <c r="G205" s="19" t="str">
        <f>SUBSTITUTE(テーブル1[[#This Row],[作品タグ]],"、","|")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Row],[作品タグ]],"、","|")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Row],[作品タグ]],"、","|")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Row],[作品タグ]],"、","|")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Row],[作品タグ]],"、","|")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Row],[作品タグ]],"、","|")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Row],[作品タグ]],"、","|")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Row],[作品タグ]],"、","|")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耳装備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Row],[作品タグ]],"、","|")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耳装備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Row],[作品タグ]],"、","|")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Row],[作品タグ]],"、","|")</f>
        <v>#カラフル・シュガースプリンクル</v>
      </c>
      <c r="H215" s="19" t="str">
        <f>テーブル1[[#This Row],[性別]]&amp;""</f>
        <v>女性</v>
      </c>
      <c r="I215" s="19" t="str">
        <f>SUBSTITUTE(テーブル1[[#This Row],[種族タグ]],"、","|")</f>
        <v>天使</v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Row],[作品タグ]],"、","|")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眼部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Row],[作品タグ]],"、","|")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Row],[作品タグ]],"、","|")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眼部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Row],[作品タグ]],"、","|")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Row],[作品タグ]],"、","|")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髪飾り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Row],[作品タグ]],"、","|")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Row],[作品タグ]],"、","|")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Row],[作品タグ]],"、","|")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Row],[作品タグ]],"、","|")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Row],[作品タグ]],"、","|")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Row],[作品タグ]],"、","|")</f>
        <v>#マルアリア</v>
      </c>
      <c r="H226" s="19" t="str">
        <f>テーブル1[[#This Row],[性別]]&amp;""</f>
        <v>男性</v>
      </c>
      <c r="I226" s="19" t="str">
        <f>SUBSTITUTE(テーブル1[[#This Row],[種族タグ]],"、","|")</f>
        <v>人間</v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>出血|ほくろ|ギザ歯</v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Row],[作品タグ]],"、","|")</f>
        <v>#サニティ・ドゥーユー</v>
      </c>
      <c r="H227" s="19" t="str">
        <f>テーブル1[[#This Row],[性別]]&amp;""</f>
        <v>女性</v>
      </c>
      <c r="I227" s="19" t="str">
        <f>SUBSTITUTE(テーブル1[[#This Row],[種族タグ]],"、","|")</f>
        <v>人間</v>
      </c>
      <c r="J227" s="19" t="str">
        <f>SUBSTITUTE(テーブル1[[#This Row],[モチーフタグ]],"、","|")</f>
        <v/>
      </c>
      <c r="K227" s="19" t="str">
        <f>SUBSTITUTE(テーブル1[[#This Row],[職業タグ]],"、","|")</f>
        <v>警察官</v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>義眼</v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Row],[作品タグ]],"、","|")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耳装備|道具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Row],[作品タグ]],"、","|")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耳装備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Row],[作品タグ]],"、","|")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Row],[作品タグ]],"、","|")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人型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装身具|首装飾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Row],[作品タグ]],"、","|")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Row],[作品タグ]],"、","|")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Row],[作品タグ]],"、","|")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耳装備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Row],[作品タグ]],"、","|")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耳装備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Row],[作品タグ]],"、","|")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耳装備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Row],[作品タグ]],"、","|")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耳装備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Row],[作品タグ]],"、","|")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Row],[作品タグ]],"、","|")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Row],[作品タグ]],"、","|")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Row],[作品タグ]],"、","|")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Row],[作品タグ]],"、","|")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Row],[作品タグ]],"、","|")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武器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Row],[作品タグ]],"、","|")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Row],[作品タグ]],"、","|")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/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Row],[作品タグ]],"、","|")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>ツートンカラー|オッドアイ</v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Row],[作品タグ]],"、","|")</f>
        <v>Aisu 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Row],[作品タグ]],"、","|")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Row],[作品タグ]],"、","|")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武器</v>
      </c>
      <c r="M249" s="19" t="str">
        <f>SUBSTITUTE(テーブル1[[#This Row],[ワンポイントタグ]],"、","|")</f>
        <v/>
      </c>
    </row>
    <row r="250" spans="1:13" ht="20.149999999999999" customHeight="1" x14ac:dyDescent="0.3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Row],[作品タグ]],"、","|")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Row],[職業タグ]],"、","|")</f>
        <v>科学者</v>
      </c>
      <c r="L250" s="19" t="str">
        <f>SUBSTITUTE(テーブル1[[#This Row],[小物タグ]],"、","|")</f>
        <v>服飾|道具</v>
      </c>
      <c r="M250" s="19" t="str">
        <f>SUBSTITUTE(テーブル1[[#This Row],[ワンポイントタグ]],"、","|")</f>
        <v>インナーカラー|片目隠れ</v>
      </c>
    </row>
    <row r="251" spans="1:13" ht="20.149999999999999" customHeight="1" x14ac:dyDescent="0.35">
      <c r="A251" s="19">
        <f>テーブル1[[#This Row],[番号]]</f>
        <v>250</v>
      </c>
      <c r="B251" s="19" t="str">
        <f>テーブル1[[#This Row],[名前]]</f>
        <v>蛇川蓮</v>
      </c>
      <c r="C251" s="19" t="str">
        <f>テーブル1[[#This Row],[なまえ]]</f>
        <v>へびかわ れん</v>
      </c>
      <c r="D251" s="19" t="str">
        <f>テーブル1[[#This Row],[Name]]</f>
        <v>Hebikawa Ren</v>
      </c>
      <c r="E251" s="19" t="str">
        <f>"image/"&amp;テーブル1[[#This Row],[画像]]&amp;".png"</f>
        <v>image/hebikawa-ren.png</v>
      </c>
      <c r="F251" s="19" t="str">
        <f>テーブル1[[#This Row],[リンク]]</f>
        <v>https://lit.link/nemukoneko</v>
      </c>
      <c r="G251" s="19" t="str">
        <f>SUBSTITUTE(テーブル1[[#This Row],[作品タグ]],"、","|")</f>
        <v>蛇川蓮(UTAU)</v>
      </c>
      <c r="H251" s="19" t="str">
        <f>テーブル1[[#This Row],[性別]]&amp;""</f>
        <v>男性</v>
      </c>
      <c r="I251" s="19" t="str">
        <f>SUBSTITUTE(テーブル1[[#This Row],[種族タグ]],"、","|")</f>
        <v>人型</v>
      </c>
      <c r="J251" s="19" t="str">
        <f>SUBSTITUTE(テーブル1[[#This Row],[モチーフタグ]],"、","|")</f>
        <v>蛇</v>
      </c>
      <c r="K251" s="19" t="str">
        <f>SUBSTITUTE(テーブル1[[#This Row],[職業タグ]],"、","|")</f>
        <v/>
      </c>
      <c r="L251" s="19" t="str">
        <f>SUBSTITUTE(テーブル1[[#This Row],[小物タグ]],"、","|")</f>
        <v/>
      </c>
      <c r="M251" s="19" t="str">
        <f>SUBSTITUTE(テーブル1[[#This Row],[ワンポイントタグ]],"、","|")</f>
        <v>刺青|高身長</v>
      </c>
    </row>
    <row r="252" spans="1:13" ht="20.149999999999999" customHeight="1" x14ac:dyDescent="0.35">
      <c r="A252" s="19">
        <f>テーブル1[[#This Row],[番号]]</f>
        <v>251</v>
      </c>
      <c r="B252" s="19" t="str">
        <f>テーブル1[[#This Row],[名前]]</f>
        <v>鴉田椿</v>
      </c>
      <c r="C252" s="19" t="str">
        <f>テーブル1[[#This Row],[なまえ]]</f>
        <v>からすだ つばき</v>
      </c>
      <c r="D252" s="19" t="str">
        <f>テーブル1[[#This Row],[Name]]</f>
        <v>Karasuda Tsubaki</v>
      </c>
      <c r="E252" s="19" t="str">
        <f>"image/"&amp;テーブル1[[#This Row],[画像]]&amp;".png"</f>
        <v>image/karasuda-tsubaki.png</v>
      </c>
      <c r="F252" s="19" t="str">
        <f>テーブル1[[#This Row],[リンク]]</f>
        <v>https://lit.link/nemukoneko</v>
      </c>
      <c r="G252" s="19" t="str">
        <f>SUBSTITUTE(テーブル1[[#This Row],[作品タグ]],"、","|")</f>
        <v>鴉田椿(UTAU)</v>
      </c>
      <c r="H252" s="19" t="str">
        <f>テーブル1[[#This Row],[性別]]&amp;""</f>
        <v>男性</v>
      </c>
      <c r="I252" s="19" t="str">
        <f>SUBSTITUTE(テーブル1[[#This Row],[種族タグ]],"、","|")</f>
        <v>人型</v>
      </c>
      <c r="J252" s="19" t="str">
        <f>SUBSTITUTE(テーブル1[[#This Row],[モチーフタグ]],"、","|")</f>
        <v>カラス</v>
      </c>
      <c r="K252" s="19" t="str">
        <f>SUBSTITUTE(テーブル1[[#This Row],[職業タグ]],"、","|")</f>
        <v/>
      </c>
      <c r="L252" s="19" t="str">
        <f>SUBSTITUTE(テーブル1[[#This Row],[小物タグ]],"、","|")</f>
        <v/>
      </c>
      <c r="M252" s="19" t="str">
        <f>SUBSTITUTE(テーブル1[[#This Row],[ワンポイントタグ]],"、","|")</f>
        <v/>
      </c>
    </row>
    <row r="253" spans="1:13" ht="20.149999999999999" customHeight="1" x14ac:dyDescent="0.35">
      <c r="A253" s="19">
        <f>テーブル1[[#This Row],[番号]]</f>
        <v>252</v>
      </c>
      <c r="B253" s="19" t="str">
        <f>テーブル1[[#This Row],[名前]]</f>
        <v>猫星人リセ</v>
      </c>
      <c r="C253" s="19" t="str">
        <f>テーブル1[[#This Row],[なまえ]]</f>
        <v>ねこせいじん りせ</v>
      </c>
      <c r="D253" s="19" t="str">
        <f>テーブル1[[#This Row],[Name]]</f>
        <v>The Alien Cat Lyce</v>
      </c>
      <c r="E253" s="19" t="str">
        <f>"image/"&amp;テーブル1[[#This Row],[画像]]&amp;".png"</f>
        <v>image/the-alien-cat-lyce.png</v>
      </c>
      <c r="F253" s="19" t="str">
        <f>テーブル1[[#This Row],[リンク]]</f>
        <v>https://note.com/lycopema/n/n7abddbef7b6e</v>
      </c>
      <c r="G253" s="19" t="str">
        <f>SUBSTITUTE(テーブル1[[#This Row],[作品タグ]],"、","|")</f>
        <v>#猫星人リセ</v>
      </c>
      <c r="H253" s="19" t="str">
        <f>テーブル1[[#This Row],[性別]]&amp;""</f>
        <v>無性別</v>
      </c>
      <c r="I253" s="19" t="str">
        <f>SUBSTITUTE(テーブル1[[#This Row],[種族タグ]],"、","|")</f>
        <v>宇宙人</v>
      </c>
      <c r="J253" s="19" t="str">
        <f>SUBSTITUTE(テーブル1[[#This Row],[モチーフタグ]],"、","|")</f>
        <v>猫</v>
      </c>
      <c r="K253" s="19" t="str">
        <f>SUBSTITUTE(テーブル1[[#This Row],[職業タグ]],"、","|")</f>
        <v/>
      </c>
      <c r="L253" s="19" t="str">
        <f>SUBSTITUTE(テーブル1[[#This Row],[小物タグ]],"、","|")</f>
        <v/>
      </c>
      <c r="M253" s="19" t="str">
        <f>SUBSTITUTE(テーブル1[[#This Row],[ワンポイントタグ]],"、","|")</f>
        <v>ケモ耳|尻尾</v>
      </c>
    </row>
    <row r="254" spans="1:13" ht="20.149999999999999" customHeight="1" x14ac:dyDescent="0.35">
      <c r="A254" s="19">
        <f>テーブル1[[#This Row],[番号]]</f>
        <v>253</v>
      </c>
      <c r="B254" s="19" t="str">
        <f>テーブル1[[#This Row],[名前]]</f>
        <v>KR-725</v>
      </c>
      <c r="C254" s="19" t="str">
        <f>テーブル1[[#This Row],[なまえ]]</f>
        <v>けーあーる-ななにーご</v>
      </c>
      <c r="D254" s="19" t="str">
        <f>テーブル1[[#This Row],[Name]]</f>
        <v>KR-725</v>
      </c>
      <c r="E254" s="19" t="str">
        <f>"image/"&amp;テーブル1[[#This Row],[画像]]&amp;".png"</f>
        <v>image/kr-725.png</v>
      </c>
      <c r="F254" s="19" t="str">
        <f>テーブル1[[#This Row],[リンク]]</f>
        <v>https://sites.google.com/view/ronku99</v>
      </c>
      <c r="G254" s="19" t="str">
        <f>SUBSTITUTE(テーブル1[[#This Row],[作品タグ]],"、","|")</f>
        <v>KR-725(UTAU)</v>
      </c>
      <c r="H254" s="19" t="str">
        <f>テーブル1[[#This Row],[性別]]&amp;""</f>
        <v>女性</v>
      </c>
      <c r="I254" s="19" t="str">
        <f>SUBSTITUTE(テーブル1[[#This Row],[種族タグ]],"、","|")</f>
        <v>機械</v>
      </c>
      <c r="J254" s="19" t="str">
        <f>SUBSTITUTE(テーブル1[[#This Row],[モチーフタグ]],"、","|")</f>
        <v/>
      </c>
      <c r="K254" s="19" t="str">
        <f>SUBSTITUTE(テーブル1[[#This Row],[職業タグ]],"、","|")</f>
        <v>家政婦</v>
      </c>
      <c r="L254" s="19" t="str">
        <f>SUBSTITUTE(テーブル1[[#This Row],[小物タグ]],"、","|")</f>
        <v/>
      </c>
      <c r="M254" s="19" t="str">
        <f>SUBSTITUTE(テーブル1[[#This Row],[ワンポイントタグ]],"、","|")</f>
        <v>眼鏡</v>
      </c>
    </row>
    <row r="255" spans="1:13" ht="20.149999999999999" customHeight="1" x14ac:dyDescent="0.35">
      <c r="A255" s="19">
        <f>テーブル1[[#This Row],[番号]]</f>
        <v>254</v>
      </c>
      <c r="B255" s="19" t="str">
        <f>テーブル1[[#This Row],[名前]]</f>
        <v>クルミヤキ吉行</v>
      </c>
      <c r="C255" s="19" t="str">
        <f>テーブル1[[#This Row],[なまえ]]</f>
        <v>くるみやき よしゆき</v>
      </c>
      <c r="D255" s="19" t="str">
        <f>テーブル1[[#This Row],[Name]]</f>
        <v>Kurumiyaki Yosiyuki</v>
      </c>
      <c r="E255" s="19" t="str">
        <f>"image/"&amp;テーブル1[[#This Row],[画像]]&amp;".png"</f>
        <v>image/kurumiyaki-yosiyuki.png</v>
      </c>
      <c r="F255" s="19" t="str">
        <f>テーブル1[[#This Row],[リンク]]</f>
        <v>https://hatonosuke5.booth.pm</v>
      </c>
      <c r="G255" s="19" t="str">
        <f>SUBSTITUTE(テーブル1[[#This Row],[作品タグ]],"、","|")</f>
        <v>#ボタン太の子|#クルミヤキ吉行</v>
      </c>
      <c r="H255" s="19" t="str">
        <f>テーブル1[[#This Row],[性別]]&amp;""</f>
        <v>不明</v>
      </c>
      <c r="I255" s="19" t="str">
        <f>SUBSTITUTE(テーブル1[[#This Row],[種族タグ]],"、","|")</f>
        <v>人型</v>
      </c>
      <c r="J255" s="19" t="str">
        <f>SUBSTITUTE(テーブル1[[#This Row],[モチーフタグ]],"、","|")</f>
        <v>架空生物</v>
      </c>
      <c r="K255" s="19" t="str">
        <f>SUBSTITUTE(テーブル1[[#This Row],[職業タグ]],"、","|")</f>
        <v/>
      </c>
      <c r="L255" s="19" t="str">
        <f>SUBSTITUTE(テーブル1[[#This Row],[小物タグ]],"、","|")</f>
        <v>ヘイロー|服飾</v>
      </c>
      <c r="M255" s="19" t="str">
        <f>SUBSTITUTE(テーブル1[[#This Row],[ワンポイントタグ]],"、","|")</f>
        <v>ケモ耳|片目隠れ|尻尾</v>
      </c>
    </row>
    <row r="256" spans="1:13" ht="20.149999999999999" customHeight="1" x14ac:dyDescent="0.35">
      <c r="A256" s="19">
        <f>テーブル1[[#This Row],[番号]]</f>
        <v>255</v>
      </c>
      <c r="B256" s="19" t="str">
        <f>テーブル1[[#This Row],[名前]]</f>
        <v>大海クリナ</v>
      </c>
      <c r="C256" s="19" t="str">
        <f>テーブル1[[#This Row],[なまえ]]</f>
        <v>おおうみ くりな</v>
      </c>
      <c r="D256" s="19" t="str">
        <f>テーブル1[[#This Row],[Name]]</f>
        <v>Oumi Kurina</v>
      </c>
      <c r="E256" s="19" t="str">
        <f>"image/"&amp;テーブル1[[#This Row],[画像]]&amp;".png"</f>
        <v>image/oumi-kurina.png</v>
      </c>
      <c r="F256" s="19" t="str">
        <f>テーブル1[[#This Row],[リンク]]</f>
        <v>https://uu.getuploader.com/mirakibonoutau</v>
      </c>
      <c r="G256" s="19" t="str">
        <f>SUBSTITUTE(テーブル1[[#This Row],[作品タグ]],"、","|")</f>
        <v>#大海クリナ</v>
      </c>
      <c r="H256" s="19" t="str">
        <f>テーブル1[[#This Row],[性別]]&amp;""</f>
        <v>女性</v>
      </c>
      <c r="I256" s="19" t="str">
        <f>SUBSTITUTE(テーブル1[[#This Row],[種族タグ]],"、","|")</f>
        <v>人間</v>
      </c>
      <c r="J256" s="19" t="str">
        <f>SUBSTITUTE(テーブル1[[#This Row],[モチーフタグ]],"、","|")</f>
        <v/>
      </c>
      <c r="K256" s="19" t="str">
        <f>SUBSTITUTE(テーブル1[[#This Row],[職業タグ]],"、","|")</f>
        <v/>
      </c>
      <c r="L256" s="19" t="str">
        <f>SUBSTITUTE(テーブル1[[#This Row],[小物タグ]],"、","|")</f>
        <v/>
      </c>
      <c r="M256" s="19" t="str">
        <f>SUBSTITUTE(テーブル1[[#This Row],[ワンポイントタグ]],"、","|")</f>
        <v/>
      </c>
    </row>
    <row r="257" spans="1:13" ht="20.149999999999999" customHeight="1" x14ac:dyDescent="0.35">
      <c r="A257" s="19">
        <f>テーブル1[[#This Row],[番号]]</f>
        <v>256</v>
      </c>
      <c r="B257" s="19" t="str">
        <f>テーブル1[[#This Row],[名前]]</f>
        <v>みたま</v>
      </c>
      <c r="C257" s="19" t="str">
        <f>テーブル1[[#This Row],[なまえ]]</f>
        <v>みたま</v>
      </c>
      <c r="D257" s="19" t="str">
        <f>テーブル1[[#This Row],[Name]]</f>
        <v>Mitama</v>
      </c>
      <c r="E257" s="19" t="str">
        <f>"image/"&amp;テーブル1[[#This Row],[画像]]&amp;".png"</f>
        <v>image/mitama.png</v>
      </c>
      <c r="F257" s="19" t="str">
        <f>テーブル1[[#This Row],[リンク]]</f>
        <v>https://mitamayade.wixsite.com/mitama</v>
      </c>
      <c r="G257" s="19" t="str">
        <f>SUBSTITUTE(テーブル1[[#This Row],[作品タグ]],"、","|")</f>
        <v>#みたま_UTAU</v>
      </c>
      <c r="H257" s="19" t="str">
        <f>テーブル1[[#This Row],[性別]]&amp;""</f>
        <v>女性</v>
      </c>
      <c r="I257" s="19" t="str">
        <f>SUBSTITUTE(テーブル1[[#This Row],[種族タグ]],"、","|")</f>
        <v>人間</v>
      </c>
      <c r="J257" s="19" t="str">
        <f>SUBSTITUTE(テーブル1[[#This Row],[モチーフタグ]],"、","|")</f>
        <v/>
      </c>
      <c r="K257" s="19" t="str">
        <f>SUBSTITUTE(テーブル1[[#This Row],[職業タグ]],"、","|")</f>
        <v/>
      </c>
      <c r="L257" s="19" t="str">
        <f>SUBSTITUTE(テーブル1[[#This Row],[小物タグ]],"、","|")</f>
        <v>耳装備</v>
      </c>
      <c r="M257" s="19" t="str">
        <f>SUBSTITUTE(テーブル1[[#This Row],[ワンポイントタグ]],"、","|")</f>
        <v>ツートンカラー</v>
      </c>
    </row>
    <row r="258" spans="1:13" ht="20.149999999999999" customHeight="1" x14ac:dyDescent="0.35">
      <c r="A258" s="19">
        <f>テーブル1[[#This Row],[番号]]</f>
        <v>257</v>
      </c>
      <c r="B258" s="19" t="str">
        <f>テーブル1[[#This Row],[名前]]</f>
        <v>みらきぼ11号</v>
      </c>
      <c r="C258" s="19" t="str">
        <f>テーブル1[[#This Row],[なまえ]]</f>
        <v>みらきぼじゅういちごう</v>
      </c>
      <c r="D258" s="19" t="str">
        <f>テーブル1[[#This Row],[Name]]</f>
        <v>Mirakibo 11-gou</v>
      </c>
      <c r="E258" s="19" t="str">
        <f>"image/"&amp;テーブル1[[#This Row],[画像]]&amp;".png"</f>
        <v>image/mirakibo-11-gou.png</v>
      </c>
      <c r="F258" s="19" t="str">
        <f>テーブル1[[#This Row],[リンク]]</f>
        <v>https://uu.getuploader.com/mirakibonoutau</v>
      </c>
      <c r="G258" s="19" t="str">
        <f>SUBSTITUTE(テーブル1[[#This Row],[作品タグ]],"、","|")</f>
        <v>#みらきぼ11号</v>
      </c>
      <c r="H258" s="19" t="str">
        <f>テーブル1[[#This Row],[性別]]&amp;""</f>
        <v>不明</v>
      </c>
      <c r="I258" s="19" t="str">
        <f>SUBSTITUTE(テーブル1[[#This Row],[種族タグ]],"、","|")</f>
        <v>機械</v>
      </c>
      <c r="J258" s="19" t="str">
        <f>SUBSTITUTE(テーブル1[[#This Row],[モチーフタグ]],"、","|")</f>
        <v/>
      </c>
      <c r="K258" s="19" t="str">
        <f>SUBSTITUTE(テーブル1[[#This Row],[職業タグ]],"、","|")</f>
        <v/>
      </c>
      <c r="L258" s="19" t="str">
        <f>SUBSTITUTE(テーブル1[[#This Row],[小物タグ]],"、","|")</f>
        <v/>
      </c>
      <c r="M258" s="19" t="str">
        <f>SUBSTITUTE(テーブル1[[#This Row],[ワンポイントタグ]],"、","|")</f>
        <v>尻尾</v>
      </c>
    </row>
    <row r="259" spans="1:13" ht="20.149999999999999" customHeight="1" x14ac:dyDescent="0.35">
      <c r="A259" s="19">
        <f>テーブル1[[#This Row],[番号]]</f>
        <v>258</v>
      </c>
      <c r="B259" s="19" t="str">
        <f>テーブル1[[#This Row],[名前]]</f>
        <v>音夜秋月</v>
      </c>
      <c r="C259" s="19" t="str">
        <f>テーブル1[[#This Row],[なまえ]]</f>
        <v>おとや しゅうき</v>
      </c>
      <c r="D259" s="19" t="str">
        <f>テーブル1[[#This Row],[Name]]</f>
        <v>Otoya Syuki</v>
      </c>
      <c r="E259" s="19" t="str">
        <f>"image/"&amp;テーブル1[[#This Row],[画像]]&amp;".png"</f>
        <v>image/otoya-syuki.png</v>
      </c>
      <c r="F259" s="19" t="str">
        <f>テーブル1[[#This Row],[リンク]]</f>
        <v>https://sikiori.wepage.com</v>
      </c>
      <c r="G259" s="19" t="str">
        <f>SUBSTITUTE(テーブル1[[#This Row],[作品タグ]],"、","|")</f>
        <v>#四季折宛郵便</v>
      </c>
      <c r="H259" s="19" t="str">
        <f>テーブル1[[#This Row],[性別]]&amp;""</f>
        <v>男性</v>
      </c>
      <c r="I259" s="19" t="str">
        <f>SUBSTITUTE(テーブル1[[#This Row],[種族タグ]],"、","|")</f>
        <v>人間</v>
      </c>
      <c r="J259" s="19" t="str">
        <f>SUBSTITUTE(テーブル1[[#This Row],[モチーフタグ]],"、","|")</f>
        <v/>
      </c>
      <c r="K259" s="19" t="str">
        <f>SUBSTITUTE(テーブル1[[#This Row],[職業タグ]],"、","|")</f>
        <v>元ヤン|作家</v>
      </c>
      <c r="L259" s="19" t="str">
        <f>SUBSTITUTE(テーブル1[[#This Row],[小物タグ]],"、","|")</f>
        <v>眼部</v>
      </c>
      <c r="M259" s="19" t="str">
        <f>SUBSTITUTE(テーブル1[[#This Row],[ワンポイントタグ]],"、","|")</f>
        <v>ツートンカラー</v>
      </c>
    </row>
    <row r="260" spans="1:13" ht="20.149999999999999" customHeight="1" x14ac:dyDescent="0.35">
      <c r="A260" s="19">
        <f>テーブル1[[#This Row],[番号]]</f>
        <v>259</v>
      </c>
      <c r="B260" s="19" t="str">
        <f>テーブル1[[#This Row],[名前]]</f>
        <v>夏乃星音</v>
      </c>
      <c r="C260" s="19" t="str">
        <f>テーブル1[[#This Row],[なまえ]]</f>
        <v>なつの せいと</v>
      </c>
      <c r="D260" s="19" t="str">
        <f>テーブル1[[#This Row],[Name]]</f>
        <v>Natsuno Seito</v>
      </c>
      <c r="E260" s="19" t="str">
        <f>"image/"&amp;テーブル1[[#This Row],[画像]]&amp;".png"</f>
        <v>image/natsuno-seito.png</v>
      </c>
      <c r="F260" s="19" t="str">
        <f>テーブル1[[#This Row],[リンク]]</f>
        <v>https://sikiori.wepage.com</v>
      </c>
      <c r="G260" s="19" t="str">
        <f>SUBSTITUTE(テーブル1[[#This Row],[作品タグ]],"、","|")</f>
        <v>#四季折宛郵便</v>
      </c>
      <c r="H260" s="19" t="str">
        <f>テーブル1[[#This Row],[性別]]&amp;""</f>
        <v>男性</v>
      </c>
      <c r="I260" s="19" t="str">
        <f>SUBSTITUTE(テーブル1[[#This Row],[種族タグ]],"、","|")</f>
        <v>人間</v>
      </c>
      <c r="J260" s="19" t="str">
        <f>SUBSTITUTE(テーブル1[[#This Row],[モチーフタグ]],"、","|")</f>
        <v/>
      </c>
      <c r="K260" s="19" t="str">
        <f>SUBSTITUTE(テーブル1[[#This Row],[職業タグ]],"、","|")</f>
        <v>バーテンダー</v>
      </c>
      <c r="L260" s="19" t="str">
        <f>SUBSTITUTE(テーブル1[[#This Row],[小物タグ]],"、","|")</f>
        <v/>
      </c>
      <c r="M260" s="19" t="str">
        <f>SUBSTITUTE(テーブル1[[#This Row],[ワンポイントタグ]],"、","|")</f>
        <v>ツートンカラー</v>
      </c>
    </row>
    <row r="261" spans="1:13" ht="20.149999999999999" customHeight="1" x14ac:dyDescent="0.35">
      <c r="A261" s="19">
        <f>テーブル1[[#This Row],[番号]]</f>
        <v>260</v>
      </c>
      <c r="B261" s="19" t="str">
        <f>テーブル1[[#This Row],[名前]]</f>
        <v>薪宮風季</v>
      </c>
      <c r="C261" s="19" t="str">
        <f>テーブル1[[#This Row],[なまえ]]</f>
        <v>まきみや ふうき</v>
      </c>
      <c r="D261" s="19" t="str">
        <f>テーブル1[[#This Row],[Name]]</f>
        <v>Makimiya Fuki</v>
      </c>
      <c r="E261" s="19" t="str">
        <f>"image/"&amp;テーブル1[[#This Row],[画像]]&amp;".png"</f>
        <v>image/makimiya-fuki.png</v>
      </c>
      <c r="F261" s="19" t="str">
        <f>テーブル1[[#This Row],[リンク]]</f>
        <v>https://mohumohuton.web.fc2.com/makimiya/index.html</v>
      </c>
      <c r="G261" s="19" t="str">
        <f>SUBSTITUTE(テーブル1[[#This Row],[作品タグ]],"、","|")</f>
        <v>#薪宮風季</v>
      </c>
      <c r="H261" s="19" t="str">
        <f>テーブル1[[#This Row],[性別]]&amp;""</f>
        <v>男性</v>
      </c>
      <c r="I261" s="19" t="str">
        <f>SUBSTITUTE(テーブル1[[#This Row],[種族タグ]],"、","|")</f>
        <v>人間</v>
      </c>
      <c r="J261" s="19" t="str">
        <f>SUBSTITUTE(テーブル1[[#This Row],[モチーフタグ]],"、","|")</f>
        <v/>
      </c>
      <c r="K261" s="19" t="str">
        <f>SUBSTITUTE(テーブル1[[#This Row],[職業タグ]],"、","|")</f>
        <v>歌手</v>
      </c>
      <c r="L261" s="19" t="str">
        <f>SUBSTITUTE(テーブル1[[#This Row],[小物タグ]],"、","|")</f>
        <v>耳装備|眼部|首装飾</v>
      </c>
      <c r="M261" s="19" t="str">
        <f>SUBSTITUTE(テーブル1[[#This Row],[ワンポイントタグ]],"、","|")</f>
        <v/>
      </c>
    </row>
    <row r="262" spans="1:13" ht="20.149999999999999" customHeight="1" x14ac:dyDescent="0.35">
      <c r="A262" s="19">
        <f>テーブル1[[#This Row],[番号]]</f>
        <v>261</v>
      </c>
      <c r="B262" s="19" t="str">
        <f>テーブル1[[#This Row],[名前]]</f>
        <v>わくねむすぴか</v>
      </c>
      <c r="C262" s="19" t="str">
        <f>テーブル1[[#This Row],[なまえ]]</f>
        <v>わくねむ すぴか</v>
      </c>
      <c r="D262" s="19" t="str">
        <f>テーブル1[[#This Row],[Name]]</f>
        <v>Wakunemu Supika</v>
      </c>
      <c r="E262" s="19" t="str">
        <f>"image/"&amp;テーブル1[[#This Row],[画像]]&amp;".png"</f>
        <v>image/wakunemu-supika.png</v>
      </c>
      <c r="F262" s="19" t="str">
        <f>テーブル1[[#This Row],[リンク]]</f>
        <v>https://bowlroll.net/user/946776</v>
      </c>
      <c r="G262" s="19" t="str">
        <f>SUBSTITUTE(テーブル1[[#This Row],[作品タグ]],"、","|")</f>
        <v>#わくねむすぴか</v>
      </c>
      <c r="H262" s="19" t="str">
        <f>テーブル1[[#This Row],[性別]]&amp;""</f>
        <v>女性</v>
      </c>
      <c r="I262" s="19" t="str">
        <f>SUBSTITUTE(テーブル1[[#This Row],[種族タグ]],"、","|")</f>
        <v>人型</v>
      </c>
      <c r="J262" s="19" t="str">
        <f>SUBSTITUTE(テーブル1[[#This Row],[モチーフタグ]],"、","|")</f>
        <v>イラスト</v>
      </c>
      <c r="K262" s="19" t="str">
        <f>SUBSTITUTE(テーブル1[[#This Row],[職業タグ]],"、","|")</f>
        <v/>
      </c>
      <c r="L262" s="19" t="str">
        <f>SUBSTITUTE(テーブル1[[#This Row],[小物タグ]],"、","|")</f>
        <v/>
      </c>
      <c r="M262" s="19" t="str">
        <f>SUBSTITUTE(テーブル1[[#This Row],[ワンポイントタグ]],"、","|")</f>
        <v/>
      </c>
    </row>
    <row r="263" spans="1:13" ht="20.149999999999999" customHeight="1" x14ac:dyDescent="0.35">
      <c r="A263" s="19">
        <f>テーブル1[[#This Row],[番号]]</f>
        <v>262</v>
      </c>
      <c r="B263" s="19" t="str">
        <f>テーブル1[[#This Row],[名前]]</f>
        <v>李音フヱル</v>
      </c>
      <c r="C263" s="19" t="str">
        <f>テーブル1[[#This Row],[なまえ]]</f>
        <v>すももね ふえる</v>
      </c>
      <c r="D263" s="19" t="str">
        <f>テーブル1[[#This Row],[Name]]</f>
        <v>Sumomone Fueru</v>
      </c>
      <c r="E263" s="19" t="str">
        <f>"image/"&amp;テーブル1[[#This Row],[画像]]&amp;".png"</f>
        <v>image/sumomone-fueru.png</v>
      </c>
      <c r="F263" s="19" t="str">
        <f>テーブル1[[#This Row],[リンク]]</f>
        <v>https://suukedayo.wixsite.com/shiawasefairu</v>
      </c>
      <c r="G263" s="19" t="str">
        <f>SUBSTITUTE(テーブル1[[#This Row],[作品タグ]],"、","|")</f>
        <v xml:space="preserve">#しあわせふぁいる </v>
      </c>
      <c r="H263" s="19" t="str">
        <f>テーブル1[[#This Row],[性別]]&amp;""</f>
        <v>無性別</v>
      </c>
      <c r="I263" s="19" t="str">
        <f>SUBSTITUTE(テーブル1[[#This Row],[種族タグ]],"、","|")</f>
        <v>天使</v>
      </c>
      <c r="J263" s="19" t="str">
        <f>SUBSTITUTE(テーブル1[[#This Row],[モチーフタグ]],"、","|")</f>
        <v/>
      </c>
      <c r="K263" s="19" t="str">
        <f>SUBSTITUTE(テーブル1[[#This Row],[職業タグ]],"、","|")</f>
        <v>医者</v>
      </c>
      <c r="L263" s="19" t="str">
        <f>SUBSTITUTE(テーブル1[[#This Row],[小物タグ]],"、","|")</f>
        <v>ヘイロー</v>
      </c>
      <c r="M263" s="19" t="str">
        <f>SUBSTITUTE(テーブル1[[#This Row],[ワンポイントタグ]],"、","|")</f>
        <v>羽|多眼</v>
      </c>
    </row>
    <row r="264" spans="1:13" ht="20.149999999999999" customHeight="1" x14ac:dyDescent="0.35">
      <c r="A264" s="35">
        <f>テーブル1[[#This Row],[番号]]</f>
        <v>263</v>
      </c>
      <c r="B264" s="35" t="str">
        <f>テーブル1[[#This Row],[名前]]</f>
        <v>有部音ゴエμ</v>
      </c>
      <c r="C264" s="35" t="str">
        <f>テーブル1[[#This Row],[なまえ]]</f>
        <v>うぶおん ごえ</v>
      </c>
      <c r="D264" s="35" t="str">
        <f>テーブル1[[#This Row],[Name]]</f>
        <v>Ubuon Goe</v>
      </c>
      <c r="E264" s="35" t="str">
        <f>"image/"&amp;テーブル1[[#This Row],[画像]]&amp;".png"</f>
        <v>image/ubuon-goe.png</v>
      </c>
      <c r="F264" s="35" t="str">
        <f>テーブル1[[#This Row],[リンク]]</f>
        <v>https://nagimachi.wixsite.com/kairikonomachi</v>
      </c>
      <c r="G264" s="35" t="str">
        <f>SUBSTITUTE(テーブル1[[#This Row],[作品タグ]],"、","|")</f>
        <v xml:space="preserve">#返り子の町 </v>
      </c>
      <c r="H264" s="35" t="str">
        <f>テーブル1[[#This Row],[性別]]&amp;""</f>
        <v>不明</v>
      </c>
      <c r="I264" s="35" t="str">
        <f>SUBSTITUTE(テーブル1[[#This Row],[種族タグ]],"、","|")</f>
        <v>故人|幽霊</v>
      </c>
      <c r="J264" s="35" t="str">
        <f>SUBSTITUTE(テーブル1[[#This Row],[モチーフタグ]],"、","|")</f>
        <v/>
      </c>
      <c r="K264" s="35" t="str">
        <f>SUBSTITUTE(テーブル1[[#This Row],[職業タグ]],"、","|")</f>
        <v/>
      </c>
      <c r="L264" s="35" t="str">
        <f>SUBSTITUTE(テーブル1[[#This Row],[小物タグ]],"、","|")</f>
        <v>道具</v>
      </c>
      <c r="M264" s="35" t="str">
        <f>SUBSTITUTE(テーブル1[[#This Row],[ワンポイントタグ]],"、","|")</f>
        <v/>
      </c>
    </row>
    <row r="265" spans="1:13" ht="20.149999999999999" customHeight="1" x14ac:dyDescent="0.35">
      <c r="A265" s="35">
        <f>テーブル1[[#This Row],[番号]]</f>
        <v>264</v>
      </c>
      <c r="B265" s="35" t="str">
        <f>テーブル1[[#This Row],[名前]]</f>
        <v>終歌カツエα</v>
      </c>
      <c r="C265" s="35" t="str">
        <f>テーブル1[[#This Row],[なまえ]]</f>
        <v>しゅうた かつえ</v>
      </c>
      <c r="D265" s="35" t="str">
        <f>テーブル1[[#This Row],[Name]]</f>
        <v>Shuta Katsue</v>
      </c>
      <c r="E265" s="35" t="str">
        <f>"image/"&amp;テーブル1[[#This Row],[画像]]&amp;".png"</f>
        <v>image/shuta-katsue.png</v>
      </c>
      <c r="F265" s="35" t="str">
        <f>テーブル1[[#This Row],[リンク]]</f>
        <v>https://nagimachi.wixsite.com/kairikonomachi</v>
      </c>
      <c r="G265" s="35" t="str">
        <f>SUBSTITUTE(テーブル1[[#This Row],[作品タグ]],"、","|")</f>
        <v xml:space="preserve">#返り子の町 </v>
      </c>
      <c r="H265" s="35" t="str">
        <f>テーブル1[[#This Row],[性別]]&amp;""</f>
        <v>女性</v>
      </c>
      <c r="I265" s="35" t="str">
        <f>SUBSTITUTE(テーブル1[[#This Row],[種族タグ]],"、","|")</f>
        <v>人間</v>
      </c>
      <c r="J265" s="35" t="str">
        <f>SUBSTITUTE(テーブル1[[#This Row],[モチーフタグ]],"、","|")</f>
        <v/>
      </c>
      <c r="K265" s="35" t="str">
        <f>SUBSTITUTE(テーブル1[[#This Row],[職業タグ]],"、","|")</f>
        <v/>
      </c>
      <c r="L265" s="35" t="str">
        <f>SUBSTITUTE(テーブル1[[#This Row],[小物タグ]],"、","|")</f>
        <v>眼部</v>
      </c>
      <c r="M265" s="35" t="str">
        <f>SUBSTITUTE(テーブル1[[#This Row],[ワンポイントタグ]],"、","|")</f>
        <v/>
      </c>
    </row>
    <row r="266" spans="1:13" ht="20.149999999999999" customHeight="1" x14ac:dyDescent="0.35">
      <c r="A266" s="35">
        <f>テーブル1[[#This Row],[番号]]</f>
        <v>265</v>
      </c>
      <c r="B266" s="35" t="str">
        <f>テーブル1[[#This Row],[名前]]</f>
        <v>鳴音ベルy</v>
      </c>
      <c r="C266" s="35" t="str">
        <f>テーブル1[[#This Row],[なまえ]]</f>
        <v>なるね べる</v>
      </c>
      <c r="D266" s="35" t="str">
        <f>テーブル1[[#This Row],[Name]]</f>
        <v>Narune Bell</v>
      </c>
      <c r="E266" s="35" t="str">
        <f>"image/"&amp;テーブル1[[#This Row],[画像]]&amp;".png"</f>
        <v>image/narune-bell.png</v>
      </c>
      <c r="F266" s="35" t="str">
        <f>テーブル1[[#This Row],[リンク]]</f>
        <v>https://nagimachi.wixsite.com/kairikonomachi</v>
      </c>
      <c r="G266" s="35" t="str">
        <f>SUBSTITUTE(テーブル1[[#This Row],[作品タグ]],"、","|")</f>
        <v xml:space="preserve">#返り子の町 </v>
      </c>
      <c r="H266" s="35" t="str">
        <f>テーブル1[[#This Row],[性別]]&amp;""</f>
        <v>不明</v>
      </c>
      <c r="I266" s="35" t="str">
        <f>SUBSTITUTE(テーブル1[[#This Row],[種族タグ]],"、","|")</f>
        <v>機械</v>
      </c>
      <c r="J266" s="35" t="str">
        <f>SUBSTITUTE(テーブル1[[#This Row],[モチーフタグ]],"、","|")</f>
        <v>ベル</v>
      </c>
      <c r="K266" s="35" t="str">
        <f>SUBSTITUTE(テーブル1[[#This Row],[職業タグ]],"、","|")</f>
        <v/>
      </c>
      <c r="L266" s="35" t="str">
        <f>SUBSTITUTE(テーブル1[[#This Row],[小物タグ]],"、","|")</f>
        <v>耳装備</v>
      </c>
      <c r="M266" s="35" t="str">
        <f>SUBSTITUTE(テーブル1[[#This Row],[ワンポイントタグ]],"、","|")</f>
        <v/>
      </c>
    </row>
    <row r="267" spans="1:13" ht="20.149999999999999" customHeight="1" x14ac:dyDescent="0.35">
      <c r="A267" s="35">
        <f>テーブル1[[#This Row],[番号]]</f>
        <v>266</v>
      </c>
      <c r="B267" s="35" t="str">
        <f>テーブル1[[#This Row],[名前]]</f>
        <v>型式番号α-01</v>
      </c>
      <c r="C267" s="35" t="str">
        <f>テーブル1[[#This Row],[なまえ]]</f>
        <v>けいしきばんごうα-01</v>
      </c>
      <c r="D267" s="35" t="str">
        <f>テーブル1[[#This Row],[Name]]</f>
        <v>keishikibangoα-01</v>
      </c>
      <c r="E267" s="35" t="str">
        <f>"image/"&amp;テーブル1[[#This Row],[画像]]&amp;".png"</f>
        <v>image/keishikibangoα-01.png</v>
      </c>
      <c r="F267" s="35" t="str">
        <f>テーブル1[[#This Row],[リンク]]</f>
        <v>https://nagimachi.wixsite.com/kairikonomachi</v>
      </c>
      <c r="G267" s="35" t="str">
        <f>SUBSTITUTE(テーブル1[[#This Row],[作品タグ]],"、","|")</f>
        <v xml:space="preserve">#返り子の町 </v>
      </c>
      <c r="H267" s="35" t="str">
        <f>テーブル1[[#This Row],[性別]]&amp;""</f>
        <v>男性</v>
      </c>
      <c r="I267" s="35" t="str">
        <f>SUBSTITUTE(テーブル1[[#This Row],[種族タグ]],"、","|")</f>
        <v>機械</v>
      </c>
      <c r="J267" s="35" t="str">
        <f>SUBSTITUTE(テーブル1[[#This Row],[モチーフタグ]],"、","|")</f>
        <v>環境音</v>
      </c>
      <c r="K267" s="35" t="str">
        <f>SUBSTITUTE(テーブル1[[#This Row],[職業タグ]],"、","|")</f>
        <v/>
      </c>
      <c r="L267" s="35" t="str">
        <f>SUBSTITUTE(テーブル1[[#This Row],[小物タグ]],"、","|")</f>
        <v>髪飾り|耳装備</v>
      </c>
      <c r="M267" s="35" t="str">
        <f>SUBSTITUTE(テーブル1[[#This Row],[ワンポイントタグ]],"、","|")</f>
        <v/>
      </c>
    </row>
    <row r="268" spans="1:13" ht="20.149999999999999" customHeight="1" x14ac:dyDescent="0.35">
      <c r="A268" s="35">
        <f>テーブル1[[#This Row],[番号]]</f>
        <v>267</v>
      </c>
      <c r="B268" s="35" t="str">
        <f>テーブル1[[#This Row],[名前]]</f>
        <v>一色スウ</v>
      </c>
      <c r="C268" s="35" t="str">
        <f>テーブル1[[#This Row],[なまえ]]</f>
        <v>いっしき すう</v>
      </c>
      <c r="D268" s="35" t="str">
        <f>テーブル1[[#This Row],[Name]]</f>
        <v>Isshiki Su</v>
      </c>
      <c r="E268" s="35" t="str">
        <f>"image/"&amp;テーブル1[[#This Row],[画像]]&amp;".png"</f>
        <v>image/isshiki-su.png</v>
      </c>
      <c r="F268" s="35" t="str">
        <f>テーブル1[[#This Row],[リンク]]</f>
        <v>http://utau.wikidot.com/utau:isshiki-suu</v>
      </c>
      <c r="G268" s="35" t="str">
        <f>SUBSTITUTE(テーブル1[[#This Row],[作品タグ]],"、","|")</f>
        <v>#一色スウ</v>
      </c>
      <c r="H268" s="35" t="str">
        <f>テーブル1[[#This Row],[性別]]&amp;""</f>
        <v>男性</v>
      </c>
      <c r="I268" s="35" t="str">
        <f>SUBSTITUTE(テーブル1[[#This Row],[種族タグ]],"、","|")</f>
        <v>人間</v>
      </c>
      <c r="J268" s="35" t="str">
        <f>SUBSTITUTE(テーブル1[[#This Row],[モチーフタグ]],"、","|")</f>
        <v/>
      </c>
      <c r="K268" s="35" t="str">
        <f>SUBSTITUTE(テーブル1[[#This Row],[職業タグ]],"、","|")</f>
        <v>アーティスト</v>
      </c>
      <c r="L268" s="35" t="str">
        <f>SUBSTITUTE(テーブル1[[#This Row],[小物タグ]],"、","|")</f>
        <v>耳装備</v>
      </c>
      <c r="M268" s="35" t="str">
        <f>SUBSTITUTE(テーブル1[[#This Row],[ワンポイントタグ]],"、","|")</f>
        <v/>
      </c>
    </row>
    <row r="269" spans="1:13" ht="20.149999999999999" customHeight="1" x14ac:dyDescent="0.35">
      <c r="A269" s="35">
        <f>テーブル1[[#This Row],[番号]]</f>
        <v>268</v>
      </c>
      <c r="B269" s="35" t="str">
        <f>テーブル1[[#This Row],[名前]]</f>
        <v>亜音サイコ</v>
      </c>
      <c r="C269" s="35" t="str">
        <f>テーブル1[[#This Row],[なまえ]]</f>
        <v>つぎね さいこ</v>
      </c>
      <c r="D269" s="35" t="str">
        <f>テーブル1[[#This Row],[Name]]</f>
        <v>Tsugine Saiko</v>
      </c>
      <c r="E269" s="35" t="str">
        <f>"image/"&amp;テーブル1[[#This Row],[画像]]&amp;".png"</f>
        <v>image/tsugine-saiko.png</v>
      </c>
      <c r="F269" s="35" t="str">
        <f>テーブル1[[#This Row],[リンク]]</f>
        <v>https://aisupiku.wixsite.com/tsuginesaiko</v>
      </c>
      <c r="G269" s="35" t="str">
        <f>SUBSTITUTE(テーブル1[[#This Row],[作品タグ]],"、","|")</f>
        <v>#亜音サイコ</v>
      </c>
      <c r="H269" s="35" t="str">
        <f>テーブル1[[#This Row],[性別]]&amp;""</f>
        <v>女性</v>
      </c>
      <c r="I269" s="35" t="str">
        <f>SUBSTITUTE(テーブル1[[#This Row],[種族タグ]],"、","|")</f>
        <v>人間</v>
      </c>
      <c r="J269" s="35" t="str">
        <f>SUBSTITUTE(テーブル1[[#This Row],[モチーフタグ]],"、","|")</f>
        <v/>
      </c>
      <c r="K269" s="35" t="str">
        <f>SUBSTITUTE(テーブル1[[#This Row],[職業タグ]],"、","|")</f>
        <v>歌手</v>
      </c>
      <c r="L269" s="35" t="str">
        <f>SUBSTITUTE(テーブル1[[#This Row],[小物タグ]],"、","|")</f>
        <v>耳装備|眼部|首装飾</v>
      </c>
      <c r="M269" s="35" t="str">
        <f>SUBSTITUTE(テーブル1[[#This Row],[ワンポイントタグ]],"、","|")</f>
        <v>メッシュ|尻尾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2026-07-26T05:19:00Z</dcterms:modified>
  <cp:category/>
  <cp:contentStatus/>
</cp:coreProperties>
</file>