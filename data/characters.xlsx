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8_{312B3996-DC69-47F8-A867-7AC0061F1B74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タグ一覧" sheetId="10" r:id="rId2"/>
    <sheet name="ガチャ" sheetId="6" r:id="rId3"/>
    <sheet name="csv変換" sheetId="9" r:id="rId4"/>
  </sheets>
  <definedNames>
    <definedName name="モチーフタグ">テーブル1[モチーフタグ]</definedName>
    <definedName name="ワンポイントタグ">テーブル1[身体的特徴タグ]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9" l="1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K233" i="9"/>
  <c r="K234" i="9"/>
  <c r="K235" i="9"/>
  <c r="K236" i="9"/>
  <c r="K237" i="9"/>
  <c r="K238" i="9"/>
  <c r="K239" i="9"/>
  <c r="K240" i="9"/>
  <c r="K241" i="9"/>
  <c r="K242" i="9"/>
  <c r="K243" i="9"/>
  <c r="K244" i="9"/>
  <c r="K245" i="9"/>
  <c r="K246" i="9"/>
  <c r="K247" i="9"/>
  <c r="K248" i="9"/>
  <c r="K249" i="9"/>
  <c r="K250" i="9"/>
  <c r="K251" i="9"/>
  <c r="K252" i="9"/>
  <c r="K253" i="9"/>
  <c r="K254" i="9"/>
  <c r="K255" i="9"/>
  <c r="K256" i="9"/>
  <c r="K257" i="9"/>
  <c r="K258" i="9"/>
  <c r="K259" i="9"/>
  <c r="K260" i="9"/>
  <c r="K261" i="9"/>
  <c r="K262" i="9"/>
  <c r="K263" i="9"/>
  <c r="K264" i="9"/>
  <c r="K265" i="9"/>
  <c r="K266" i="9"/>
  <c r="K267" i="9"/>
  <c r="K268" i="9"/>
  <c r="K269" i="9"/>
  <c r="A264" i="9"/>
  <c r="A265" i="9"/>
  <c r="A266" i="9"/>
  <c r="A267" i="9"/>
  <c r="A268" i="9"/>
  <c r="A269" i="9"/>
  <c r="B264" i="9"/>
  <c r="B265" i="9"/>
  <c r="B266" i="9"/>
  <c r="B267" i="9"/>
  <c r="B268" i="9"/>
  <c r="B269" i="9"/>
  <c r="C264" i="9"/>
  <c r="C265" i="9"/>
  <c r="C266" i="9"/>
  <c r="C267" i="9"/>
  <c r="C268" i="9"/>
  <c r="C269" i="9"/>
  <c r="D264" i="9"/>
  <c r="D265" i="9"/>
  <c r="D266" i="9"/>
  <c r="D267" i="9"/>
  <c r="D268" i="9"/>
  <c r="D269" i="9"/>
  <c r="F264" i="9"/>
  <c r="F265" i="9"/>
  <c r="F266" i="9"/>
  <c r="F267" i="9"/>
  <c r="F268" i="9"/>
  <c r="F269" i="9"/>
  <c r="G264" i="9"/>
  <c r="G265" i="9"/>
  <c r="G266" i="9"/>
  <c r="G267" i="9"/>
  <c r="G268" i="9"/>
  <c r="G269" i="9"/>
  <c r="H264" i="9"/>
  <c r="H265" i="9"/>
  <c r="H266" i="9"/>
  <c r="H267" i="9"/>
  <c r="H268" i="9"/>
  <c r="H269" i="9"/>
  <c r="I264" i="9"/>
  <c r="I265" i="9"/>
  <c r="I266" i="9"/>
  <c r="I267" i="9"/>
  <c r="I268" i="9"/>
  <c r="I269" i="9"/>
  <c r="J264" i="9"/>
  <c r="J265" i="9"/>
  <c r="J266" i="9"/>
  <c r="J267" i="9"/>
  <c r="J268" i="9"/>
  <c r="J269" i="9"/>
  <c r="L264" i="9"/>
  <c r="L265" i="9"/>
  <c r="L266" i="9"/>
  <c r="L267" i="9"/>
  <c r="L268" i="9"/>
  <c r="L269" i="9"/>
  <c r="M264" i="9"/>
  <c r="M265" i="9"/>
  <c r="M266" i="9"/>
  <c r="M267" i="9"/>
  <c r="M268" i="9"/>
  <c r="M269" i="9"/>
  <c r="N264" i="9"/>
  <c r="N265" i="9"/>
  <c r="N266" i="9"/>
  <c r="N267" i="9"/>
  <c r="N268" i="9"/>
  <c r="N269" i="9"/>
  <c r="B269" i="1"/>
  <c r="E269" i="9" s="1"/>
  <c r="Q269" i="1"/>
  <c r="U269" i="1"/>
  <c r="V269" i="1"/>
  <c r="W269" i="1"/>
  <c r="X269" i="1"/>
  <c r="Y269" i="1"/>
  <c r="Z269" i="1"/>
  <c r="B268" i="1"/>
  <c r="Q268" i="1"/>
  <c r="U268" i="1"/>
  <c r="W268" i="1"/>
  <c r="X268" i="1"/>
  <c r="Y268" i="1"/>
  <c r="Z268" i="1"/>
  <c r="B267" i="1"/>
  <c r="Q267" i="1"/>
  <c r="U267" i="1"/>
  <c r="W267" i="1"/>
  <c r="X267" i="1"/>
  <c r="Y267" i="1"/>
  <c r="Z267" i="1"/>
  <c r="B266" i="1"/>
  <c r="Q266" i="1"/>
  <c r="U266" i="1"/>
  <c r="W266" i="1"/>
  <c r="X266" i="1"/>
  <c r="Y266" i="1"/>
  <c r="Z266" i="1"/>
  <c r="B264" i="1"/>
  <c r="Q264" i="1"/>
  <c r="U264" i="1"/>
  <c r="W264" i="1"/>
  <c r="X264" i="1"/>
  <c r="Y264" i="1"/>
  <c r="Z264" i="1"/>
  <c r="B265" i="1"/>
  <c r="Q265" i="1"/>
  <c r="U265" i="1"/>
  <c r="W265" i="1"/>
  <c r="X265" i="1"/>
  <c r="Y265" i="1"/>
  <c r="Z265" i="1"/>
  <c r="A259" i="9"/>
  <c r="A260" i="9"/>
  <c r="A261" i="9"/>
  <c r="A262" i="9"/>
  <c r="A263" i="9"/>
  <c r="B259" i="9"/>
  <c r="B260" i="9"/>
  <c r="B261" i="9"/>
  <c r="B262" i="9"/>
  <c r="B263" i="9"/>
  <c r="C259" i="9"/>
  <c r="C260" i="9"/>
  <c r="C261" i="9"/>
  <c r="C262" i="9"/>
  <c r="C263" i="9"/>
  <c r="D259" i="9"/>
  <c r="D260" i="9"/>
  <c r="D261" i="9"/>
  <c r="D262" i="9"/>
  <c r="D263" i="9"/>
  <c r="F259" i="9"/>
  <c r="F260" i="9"/>
  <c r="F261" i="9"/>
  <c r="F262" i="9"/>
  <c r="F263" i="9"/>
  <c r="G259" i="9"/>
  <c r="G260" i="9"/>
  <c r="G261" i="9"/>
  <c r="G262" i="9"/>
  <c r="G263" i="9"/>
  <c r="H259" i="9"/>
  <c r="H260" i="9"/>
  <c r="H261" i="9"/>
  <c r="H262" i="9"/>
  <c r="H263" i="9"/>
  <c r="I259" i="9"/>
  <c r="I260" i="9"/>
  <c r="I261" i="9"/>
  <c r="I262" i="9"/>
  <c r="I263" i="9"/>
  <c r="J259" i="9"/>
  <c r="J260" i="9"/>
  <c r="J261" i="9"/>
  <c r="J262" i="9"/>
  <c r="J263" i="9"/>
  <c r="L259" i="9"/>
  <c r="L260" i="9"/>
  <c r="L261" i="9"/>
  <c r="L262" i="9"/>
  <c r="L263" i="9"/>
  <c r="M259" i="9"/>
  <c r="M260" i="9"/>
  <c r="M261" i="9"/>
  <c r="M262" i="9"/>
  <c r="M263" i="9"/>
  <c r="N259" i="9"/>
  <c r="N260" i="9"/>
  <c r="N261" i="9"/>
  <c r="N262" i="9"/>
  <c r="N263" i="9"/>
  <c r="B263" i="1"/>
  <c r="Q263" i="1"/>
  <c r="U263" i="1"/>
  <c r="W263" i="1"/>
  <c r="X263" i="1"/>
  <c r="Y263" i="1"/>
  <c r="Z263" i="1"/>
  <c r="B262" i="1"/>
  <c r="Q262" i="1"/>
  <c r="U262" i="1"/>
  <c r="W262" i="1"/>
  <c r="X262" i="1"/>
  <c r="Y262" i="1"/>
  <c r="Z262" i="1"/>
  <c r="B261" i="1"/>
  <c r="Q261" i="1"/>
  <c r="U261" i="1"/>
  <c r="W261" i="1"/>
  <c r="X261" i="1"/>
  <c r="Y261" i="1"/>
  <c r="Z261" i="1"/>
  <c r="B260" i="1"/>
  <c r="Q260" i="1"/>
  <c r="U260" i="1"/>
  <c r="W260" i="1"/>
  <c r="X260" i="1"/>
  <c r="Y260" i="1"/>
  <c r="Z260" i="1"/>
  <c r="B259" i="1"/>
  <c r="Q259" i="1"/>
  <c r="U259" i="1"/>
  <c r="W259" i="1"/>
  <c r="X259" i="1"/>
  <c r="Y259" i="1"/>
  <c r="Z259" i="1"/>
  <c r="A255" i="9"/>
  <c r="A256" i="9"/>
  <c r="A257" i="9"/>
  <c r="A258" i="9"/>
  <c r="B255" i="9"/>
  <c r="B256" i="9"/>
  <c r="B257" i="9"/>
  <c r="B258" i="9"/>
  <c r="C255" i="9"/>
  <c r="C256" i="9"/>
  <c r="C257" i="9"/>
  <c r="C258" i="9"/>
  <c r="D255" i="9"/>
  <c r="D256" i="9"/>
  <c r="D257" i="9"/>
  <c r="D258" i="9"/>
  <c r="F255" i="9"/>
  <c r="F256" i="9"/>
  <c r="F257" i="9"/>
  <c r="F258" i="9"/>
  <c r="G255" i="9"/>
  <c r="G256" i="9"/>
  <c r="H255" i="9"/>
  <c r="H256" i="9"/>
  <c r="H257" i="9"/>
  <c r="H258" i="9"/>
  <c r="I255" i="9"/>
  <c r="I256" i="9"/>
  <c r="I257" i="9"/>
  <c r="I258" i="9"/>
  <c r="J255" i="9"/>
  <c r="J256" i="9"/>
  <c r="J257" i="9"/>
  <c r="J258" i="9"/>
  <c r="L255" i="9"/>
  <c r="L256" i="9"/>
  <c r="L257" i="9"/>
  <c r="L258" i="9"/>
  <c r="M255" i="9"/>
  <c r="M256" i="9"/>
  <c r="M257" i="9"/>
  <c r="M258" i="9"/>
  <c r="N255" i="9"/>
  <c r="N256" i="9"/>
  <c r="N257" i="9"/>
  <c r="N258" i="9"/>
  <c r="B258" i="1"/>
  <c r="V258" i="1" s="1"/>
  <c r="Q258" i="1"/>
  <c r="U258" i="1"/>
  <c r="W258" i="1"/>
  <c r="X258" i="1"/>
  <c r="Y258" i="1"/>
  <c r="Z258" i="1"/>
  <c r="B257" i="1"/>
  <c r="V257" i="1" s="1"/>
  <c r="Q257" i="1"/>
  <c r="U257" i="1"/>
  <c r="W257" i="1"/>
  <c r="X257" i="1"/>
  <c r="Y257" i="1"/>
  <c r="Z257" i="1"/>
  <c r="B256" i="1"/>
  <c r="Q256" i="1"/>
  <c r="U256" i="1"/>
  <c r="W256" i="1"/>
  <c r="X256" i="1"/>
  <c r="Y256" i="1"/>
  <c r="Z256" i="1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31" i="9"/>
  <c r="G32" i="9"/>
  <c r="G33" i="9"/>
  <c r="G34" i="9"/>
  <c r="G35" i="9"/>
  <c r="G36" i="9"/>
  <c r="G37" i="9"/>
  <c r="G38" i="9"/>
  <c r="G39" i="9"/>
  <c r="G40" i="9"/>
  <c r="G41" i="9"/>
  <c r="G43" i="9"/>
  <c r="G45" i="9"/>
  <c r="G48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2" i="9"/>
  <c r="G84" i="9"/>
  <c r="G85" i="9"/>
  <c r="G88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6" i="9"/>
  <c r="G117" i="9"/>
  <c r="G118" i="9"/>
  <c r="G119" i="9"/>
  <c r="G120" i="9"/>
  <c r="G121" i="9"/>
  <c r="G122" i="9"/>
  <c r="G125" i="9"/>
  <c r="G128" i="9"/>
  <c r="G129" i="9"/>
  <c r="G130" i="9"/>
  <c r="G132" i="9"/>
  <c r="G133" i="9"/>
  <c r="G134" i="9"/>
  <c r="G135" i="9"/>
  <c r="G136" i="9"/>
  <c r="G137" i="9"/>
  <c r="G138" i="9"/>
  <c r="G139" i="9"/>
  <c r="G140" i="9"/>
  <c r="G141" i="9"/>
  <c r="G142" i="9"/>
  <c r="G144" i="9"/>
  <c r="G145" i="9"/>
  <c r="G146" i="9"/>
  <c r="G147" i="9"/>
  <c r="G148" i="9"/>
  <c r="G150" i="9"/>
  <c r="G151" i="9"/>
  <c r="G152" i="9"/>
  <c r="G153" i="9"/>
  <c r="G154" i="9"/>
  <c r="G155" i="9"/>
  <c r="G156" i="9"/>
  <c r="G157" i="9"/>
  <c r="G158" i="9"/>
  <c r="G159" i="9"/>
  <c r="G161" i="9"/>
  <c r="G163" i="9"/>
  <c r="G164" i="9"/>
  <c r="G165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80" i="9"/>
  <c r="G181" i="9"/>
  <c r="G182" i="9"/>
  <c r="G184" i="9"/>
  <c r="G185" i="9"/>
  <c r="G187" i="9"/>
  <c r="G188" i="9"/>
  <c r="G189" i="9"/>
  <c r="G190" i="9"/>
  <c r="G194" i="9"/>
  <c r="G196" i="9"/>
  <c r="G197" i="9"/>
  <c r="G198" i="9"/>
  <c r="G199" i="9"/>
  <c r="G200" i="9"/>
  <c r="G202" i="9"/>
  <c r="G203" i="9"/>
  <c r="G204" i="9"/>
  <c r="G205" i="9"/>
  <c r="G206" i="9"/>
  <c r="G209" i="9"/>
  <c r="G211" i="9"/>
  <c r="G212" i="9"/>
  <c r="G213" i="9"/>
  <c r="G214" i="9"/>
  <c r="G215" i="9"/>
  <c r="G216" i="9"/>
  <c r="G220" i="9"/>
  <c r="G224" i="9"/>
  <c r="G225" i="9"/>
  <c r="G226" i="9"/>
  <c r="G229" i="9"/>
  <c r="G230" i="9"/>
  <c r="G231" i="9"/>
  <c r="G232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A251" i="9"/>
  <c r="A252" i="9"/>
  <c r="A253" i="9"/>
  <c r="A254" i="9"/>
  <c r="B251" i="9"/>
  <c r="B252" i="9"/>
  <c r="B253" i="9"/>
  <c r="B254" i="9"/>
  <c r="C251" i="9"/>
  <c r="C252" i="9"/>
  <c r="C253" i="9"/>
  <c r="C254" i="9"/>
  <c r="D251" i="9"/>
  <c r="D252" i="9"/>
  <c r="D253" i="9"/>
  <c r="D254" i="9"/>
  <c r="F251" i="9"/>
  <c r="F252" i="9"/>
  <c r="F253" i="9"/>
  <c r="F254" i="9"/>
  <c r="H251" i="9"/>
  <c r="H252" i="9"/>
  <c r="H253" i="9"/>
  <c r="H254" i="9"/>
  <c r="I251" i="9"/>
  <c r="I252" i="9"/>
  <c r="I253" i="9"/>
  <c r="I254" i="9"/>
  <c r="J251" i="9"/>
  <c r="J252" i="9"/>
  <c r="J253" i="9"/>
  <c r="J254" i="9"/>
  <c r="L251" i="9"/>
  <c r="L252" i="9"/>
  <c r="L253" i="9"/>
  <c r="L254" i="9"/>
  <c r="M251" i="9"/>
  <c r="M252" i="9"/>
  <c r="M253" i="9"/>
  <c r="M254" i="9"/>
  <c r="N251" i="9"/>
  <c r="N252" i="9"/>
  <c r="N253" i="9"/>
  <c r="N254" i="9"/>
  <c r="B255" i="1"/>
  <c r="Q255" i="1"/>
  <c r="U255" i="1"/>
  <c r="W255" i="1"/>
  <c r="X255" i="1"/>
  <c r="Y255" i="1"/>
  <c r="Z255" i="1"/>
  <c r="B254" i="1"/>
  <c r="V254" i="1" s="1"/>
  <c r="Q254" i="1"/>
  <c r="U254" i="1"/>
  <c r="W254" i="1"/>
  <c r="X254" i="1"/>
  <c r="Y254" i="1"/>
  <c r="Z254" i="1"/>
  <c r="B253" i="1"/>
  <c r="Q253" i="1"/>
  <c r="U253" i="1"/>
  <c r="W253" i="1"/>
  <c r="X253" i="1"/>
  <c r="Y253" i="1"/>
  <c r="Z253" i="1"/>
  <c r="B252" i="1"/>
  <c r="Q252" i="1"/>
  <c r="U252" i="1"/>
  <c r="W252" i="1"/>
  <c r="X252" i="1"/>
  <c r="Y252" i="1"/>
  <c r="Z252" i="1"/>
  <c r="B251" i="1"/>
  <c r="V251" i="1" s="1"/>
  <c r="Q251" i="1"/>
  <c r="U251" i="1"/>
  <c r="W251" i="1"/>
  <c r="X251" i="1"/>
  <c r="Y251" i="1"/>
  <c r="Z251" i="1"/>
  <c r="A250" i="9"/>
  <c r="B250" i="9"/>
  <c r="C250" i="9"/>
  <c r="D250" i="9"/>
  <c r="F250" i="9"/>
  <c r="H250" i="9"/>
  <c r="I250" i="9"/>
  <c r="J250" i="9"/>
  <c r="L250" i="9"/>
  <c r="M250" i="9"/>
  <c r="N250" i="9"/>
  <c r="B250" i="1"/>
  <c r="V250" i="1" s="1"/>
  <c r="Q250" i="1"/>
  <c r="U250" i="1"/>
  <c r="W250" i="1"/>
  <c r="X250" i="1"/>
  <c r="Y250" i="1"/>
  <c r="Z250" i="1"/>
  <c r="A249" i="9"/>
  <c r="B249" i="9"/>
  <c r="C249" i="9"/>
  <c r="D249" i="9"/>
  <c r="F249" i="9"/>
  <c r="H249" i="9"/>
  <c r="I249" i="9"/>
  <c r="J249" i="9"/>
  <c r="L249" i="9"/>
  <c r="M249" i="9"/>
  <c r="N249" i="9"/>
  <c r="B249" i="1"/>
  <c r="V249" i="1" s="1"/>
  <c r="Q249" i="1"/>
  <c r="U249" i="1"/>
  <c r="W249" i="1"/>
  <c r="X249" i="1"/>
  <c r="Y249" i="1"/>
  <c r="Z249" i="1"/>
  <c r="A248" i="9"/>
  <c r="B248" i="9"/>
  <c r="C248" i="9"/>
  <c r="D248" i="9"/>
  <c r="F248" i="9"/>
  <c r="H248" i="9"/>
  <c r="I248" i="9"/>
  <c r="J248" i="9"/>
  <c r="L248" i="9"/>
  <c r="M248" i="9"/>
  <c r="N248" i="9"/>
  <c r="B248" i="1"/>
  <c r="Q248" i="1"/>
  <c r="U248" i="1"/>
  <c r="W248" i="1"/>
  <c r="X248" i="1"/>
  <c r="Y248" i="1"/>
  <c r="Z248" i="1"/>
  <c r="A247" i="9"/>
  <c r="B247" i="9"/>
  <c r="C247" i="9"/>
  <c r="D247" i="9"/>
  <c r="F247" i="9"/>
  <c r="H247" i="9"/>
  <c r="I247" i="9"/>
  <c r="J247" i="9"/>
  <c r="L247" i="9"/>
  <c r="M247" i="9"/>
  <c r="N247" i="9"/>
  <c r="B247" i="1"/>
  <c r="Q247" i="1"/>
  <c r="U247" i="1"/>
  <c r="W247" i="1"/>
  <c r="X247" i="1"/>
  <c r="Y247" i="1"/>
  <c r="Z247" i="1"/>
  <c r="A246" i="9"/>
  <c r="B246" i="9"/>
  <c r="C246" i="9"/>
  <c r="D246" i="9"/>
  <c r="F246" i="9"/>
  <c r="H246" i="9"/>
  <c r="I246" i="9"/>
  <c r="J246" i="9"/>
  <c r="L246" i="9"/>
  <c r="M246" i="9"/>
  <c r="N246" i="9"/>
  <c r="B246" i="1"/>
  <c r="Q246" i="1"/>
  <c r="U246" i="1"/>
  <c r="W246" i="1"/>
  <c r="X246" i="1"/>
  <c r="Y246" i="1"/>
  <c r="Z246" i="1"/>
  <c r="A245" i="9"/>
  <c r="B245" i="9"/>
  <c r="C245" i="9"/>
  <c r="D245" i="9"/>
  <c r="F245" i="9"/>
  <c r="H245" i="9"/>
  <c r="I245" i="9"/>
  <c r="J245" i="9"/>
  <c r="L245" i="9"/>
  <c r="M245" i="9"/>
  <c r="N245" i="9"/>
  <c r="B245" i="1"/>
  <c r="Q245" i="1"/>
  <c r="U245" i="1"/>
  <c r="W245" i="1"/>
  <c r="X245" i="1"/>
  <c r="Y245" i="1"/>
  <c r="Z245" i="1"/>
  <c r="A244" i="9"/>
  <c r="B244" i="9"/>
  <c r="C244" i="9"/>
  <c r="D244" i="9"/>
  <c r="F244" i="9"/>
  <c r="H244" i="9"/>
  <c r="I244" i="9"/>
  <c r="J244" i="9"/>
  <c r="L244" i="9"/>
  <c r="M244" i="9"/>
  <c r="N244" i="9"/>
  <c r="B244" i="1"/>
  <c r="Q244" i="1"/>
  <c r="U244" i="1"/>
  <c r="W244" i="1"/>
  <c r="X244" i="1"/>
  <c r="Y244" i="1"/>
  <c r="Z244" i="1"/>
  <c r="A243" i="9"/>
  <c r="B243" i="9"/>
  <c r="C243" i="9"/>
  <c r="D243" i="9"/>
  <c r="F243" i="9"/>
  <c r="H243" i="9"/>
  <c r="I243" i="9"/>
  <c r="J243" i="9"/>
  <c r="L243" i="9"/>
  <c r="M243" i="9"/>
  <c r="N243" i="9"/>
  <c r="B243" i="1"/>
  <c r="Q243" i="1"/>
  <c r="U243" i="1"/>
  <c r="W243" i="1"/>
  <c r="X243" i="1"/>
  <c r="Y243" i="1"/>
  <c r="Z243" i="1"/>
  <c r="A242" i="9"/>
  <c r="B242" i="9"/>
  <c r="C242" i="9"/>
  <c r="D242" i="9"/>
  <c r="F242" i="9"/>
  <c r="H242" i="9"/>
  <c r="I242" i="9"/>
  <c r="J242" i="9"/>
  <c r="L242" i="9"/>
  <c r="M242" i="9"/>
  <c r="N242" i="9"/>
  <c r="B242" i="1"/>
  <c r="Q242" i="1"/>
  <c r="U242" i="1"/>
  <c r="W242" i="1"/>
  <c r="X242" i="1"/>
  <c r="Y242" i="1"/>
  <c r="Z242" i="1"/>
  <c r="A238" i="9"/>
  <c r="A239" i="9"/>
  <c r="A240" i="9"/>
  <c r="A241" i="9"/>
  <c r="B238" i="9"/>
  <c r="B239" i="9"/>
  <c r="B240" i="9"/>
  <c r="B241" i="9"/>
  <c r="C238" i="9"/>
  <c r="C239" i="9"/>
  <c r="C240" i="9"/>
  <c r="C241" i="9"/>
  <c r="D238" i="9"/>
  <c r="D239" i="9"/>
  <c r="D240" i="9"/>
  <c r="D241" i="9"/>
  <c r="F238" i="9"/>
  <c r="F239" i="9"/>
  <c r="F240" i="9"/>
  <c r="F241" i="9"/>
  <c r="H238" i="9"/>
  <c r="H239" i="9"/>
  <c r="H240" i="9"/>
  <c r="H241" i="9"/>
  <c r="I238" i="9"/>
  <c r="I239" i="9"/>
  <c r="I240" i="9"/>
  <c r="I241" i="9"/>
  <c r="J238" i="9"/>
  <c r="J239" i="9"/>
  <c r="J240" i="9"/>
  <c r="J241" i="9"/>
  <c r="L238" i="9"/>
  <c r="L239" i="9"/>
  <c r="L240" i="9"/>
  <c r="L241" i="9"/>
  <c r="M238" i="9"/>
  <c r="M239" i="9"/>
  <c r="M240" i="9"/>
  <c r="M241" i="9"/>
  <c r="N238" i="9"/>
  <c r="N239" i="9"/>
  <c r="N240" i="9"/>
  <c r="N241" i="9"/>
  <c r="B241" i="1"/>
  <c r="Q241" i="1"/>
  <c r="U241" i="1"/>
  <c r="W241" i="1"/>
  <c r="X241" i="1"/>
  <c r="Y241" i="1"/>
  <c r="Z241" i="1"/>
  <c r="A237" i="9"/>
  <c r="B237" i="9"/>
  <c r="C237" i="9"/>
  <c r="D237" i="9"/>
  <c r="F237" i="9"/>
  <c r="H237" i="9"/>
  <c r="I237" i="9"/>
  <c r="J237" i="9"/>
  <c r="L237" i="9"/>
  <c r="M237" i="9"/>
  <c r="N237" i="9"/>
  <c r="A236" i="9"/>
  <c r="B236" i="9"/>
  <c r="C236" i="9"/>
  <c r="D236" i="9"/>
  <c r="F236" i="9"/>
  <c r="H236" i="9"/>
  <c r="I236" i="9"/>
  <c r="J236" i="9"/>
  <c r="L236" i="9"/>
  <c r="M236" i="9"/>
  <c r="N236" i="9"/>
  <c r="N235" i="9"/>
  <c r="B236" i="1"/>
  <c r="Q236" i="1"/>
  <c r="U236" i="1"/>
  <c r="W236" i="1"/>
  <c r="X236" i="1"/>
  <c r="Y236" i="1"/>
  <c r="Z236" i="1"/>
  <c r="A235" i="9"/>
  <c r="B235" i="9"/>
  <c r="C235" i="9"/>
  <c r="D235" i="9"/>
  <c r="F235" i="9"/>
  <c r="H235" i="9"/>
  <c r="I235" i="9"/>
  <c r="J235" i="9"/>
  <c r="L235" i="9"/>
  <c r="M235" i="9"/>
  <c r="N2" i="9"/>
  <c r="N3" i="9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N196" i="9"/>
  <c r="N197" i="9"/>
  <c r="N198" i="9"/>
  <c r="N199" i="9"/>
  <c r="N200" i="9"/>
  <c r="N201" i="9"/>
  <c r="N202" i="9"/>
  <c r="N203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N233" i="9"/>
  <c r="N234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A234" i="9"/>
  <c r="B234" i="9"/>
  <c r="C234" i="9"/>
  <c r="D234" i="9"/>
  <c r="F234" i="9"/>
  <c r="H234" i="9"/>
  <c r="A233" i="9"/>
  <c r="B233" i="9"/>
  <c r="C233" i="9"/>
  <c r="D233" i="9"/>
  <c r="F233" i="9"/>
  <c r="H233" i="9"/>
  <c r="G233" i="1"/>
  <c r="B233" i="1"/>
  <c r="Q233" i="1"/>
  <c r="U233" i="1"/>
  <c r="W233" i="1"/>
  <c r="X233" i="1"/>
  <c r="Y233" i="1"/>
  <c r="Z233" i="1"/>
  <c r="A232" i="9"/>
  <c r="B232" i="9"/>
  <c r="C232" i="9"/>
  <c r="D232" i="9"/>
  <c r="F232" i="9"/>
  <c r="H232" i="9"/>
  <c r="B232" i="1"/>
  <c r="Q232" i="1"/>
  <c r="U232" i="1"/>
  <c r="W232" i="1"/>
  <c r="X232" i="1"/>
  <c r="Y232" i="1"/>
  <c r="Z232" i="1"/>
  <c r="A231" i="9"/>
  <c r="B231" i="9"/>
  <c r="C231" i="9"/>
  <c r="D231" i="9"/>
  <c r="F231" i="9"/>
  <c r="H231" i="9"/>
  <c r="B231" i="1"/>
  <c r="Q231" i="1"/>
  <c r="U231" i="1"/>
  <c r="W231" i="1"/>
  <c r="X231" i="1"/>
  <c r="Y231" i="1"/>
  <c r="Z231" i="1"/>
  <c r="A230" i="9"/>
  <c r="B230" i="9"/>
  <c r="C230" i="9"/>
  <c r="D230" i="9"/>
  <c r="F230" i="9"/>
  <c r="H230" i="9"/>
  <c r="B230" i="1"/>
  <c r="Q230" i="1"/>
  <c r="U230" i="1"/>
  <c r="W230" i="1"/>
  <c r="X230" i="1"/>
  <c r="Y230" i="1"/>
  <c r="Z230" i="1"/>
  <c r="A228" i="9"/>
  <c r="A229" i="9"/>
  <c r="B228" i="9"/>
  <c r="B229" i="9"/>
  <c r="C228" i="9"/>
  <c r="C229" i="9"/>
  <c r="D228" i="9"/>
  <c r="D229" i="9"/>
  <c r="F228" i="9"/>
  <c r="F229" i="9"/>
  <c r="H228" i="9"/>
  <c r="H229" i="9"/>
  <c r="B229" i="1"/>
  <c r="Q229" i="1"/>
  <c r="U229" i="1"/>
  <c r="W229" i="1"/>
  <c r="X229" i="1"/>
  <c r="Y229" i="1"/>
  <c r="Z229" i="1"/>
  <c r="Z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35" i="1"/>
  <c r="Z234" i="1"/>
  <c r="Z238" i="1"/>
  <c r="Z239" i="1"/>
  <c r="Z240" i="1"/>
  <c r="Z237" i="1"/>
  <c r="B228" i="1"/>
  <c r="Q228" i="1"/>
  <c r="U228" i="1"/>
  <c r="W228" i="1"/>
  <c r="X228" i="1"/>
  <c r="Y228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35" i="1"/>
  <c r="B234" i="1"/>
  <c r="B238" i="1"/>
  <c r="B239" i="1"/>
  <c r="B240" i="1"/>
  <c r="B237" i="1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89" i="9" s="1"/>
  <c r="G160" i="1"/>
  <c r="G162" i="1"/>
  <c r="G44" i="9" s="1"/>
  <c r="G166" i="1"/>
  <c r="G179" i="1"/>
  <c r="G228" i="9" s="1"/>
  <c r="G207" i="1"/>
  <c r="G208" i="1"/>
  <c r="G124" i="9" s="1"/>
  <c r="G210" i="1"/>
  <c r="G258" i="9" s="1"/>
  <c r="G223" i="1"/>
  <c r="Q227" i="1"/>
  <c r="U227" i="1"/>
  <c r="W227" i="1"/>
  <c r="X227" i="1"/>
  <c r="Y227" i="1"/>
  <c r="Q226" i="1"/>
  <c r="U226" i="1"/>
  <c r="W226" i="1"/>
  <c r="X226" i="1"/>
  <c r="Y226" i="1"/>
  <c r="Q225" i="1"/>
  <c r="U225" i="1"/>
  <c r="W225" i="1"/>
  <c r="X225" i="1"/>
  <c r="Y225" i="1"/>
  <c r="Q224" i="1"/>
  <c r="U224" i="1"/>
  <c r="W224" i="1"/>
  <c r="X224" i="1"/>
  <c r="Y224" i="1"/>
  <c r="Q223" i="1"/>
  <c r="U223" i="1"/>
  <c r="W223" i="1"/>
  <c r="X223" i="1"/>
  <c r="Y223" i="1"/>
  <c r="Q222" i="1"/>
  <c r="U222" i="1"/>
  <c r="W222" i="1"/>
  <c r="X222" i="1"/>
  <c r="Y222" i="1"/>
  <c r="Q221" i="1"/>
  <c r="U221" i="1"/>
  <c r="W221" i="1"/>
  <c r="X221" i="1"/>
  <c r="Y221" i="1"/>
  <c r="Q220" i="1"/>
  <c r="U220" i="1"/>
  <c r="W220" i="1"/>
  <c r="X220" i="1"/>
  <c r="Y220" i="1"/>
  <c r="Q219" i="1"/>
  <c r="U219" i="1"/>
  <c r="W219" i="1"/>
  <c r="X219" i="1"/>
  <c r="Y219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35" i="1"/>
  <c r="W234" i="1"/>
  <c r="W238" i="1"/>
  <c r="W239" i="1"/>
  <c r="W240" i="1"/>
  <c r="W237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35" i="1"/>
  <c r="X234" i="1"/>
  <c r="X238" i="1"/>
  <c r="X239" i="1"/>
  <c r="X240" i="1"/>
  <c r="X237" i="1"/>
  <c r="Y137" i="1"/>
  <c r="Y199" i="1"/>
  <c r="Y2" i="1"/>
  <c r="Y201" i="1"/>
  <c r="Y3" i="1"/>
  <c r="Y4" i="1"/>
  <c r="Y155" i="1"/>
  <c r="Y5" i="1"/>
  <c r="Y6" i="1"/>
  <c r="Y7" i="1"/>
  <c r="Y8" i="1"/>
  <c r="Y9" i="1"/>
  <c r="Y10" i="1"/>
  <c r="Y148" i="1"/>
  <c r="Y147" i="1"/>
  <c r="Y139" i="1"/>
  <c r="Y184" i="1"/>
  <c r="Y11" i="1"/>
  <c r="Y153" i="1"/>
  <c r="Y197" i="1"/>
  <c r="Y115" i="1"/>
  <c r="Y143" i="1"/>
  <c r="Y131" i="1"/>
  <c r="Y12" i="1"/>
  <c r="Y13" i="1"/>
  <c r="Y146" i="1"/>
  <c r="Y144" i="1"/>
  <c r="Y14" i="1"/>
  <c r="Y15" i="1"/>
  <c r="Y162" i="1"/>
  <c r="Y16" i="1"/>
  <c r="Y211" i="1"/>
  <c r="Y17" i="1"/>
  <c r="Y18" i="1"/>
  <c r="Y126" i="1"/>
  <c r="Y141" i="1"/>
  <c r="Y19" i="1"/>
  <c r="Y20" i="1"/>
  <c r="Y21" i="1"/>
  <c r="Y22" i="1"/>
  <c r="Y23" i="1"/>
  <c r="Y138" i="1"/>
  <c r="Y24" i="1"/>
  <c r="Y25" i="1"/>
  <c r="Y136" i="1"/>
  <c r="Y26" i="1"/>
  <c r="Y27" i="1"/>
  <c r="Y28" i="1"/>
  <c r="Y29" i="1"/>
  <c r="Y156" i="1"/>
  <c r="Y30" i="1"/>
  <c r="Y130" i="1"/>
  <c r="Y215" i="1"/>
  <c r="Y164" i="1"/>
  <c r="Y158" i="1"/>
  <c r="Y31" i="1"/>
  <c r="Y32" i="1"/>
  <c r="Y33" i="1"/>
  <c r="Y34" i="1"/>
  <c r="Y216" i="1"/>
  <c r="Y172" i="1"/>
  <c r="Y35" i="1"/>
  <c r="Y36" i="1"/>
  <c r="Y166" i="1"/>
  <c r="Y204" i="1"/>
  <c r="Y37" i="1"/>
  <c r="Y38" i="1"/>
  <c r="Y194" i="1"/>
  <c r="Y149" i="1"/>
  <c r="Y151" i="1"/>
  <c r="Y122" i="1"/>
  <c r="Y129" i="1"/>
  <c r="Y39" i="1"/>
  <c r="Y40" i="1"/>
  <c r="Y41" i="1"/>
  <c r="Y42" i="1"/>
  <c r="Y43" i="1"/>
  <c r="Y206" i="1"/>
  <c r="Y176" i="1"/>
  <c r="Y44" i="1"/>
  <c r="Y45" i="1"/>
  <c r="Y46" i="1"/>
  <c r="Y117" i="1"/>
  <c r="Y47" i="1"/>
  <c r="Y209" i="1"/>
  <c r="Y114" i="1"/>
  <c r="Y189" i="1"/>
  <c r="Y135" i="1"/>
  <c r="Y128" i="1"/>
  <c r="Y133" i="1"/>
  <c r="Y48" i="1"/>
  <c r="Y213" i="1"/>
  <c r="Y49" i="1"/>
  <c r="Y50" i="1"/>
  <c r="Y51" i="1"/>
  <c r="Y191" i="1"/>
  <c r="Y52" i="1"/>
  <c r="Y53" i="1"/>
  <c r="Y54" i="1"/>
  <c r="Y119" i="1"/>
  <c r="Y208" i="1"/>
  <c r="Y55" i="1"/>
  <c r="Y174" i="1"/>
  <c r="Y207" i="1"/>
  <c r="Y175" i="1"/>
  <c r="Y154" i="1"/>
  <c r="Y159" i="1"/>
  <c r="Y187" i="1"/>
  <c r="Y205" i="1"/>
  <c r="Y56" i="1"/>
  <c r="Y157" i="1"/>
  <c r="Y57" i="1"/>
  <c r="Y193" i="1"/>
  <c r="Y140" i="1"/>
  <c r="Y58" i="1"/>
  <c r="Y195" i="1"/>
  <c r="Y59" i="1"/>
  <c r="Y161" i="1"/>
  <c r="Y198" i="1"/>
  <c r="Y145" i="1"/>
  <c r="Y186" i="1"/>
  <c r="Y60" i="1"/>
  <c r="Y181" i="1"/>
  <c r="Y61" i="1"/>
  <c r="Y200" i="1"/>
  <c r="Y62" i="1"/>
  <c r="Y196" i="1"/>
  <c r="Y167" i="1"/>
  <c r="Y202" i="1"/>
  <c r="Y63" i="1"/>
  <c r="Y64" i="1"/>
  <c r="Y65" i="1"/>
  <c r="Y66" i="1"/>
  <c r="Y67" i="1"/>
  <c r="Y68" i="1"/>
  <c r="Y178" i="1"/>
  <c r="Y123" i="1"/>
  <c r="Y69" i="1"/>
  <c r="Y152" i="1"/>
  <c r="Y212" i="1"/>
  <c r="Y190" i="1"/>
  <c r="Y70" i="1"/>
  <c r="Y71" i="1"/>
  <c r="Y72" i="1"/>
  <c r="Y185" i="1"/>
  <c r="Y73" i="1"/>
  <c r="Y74" i="1"/>
  <c r="Y116" i="1"/>
  <c r="Y75" i="1"/>
  <c r="Y76" i="1"/>
  <c r="Y77" i="1"/>
  <c r="Y78" i="1"/>
  <c r="Y79" i="1"/>
  <c r="Y80" i="1"/>
  <c r="Y81" i="1"/>
  <c r="Y182" i="1"/>
  <c r="Y203" i="1"/>
  <c r="Y124" i="1"/>
  <c r="Y217" i="1"/>
  <c r="Y82" i="1"/>
  <c r="Y150" i="1"/>
  <c r="Y83" i="1"/>
  <c r="Y84" i="1"/>
  <c r="Y85" i="1"/>
  <c r="Y86" i="1"/>
  <c r="Y173" i="1"/>
  <c r="Y87" i="1"/>
  <c r="Y192" i="1"/>
  <c r="Y88" i="1"/>
  <c r="Y120" i="1"/>
  <c r="Y214" i="1"/>
  <c r="Y188" i="1"/>
  <c r="Y89" i="1"/>
  <c r="Y171" i="1"/>
  <c r="Y121" i="1"/>
  <c r="Y163" i="1"/>
  <c r="Y90" i="1"/>
  <c r="Y91" i="1"/>
  <c r="Y92" i="1"/>
  <c r="Y93" i="1"/>
  <c r="Y94" i="1"/>
  <c r="Y160" i="1"/>
  <c r="Y179" i="1"/>
  <c r="Y95" i="1"/>
  <c r="Y96" i="1"/>
  <c r="Y97" i="1"/>
  <c r="Y98" i="1"/>
  <c r="Y127" i="1"/>
  <c r="Y99" i="1"/>
  <c r="Y100" i="1"/>
  <c r="Y183" i="1"/>
  <c r="Y132" i="1"/>
  <c r="Y142" i="1"/>
  <c r="Y169" i="1"/>
  <c r="Y101" i="1"/>
  <c r="Y177" i="1"/>
  <c r="Y102" i="1"/>
  <c r="Y168" i="1"/>
  <c r="Y180" i="1"/>
  <c r="Y103" i="1"/>
  <c r="Y104" i="1"/>
  <c r="Y134" i="1"/>
  <c r="Y105" i="1"/>
  <c r="Y170" i="1"/>
  <c r="Y106" i="1"/>
  <c r="Y107" i="1"/>
  <c r="Y108" i="1"/>
  <c r="Y109" i="1"/>
  <c r="Y110" i="1"/>
  <c r="Y165" i="1"/>
  <c r="Y111" i="1"/>
  <c r="Y118" i="1"/>
  <c r="Y125" i="1"/>
  <c r="Y112" i="1"/>
  <c r="Y113" i="1"/>
  <c r="Y210" i="1"/>
  <c r="Y218" i="1"/>
  <c r="Y235" i="1"/>
  <c r="Y234" i="1"/>
  <c r="Y238" i="1"/>
  <c r="Y239" i="1"/>
  <c r="Y240" i="1"/>
  <c r="Y237" i="1"/>
  <c r="Q218" i="1"/>
  <c r="U218" i="1"/>
  <c r="Q217" i="1"/>
  <c r="U217" i="1"/>
  <c r="Q215" i="1"/>
  <c r="U215" i="1"/>
  <c r="Q214" i="1"/>
  <c r="U214" i="1"/>
  <c r="Q213" i="1"/>
  <c r="U213" i="1"/>
  <c r="Q212" i="1"/>
  <c r="U212" i="1"/>
  <c r="Q211" i="1"/>
  <c r="U211" i="1"/>
  <c r="B17" i="6"/>
  <c r="Q202" i="1"/>
  <c r="U202" i="1"/>
  <c r="Q205" i="1"/>
  <c r="U205" i="1"/>
  <c r="Q210" i="1"/>
  <c r="U210" i="1"/>
  <c r="Q203" i="1"/>
  <c r="U203" i="1"/>
  <c r="Q207" i="1"/>
  <c r="U207" i="1"/>
  <c r="Q208" i="1"/>
  <c r="U208" i="1"/>
  <c r="Q204" i="1"/>
  <c r="U204" i="1"/>
  <c r="Q183" i="1"/>
  <c r="U183" i="1"/>
  <c r="Q206" i="1"/>
  <c r="U206" i="1"/>
  <c r="Q165" i="1"/>
  <c r="U165" i="1"/>
  <c r="Q150" i="1"/>
  <c r="U150" i="1"/>
  <c r="Q177" i="1"/>
  <c r="U177" i="1"/>
  <c r="Q188" i="1"/>
  <c r="U188" i="1"/>
  <c r="Q174" i="1"/>
  <c r="U174" i="1"/>
  <c r="S13" i="1"/>
  <c r="S17" i="1"/>
  <c r="S18" i="1"/>
  <c r="S86" i="1"/>
  <c r="S106" i="1"/>
  <c r="S95" i="1"/>
  <c r="S96" i="1"/>
  <c r="S40" i="1"/>
  <c r="S61" i="1"/>
  <c r="S80" i="1"/>
  <c r="S94" i="1"/>
  <c r="S199" i="1"/>
  <c r="S78" i="1"/>
  <c r="S89" i="1"/>
  <c r="S147" i="1"/>
  <c r="S139" i="1"/>
  <c r="S184" i="1"/>
  <c r="S19" i="1"/>
  <c r="S75" i="1"/>
  <c r="S155" i="1"/>
  <c r="S58" i="1"/>
  <c r="S59" i="1"/>
  <c r="S69" i="1"/>
  <c r="S114" i="1"/>
  <c r="S118" i="1"/>
  <c r="S120" i="1"/>
  <c r="S123" i="1"/>
  <c r="S128" i="1"/>
  <c r="S129" i="1"/>
  <c r="S209" i="1"/>
  <c r="S189" i="1"/>
  <c r="S193" i="1"/>
  <c r="S140" i="1"/>
  <c r="S195" i="1"/>
  <c r="S161" i="1"/>
  <c r="S198" i="1"/>
  <c r="S145" i="1"/>
  <c r="S186" i="1"/>
  <c r="S178" i="1"/>
  <c r="S152" i="1"/>
  <c r="S115" i="1"/>
  <c r="S141" i="1"/>
  <c r="S143" i="1"/>
  <c r="S28" i="1"/>
  <c r="S34" i="1"/>
  <c r="S144" i="1"/>
  <c r="S175" i="1"/>
  <c r="S157" i="1"/>
  <c r="S185" i="1"/>
  <c r="S22" i="1"/>
  <c r="S112" i="1"/>
  <c r="S54" i="1"/>
  <c r="S103" i="1"/>
  <c r="S64" i="1"/>
  <c r="S44" i="1"/>
  <c r="S66" i="1"/>
  <c r="S4" i="1"/>
  <c r="S113" i="1"/>
  <c r="S117" i="1"/>
  <c r="S171" i="1"/>
  <c r="S119" i="1"/>
  <c r="S159" i="1"/>
  <c r="S191" i="1"/>
  <c r="S46" i="1"/>
  <c r="S93" i="1"/>
  <c r="S37" i="1"/>
  <c r="S16" i="1"/>
  <c r="S65" i="1"/>
  <c r="S11" i="1"/>
  <c r="S148" i="1"/>
  <c r="S138" i="1"/>
  <c r="S26" i="1"/>
  <c r="S27" i="1"/>
  <c r="S201" i="1"/>
  <c r="S153" i="1"/>
  <c r="S146" i="1"/>
  <c r="S29" i="1"/>
  <c r="S30" i="1"/>
  <c r="S130" i="1"/>
  <c r="S156" i="1"/>
  <c r="S43" i="1"/>
  <c r="S55" i="1"/>
  <c r="S110" i="1"/>
  <c r="S20" i="1"/>
  <c r="S21" i="1"/>
  <c r="S41" i="1"/>
  <c r="S7" i="1"/>
  <c r="S131" i="1"/>
  <c r="S23" i="1"/>
  <c r="S42" i="1"/>
  <c r="S63" i="1"/>
  <c r="S74" i="1"/>
  <c r="S85" i="1"/>
  <c r="S3" i="1"/>
  <c r="S50" i="1"/>
  <c r="S192" i="1"/>
  <c r="S180" i="1"/>
  <c r="S81" i="1"/>
  <c r="S154" i="1"/>
  <c r="S108" i="1"/>
  <c r="S125" i="1"/>
  <c r="S197" i="1"/>
  <c r="S121" i="1"/>
  <c r="S196" i="1"/>
  <c r="S5" i="1"/>
  <c r="S127" i="1"/>
  <c r="S57" i="1"/>
  <c r="S2" i="1"/>
  <c r="S25" i="1"/>
  <c r="S102" i="1"/>
  <c r="S194" i="1"/>
  <c r="S47" i="1"/>
  <c r="S68" i="1"/>
  <c r="S173" i="1"/>
  <c r="S169" i="1"/>
  <c r="S105" i="1"/>
  <c r="S124" i="1"/>
  <c r="S134" i="1"/>
  <c r="S49" i="1"/>
  <c r="S116" i="1"/>
  <c r="S163" i="1"/>
  <c r="S38" i="1"/>
  <c r="S48" i="1"/>
  <c r="S53" i="1"/>
  <c r="S97" i="1"/>
  <c r="S107" i="1"/>
  <c r="S33" i="1"/>
  <c r="S36" i="1"/>
  <c r="S82" i="1"/>
  <c r="S91" i="1"/>
  <c r="S92" i="1"/>
  <c r="S158" i="1"/>
  <c r="S60" i="1"/>
  <c r="S132" i="1"/>
  <c r="S135" i="1"/>
  <c r="S167" i="1"/>
  <c r="S62" i="1"/>
  <c r="S79" i="1"/>
  <c r="S10" i="1"/>
  <c r="S8" i="1"/>
  <c r="S24" i="1"/>
  <c r="S32" i="1"/>
  <c r="S76" i="1"/>
  <c r="S87" i="1"/>
  <c r="S88" i="1"/>
  <c r="S109" i="1"/>
  <c r="S187" i="1"/>
  <c r="S56" i="1"/>
  <c r="S126" i="1"/>
  <c r="S136" i="1"/>
  <c r="S172" i="1"/>
  <c r="S142" i="1"/>
  <c r="S14" i="1"/>
  <c r="S39" i="1"/>
  <c r="S72" i="1"/>
  <c r="S73" i="1"/>
  <c r="S133" i="1"/>
  <c r="S137" i="1"/>
  <c r="S83" i="1"/>
  <c r="S84" i="1"/>
  <c r="S162" i="1"/>
  <c r="S6" i="1"/>
  <c r="S15" i="1"/>
  <c r="S12" i="1"/>
  <c r="S104" i="1"/>
  <c r="S52" i="1"/>
  <c r="S111" i="1"/>
  <c r="S90" i="1"/>
  <c r="S31" i="1"/>
  <c r="S35" i="1"/>
  <c r="S9" i="1"/>
  <c r="S101" i="1"/>
  <c r="S45" i="1"/>
  <c r="S99" i="1"/>
  <c r="S100" i="1"/>
  <c r="S51" i="1"/>
  <c r="S70" i="1"/>
  <c r="S77" i="1"/>
  <c r="S160" i="1"/>
  <c r="S179" i="1"/>
  <c r="S98" i="1"/>
  <c r="S166" i="1"/>
  <c r="S67" i="1"/>
  <c r="S71" i="1"/>
  <c r="S122" i="1"/>
  <c r="S151" i="1"/>
  <c r="Q182" i="1"/>
  <c r="U182" i="1"/>
  <c r="Q13" i="1"/>
  <c r="Q17" i="1"/>
  <c r="Q18" i="1"/>
  <c r="Q86" i="1"/>
  <c r="Q106" i="1"/>
  <c r="Q95" i="1"/>
  <c r="Q96" i="1"/>
  <c r="Q40" i="1"/>
  <c r="Q61" i="1"/>
  <c r="Q80" i="1"/>
  <c r="Q94" i="1"/>
  <c r="Q199" i="1"/>
  <c r="Q78" i="1"/>
  <c r="Q89" i="1"/>
  <c r="Q147" i="1"/>
  <c r="Q139" i="1"/>
  <c r="Q184" i="1"/>
  <c r="Q19" i="1"/>
  <c r="Q75" i="1"/>
  <c r="Q155" i="1"/>
  <c r="Q58" i="1"/>
  <c r="Q59" i="1"/>
  <c r="Q69" i="1"/>
  <c r="Q114" i="1"/>
  <c r="Q118" i="1"/>
  <c r="Q120" i="1"/>
  <c r="Q123" i="1"/>
  <c r="Q128" i="1"/>
  <c r="Q129" i="1"/>
  <c r="Q209" i="1"/>
  <c r="Q189" i="1"/>
  <c r="Q193" i="1"/>
  <c r="Q140" i="1"/>
  <c r="Q195" i="1"/>
  <c r="Q161" i="1"/>
  <c r="Q198" i="1"/>
  <c r="Q145" i="1"/>
  <c r="Q186" i="1"/>
  <c r="Q178" i="1"/>
  <c r="Q152" i="1"/>
  <c r="Q176" i="1"/>
  <c r="Q115" i="1"/>
  <c r="Q141" i="1"/>
  <c r="Q143" i="1"/>
  <c r="Q28" i="1"/>
  <c r="Q34" i="1"/>
  <c r="Q144" i="1"/>
  <c r="Q175" i="1"/>
  <c r="Q157" i="1"/>
  <c r="Q216" i="1"/>
  <c r="Q185" i="1"/>
  <c r="Q22" i="1"/>
  <c r="Q112" i="1"/>
  <c r="Q54" i="1"/>
  <c r="Q103" i="1"/>
  <c r="Q64" i="1"/>
  <c r="Q44" i="1"/>
  <c r="Q66" i="1"/>
  <c r="Q4" i="1"/>
  <c r="Q113" i="1"/>
  <c r="Q117" i="1"/>
  <c r="Q171" i="1"/>
  <c r="Q149" i="1"/>
  <c r="Q119" i="1"/>
  <c r="Q159" i="1"/>
  <c r="Q191" i="1"/>
  <c r="Q190" i="1"/>
  <c r="Q46" i="1"/>
  <c r="Q93" i="1"/>
  <c r="Q37" i="1"/>
  <c r="Q16" i="1"/>
  <c r="Q65" i="1"/>
  <c r="Q11" i="1"/>
  <c r="Q148" i="1"/>
  <c r="Q138" i="1"/>
  <c r="Q164" i="1"/>
  <c r="Q26" i="1"/>
  <c r="Q27" i="1"/>
  <c r="Q201" i="1"/>
  <c r="Q170" i="1"/>
  <c r="Q153" i="1"/>
  <c r="Q146" i="1"/>
  <c r="Q29" i="1"/>
  <c r="Q30" i="1"/>
  <c r="Q130" i="1"/>
  <c r="Q156" i="1"/>
  <c r="Q43" i="1"/>
  <c r="Q55" i="1"/>
  <c r="Q110" i="1"/>
  <c r="Q20" i="1"/>
  <c r="Q21" i="1"/>
  <c r="Q41" i="1"/>
  <c r="Q7" i="1"/>
  <c r="Q131" i="1"/>
  <c r="Q23" i="1"/>
  <c r="Q42" i="1"/>
  <c r="Q63" i="1"/>
  <c r="Q234" i="1"/>
  <c r="Q235" i="1"/>
  <c r="Q237" i="1"/>
  <c r="Q238" i="1"/>
  <c r="Q239" i="1"/>
  <c r="Q240" i="1"/>
  <c r="Q74" i="1"/>
  <c r="Q85" i="1"/>
  <c r="Q3" i="1"/>
  <c r="Q50" i="1"/>
  <c r="Q192" i="1"/>
  <c r="Q180" i="1"/>
  <c r="Q81" i="1"/>
  <c r="Q181" i="1"/>
  <c r="Q154" i="1"/>
  <c r="Q168" i="1"/>
  <c r="Q108" i="1"/>
  <c r="Q125" i="1"/>
  <c r="Q197" i="1"/>
  <c r="Q121" i="1"/>
  <c r="Q196" i="1"/>
  <c r="Q5" i="1"/>
  <c r="Q127" i="1"/>
  <c r="Q57" i="1"/>
  <c r="Q2" i="1"/>
  <c r="Q25" i="1"/>
  <c r="Q102" i="1"/>
  <c r="Q194" i="1"/>
  <c r="Q47" i="1"/>
  <c r="Q68" i="1"/>
  <c r="Q173" i="1"/>
  <c r="Q169" i="1"/>
  <c r="Q105" i="1"/>
  <c r="Q124" i="1"/>
  <c r="Q134" i="1"/>
  <c r="Q49" i="1"/>
  <c r="Q116" i="1"/>
  <c r="Q163" i="1"/>
  <c r="Q38" i="1"/>
  <c r="Q48" i="1"/>
  <c r="Q53" i="1"/>
  <c r="Q97" i="1"/>
  <c r="Q107" i="1"/>
  <c r="Q33" i="1"/>
  <c r="Q36" i="1"/>
  <c r="Q82" i="1"/>
  <c r="Q91" i="1"/>
  <c r="Q92" i="1"/>
  <c r="Q158" i="1"/>
  <c r="Q60" i="1"/>
  <c r="Q132" i="1"/>
  <c r="Q135" i="1"/>
  <c r="Q167" i="1"/>
  <c r="Q62" i="1"/>
  <c r="Q79" i="1"/>
  <c r="Q10" i="1"/>
  <c r="Q8" i="1"/>
  <c r="Q24" i="1"/>
  <c r="Q32" i="1"/>
  <c r="Q76" i="1"/>
  <c r="Q87" i="1"/>
  <c r="Q88" i="1"/>
  <c r="Q109" i="1"/>
  <c r="Q187" i="1"/>
  <c r="Q56" i="1"/>
  <c r="Q126" i="1"/>
  <c r="Q136" i="1"/>
  <c r="Q172" i="1"/>
  <c r="Q142" i="1"/>
  <c r="Q14" i="1"/>
  <c r="Q39" i="1"/>
  <c r="Q72" i="1"/>
  <c r="Q73" i="1"/>
  <c r="Q133" i="1"/>
  <c r="Q137" i="1"/>
  <c r="Q83" i="1"/>
  <c r="Q84" i="1"/>
  <c r="Q162" i="1"/>
  <c r="Q6" i="1"/>
  <c r="Q15" i="1"/>
  <c r="Q12" i="1"/>
  <c r="Q104" i="1"/>
  <c r="Q52" i="1"/>
  <c r="Q111" i="1"/>
  <c r="Q90" i="1"/>
  <c r="Q31" i="1"/>
  <c r="Q35" i="1"/>
  <c r="Q9" i="1"/>
  <c r="Q101" i="1"/>
  <c r="Q45" i="1"/>
  <c r="Q99" i="1"/>
  <c r="Q100" i="1"/>
  <c r="Q51" i="1"/>
  <c r="Q70" i="1"/>
  <c r="Q77" i="1"/>
  <c r="Q160" i="1"/>
  <c r="Q179" i="1"/>
  <c r="Q98" i="1"/>
  <c r="Q166" i="1"/>
  <c r="Q67" i="1"/>
  <c r="Q71" i="1"/>
  <c r="Q200" i="1"/>
  <c r="Q122" i="1"/>
  <c r="Q151" i="1"/>
  <c r="U201" i="1"/>
  <c r="U164" i="1"/>
  <c r="U240" i="1"/>
  <c r="U239" i="1"/>
  <c r="U238" i="1"/>
  <c r="U237" i="1"/>
  <c r="U235" i="1"/>
  <c r="U234" i="1"/>
  <c r="U190" i="1"/>
  <c r="U135" i="1"/>
  <c r="U166" i="1"/>
  <c r="U200" i="1"/>
  <c r="U159" i="1"/>
  <c r="U144" i="1"/>
  <c r="U139" i="1"/>
  <c r="U184" i="1"/>
  <c r="U176" i="1"/>
  <c r="U170" i="1"/>
  <c r="U181" i="1"/>
  <c r="U154" i="1"/>
  <c r="U168" i="1"/>
  <c r="U149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99" i="1"/>
  <c r="U147" i="1"/>
  <c r="U155" i="1"/>
  <c r="U129" i="1"/>
  <c r="U209" i="1"/>
  <c r="U114" i="1"/>
  <c r="U189" i="1"/>
  <c r="U128" i="1"/>
  <c r="U193" i="1"/>
  <c r="U140" i="1"/>
  <c r="U195" i="1"/>
  <c r="U161" i="1"/>
  <c r="U198" i="1"/>
  <c r="U145" i="1"/>
  <c r="U186" i="1"/>
  <c r="U178" i="1"/>
  <c r="U123" i="1"/>
  <c r="U152" i="1"/>
  <c r="U120" i="1"/>
  <c r="U118" i="1"/>
  <c r="U115" i="1"/>
  <c r="U141" i="1"/>
  <c r="U143" i="1"/>
  <c r="U175" i="1"/>
  <c r="U157" i="1"/>
  <c r="U216" i="1"/>
  <c r="U185" i="1"/>
  <c r="U117" i="1"/>
  <c r="U171" i="1"/>
  <c r="U119" i="1"/>
  <c r="U191" i="1"/>
  <c r="U148" i="1"/>
  <c r="U138" i="1"/>
  <c r="U153" i="1"/>
  <c r="U146" i="1"/>
  <c r="U156" i="1"/>
  <c r="U130" i="1"/>
  <c r="U131" i="1"/>
  <c r="U192" i="1"/>
  <c r="U180" i="1"/>
  <c r="U125" i="1"/>
  <c r="U197" i="1"/>
  <c r="U196" i="1"/>
  <c r="U121" i="1"/>
  <c r="U127" i="1"/>
  <c r="U194" i="1"/>
  <c r="U173" i="1"/>
  <c r="U169" i="1"/>
  <c r="U124" i="1"/>
  <c r="U134" i="1"/>
  <c r="U116" i="1"/>
  <c r="U163" i="1"/>
  <c r="U158" i="1"/>
  <c r="U132" i="1"/>
  <c r="U167" i="1"/>
  <c r="U187" i="1"/>
  <c r="U126" i="1"/>
  <c r="U136" i="1"/>
  <c r="U172" i="1"/>
  <c r="U142" i="1"/>
  <c r="U137" i="1"/>
  <c r="U133" i="1"/>
  <c r="U162" i="1"/>
  <c r="U160" i="1"/>
  <c r="U179" i="1"/>
  <c r="U151" i="1"/>
  <c r="U122" i="1"/>
  <c r="S227" i="1"/>
  <c r="S226" i="1"/>
  <c r="S225" i="1"/>
  <c r="S224" i="1"/>
  <c r="S223" i="1"/>
  <c r="S222" i="1"/>
  <c r="S221" i="1"/>
  <c r="S220" i="1"/>
  <c r="S219" i="1"/>
  <c r="S218" i="1"/>
  <c r="S217" i="1"/>
  <c r="S215" i="1"/>
  <c r="S214" i="1"/>
  <c r="S211" i="1"/>
  <c r="S202" i="1"/>
  <c r="S205" i="1"/>
  <c r="S210" i="1"/>
  <c r="S203" i="1"/>
  <c r="S207" i="1"/>
  <c r="S208" i="1"/>
  <c r="S204" i="1"/>
  <c r="S206" i="1"/>
  <c r="S183" i="1"/>
  <c r="S165" i="1"/>
  <c r="S150" i="1"/>
  <c r="S177" i="1"/>
  <c r="S174" i="1"/>
  <c r="S188" i="1"/>
  <c r="S182" i="1"/>
  <c r="S200" i="1"/>
  <c r="S181" i="1"/>
  <c r="S176" i="1"/>
  <c r="S149" i="1"/>
  <c r="S170" i="1"/>
  <c r="S164" i="1"/>
  <c r="S190" i="1"/>
  <c r="S216" i="1"/>
  <c r="S168" i="1"/>
  <c r="E268" i="9" l="1"/>
  <c r="V268" i="1"/>
  <c r="E267" i="9"/>
  <c r="V267" i="1"/>
  <c r="E266" i="9"/>
  <c r="V266" i="1"/>
  <c r="E264" i="9"/>
  <c r="V264" i="1"/>
  <c r="E265" i="9"/>
  <c r="V265" i="1"/>
  <c r="G186" i="9"/>
  <c r="G191" i="9"/>
  <c r="G195" i="9"/>
  <c r="G201" i="9"/>
  <c r="G221" i="9"/>
  <c r="G227" i="9"/>
  <c r="G81" i="9"/>
  <c r="G83" i="9"/>
  <c r="G127" i="9"/>
  <c r="G131" i="9"/>
  <c r="G47" i="9"/>
  <c r="G49" i="9"/>
  <c r="R269" i="1"/>
  <c r="S269" i="1" s="1"/>
  <c r="R268" i="1"/>
  <c r="S268" i="1" s="1"/>
  <c r="R267" i="1"/>
  <c r="S267" i="1" s="1"/>
  <c r="R266" i="1"/>
  <c r="S266" i="1" s="1"/>
  <c r="E263" i="9"/>
  <c r="V263" i="1"/>
  <c r="R264" i="1"/>
  <c r="S264" i="1" s="1"/>
  <c r="R265" i="1"/>
  <c r="S265" i="1" s="1"/>
  <c r="E259" i="9"/>
  <c r="V259" i="1"/>
  <c r="E262" i="9"/>
  <c r="V262" i="1"/>
  <c r="E261" i="9"/>
  <c r="V261" i="1"/>
  <c r="V260" i="1"/>
  <c r="E260" i="9"/>
  <c r="G219" i="9"/>
  <c r="G222" i="9"/>
  <c r="R263" i="1"/>
  <c r="S263" i="1" s="1"/>
  <c r="R262" i="1"/>
  <c r="S262" i="1" s="1"/>
  <c r="R260" i="1"/>
  <c r="S260" i="1" s="1"/>
  <c r="R261" i="1"/>
  <c r="S261" i="1" s="1"/>
  <c r="G192" i="9"/>
  <c r="G193" i="9"/>
  <c r="G149" i="9"/>
  <c r="G87" i="9"/>
  <c r="R259" i="1"/>
  <c r="S259" i="1" s="1"/>
  <c r="G233" i="9"/>
  <c r="G183" i="9"/>
  <c r="G115" i="9"/>
  <c r="G29" i="9"/>
  <c r="G143" i="9"/>
  <c r="G30" i="9"/>
  <c r="G160" i="9"/>
  <c r="G217" i="9"/>
  <c r="G162" i="9"/>
  <c r="G42" i="9"/>
  <c r="G166" i="9"/>
  <c r="G80" i="9"/>
  <c r="G179" i="9"/>
  <c r="G218" i="9"/>
  <c r="G207" i="9"/>
  <c r="G126" i="9"/>
  <c r="G208" i="9"/>
  <c r="G123" i="9"/>
  <c r="G223" i="9"/>
  <c r="G46" i="9"/>
  <c r="E258" i="9"/>
  <c r="E257" i="9"/>
  <c r="G86" i="9"/>
  <c r="G210" i="9"/>
  <c r="G257" i="9"/>
  <c r="V256" i="1"/>
  <c r="E256" i="9"/>
  <c r="V255" i="1"/>
  <c r="E255" i="9"/>
  <c r="R258" i="1"/>
  <c r="S258" i="1" s="1"/>
  <c r="R257" i="1"/>
  <c r="S257" i="1" s="1"/>
  <c r="R256" i="1"/>
  <c r="S256" i="1" s="1"/>
  <c r="E251" i="9"/>
  <c r="E252" i="9"/>
  <c r="E253" i="9"/>
  <c r="E254" i="9"/>
  <c r="R255" i="1"/>
  <c r="S255" i="1" s="1"/>
  <c r="R254" i="1"/>
  <c r="S254" i="1" s="1"/>
  <c r="V253" i="1"/>
  <c r="V252" i="1"/>
  <c r="V248" i="1"/>
  <c r="R253" i="1"/>
  <c r="S253" i="1" s="1"/>
  <c r="R252" i="1"/>
  <c r="S252" i="1" s="1"/>
  <c r="R251" i="1"/>
  <c r="S251" i="1" s="1"/>
  <c r="E250" i="9"/>
  <c r="R250" i="1"/>
  <c r="S250" i="1" s="1"/>
  <c r="E249" i="9"/>
  <c r="R249" i="1"/>
  <c r="S249" i="1" s="1"/>
  <c r="E248" i="9"/>
  <c r="V246" i="1"/>
  <c r="V247" i="1"/>
  <c r="R248" i="1"/>
  <c r="S248" i="1" s="1"/>
  <c r="E247" i="9"/>
  <c r="R247" i="1"/>
  <c r="S247" i="1" s="1"/>
  <c r="V245" i="1"/>
  <c r="E246" i="9"/>
  <c r="R246" i="1"/>
  <c r="S246" i="1" s="1"/>
  <c r="E245" i="9"/>
  <c r="R245" i="1"/>
  <c r="S245" i="1" s="1"/>
  <c r="E244" i="9"/>
  <c r="V242" i="1"/>
  <c r="V243" i="1"/>
  <c r="V244" i="1"/>
  <c r="R244" i="1"/>
  <c r="S244" i="1" s="1"/>
  <c r="E243" i="9"/>
  <c r="R243" i="1"/>
  <c r="S243" i="1" s="1"/>
  <c r="E242" i="9"/>
  <c r="R242" i="1"/>
  <c r="S242" i="1" s="1"/>
  <c r="E238" i="9"/>
  <c r="E239" i="9"/>
  <c r="E240" i="9"/>
  <c r="E241" i="9"/>
  <c r="V241" i="1"/>
  <c r="R241" i="1"/>
  <c r="S241" i="1" s="1"/>
  <c r="V236" i="1"/>
  <c r="E237" i="9"/>
  <c r="E236" i="9"/>
  <c r="R236" i="1"/>
  <c r="S236" i="1" s="1"/>
  <c r="E235" i="9"/>
  <c r="V233" i="1"/>
  <c r="E234" i="9"/>
  <c r="E233" i="9"/>
  <c r="R233" i="1"/>
  <c r="S233" i="1" s="1"/>
  <c r="V232" i="1"/>
  <c r="V231" i="1"/>
  <c r="E232" i="9"/>
  <c r="R232" i="1"/>
  <c r="S232" i="1" s="1"/>
  <c r="R93" i="1"/>
  <c r="R156" i="1"/>
  <c r="R172" i="1"/>
  <c r="R21" i="1"/>
  <c r="R107" i="1"/>
  <c r="R16" i="1"/>
  <c r="R35" i="1"/>
  <c r="R106" i="1"/>
  <c r="R55" i="1"/>
  <c r="R90" i="1"/>
  <c r="R25" i="1"/>
  <c r="R137" i="1"/>
  <c r="R154" i="1"/>
  <c r="R101" i="1"/>
  <c r="R22" i="1"/>
  <c r="R89" i="1"/>
  <c r="R112" i="1"/>
  <c r="R240" i="1"/>
  <c r="R195" i="1"/>
  <c r="R9" i="1"/>
  <c r="R108" i="1"/>
  <c r="R62" i="1"/>
  <c r="R193" i="1"/>
  <c r="R168" i="1"/>
  <c r="R86" i="1"/>
  <c r="R126" i="1"/>
  <c r="R235" i="1"/>
  <c r="R129" i="1"/>
  <c r="R117" i="1"/>
  <c r="R125" i="1"/>
  <c r="R113" i="1"/>
  <c r="R20" i="1"/>
  <c r="R53" i="1"/>
  <c r="R157" i="1"/>
  <c r="R209" i="1"/>
  <c r="R141" i="1"/>
  <c r="R33" i="1"/>
  <c r="R65" i="1"/>
  <c r="R194" i="1"/>
  <c r="R4" i="1"/>
  <c r="R110" i="1"/>
  <c r="R31" i="1"/>
  <c r="R237" i="1"/>
  <c r="R128" i="1"/>
  <c r="R48" i="1"/>
  <c r="R37" i="1"/>
  <c r="R111" i="1"/>
  <c r="R185" i="1"/>
  <c r="R97" i="1"/>
  <c r="R136" i="1"/>
  <c r="R18" i="1"/>
  <c r="R161" i="1"/>
  <c r="R79" i="1"/>
  <c r="R140" i="1"/>
  <c r="R102" i="1"/>
  <c r="R191" i="1"/>
  <c r="R78" i="1"/>
  <c r="R43" i="1"/>
  <c r="R175" i="1"/>
  <c r="R38" i="1"/>
  <c r="R143" i="1"/>
  <c r="R190" i="1"/>
  <c r="R239" i="1"/>
  <c r="R238" i="1"/>
  <c r="R216" i="1"/>
  <c r="R166" i="1"/>
  <c r="R167" i="1"/>
  <c r="R189" i="1"/>
  <c r="E231" i="9"/>
  <c r="R231" i="1"/>
  <c r="S231" i="1" s="1"/>
  <c r="E230" i="9"/>
  <c r="R36" i="1"/>
  <c r="R47" i="1"/>
  <c r="R41" i="1"/>
  <c r="R11" i="1"/>
  <c r="R19" i="1"/>
  <c r="R115" i="1"/>
  <c r="V230" i="1"/>
  <c r="V89" i="1"/>
  <c r="V90" i="1"/>
  <c r="V91" i="1"/>
  <c r="V92" i="1"/>
  <c r="V93" i="1"/>
  <c r="V94" i="1"/>
  <c r="V235" i="1"/>
  <c r="V234" i="1"/>
  <c r="V238" i="1"/>
  <c r="V239" i="1"/>
  <c r="V240" i="1"/>
  <c r="V237" i="1"/>
  <c r="V137" i="1"/>
  <c r="V199" i="1"/>
  <c r="V2" i="1"/>
  <c r="V201" i="1"/>
  <c r="V219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226" i="1"/>
  <c r="V197" i="1"/>
  <c r="V115" i="1"/>
  <c r="V143" i="1"/>
  <c r="V228" i="1"/>
  <c r="V131" i="1"/>
  <c r="V12" i="1"/>
  <c r="V13" i="1"/>
  <c r="V146" i="1"/>
  <c r="V144" i="1"/>
  <c r="V14" i="1"/>
  <c r="V15" i="1"/>
  <c r="V162" i="1"/>
  <c r="V222" i="1"/>
  <c r="V16" i="1"/>
  <c r="V211" i="1"/>
  <c r="V223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221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49" i="1"/>
  <c r="V50" i="1"/>
  <c r="V227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190" i="1"/>
  <c r="V70" i="1"/>
  <c r="V71" i="1"/>
  <c r="V72" i="1"/>
  <c r="V224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229" i="1"/>
  <c r="V173" i="1"/>
  <c r="V87" i="1"/>
  <c r="V192" i="1"/>
  <c r="V88" i="1"/>
  <c r="V120" i="1"/>
  <c r="V214" i="1"/>
  <c r="V188" i="1"/>
  <c r="V225" i="1"/>
  <c r="V171" i="1"/>
  <c r="V121" i="1"/>
  <c r="V163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218" i="1"/>
  <c r="V101" i="1"/>
  <c r="V177" i="1"/>
  <c r="V102" i="1"/>
  <c r="V168" i="1"/>
  <c r="V180" i="1"/>
  <c r="V103" i="1"/>
  <c r="V212" i="1"/>
  <c r="V213" i="1"/>
  <c r="V104" i="1"/>
  <c r="V134" i="1"/>
  <c r="V105" i="1"/>
  <c r="V220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R83" i="1"/>
  <c r="R142" i="1"/>
  <c r="R10" i="1"/>
  <c r="R230" i="1"/>
  <c r="S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E228" i="9"/>
  <c r="E229" i="9"/>
  <c r="R68" i="1"/>
  <c r="R197" i="1"/>
  <c r="R74" i="1"/>
  <c r="R148" i="1"/>
  <c r="R171" i="1"/>
  <c r="R198" i="1"/>
  <c r="R147" i="1"/>
  <c r="R95" i="1"/>
  <c r="R45" i="1"/>
  <c r="R229" i="1"/>
  <c r="S229" i="1" s="1"/>
  <c r="R227" i="1"/>
  <c r="R226" i="1"/>
  <c r="R225" i="1"/>
  <c r="R224" i="1"/>
  <c r="R223" i="1"/>
  <c r="R186" i="1"/>
  <c r="R59" i="1"/>
  <c r="R151" i="1"/>
  <c r="R71" i="1"/>
  <c r="R100" i="1"/>
  <c r="R24" i="1"/>
  <c r="R91" i="1"/>
  <c r="R173" i="1"/>
  <c r="R85" i="1"/>
  <c r="R138" i="1"/>
  <c r="R119" i="1"/>
  <c r="R28" i="1"/>
  <c r="R145" i="1"/>
  <c r="R58" i="1"/>
  <c r="R96" i="1"/>
  <c r="R234" i="1"/>
  <c r="R122" i="1"/>
  <c r="R67" i="1"/>
  <c r="R99" i="1"/>
  <c r="R84" i="1"/>
  <c r="R8" i="1"/>
  <c r="R82" i="1"/>
  <c r="R222" i="1"/>
  <c r="R221" i="1"/>
  <c r="R220" i="1"/>
  <c r="R219" i="1"/>
  <c r="R196" i="1"/>
  <c r="R50" i="1"/>
  <c r="R131" i="1"/>
  <c r="R26" i="1"/>
  <c r="R178" i="1"/>
  <c r="R69" i="1"/>
  <c r="R139" i="1"/>
  <c r="R40" i="1"/>
  <c r="R51" i="1"/>
  <c r="R32" i="1"/>
  <c r="R92" i="1"/>
  <c r="R169" i="1"/>
  <c r="R121" i="1"/>
  <c r="R3" i="1"/>
  <c r="R7" i="1"/>
  <c r="R170" i="1"/>
  <c r="R164" i="1"/>
  <c r="R34" i="1"/>
  <c r="R228" i="1"/>
  <c r="S228" i="1" s="1"/>
  <c r="R213" i="1"/>
  <c r="R212" i="1"/>
  <c r="R211" i="1"/>
  <c r="R70" i="1"/>
  <c r="R162" i="1"/>
  <c r="R76" i="1"/>
  <c r="R158" i="1"/>
  <c r="R105" i="1"/>
  <c r="E57" i="9"/>
  <c r="E65" i="9"/>
  <c r="E67" i="9"/>
  <c r="E64" i="9"/>
  <c r="E68" i="9"/>
  <c r="E4" i="9"/>
  <c r="E60" i="9"/>
  <c r="E66" i="9"/>
  <c r="E63" i="9"/>
  <c r="E69" i="9"/>
  <c r="R214" i="1"/>
  <c r="R215" i="1"/>
  <c r="R218" i="1"/>
  <c r="R217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56" i="1"/>
  <c r="R133" i="1"/>
  <c r="R130" i="1"/>
  <c r="R135" i="1"/>
  <c r="R163" i="1"/>
  <c r="R13" i="1"/>
  <c r="R200" i="1"/>
  <c r="R17" i="1"/>
  <c r="R52" i="1"/>
  <c r="R98" i="1"/>
  <c r="R104" i="1"/>
  <c r="R15" i="1"/>
  <c r="R73" i="1"/>
  <c r="R187" i="1"/>
  <c r="R116" i="1"/>
  <c r="R2" i="1"/>
  <c r="R181" i="1"/>
  <c r="R63" i="1"/>
  <c r="R30" i="1"/>
  <c r="R44" i="1"/>
  <c r="R176" i="1"/>
  <c r="R123" i="1"/>
  <c r="R155" i="1"/>
  <c r="R199" i="1"/>
  <c r="R179" i="1"/>
  <c r="R87" i="1"/>
  <c r="R60" i="1"/>
  <c r="R124" i="1"/>
  <c r="R5" i="1"/>
  <c r="R192" i="1"/>
  <c r="R153" i="1"/>
  <c r="R27" i="1"/>
  <c r="R46" i="1"/>
  <c r="R159" i="1"/>
  <c r="R149" i="1"/>
  <c r="R54" i="1"/>
  <c r="R144" i="1"/>
  <c r="R152" i="1"/>
  <c r="R114" i="1"/>
  <c r="R184" i="1"/>
  <c r="R61" i="1"/>
  <c r="C12" i="6"/>
  <c r="R12" i="1"/>
  <c r="R6" i="1"/>
  <c r="R72" i="1"/>
  <c r="R109" i="1"/>
  <c r="R49" i="1"/>
  <c r="R57" i="1"/>
  <c r="R81" i="1"/>
  <c r="R42" i="1"/>
  <c r="R29" i="1"/>
  <c r="R64" i="1"/>
  <c r="R120" i="1"/>
  <c r="R94" i="1"/>
  <c r="R160" i="1"/>
  <c r="R39" i="1"/>
  <c r="R88" i="1"/>
  <c r="R132" i="1"/>
  <c r="R118" i="1"/>
  <c r="R75" i="1"/>
  <c r="R80" i="1"/>
  <c r="R66" i="1"/>
  <c r="R77" i="1"/>
  <c r="R14" i="1"/>
  <c r="R134" i="1"/>
  <c r="R127" i="1"/>
  <c r="R180" i="1"/>
  <c r="R23" i="1"/>
  <c r="R146" i="1"/>
  <c r="R201" i="1"/>
  <c r="R103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S235" i="1" l="1"/>
  <c r="S239" i="1"/>
  <c r="S238" i="1"/>
  <c r="S240" i="1"/>
  <c r="S237" i="1"/>
  <c r="S234" i="1"/>
  <c r="S213" i="1"/>
  <c r="S212" i="1"/>
  <c r="C17" i="6"/>
  <c r="C11" i="6"/>
  <c r="B18" i="6"/>
  <c r="C5" i="6" l="1"/>
  <c r="C4" i="6" s="1"/>
  <c r="C6" i="6"/>
</calcChain>
</file>

<file path=xl/sharedStrings.xml><?xml version="1.0" encoding="utf-8"?>
<sst xmlns="http://schemas.openxmlformats.org/spreadsheetml/2006/main" count="2657" uniqueCount="1311">
  <si>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</si>
  <si>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</si>
  <si>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</si>
  <si>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</si>
  <si>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</si>
  <si>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</si>
  <si>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</si>
  <si>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</si>
  <si>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</si>
  <si>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</si>
  <si>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</si>
  <si>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</si>
  <si>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</si>
  <si>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</si>
  <si>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</si>
  <si>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</si>
  <si>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</si>
  <si>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</si>
  <si>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</si>
  <si>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</si>
  <si>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</si>
  <si>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</si>
  <si>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</si>
  <si>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#仟乃宮紫狼</t>
    <phoneticPr fontId="1"/>
  </si>
  <si>
    <t>猫垣一姫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</si>
  <si>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</si>
  <si>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</si>
  <si>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</si>
  <si>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</si>
  <si>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</si>
  <si>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</si>
  <si>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</si>
  <si>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</si>
  <si>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</si>
  <si>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</si>
  <si>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</si>
  <si>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</si>
  <si>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</si>
  <si>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</si>
  <si>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#拡音シャノン</t>
    <phoneticPr fontId="1"/>
  </si>
  <si>
    <t>取音テア</t>
    <phoneticPr fontId="1"/>
  </si>
  <si>
    <t>https://amiseniamnu.wixsite.com/amisenia</t>
    <phoneticPr fontId="1"/>
  </si>
  <si>
    <t>#取音テア</t>
    <phoneticPr fontId="1"/>
  </si>
  <si>
    <t>https://bellsworks.wixsite.com/bellsworks</t>
    <phoneticPr fontId="1"/>
  </si>
  <si>
    <t>#べるずわーくす</t>
    <phoneticPr fontId="1"/>
  </si>
  <si>
    <t>​弦音ステラ</t>
  </si>
  <si>
    <t>歌為にーと</t>
    <phoneticPr fontId="1"/>
  </si>
  <si>
    <t>#きのみあーと</t>
    <phoneticPr fontId="1"/>
  </si>
  <si>
    <t>キ音キネ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</si>
  <si>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</si>
  <si>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</si>
  <si>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</si>
  <si>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</si>
  <si>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#闇塚亭</t>
    <phoneticPr fontId="1"/>
  </si>
  <si>
    <t>闇塚黒逸</t>
    <phoneticPr fontId="1"/>
  </si>
  <si>
    <t>https://chaka000.wixsite.com/chaka</t>
    <phoneticPr fontId="1"/>
  </si>
  <si>
    <t>#御茶と歌</t>
    <phoneticPr fontId="1"/>
  </si>
  <si>
    <t>https://chunyinhui021.wixsite.com/mutyuusaisei</t>
    <phoneticPr fontId="1"/>
  </si>
  <si>
    <t>#無中彩声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</si>
  <si>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</si>
  <si>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</si>
  <si>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</si>
  <si>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</si>
  <si>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</si>
  <si>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</si>
  <si>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</si>
  <si>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</si>
  <si>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</si>
  <si>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</si>
  <si>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</si>
  <si>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</si>
  <si>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</si>
  <si>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https://hznonoka.wixsite.com/utau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</si>
  <si>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</si>
  <si>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</si>
  <si>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</si>
  <si>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</si>
  <si>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</si>
  <si>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</si>
  <si>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</si>
  <si>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</si>
  <si>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</si>
  <si>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</si>
  <si>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</si>
  <si>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</si>
  <si>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</si>
  <si>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</si>
  <si>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</si>
  <si>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</si>
  <si>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#花撫シオン</t>
    <phoneticPr fontId="1"/>
  </si>
  <si>
    <t>https://kaitoramma.chu.jp</t>
    <phoneticPr fontId="1"/>
  </si>
  <si>
    <t>#空音絵巻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</si>
  <si>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</si>
  <si>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</si>
  <si>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</si>
  <si>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</si>
  <si>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</si>
  <si>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</si>
  <si>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</si>
  <si>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</si>
  <si>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</si>
  <si>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</si>
  <si>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</si>
  <si>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https://kasaneteto.jp</t>
    <phoneticPr fontId="1"/>
  </si>
  <si>
    <t>#重音テッド</t>
    <phoneticPr fontId="1"/>
  </si>
  <si>
    <t>重音テト</t>
    <phoneticPr fontId="1"/>
  </si>
  <si>
    <t>#重音テト</t>
    <phoneticPr fontId="1"/>
  </si>
  <si>
    <t>京音ロン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</si>
  <si>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</si>
  <si>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</si>
  <si>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</si>
  <si>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</si>
  <si>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</si>
  <si>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</si>
  <si>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</si>
  <si>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</si>
  <si>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</si>
  <si>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</si>
  <si>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</si>
  <si>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</si>
  <si>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</si>
  <si>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</si>
  <si>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https://lenskkpb.wixsite.com/len-sakaki-official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</si>
  <si>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</si>
  <si>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</si>
  <si>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</si>
  <si>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</si>
  <si>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</si>
  <si>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</si>
  <si>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</si>
  <si>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</si>
  <si>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</si>
  <si>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</si>
  <si>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</si>
  <si>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</si>
  <si>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</si>
  <si>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</si>
  <si>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</si>
  <si>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</si>
  <si>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</si>
  <si>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</si>
  <si>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</si>
  <si>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</si>
  <si>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</si>
  <si>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</si>
  <si>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</si>
  <si>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</si>
  <si>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</si>
  <si>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</si>
  <si>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</si>
  <si>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</si>
  <si>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</si>
  <si>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</si>
  <si>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</si>
  <si>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</si>
  <si>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</si>
  <si>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</si>
  <si>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</si>
  <si>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https://nananasyrup.wixsite.com/13kka</t>
    <phoneticPr fontId="1"/>
  </si>
  <si>
    <t>#いちみっか</t>
    <phoneticPr fontId="1"/>
  </si>
  <si>
    <t>揺音リオ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</si>
  <si>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</si>
  <si>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</si>
  <si>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</si>
  <si>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</si>
  <si>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</si>
  <si>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</si>
  <si>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</si>
  <si>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</si>
  <si>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</si>
  <si>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</si>
  <si>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</si>
  <si>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</si>
  <si>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</si>
  <si>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​四方通ニチ</t>
    <phoneticPr fontId="1"/>
  </si>
  <si>
    <t>創星宙</t>
    <rPh sb="0" eb="3">
      <t>キズボシソラ</t>
    </rPh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</si>
  <si>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</si>
  <si>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</si>
  <si>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</si>
  <si>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</si>
  <si>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</si>
  <si>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</si>
  <si>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</si>
  <si>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</si>
  <si>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</si>
  <si>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#星河ティア</t>
    <phoneticPr fontId="1"/>
  </si>
  <si>
    <t>星河フレア</t>
    <rPh sb="0" eb="2">
      <t>ホシカワ</t>
    </rPh>
    <phoneticPr fontId="1"/>
  </si>
  <si>
    <t>#星河フレア</t>
    <phoneticPr fontId="1"/>
  </si>
  <si>
    <t>星雲アマト</t>
    <phoneticPr fontId="1"/>
  </si>
  <si>
    <t>https://offlamingo21.wixsite.com/amato-seiun</t>
    <phoneticPr fontId="1"/>
  </si>
  <si>
    <t>#星雲アマト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</si>
  <si>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</si>
  <si>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</si>
  <si>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</si>
  <si>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雨音うさぎ</t>
    <phoneticPr fontId="1"/>
  </si>
  <si>
    <t>https://sabaneko.amebaownd.com</t>
    <phoneticPr fontId="1"/>
  </si>
  <si>
    <t>#雨音うさぎ</t>
    <phoneticPr fontId="1"/>
  </si>
  <si>
    <t>アニマ・ライツハット</t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</si>
  <si>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</si>
  <si>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</si>
  <si>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</si>
  <si>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</si>
  <si>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</si>
  <si>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</si>
  <si>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</si>
  <si>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</si>
  <si>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</si>
  <si>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</si>
  <si>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</si>
  <si>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</si>
  <si>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</si>
  <si>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</si>
  <si>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</si>
  <si>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</si>
  <si>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</si>
  <si>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</si>
  <si>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</si>
  <si>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</si>
  <si>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</si>
  <si>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</si>
  <si>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</si>
  <si>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</si>
  <si>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</si>
  <si>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</si>
  <si>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https://suihankinonaka.wixsite.com/my-site-1</t>
    <phoneticPr fontId="1"/>
  </si>
  <si>
    <t>#お米炊けたよ</t>
    <phoneticPr fontId="1"/>
  </si>
  <si>
    <t>眠井ヨウ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</si>
  <si>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</si>
  <si>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</si>
  <si>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</si>
  <si>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花鶏音ひわ</t>
  </si>
  <si>
    <t>https://torinosu-hikikomori.jimdofree.com</t>
    <phoneticPr fontId="1"/>
  </si>
  <si>
    <t>#ひわわーアラート</t>
    <phoneticPr fontId="1"/>
  </si>
  <si>
    <t>オーロク&amp;小六郎</t>
  </si>
  <si>
    <t>泡沫紬</t>
  </si>
  <si>
    <t>https://tourist100f.wixsite.com/utakata-kosyo</t>
    <phoneticPr fontId="1"/>
  </si>
  <si>
    <t>#泡沫古書店</t>
    <phoneticPr fontId="1"/>
  </si>
  <si>
    <t>夢路語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</si>
  <si>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</si>
  <si>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</si>
  <si>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</si>
  <si>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芳歌ノト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</si>
  <si>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</si>
  <si>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</si>
  <si>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</si>
  <si>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</si>
  <si>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</si>
  <si>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</si>
  <si>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天使ふあわ</t>
  </si>
  <si>
    <t>https://utausuzuminnya.jimdofree.com</t>
    <phoneticPr fontId="1"/>
  </si>
  <si>
    <t>#ふあわあーと</t>
    <phoneticPr fontId="1"/>
  </si>
  <si>
    <t>苺愛みゅみゅ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</si>
  <si>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</si>
  <si>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</si>
  <si>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</si>
  <si>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</si>
  <si>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</si>
  <si>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</si>
  <si>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</si>
  <si>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</si>
  <si>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</si>
  <si>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Mx.Dream</t>
    <phoneticPr fontId="1"/>
  </si>
  <si>
    <t>https://witchdoll.jimdofree.com</t>
    <phoneticPr fontId="1"/>
  </si>
  <si>
    <t>#きちゃーと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</si>
  <si>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</si>
  <si>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</si>
  <si>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</si>
  <si>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</si>
  <si>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</si>
  <si>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</si>
  <si>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https://www.postype.com/@utau-deepvocal-dalso</t>
    <phoneticPr fontId="1"/>
  </si>
  <si>
    <t>#円音春二ノ前</t>
    <phoneticPr fontId="1"/>
  </si>
  <si>
    <t>https://yukiichik.wixsite.com/kokofool/utau</t>
    <phoneticPr fontId="1"/>
  </si>
  <si>
    <t>#KODOMEROIDO</t>
    <phoneticPr fontId="1"/>
  </si>
  <si>
    <t>唄音ウタ(デフォ子)</t>
    <rPh sb="8" eb="9">
      <t>コ</t>
    </rPh>
    <phoneticPr fontId="1"/>
  </si>
  <si>
    <t>#デフォ子</t>
    <phoneticPr fontId="1"/>
  </si>
  <si>
    <t>#そらいろマーチ</t>
    <phoneticPr fontId="1"/>
  </si>
  <si>
    <t>鍵合スズ</t>
  </si>
  <si>
    <t>覗キ視炉</t>
    <phoneticPr fontId="1"/>
  </si>
  <si>
    <t>-</t>
    <phoneticPr fontId="1"/>
  </si>
  <si>
    <t>欲音ルコ</t>
    <phoneticPr fontId="1"/>
  </si>
  <si>
    <t>#欲音ルコ</t>
    <phoneticPr fontId="1"/>
  </si>
  <si>
    <t>鈴音リオン</t>
    <phoneticPr fontId="1"/>
  </si>
  <si>
    <t>鈴音シオン</t>
    <phoneticPr fontId="1"/>
  </si>
  <si>
    <t>鈴音ユオン</t>
    <phoneticPr fontId="1"/>
  </si>
  <si>
    <t>鈴音レオン</t>
    <phoneticPr fontId="1"/>
  </si>
  <si>
    <t>琴音コト</t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</si>
  <si>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</si>
  <si>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</si>
  <si>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</si>
  <si>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</si>
  <si>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</si>
  <si>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</si>
  <si>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</si>
  <si>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</si>
  <si>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</si>
  <si>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</si>
  <si>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</si>
  <si>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</si>
  <si>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</si>
  <si>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</si>
  <si>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</si>
  <si>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​成瀬ミオ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</si>
  <si>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</si>
  <si>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</si>
  <si>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</si>
  <si>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</si>
  <si>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</si>
  <si>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</si>
  <si>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</si>
  <si>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</si>
  <si>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</si>
  <si>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</si>
  <si>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</si>
  <si>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</si>
  <si>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</si>
  <si>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</si>
  <si>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</si>
  <si>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</si>
  <si>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</si>
  <si>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#芯零須キシル</t>
    <phoneticPr fontId="1"/>
  </si>
  <si>
    <t>空音こだま</t>
    <phoneticPr fontId="1"/>
  </si>
  <si>
    <t>空音響</t>
    <phoneticPr fontId="1"/>
  </si>
  <si>
    <t>KuragE</t>
    <phoneticPr fontId="1"/>
  </si>
  <si>
    <t>くらげ</t>
    <phoneticPr fontId="1"/>
  </si>
  <si>
    <t>Kurage</t>
    <phoneticPr fontId="1"/>
  </si>
  <si>
    <t>籠詞鮫</t>
    <phoneticPr fontId="1"/>
  </si>
  <si>
    <t>曖米めろり</t>
    <phoneticPr fontId="1"/>
  </si>
  <si>
    <t>客寄せRiley</t>
    <phoneticPr fontId="1"/>
  </si>
  <si>
    <t>https://bowlroll.net/user/980255</t>
    <phoneticPr fontId="1"/>
  </si>
  <si>
    <t>ドット・ペル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</si>
  <si>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</si>
  <si>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</si>
  <si>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</si>
  <si>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</si>
  <si>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学静ショウ</t>
    <phoneticPr fontId="1"/>
  </si>
  <si>
    <t>https://bowlroll.net/file/336695</t>
    <phoneticPr fontId="1"/>
  </si>
  <si>
    <t>#学静出席簿</t>
    <phoneticPr fontId="1"/>
  </si>
  <si>
    <t>https://bowlroll.net/user/700434</t>
    <phoneticPr fontId="1"/>
  </si>
  <si>
    <t>悪戯清子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</si>
  <si>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</si>
  <si>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</si>
  <si>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</si>
  <si>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</si>
  <si>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</si>
  <si>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</si>
  <si>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</si>
  <si>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</si>
  <si>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</si>
  <si>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飴彩ねるね</t>
    <phoneticPr fontId="1"/>
  </si>
  <si>
    <t>形亡ズゥ</t>
    <phoneticPr fontId="1"/>
  </si>
  <si>
    <t>たむら しゅん</t>
  </si>
  <si>
    <t>Tamura Shun</t>
  </si>
  <si>
    <t>#めんのこ</t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</si>
  <si>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</si>
  <si>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</si>
  <si>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</si>
  <si>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</si>
  <si>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</si>
  <si>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レイイチロウ</t>
    <phoneticPr fontId="1"/>
  </si>
  <si>
    <t>れいいちろう</t>
    <phoneticPr fontId="1"/>
  </si>
  <si>
    <t>Reiichiro</t>
    <phoneticPr fontId="1"/>
  </si>
  <si>
    <t>Wilbur</t>
    <phoneticPr fontId="1"/>
  </si>
  <si>
    <t>うぃるばー</t>
    <phoneticPr fontId="1"/>
  </si>
  <si>
    <t>九作：Ｑ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</si>
  <si>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</si>
  <si>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</si>
  <si>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</si>
  <si>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</si>
  <si>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</si>
  <si>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</si>
  <si>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</si>
  <si>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</si>
  <si>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</si>
  <si>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</si>
  <si>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</si>
  <si>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</si>
  <si>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</si>
  <si>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https://mashimo0330.wixsite.com/awaka-utau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</si>
  <si>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</si>
  <si>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</si>
  <si>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</si>
  <si>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</si>
  <si>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</si>
  <si>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</si>
  <si>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</si>
  <si>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</si>
  <si>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</si>
  <si>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</si>
  <si>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https://ametro.jimdofree.com</t>
    <phoneticPr fontId="1"/>
  </si>
  <si>
    <t>#ぞんび線CB</t>
    <phoneticPr fontId="1"/>
  </si>
  <si>
    <t>澳音ぱす</t>
    <phoneticPr fontId="1"/>
  </si>
  <si>
    <t>https://teapartyandmugshelf.wixsite.com/my-site-1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</si>
  <si>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</si>
  <si>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</si>
  <si>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</si>
  <si>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</si>
  <si>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</si>
  <si>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</si>
  <si>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</si>
  <si>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マック音サイ</t>
    <phoneticPr fontId="1"/>
  </si>
  <si>
    <t>https://www.mackhouse-soft.com</t>
    <phoneticPr fontId="1"/>
  </si>
  <si>
    <t>マック音ヒトキ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</si>
  <si>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</si>
  <si>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</si>
  <si>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</si>
  <si>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</si>
  <si>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</si>
  <si>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</si>
  <si>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</si>
  <si>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</si>
  <si>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</si>
  <si>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</si>
  <si>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</si>
  <si>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</si>
  <si>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</si>
  <si>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</si>
  <si>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</si>
  <si>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飯音モグ</t>
    <phoneticPr fontId="1"/>
  </si>
  <si>
    <t>https://bowlroll.net/file/333777</t>
    <phoneticPr fontId="1"/>
  </si>
  <si>
    <t>青葉アオ</t>
    <phoneticPr fontId="1"/>
  </si>
  <si>
    <t>http://shadeofgreen.web.fc2.com</t>
    <phoneticPr fontId="1"/>
  </si>
  <si>
    <t xml:space="preserve">#玖夏参伏 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</si>
  <si>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</si>
  <si>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</si>
  <si>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</si>
  <si>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</si>
  <si>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</si>
  <si>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</si>
  <si>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</si>
  <si>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クリノクロア</t>
    <phoneticPr fontId="1"/>
  </si>
  <si>
    <t>くりのくろあ</t>
    <phoneticPr fontId="1"/>
  </si>
  <si>
    <t>Clinochlore</t>
    <phoneticPr fontId="1"/>
  </si>
  <si>
    <t>八雲しお</t>
    <phoneticPr fontId="1"/>
  </si>
  <si>
    <t>https://makurakue.wixsite.com/kemononokemono</t>
    <phoneticPr fontId="1"/>
  </si>
  <si>
    <t>#けもののけもの</t>
    <phoneticPr fontId="1"/>
  </si>
  <si>
    <t>不知英</t>
    <phoneticPr fontId="1"/>
  </si>
  <si>
    <t>https://ma2bana7.wixsite.com/sssr</t>
    <phoneticPr fontId="1"/>
  </si>
  <si>
    <t>刹葬セツリ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</si>
  <si>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</si>
  <si>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</si>
  <si>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</si>
  <si>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</si>
  <si>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轟雪マチ丸</t>
    <phoneticPr fontId="1"/>
  </si>
  <si>
    <t>#轟雪マチ丸</t>
    <phoneticPr fontId="1"/>
  </si>
  <si>
    <t>飴唄ニム</t>
    <phoneticPr fontId="1"/>
  </si>
  <si>
    <t>飴唄ニレチ</t>
    <phoneticPr fontId="1"/>
  </si>
  <si>
    <t>ウフーロ・ジョホマウ・シフショ</t>
    <phoneticPr fontId="1"/>
  </si>
  <si>
    <t>Silver Destrudo</t>
    <phoneticPr fontId="1"/>
  </si>
  <si>
    <t>https://yukimiyashimusho.jimdofree.com</t>
    <phoneticPr fontId="1"/>
  </si>
  <si>
    <t>#行宮事務所</t>
    <phoneticPr fontId="1"/>
  </si>
  <si>
    <t>霜咲れあに</t>
    <phoneticPr fontId="1"/>
  </si>
  <si>
    <t>吟児</t>
    <phoneticPr fontId="1"/>
  </si>
  <si>
    <t>Ginji</t>
    <phoneticPr fontId="1"/>
  </si>
  <si>
    <t>ぎんじ</t>
    <phoneticPr fontId="1"/>
  </si>
  <si>
    <t>https://yautau.wixsite.com/0909</t>
    <phoneticPr fontId="1"/>
  </si>
  <si>
    <t>https://osomatsu-poid.wixsite.com/konari-san-chi</t>
    <phoneticPr fontId="1"/>
  </si>
  <si>
    <t>狐鳴琴陽</t>
    <phoneticPr fontId="1"/>
  </si>
  <si>
    <t>#狐鳴さんち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</si>
  <si>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</si>
  <si>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</si>
  <si>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</si>
  <si>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</si>
  <si>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#喜怒哀ROCK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</si>
  <si>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</si>
  <si>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</si>
  <si>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</si>
  <si>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</si>
  <si>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榊れを</t>
    <phoneticPr fontId="1"/>
  </si>
  <si>
    <t>天辻雷</t>
    <phoneticPr fontId="1"/>
  </si>
  <si>
    <t>​地守葉風</t>
    <phoneticPr fontId="1"/>
  </si>
  <si>
    <t>六弦エレキ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</si>
  <si>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</si>
  <si>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</si>
  <si>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</si>
  <si>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</si>
  <si>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</si>
  <si>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</si>
  <si>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</si>
  <si>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</si>
  <si>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</si>
  <si>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https://inumokoco.wixsite.com/sleep-church</t>
    <phoneticPr fontId="1"/>
  </si>
  <si>
    <t>#楽園の子守唄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</si>
  <si>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</si>
  <si>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</si>
  <si>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</si>
  <si>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</si>
  <si>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</si>
  <si>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列1</t>
  </si>
  <si>
    <t>列2</t>
  </si>
  <si>
    <t>波音リツ</t>
    <phoneticPr fontId="1"/>
  </si>
  <si>
    <t>https://www.canon-voice.com</t>
    <phoneticPr fontId="1"/>
  </si>
  <si>
    <t>#波音リツ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</si>
  <si>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</si>
  <si>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</si>
  <si>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</si>
  <si>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</si>
  <si>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</si>
  <si>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</si>
  <si>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</si>
  <si>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</si>
  <si>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</si>
  <si>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</si>
  <si>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</si>
  <si>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</si>
  <si>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</si>
  <si>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</si>
  <si>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</si>
  <si>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</si>
  <si>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</si>
  <si>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</si>
  <si>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</si>
  <si>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</si>
  <si>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</si>
  <si>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</si>
  <si>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</si>
  <si>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</si>
  <si>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</si>
  <si>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</si>
  <si>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</si>
  <si>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</si>
  <si>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</si>
  <si>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</si>
  <si>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</si>
  <si>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</si>
  <si>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</si>
  <si>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</si>
  <si>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</si>
  <si>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</si>
  <si>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</si>
  <si>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</si>
  <si>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</si>
  <si>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</si>
  <si>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</si>
  <si>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</si>
  <si>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</si>
  <si>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</si>
  <si>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</si>
  <si>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</si>
  <si>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</si>
  <si>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https://todosho1192.wixsite.com/my-site-3</t>
    <phoneticPr fontId="1"/>
  </si>
  <si>
    <t>緑音翡翠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</si>
  <si>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</si>
  <si>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</si>
  <si>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</si>
  <si>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</si>
  <si>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</si>
  <si>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</si>
  <si>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</si>
  <si>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</si>
  <si>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</si>
  <si>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</si>
  <si>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</si>
  <si>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</si>
  <si>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</si>
  <si>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</si>
  <si>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</si>
  <si>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</si>
  <si>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</si>
  <si>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</si>
  <si>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</si>
  <si>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</si>
  <si>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</si>
  <si>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​星音ななし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</si>
  <si>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</si>
  <si>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</si>
  <si>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</si>
  <si>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</si>
  <si>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創音みか</t>
    <phoneticPr fontId="1"/>
  </si>
  <si>
    <t>寺戸ラヴ</t>
    <phoneticPr fontId="1"/>
  </si>
  <si>
    <t>寺永十逸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</si>
  <si>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</si>
  <si>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</si>
  <si>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</si>
  <si>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</si>
  <si>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申暋慧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</si>
  <si>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</si>
  <si>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</si>
  <si>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</si>
  <si>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</si>
  <si>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</si>
  <si>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</si>
  <si>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</si>
  <si>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</si>
  <si>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</si>
  <si>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</si>
  <si>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</si>
  <si>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</si>
  <si>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</si>
  <si>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</si>
  <si>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</si>
  <si>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</si>
  <si>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</si>
  <si>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</si>
  <si>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</si>
  <si>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</si>
  <si>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</si>
  <si>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</si>
  <si>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</si>
  <si>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</si>
  <si>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</si>
  <si>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</si>
  <si>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</si>
  <si>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</si>
  <si>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</si>
  <si>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</si>
  <si>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</si>
  <si>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</si>
  <si>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</si>
  <si>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</si>
  <si>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</si>
  <si>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</si>
  <si>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</si>
  <si>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</si>
  <si>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</si>
  <si>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</si>
  <si>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</si>
  <si>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</si>
  <si>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</si>
  <si>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</si>
  <si>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|画像</t>
  </si>
  <si>
    <t>|名前</t>
  </si>
  <si>
    <t>|なまえ</t>
  </si>
  <si>
    <t>|Name</t>
  </si>
  <si>
    <t>|キャラクター情報リンク|</t>
  </si>
  <si>
    <t>アスター・フローレス</t>
    <phoneticPr fontId="1"/>
  </si>
  <si>
    <t>Aster・Flores</t>
    <phoneticPr fontId="1"/>
  </si>
  <si>
    <t>宵月未雲</t>
    <phoneticPr fontId="1"/>
  </si>
  <si>
    <t>姜運心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</si>
  <si>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</si>
  <si>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</si>
  <si>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</si>
  <si>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</si>
  <si>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</si>
  <si>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</si>
  <si>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</si>
  <si>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</si>
  <si>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通音トオ</t>
    <phoneticPr fontId="1"/>
  </si>
  <si>
    <t>https://toooru421.booth.pm/items/8151791</t>
    <phoneticPr fontId="1"/>
  </si>
  <si>
    <t>不破マリア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</si>
  <si>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</si>
  <si>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</si>
  <si>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</si>
  <si>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</si>
  <si>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</si>
  <si>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</si>
  <si>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</si>
  <si>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</si>
  <si>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</si>
  <si>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</si>
  <si>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</si>
  <si>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</si>
  <si>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</si>
  <si>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</si>
  <si>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</si>
  <si>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</si>
  <si>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</si>
  <si>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</si>
  <si>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</si>
  <si>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</si>
  <si>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</si>
  <si>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</si>
  <si>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</si>
  <si>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</si>
  <si>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</si>
  <si>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</si>
  <si>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鬼</t>
    <rPh sb="0" eb="1">
      <t>オニ</t>
    </rPh>
    <phoneticPr fontId="1"/>
  </si>
  <si>
    <t>人間</t>
    <rPh sb="0" eb="2">
      <t>ニンゲン</t>
    </rPh>
    <phoneticPr fontId="1"/>
  </si>
  <si>
    <t>バーチャル</t>
  </si>
  <si>
    <t>バーチャル</t>
    <phoneticPr fontId="1"/>
  </si>
  <si>
    <t>機械</t>
    <rPh sb="0" eb="2">
      <t>キカイ</t>
    </rPh>
    <phoneticPr fontId="1"/>
  </si>
  <si>
    <t>女性</t>
    <phoneticPr fontId="1"/>
  </si>
  <si>
    <t>不明</t>
  </si>
  <si>
    <t>無性別</t>
  </si>
  <si>
    <t>人形</t>
    <rPh sb="0" eb="2">
      <t>ニンギョウ</t>
    </rPh>
    <phoneticPr fontId="1"/>
  </si>
  <si>
    <t>吸血鬼</t>
  </si>
  <si>
    <t>フィギュア</t>
    <phoneticPr fontId="1"/>
  </si>
  <si>
    <t>天使</t>
    <rPh sb="0" eb="2">
      <t>テンシ</t>
    </rPh>
    <phoneticPr fontId="1"/>
  </si>
  <si>
    <t>https://ameutaulii.wixsite.com/telepathycapsule</t>
  </si>
  <si>
    <t>人魚</t>
    <rPh sb="0" eb="2">
      <t>ニンギョ</t>
    </rPh>
    <phoneticPr fontId="1"/>
  </si>
  <si>
    <t>堕天使</t>
    <rPh sb="0" eb="3">
      <t>ダテンシ</t>
    </rPh>
    <phoneticPr fontId="1"/>
  </si>
  <si>
    <t>いるやるい</t>
    <phoneticPr fontId="1"/>
  </si>
  <si>
    <t>https://lclcofficial6565.wixsite.com/lclc</t>
    <phoneticPr fontId="1"/>
  </si>
  <si>
    <t>#LCLCみてみて</t>
    <phoneticPr fontId="1"/>
  </si>
  <si>
    <t>刃華音メタ</t>
    <phoneticPr fontId="1"/>
  </si>
  <si>
    <t>​https://kagerou009.hatenablog.com</t>
    <phoneticPr fontId="1"/>
  </si>
  <si>
    <t>#夕焼け研究所</t>
    <phoneticPr fontId="1"/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</si>
  <si>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</si>
  <si>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</si>
  <si>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さすらいのユーフォリア</t>
    <phoneticPr fontId="1"/>
  </si>
  <si>
    <t>さすらいのゆーふぉりあ</t>
    <phoneticPr fontId="1"/>
  </si>
  <si>
    <t>#ムジカの友人たち</t>
    <phoneticPr fontId="1"/>
  </si>
  <si>
    <t>https://pessieuph.wixsite.com/meusycaseuphoria</t>
    <phoneticPr fontId="1"/>
  </si>
  <si>
    <t>主音サラサ</t>
    <phoneticPr fontId="1"/>
  </si>
  <si>
    <t>https://arujinesarasa.wixsite.com/official</t>
    <phoneticPr fontId="1"/>
  </si>
  <si>
    <t>#主音サラサ</t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</si>
  <si>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</si>
  <si>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</si>
  <si>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</si>
  <si>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https://www.mizuiro.info/amagaelu</t>
    <phoneticPr fontId="1"/>
  </si>
  <si>
    <t>#雨歌エル</t>
    <phoneticPr fontId="1"/>
  </si>
  <si>
    <t>鳴上キョウ</t>
    <phoneticPr fontId="1"/>
  </si>
  <si>
    <t>https://sites.google.com/view/arcobaleno-utau/home</t>
    <phoneticPr fontId="1"/>
  </si>
  <si>
    <t>モチーフタグ</t>
    <phoneticPr fontId="1"/>
  </si>
  <si>
    <t>宇宙人</t>
    <rPh sb="0" eb="3">
      <t>ウチュウジン</t>
    </rPh>
    <phoneticPr fontId="1"/>
  </si>
  <si>
    <t>https://kinomihautaimas.wixsite.com/dongurihiroba</t>
    <phoneticPr fontId="1"/>
  </si>
  <si>
    <t>悪魔</t>
    <rPh sb="0" eb="2">
      <t>アクマ</t>
    </rPh>
    <phoneticPr fontId="1"/>
  </si>
  <si>
    <t>使い魔</t>
    <rPh sb="0" eb="1">
      <t>ツカ</t>
    </rPh>
    <rPh sb="2" eb="3">
      <t>マ</t>
    </rPh>
    <phoneticPr fontId="1"/>
  </si>
  <si>
    <t>ヘイロー</t>
  </si>
  <si>
    <t>#廻音怪譚</t>
  </si>
  <si>
    <t>#廻音怪譚</t>
    <phoneticPr fontId="1"/>
  </si>
  <si>
    <t>人間、機械</t>
    <rPh sb="0" eb="2">
      <t>ニンゲン</t>
    </rPh>
    <rPh sb="3" eb="5">
      <t>キカイ</t>
    </rPh>
    <phoneticPr fontId="1"/>
  </si>
  <si>
    <t>人間、天使</t>
  </si>
  <si>
    <t>故人、幽霊</t>
    <rPh sb="0" eb="2">
      <t>コジン</t>
    </rPh>
    <rPh sb="3" eb="5">
      <t>ユウレイ</t>
    </rPh>
    <phoneticPr fontId="1"/>
  </si>
  <si>
    <t>人間、人形</t>
    <rPh sb="0" eb="2">
      <t>ニンゲン</t>
    </rPh>
    <rPh sb="3" eb="5">
      <t>ニンギョウ</t>
    </rPh>
    <phoneticPr fontId="1"/>
  </si>
  <si>
    <t>バーチャル、キメラ</t>
  </si>
  <si>
    <t>人間、双子</t>
    <rPh sb="0" eb="2">
      <t>ニンゲン</t>
    </rPh>
    <phoneticPr fontId="1"/>
  </si>
  <si>
    <t>妖精、双子</t>
    <rPh sb="0" eb="2">
      <t>ヨウセイ</t>
    </rPh>
    <rPh sb="3" eb="5">
      <t>フタゴ</t>
    </rPh>
    <phoneticPr fontId="1"/>
  </si>
  <si>
    <t>妖怪、長寿</t>
    <rPh sb="0" eb="2">
      <t>ヨウカイ</t>
    </rPh>
    <rPh sb="3" eb="5">
      <t>チョウジュ</t>
    </rPh>
    <phoneticPr fontId="1"/>
  </si>
  <si>
    <t>人間、長寿</t>
    <rPh sb="0" eb="2">
      <t>ニンゲン</t>
    </rPh>
    <rPh sb="3" eb="5">
      <t>チョウジュ</t>
    </rPh>
    <phoneticPr fontId="1"/>
  </si>
  <si>
    <t>天使、長寿</t>
    <rPh sb="0" eb="2">
      <t>テンシ</t>
    </rPh>
    <rPh sb="3" eb="5">
      <t>チョウジュ</t>
    </rPh>
    <phoneticPr fontId="1"/>
  </si>
  <si>
    <t>故人、ゾンビ</t>
    <rPh sb="0" eb="2">
      <t>コジン</t>
    </rPh>
    <phoneticPr fontId="1"/>
  </si>
  <si>
    <t>人間、不老、不死、長寿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</si>
  <si>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人間、双子、故人</t>
    <rPh sb="0" eb="2">
      <t>ニンゲン</t>
    </rPh>
    <rPh sb="6" eb="8">
      <t>コジン</t>
    </rPh>
    <phoneticPr fontId="1"/>
  </si>
  <si>
    <t>灰咲囁</t>
    <phoneticPr fontId="1"/>
  </si>
  <si>
    <t>神</t>
    <rPh sb="0" eb="1">
      <t>カミ</t>
    </rPh>
    <phoneticPr fontId="1"/>
  </si>
  <si>
    <t>神、不老、不死、長寿</t>
    <rPh sb="0" eb="1">
      <t>カミ</t>
    </rPh>
    <rPh sb="2" eb="4">
      <t>フロウ</t>
    </rPh>
    <rPh sb="5" eb="7">
      <t>フシ</t>
    </rPh>
    <rPh sb="8" eb="10">
      <t>チョウジュ</t>
    </rPh>
    <phoneticPr fontId="1"/>
  </si>
  <si>
    <t>蜘渡紡</t>
    <phoneticPr fontId="1"/>
  </si>
  <si>
    <t>怪異</t>
    <phoneticPr fontId="1"/>
  </si>
  <si>
    <t>霹靂っぽいぜ</t>
    <phoneticPr fontId="1"/>
  </si>
  <si>
    <t>はたたっぽいぜ</t>
    <phoneticPr fontId="1"/>
  </si>
  <si>
    <t>Hatatappoize</t>
    <phoneticPr fontId="1"/>
  </si>
  <si>
    <t>バーチャル、双子</t>
    <rPh sb="6" eb="8">
      <t>フタゴ</t>
    </rPh>
    <phoneticPr fontId="1"/>
  </si>
  <si>
    <t>怪異</t>
  </si>
  <si>
    <t>白石朔汰</t>
    <phoneticPr fontId="1"/>
  </si>
  <si>
    <t>人間、不老、不死</t>
    <rPh sb="0" eb="2">
      <t>ニンゲン</t>
    </rPh>
    <rPh sb="3" eb="5">
      <t>フロウ</t>
    </rPh>
    <rPh sb="6" eb="8">
      <t>フシ</t>
    </rPh>
    <phoneticPr fontId="1"/>
  </si>
  <si>
    <t>ちくさ</t>
    <phoneticPr fontId="1"/>
  </si>
  <si>
    <t>Chikusa</t>
    <phoneticPr fontId="1"/>
  </si>
  <si>
    <t>https://mitamayade.wixsite.com/mitama</t>
    <phoneticPr fontId="1"/>
  </si>
  <si>
    <t>#ちくさ_UTAU</t>
    <phoneticPr fontId="1"/>
  </si>
  <si>
    <t>笑っぽいゾ</t>
    <phoneticPr fontId="1"/>
  </si>
  <si>
    <t>わらっぽいぞ</t>
    <phoneticPr fontId="1"/>
  </si>
  <si>
    <t>Warappoizo</t>
    <phoneticPr fontId="1"/>
  </si>
  <si>
    <t>https://lit.link/4ATEPQoK7bZP3auccNvRi28UQdf1</t>
    <phoneticPr fontId="1"/>
  </si>
  <si>
    <t>気体</t>
    <phoneticPr fontId="1"/>
  </si>
  <si>
    <t>#笑っぽいゾ</t>
    <phoneticPr fontId="1"/>
  </si>
  <si>
    <t>反映クサイ</t>
    <phoneticPr fontId="1"/>
  </si>
  <si>
    <t>https://xi-voice.carrd.co</t>
    <phoneticPr fontId="1"/>
  </si>
  <si>
    <t>#XI_UTAU</t>
    <phoneticPr fontId="1"/>
  </si>
  <si>
    <t>愛須栗无</t>
    <phoneticPr fontId="1"/>
  </si>
  <si>
    <t>https://utau.fandom.com/wiki/Aisu_Kurimu</t>
    <phoneticPr fontId="1"/>
  </si>
  <si>
    <t>Aisu Kurimu(UTAU)</t>
    <phoneticPr fontId="1"/>
  </si>
  <si>
    <t>泡沫綴</t>
    <phoneticPr fontId="1"/>
  </si>
  <si>
    <t>F-113</t>
    <phoneticPr fontId="1"/>
  </si>
  <si>
    <t>痛</t>
    <phoneticPr fontId="1"/>
  </si>
  <si>
    <t>あぷだ</t>
    <phoneticPr fontId="1"/>
  </si>
  <si>
    <t>Apuda</t>
    <phoneticPr fontId="1"/>
  </si>
  <si>
    <t>https://haingyoi.wixsite.com/utau</t>
    <phoneticPr fontId="1"/>
  </si>
  <si>
    <t>#APUDANG</t>
    <phoneticPr fontId="1"/>
  </si>
  <si>
    <t>蛇川蓮</t>
    <phoneticPr fontId="1"/>
  </si>
  <si>
    <t>鴉田椿</t>
    <phoneticPr fontId="1"/>
  </si>
  <si>
    <t>猫星人リセ</t>
    <phoneticPr fontId="1"/>
  </si>
  <si>
    <t>https://note.com/lycopema/n/n7abddbef7b6e</t>
    <phoneticPr fontId="1"/>
  </si>
  <si>
    <t>#猫星人リセ</t>
  </si>
  <si>
    <t>クルミヤキ吉行</t>
    <phoneticPr fontId="1"/>
  </si>
  <si>
    <t>https://hatonosuke5.booth.pm</t>
    <phoneticPr fontId="1"/>
  </si>
  <si>
    <t>鴉田椿(UTAU)</t>
    <phoneticPr fontId="1"/>
  </si>
  <si>
    <t>機械、長寿</t>
    <rPh sb="0" eb="2">
      <t>キカイ</t>
    </rPh>
    <rPh sb="3" eb="5">
      <t>チョウジュ</t>
    </rPh>
    <phoneticPr fontId="1"/>
  </si>
  <si>
    <t>蛇川蓮(UTAU)</t>
    <phoneticPr fontId="1"/>
  </si>
  <si>
    <t>KR-725</t>
    <phoneticPr fontId="1"/>
  </si>
  <si>
    <t>けーあーる-ななにーご</t>
    <phoneticPr fontId="1"/>
  </si>
  <si>
    <t>KR-725(UTAU)</t>
    <phoneticPr fontId="1"/>
  </si>
  <si>
    <t>https://rapo080302.wixsite.com/twosibi</t>
    <phoneticPr fontId="1"/>
  </si>
  <si>
    <t>ねこせいじん りせ</t>
  </si>
  <si>
    <t>あかがね ふよう</t>
  </si>
  <si>
    <t>あずまやてい きゅういち</t>
  </si>
  <si>
    <t>あだち れい</t>
  </si>
  <si>
    <t>あとりね ひわ</t>
  </si>
  <si>
    <t>あにま らいつはっと</t>
  </si>
  <si>
    <t>あまつか ふあわ</t>
  </si>
  <si>
    <t>あまね うさぎ</t>
  </si>
  <si>
    <t>うたかた つむぎ</t>
  </si>
  <si>
    <t>うたね うた(でふぉこ)</t>
  </si>
  <si>
    <t>おーろく &amp; ころくろう</t>
  </si>
  <si>
    <t>かぎあい あや</t>
  </si>
  <si>
    <t>かぎあい すず</t>
  </si>
  <si>
    <t>かさね てっど</t>
  </si>
  <si>
    <t>かさね てと</t>
  </si>
  <si>
    <t>かすみ うあ</t>
  </si>
  <si>
    <t>かなで しあ</t>
  </si>
  <si>
    <t>かなで しおん</t>
  </si>
  <si>
    <t>かなり にーと</t>
  </si>
  <si>
    <t>からね きょうか</t>
  </si>
  <si>
    <t>からね ひびき</t>
  </si>
  <si>
    <t>きげき わろた</t>
  </si>
  <si>
    <t>きずぼし そら</t>
  </si>
  <si>
    <t>きね きね</t>
  </si>
  <si>
    <t>きょうまち もるて</t>
  </si>
  <si>
    <t>きらぼし わく</t>
  </si>
  <si>
    <t>くじゃく えれん</t>
  </si>
  <si>
    <t>くちなし あを</t>
  </si>
  <si>
    <t>けいね ろん</t>
  </si>
  <si>
    <t>こおん こくと</t>
  </si>
  <si>
    <t>こころね ふたば</t>
  </si>
  <si>
    <t>こどう はくや</t>
  </si>
  <si>
    <t>さばね かん</t>
  </si>
  <si>
    <t>じうら かざぎり</t>
  </si>
  <si>
    <t>しおん みよ</t>
  </si>
  <si>
    <t>すずの すず</t>
  </si>
  <si>
    <t>すずの みおん</t>
  </si>
  <si>
    <t>せいうん あまと</t>
  </si>
  <si>
    <t>せんのみや しろう</t>
  </si>
  <si>
    <t>そらね ななし</t>
  </si>
  <si>
    <t>ちもり はかぜ</t>
  </si>
  <si>
    <t>ちゃか なり</t>
  </si>
  <si>
    <t>ちゅんね はいき</t>
  </si>
  <si>
    <t>つくも いちおと</t>
  </si>
  <si>
    <t>つくりね みか</t>
  </si>
  <si>
    <t>つるね すてら</t>
  </si>
  <si>
    <t>てらど らぶ</t>
  </si>
  <si>
    <t>てらなが とおいち</t>
  </si>
  <si>
    <t>とうた ひさめ</t>
  </si>
  <si>
    <t>とどろき まだら</t>
  </si>
  <si>
    <t>どば じゅうが</t>
  </si>
  <si>
    <t>とるね てあ</t>
  </si>
  <si>
    <t>ながくら みじ</t>
  </si>
  <si>
    <t>ながれね ななし</t>
  </si>
  <si>
    <t>なこがき いつき</t>
  </si>
  <si>
    <t>なでね こまり</t>
  </si>
  <si>
    <t>ねむい よう</t>
  </si>
  <si>
    <t>ねむら ない</t>
  </si>
  <si>
    <t>のぞき みろ</t>
  </si>
  <si>
    <t>ほうが のと</t>
  </si>
  <si>
    <t>ほしかわ てぃあ</t>
  </si>
  <si>
    <t>ほしかわ ふれあ</t>
  </si>
  <si>
    <t>ほしよみ ゆめ</t>
  </si>
  <si>
    <t>まつゆき ちとせ</t>
  </si>
  <si>
    <t>まるね しゅんいち</t>
  </si>
  <si>
    <t>みくす どりーむ</t>
  </si>
  <si>
    <t>めるあ みゅみゅ</t>
  </si>
  <si>
    <t>やみつか くろいつ</t>
  </si>
  <si>
    <t>ゆめじ かたり</t>
  </si>
  <si>
    <t>ゆらぎね りお</t>
  </si>
  <si>
    <t>よくね るこ</t>
  </si>
  <si>
    <t>よもつ にち</t>
  </si>
  <si>
    <t>りゔぃ りゔぁーちぇ</t>
  </si>
  <si>
    <t>りんよう ふぉみ</t>
  </si>
  <si>
    <t>ことね せつり</t>
  </si>
  <si>
    <t>いいね もぐ</t>
  </si>
  <si>
    <t>とらのこく あめ</t>
  </si>
  <si>
    <t>じごくだに とうま</t>
  </si>
  <si>
    <t>ふえね ふえ</t>
  </si>
  <si>
    <t>くるい のいず</t>
  </si>
  <si>
    <t>つづね つづ</t>
  </si>
  <si>
    <t>なるせ みお</t>
  </si>
  <si>
    <t>くろはね みそら</t>
  </si>
  <si>
    <t>からね ひびく</t>
  </si>
  <si>
    <t>みなあわ うゆう</t>
  </si>
  <si>
    <t>こもりじ きょう</t>
  </si>
  <si>
    <t>ゆらぎね ゆい</t>
  </si>
  <si>
    <t>こなり こはる</t>
  </si>
  <si>
    <t>かづかまち めら</t>
  </si>
  <si>
    <t>あいまい めろり</t>
  </si>
  <si>
    <t>かたなし ずぅ</t>
  </si>
  <si>
    <t>あめうた にむ</t>
  </si>
  <si>
    <t>すずの しおん</t>
  </si>
  <si>
    <t>がくせい しょう</t>
  </si>
  <si>
    <t>むつみ きゅう</t>
  </si>
  <si>
    <t>いたずら せいこ</t>
  </si>
  <si>
    <t>うふーろ じょほまう しふしょ</t>
  </si>
  <si>
    <t>すずの るおん</t>
  </si>
  <si>
    <t>うつみ あくる</t>
  </si>
  <si>
    <t>あめうた にと</t>
  </si>
  <si>
    <t>あめいろ ねるね</t>
  </si>
  <si>
    <t>ねねお みゅー</t>
  </si>
  <si>
    <t>くるい ねいろ</t>
  </si>
  <si>
    <t>つるね れーや</t>
  </si>
  <si>
    <t>しらず はな</t>
  </si>
  <si>
    <t>あだごと かい</t>
  </si>
  <si>
    <t>からね こだま</t>
  </si>
  <si>
    <t>しんれす きしる</t>
  </si>
  <si>
    <t>しるばー ですとりゅーどー</t>
  </si>
  <si>
    <t>まっくね さい</t>
  </si>
  <si>
    <t>すずの ゆおん</t>
  </si>
  <si>
    <t>おくと ぱす</t>
  </si>
  <si>
    <t>かんい はく</t>
  </si>
  <si>
    <t>りつどき しどく</t>
  </si>
  <si>
    <t>やくも しお</t>
  </si>
  <si>
    <t>ようげん これ</t>
  </si>
  <si>
    <t>きゅうさく きゅう</t>
  </si>
  <si>
    <t>しゅちか ぴの</t>
  </si>
  <si>
    <t>ごうせつ まちまる</t>
  </si>
  <si>
    <t>つづね こはく</t>
  </si>
  <si>
    <t>まっくね ひとき</t>
  </si>
  <si>
    <t>せっそう せつり</t>
  </si>
  <si>
    <t>なみね りつ</t>
  </si>
  <si>
    <t>みどりね ひすい</t>
  </si>
  <si>
    <t>あめうた にれち</t>
  </si>
  <si>
    <t>どっと ぺる</t>
  </si>
  <si>
    <t>すずの れおん</t>
  </si>
  <si>
    <t>ことね れすと</t>
  </si>
  <si>
    <t>さわぐ りょすけ</t>
  </si>
  <si>
    <t>すず &amp; せる</t>
  </si>
  <si>
    <t>すずの ねおん</t>
  </si>
  <si>
    <t>あわか まかな</t>
  </si>
  <si>
    <t>すずの りおん</t>
  </si>
  <si>
    <t>あおば あお</t>
  </si>
  <si>
    <t>そうさき れあに</t>
  </si>
  <si>
    <t>ちぬ やん</t>
  </si>
  <si>
    <t>なやね ぶるー</t>
  </si>
  <si>
    <t>しん みんへ</t>
  </si>
  <si>
    <t>ごうおん ろき</t>
  </si>
  <si>
    <t>ことね こと</t>
  </si>
  <si>
    <t>ろんく いちごう</t>
  </si>
  <si>
    <t>ふかみ まりん</t>
  </si>
  <si>
    <t>からふる しゅがーすぷりんくる</t>
  </si>
  <si>
    <t>きゃくよせ らいりー</t>
  </si>
  <si>
    <t>めがねこ みっけた</t>
  </si>
  <si>
    <t>あすたー ふろーれす</t>
  </si>
  <si>
    <t>よいづき みくも</t>
  </si>
  <si>
    <t>かん うんしむ</t>
  </si>
  <si>
    <t>かいる たいらー</t>
  </si>
  <si>
    <t>とおね とお</t>
  </si>
  <si>
    <t>ふわ まりあ</t>
  </si>
  <si>
    <t>いるや るい</t>
  </si>
  <si>
    <t>はがね めた</t>
  </si>
  <si>
    <t>あるじね さらさ</t>
  </si>
  <si>
    <t>あまが える</t>
  </si>
  <si>
    <t>なるかみ きょう</t>
  </si>
  <si>
    <t>さかき れを</t>
  </si>
  <si>
    <t>あまつじ あずま</t>
  </si>
  <si>
    <t>はいざき しょう</t>
  </si>
  <si>
    <t>むげん えれき</t>
  </si>
  <si>
    <t>くもわたり つむぐ</t>
  </si>
  <si>
    <t>しらいし さくた</t>
  </si>
  <si>
    <t>はんえい くさい</t>
  </si>
  <si>
    <t>あいす くりむ</t>
  </si>
  <si>
    <t>うたかた つづり</t>
  </si>
  <si>
    <t>えふ いちいちさん</t>
  </si>
  <si>
    <t>へびかわ れん</t>
  </si>
  <si>
    <t>からすだ つばき</t>
  </si>
  <si>
    <t>くるみやき よしゆき</t>
  </si>
  <si>
    <t>Akagane Fuyo</t>
  </si>
  <si>
    <t>Azumayatei Kyuichi</t>
  </si>
  <si>
    <t>Adachi Rei</t>
  </si>
  <si>
    <t>Atorine Hiwa</t>
  </si>
  <si>
    <t>Anima Raituhatto</t>
  </si>
  <si>
    <t>Amatsuka Fuawa</t>
  </si>
  <si>
    <t>Amane Usagi</t>
  </si>
  <si>
    <t>Utakata Tsumugi</t>
  </si>
  <si>
    <t>Utane Uta(Defoko)</t>
  </si>
  <si>
    <t>Oroku &amp; korokuro</t>
  </si>
  <si>
    <t>Kagiai Aya</t>
  </si>
  <si>
    <t>Kagiai Suzu</t>
  </si>
  <si>
    <t>Kakune Shanonn</t>
  </si>
  <si>
    <t>Kasane Teddo</t>
  </si>
  <si>
    <t>Kasane Teto</t>
  </si>
  <si>
    <t>Kasumi Ua</t>
  </si>
  <si>
    <t>Kanade Shia</t>
  </si>
  <si>
    <t>Kanade Shion</t>
  </si>
  <si>
    <t>Kanari Nito</t>
  </si>
  <si>
    <t>Karane Kyoka</t>
  </si>
  <si>
    <t>Karane Hibiki</t>
  </si>
  <si>
    <t>Kigeki Warota</t>
  </si>
  <si>
    <t>Kizuboshi Sora</t>
  </si>
  <si>
    <t>Kine Kine</t>
  </si>
  <si>
    <t>Kyomachi Morte</t>
  </si>
  <si>
    <t>Kiraboshi Waku</t>
  </si>
  <si>
    <t>Kuzyaku Eren</t>
  </si>
  <si>
    <t>Kuchinashi Awo</t>
  </si>
  <si>
    <t>Keine Ron</t>
  </si>
  <si>
    <t>Kon Kokuto</t>
  </si>
  <si>
    <t>Kokorone Futaba</t>
  </si>
  <si>
    <t>Kodou Hakuya</t>
  </si>
  <si>
    <t>Sabane Kan</t>
  </si>
  <si>
    <t>Jiura Kazagiri</t>
  </si>
  <si>
    <t>Shion Miyo</t>
  </si>
  <si>
    <t>Suzuno Suzu</t>
  </si>
  <si>
    <t>Suzuno Mion</t>
  </si>
  <si>
    <t>Seiun Amato</t>
  </si>
  <si>
    <t>Sennomiya Sirou</t>
  </si>
  <si>
    <t>Sorane Nanashi</t>
  </si>
  <si>
    <t>Chimori Hakaze</t>
  </si>
  <si>
    <t>Chaka Nari</t>
  </si>
  <si>
    <t>Chunne Haiki</t>
  </si>
  <si>
    <t>Tsukumo Ichioto</t>
  </si>
  <si>
    <t>Tsukurine Mika</t>
  </si>
  <si>
    <t>Tsurune Sutera</t>
  </si>
  <si>
    <t>Terado Rabu</t>
  </si>
  <si>
    <t>Teranaga Toichi</t>
  </si>
  <si>
    <t>Tota Hisame</t>
  </si>
  <si>
    <t>Todoroki Madara</t>
  </si>
  <si>
    <t>Doba Juga</t>
  </si>
  <si>
    <t>Torune Tea</t>
  </si>
  <si>
    <t>Nagakura Miji</t>
  </si>
  <si>
    <t>Nagarene Nanashi</t>
  </si>
  <si>
    <t>Nakogaki Itsuki</t>
  </si>
  <si>
    <t>Nadene Komari</t>
  </si>
  <si>
    <t>Nemui You</t>
  </si>
  <si>
    <t>Nemura Nai</t>
  </si>
  <si>
    <t>Nozoki Miro</t>
  </si>
  <si>
    <t>Higeki Muripo</t>
  </si>
  <si>
    <t>Hoga Not</t>
  </si>
  <si>
    <t>Hoshikawa Tia</t>
  </si>
  <si>
    <t>Hoshikawa Furea</t>
  </si>
  <si>
    <t>Hosiyomi Yume</t>
  </si>
  <si>
    <t>Matsuyuki Chitose</t>
  </si>
  <si>
    <t>Marune Shunichi</t>
  </si>
  <si>
    <t>Melua Miumiu</t>
  </si>
  <si>
    <t>Yamitsuka Kuroitsu</t>
  </si>
  <si>
    <t>Yumeji Katari</t>
  </si>
  <si>
    <t>Yuragine Rio</t>
  </si>
  <si>
    <t>Yokune Ruko</t>
  </si>
  <si>
    <t>Yomotsu Nichi</t>
  </si>
  <si>
    <t>Rivi Revace</t>
  </si>
  <si>
    <t>Rinyou Fuomi</t>
  </si>
  <si>
    <t>Kotone Setsuri</t>
  </si>
  <si>
    <t>Ine Mogu</t>
  </si>
  <si>
    <t>Toranokoku Ame</t>
  </si>
  <si>
    <t>Jigokudani Thoma</t>
  </si>
  <si>
    <t>Fuene Fue</t>
  </si>
  <si>
    <t>Kurui Noise</t>
  </si>
  <si>
    <t>Tsuzune Tsuzu</t>
  </si>
  <si>
    <t>Naruse Mio</t>
  </si>
  <si>
    <t>Kurohane Misora</t>
  </si>
  <si>
    <t>Karane Hibiku</t>
  </si>
  <si>
    <t>Minaawa Uyu</t>
  </si>
  <si>
    <t>Komoriji Kyo</t>
  </si>
  <si>
    <t>Yuragine Yui</t>
  </si>
  <si>
    <t>Konari Koharu</t>
  </si>
  <si>
    <t>kazukamachi Mera</t>
  </si>
  <si>
    <t>Aimai Merori</t>
  </si>
  <si>
    <t>Katanashi zu</t>
  </si>
  <si>
    <t>Ameuta Nimu</t>
  </si>
  <si>
    <t>Suzuno Shion</t>
  </si>
  <si>
    <t>Gakusei Sho</t>
  </si>
  <si>
    <t>Mutsumi Q</t>
  </si>
  <si>
    <t>Itazura Seiko</t>
  </si>
  <si>
    <t>Ufuro Johomau Shifusyo</t>
  </si>
  <si>
    <t>Suzuno Ruon</t>
  </si>
  <si>
    <t>Utsumi Akuru</t>
  </si>
  <si>
    <t>Ameuta Nito</t>
  </si>
  <si>
    <t>Ameiro Nerune</t>
  </si>
  <si>
    <t>Neneo mu</t>
  </si>
  <si>
    <t>Kurui Neiro</t>
  </si>
  <si>
    <t>Tsurune Reya</t>
  </si>
  <si>
    <t>Shirazu Hana</t>
  </si>
  <si>
    <t>Adagoto Kai</t>
  </si>
  <si>
    <t>Karane Kodama</t>
  </si>
  <si>
    <t>Shinresu Kishiru</t>
  </si>
  <si>
    <t>Silver Destrudo</t>
  </si>
  <si>
    <t>Mackne Sai</t>
  </si>
  <si>
    <t>Suzuno Yuon</t>
  </si>
  <si>
    <t>Okuto Pasu</t>
  </si>
  <si>
    <t>Kani Haku</t>
  </si>
  <si>
    <t xml:space="preserve">	​Ritsudoki Shidoku</t>
  </si>
  <si>
    <t>Yakumo Shio</t>
  </si>
  <si>
    <t>Yogen Kore</t>
  </si>
  <si>
    <t>Kyusaku Q</t>
  </si>
  <si>
    <t>Shuchika Pino</t>
  </si>
  <si>
    <t>Gosetsu Machimaru</t>
  </si>
  <si>
    <t>Tsuzune Kohaku</t>
  </si>
  <si>
    <t>Mackne Hitoki</t>
  </si>
  <si>
    <t>Sessou Setsuri</t>
  </si>
  <si>
    <t>Namine Ritsu</t>
  </si>
  <si>
    <t>Midorine Hisui</t>
  </si>
  <si>
    <t>Ameuta Nirechi</t>
  </si>
  <si>
    <t>Dot Pell</t>
  </si>
  <si>
    <t>Suzuno Reon</t>
  </si>
  <si>
    <t>Kotone Resuto</t>
  </si>
  <si>
    <t>Sawagu Ryosuke</t>
  </si>
  <si>
    <t>Suzu &amp; Cell</t>
  </si>
  <si>
    <t>Suzuno Neon</t>
  </si>
  <si>
    <t>Awaka Makana</t>
  </si>
  <si>
    <t>Suzuno Rion</t>
  </si>
  <si>
    <t>Aoba Ao</t>
  </si>
  <si>
    <t>Sousaki Reani</t>
  </si>
  <si>
    <t>Chine Yan</t>
  </si>
  <si>
    <t>Nayane Blue</t>
  </si>
  <si>
    <t>Shin Min Hye</t>
  </si>
  <si>
    <t>Gouon Roki</t>
  </si>
  <si>
    <t>Kotone Koto</t>
  </si>
  <si>
    <t>Ronku No.1</t>
  </si>
  <si>
    <t>T kun</t>
  </si>
  <si>
    <t>Fukami Marine</t>
  </si>
  <si>
    <t>Colorful Sugar Sprinkle</t>
  </si>
  <si>
    <t>Kyakuyose Riley</t>
  </si>
  <si>
    <t>Meganeko Mikketa</t>
  </si>
  <si>
    <t>Yoizuki Mikumo</t>
  </si>
  <si>
    <t>Kang Unshim</t>
  </si>
  <si>
    <t>Kyle Tyler</t>
  </si>
  <si>
    <t>Tone Too</t>
  </si>
  <si>
    <t>Fuwa Maria</t>
  </si>
  <si>
    <t>Sanity Doyou</t>
  </si>
  <si>
    <t>Iruya Rui</t>
  </si>
  <si>
    <t>​Hagane Meta</t>
  </si>
  <si>
    <t>The Bard Euphoria</t>
  </si>
  <si>
    <t>Arujine Sarasa</t>
  </si>
  <si>
    <t>Amaga Eru</t>
  </si>
  <si>
    <t>Narukami Kyou</t>
  </si>
  <si>
    <t>Sakaki Leo</t>
  </si>
  <si>
    <t>Amatsuji Azuma</t>
  </si>
  <si>
    <t>Haizaki Sho</t>
  </si>
  <si>
    <t>Mugen Elec</t>
  </si>
  <si>
    <t>Kumowatari Tsumugu</t>
  </si>
  <si>
    <t>Shiraishi Sakuta</t>
  </si>
  <si>
    <t>Han'ei Xi</t>
  </si>
  <si>
    <t>Aisu Kurimu</t>
  </si>
  <si>
    <t>Utakata Tsuzuri</t>
  </si>
  <si>
    <t>Hebikawa Ren</t>
  </si>
  <si>
    <t>Karasuda Tsubaki</t>
  </si>
  <si>
    <t>The Alien Cat Lyce</t>
  </si>
  <si>
    <t>Kurumiyaki Yosiyuki</t>
  </si>
  <si>
    <t>#あひのん、#玖婥えれん</t>
  </si>
  <si>
    <t>#はなときつねごと、#十二ノ刻</t>
  </si>
  <si>
    <t>#通音トオ、#utau_tonetoo</t>
  </si>
  <si>
    <t>大海クリナ</t>
    <phoneticPr fontId="1"/>
  </si>
  <si>
    <t>おおうみ くりな</t>
    <phoneticPr fontId="1"/>
  </si>
  <si>
    <t>Oumi Kurina</t>
    <phoneticPr fontId="1"/>
  </si>
  <si>
    <t>https://uu.getuploader.com/mirakibonoutau</t>
    <phoneticPr fontId="1"/>
  </si>
  <si>
    <t>みたま</t>
    <phoneticPr fontId="1"/>
  </si>
  <si>
    <t>Mitama</t>
    <phoneticPr fontId="1"/>
  </si>
  <si>
    <t>みらきぼ11号</t>
    <phoneticPr fontId="1"/>
  </si>
  <si>
    <t>みらきぼじゅういちごう</t>
    <phoneticPr fontId="1"/>
  </si>
  <si>
    <t>Mirakibo 11-gou</t>
    <phoneticPr fontId="1"/>
  </si>
  <si>
    <t>人型</t>
  </si>
  <si>
    <t>人型</t>
    <phoneticPr fontId="1"/>
  </si>
  <si>
    <t>#ボタン太の子、#クルミヤキ吉行</t>
    <phoneticPr fontId="1"/>
  </si>
  <si>
    <t>#大海クリナ</t>
    <phoneticPr fontId="1"/>
  </si>
  <si>
    <t>#みたま_UTAU</t>
    <phoneticPr fontId="1"/>
  </si>
  <si>
    <t>#みらきぼ11号</t>
    <phoneticPr fontId="1"/>
  </si>
  <si>
    <t>音夜秋月</t>
    <phoneticPr fontId="1"/>
  </si>
  <si>
    <t>おとや しゅうき</t>
    <phoneticPr fontId="1"/>
  </si>
  <si>
    <t>Otoya Syuki</t>
    <phoneticPr fontId="1"/>
  </si>
  <si>
    <t>https://sikiori.wepage.com</t>
    <phoneticPr fontId="1"/>
  </si>
  <si>
    <t>#四季折宛郵便</t>
    <phoneticPr fontId="1"/>
  </si>
  <si>
    <t>夏乃星音</t>
    <phoneticPr fontId="1"/>
  </si>
  <si>
    <t>なつの せいと</t>
    <phoneticPr fontId="1"/>
  </si>
  <si>
    <t>Natsuno Seito</t>
    <phoneticPr fontId="1"/>
  </si>
  <si>
    <t>薪宮風季</t>
    <phoneticPr fontId="1"/>
  </si>
  <si>
    <t>まきみや ふうき</t>
    <phoneticPr fontId="1"/>
  </si>
  <si>
    <t>Makimiya Fuki</t>
    <phoneticPr fontId="1"/>
  </si>
  <si>
    <t>https://mohumohuton.web.fc2.com/makimiya/index.html</t>
    <phoneticPr fontId="1"/>
  </si>
  <si>
    <t>わくねむ すぴか</t>
    <phoneticPr fontId="1"/>
  </si>
  <si>
    <t>Wakunemu Supika</t>
    <phoneticPr fontId="1"/>
  </si>
  <si>
    <t>わくねむすぴか</t>
    <phoneticPr fontId="1"/>
  </si>
  <si>
    <t>李音フヱル</t>
    <phoneticPr fontId="1"/>
  </si>
  <si>
    <t>すももね ふえる</t>
    <phoneticPr fontId="1"/>
  </si>
  <si>
    <t>Sumomone Fueru</t>
    <phoneticPr fontId="1"/>
  </si>
  <si>
    <t>https://suukedayo.wixsite.com/shiawasefairu</t>
    <phoneticPr fontId="1"/>
  </si>
  <si>
    <t xml:space="preserve">#しあわせふぁいる </t>
    <phoneticPr fontId="1"/>
  </si>
  <si>
    <t>#わくねむすぴか</t>
    <phoneticPr fontId="1"/>
  </si>
  <si>
    <t>#薪宮風季</t>
    <phoneticPr fontId="1"/>
  </si>
  <si>
    <t>終歌カツエα</t>
    <phoneticPr fontId="1"/>
  </si>
  <si>
    <t>有部音ゴエμ</t>
    <phoneticPr fontId="1"/>
  </si>
  <si>
    <t>うぶおん ごえ</t>
    <phoneticPr fontId="1"/>
  </si>
  <si>
    <t>Ubuon Goe</t>
    <phoneticPr fontId="1"/>
  </si>
  <si>
    <t>しゅうた かつえ</t>
    <phoneticPr fontId="1"/>
  </si>
  <si>
    <t>Shuta Katsue</t>
    <phoneticPr fontId="1"/>
  </si>
  <si>
    <t>鳴音ベルy</t>
    <phoneticPr fontId="1"/>
  </si>
  <si>
    <t>なるね べる</t>
    <phoneticPr fontId="1"/>
  </si>
  <si>
    <t>Narune Bell</t>
    <phoneticPr fontId="1"/>
  </si>
  <si>
    <t>型式番号α-01</t>
    <phoneticPr fontId="1"/>
  </si>
  <si>
    <t>けいしきばんごうα-01</t>
    <phoneticPr fontId="1"/>
  </si>
  <si>
    <t>keishikibangoα-01</t>
    <phoneticPr fontId="1"/>
  </si>
  <si>
    <t>一色スウ</t>
    <phoneticPr fontId="1"/>
  </si>
  <si>
    <t>いっしき すう</t>
    <phoneticPr fontId="1"/>
  </si>
  <si>
    <t>Isshiki Su</t>
    <phoneticPr fontId="1"/>
  </si>
  <si>
    <t>亜音サイコ</t>
    <phoneticPr fontId="1"/>
  </si>
  <si>
    <t>つぎね さいこ</t>
    <phoneticPr fontId="1"/>
  </si>
  <si>
    <t>Tsugine Saiko</t>
    <phoneticPr fontId="1"/>
  </si>
  <si>
    <t>https://aisupiku.wixsite.com/tsuginesaiko</t>
    <phoneticPr fontId="1"/>
  </si>
  <si>
    <t>#亜音サイコ</t>
    <phoneticPr fontId="1"/>
  </si>
  <si>
    <t>http://utau.wikidot.com/utau:isshiki-suu</t>
    <phoneticPr fontId="1"/>
  </si>
  <si>
    <t>#一色スウ</t>
    <phoneticPr fontId="1"/>
  </si>
  <si>
    <t xml:space="preserve">#返り子の町 </t>
    <phoneticPr fontId="1"/>
  </si>
  <si>
    <t>https://nagimachi.wixsite.com/kairikonomachi</t>
    <phoneticPr fontId="1"/>
  </si>
  <si>
    <t>髪飾り</t>
  </si>
  <si>
    <t>眼部</t>
  </si>
  <si>
    <t>眼部</t>
    <phoneticPr fontId="1"/>
  </si>
  <si>
    <t>仮面・マスク</t>
  </si>
  <si>
    <t>耳装備</t>
  </si>
  <si>
    <t>髪飾り、眼部</t>
  </si>
  <si>
    <t>髪飾り、耳装備</t>
  </si>
  <si>
    <t>ヘイロー、髪飾り</t>
  </si>
  <si>
    <t>耳装備、眼部、首装飾</t>
  </si>
  <si>
    <t>装身具、首装飾</t>
  </si>
  <si>
    <t>武器</t>
  </si>
  <si>
    <t>道具</t>
  </si>
  <si>
    <t>ヘイロー、服飾</t>
  </si>
  <si>
    <t>哺乳類</t>
  </si>
  <si>
    <t>鳥類</t>
  </si>
  <si>
    <t>魚類・海洋生物</t>
  </si>
  <si>
    <t>昆虫・節足動物</t>
  </si>
  <si>
    <t>哺乳類、植物・自然</t>
  </si>
  <si>
    <t>食べ物</t>
  </si>
  <si>
    <t>音楽</t>
  </si>
  <si>
    <t>機械・道具</t>
  </si>
  <si>
    <t>芸術・創作</t>
  </si>
  <si>
    <t>耳</t>
  </si>
  <si>
    <t>科学・技術</t>
  </si>
  <si>
    <t>ドラゴン</t>
  </si>
  <si>
    <t>翼</t>
  </si>
  <si>
    <t>目</t>
  </si>
  <si>
    <t>接客・販売</t>
  </si>
  <si>
    <t>尻尾</t>
  </si>
  <si>
    <t>舞台・パフォーマンス</t>
  </si>
  <si>
    <t>目隠れ</t>
  </si>
  <si>
    <t>創作</t>
  </si>
  <si>
    <t>ヤンキー</t>
  </si>
  <si>
    <t>宗教・ファンタジー</t>
  </si>
  <si>
    <t>芸能</t>
  </si>
  <si>
    <t>模様・装飾</t>
  </si>
  <si>
    <t>宇宙・天体</t>
  </si>
  <si>
    <t>ニート</t>
  </si>
  <si>
    <t>口元</t>
  </si>
  <si>
    <t>裏社会</t>
  </si>
  <si>
    <t>モチーフ</t>
  </si>
  <si>
    <t>医療・支援</t>
  </si>
  <si>
    <t>教育</t>
  </si>
  <si>
    <t>ドッペルゲンガー</t>
  </si>
  <si>
    <t>治安</t>
  </si>
  <si>
    <t>使用人・家事</t>
  </si>
  <si>
    <t>元ヤン</t>
  </si>
  <si>
    <t>肌</t>
  </si>
  <si>
    <t>オタク</t>
  </si>
  <si>
    <t>爬虫類・両生類</t>
  </si>
  <si>
    <t>架空生物</t>
  </si>
  <si>
    <t>角(つの)、翼、尻尾</t>
  </si>
  <si>
    <t>髪飾り、道具</t>
  </si>
  <si>
    <t>目隠れ、翼</t>
  </si>
  <si>
    <t>ヘイロー、首装飾</t>
  </si>
  <si>
    <t>目、模様・装飾</t>
  </si>
  <si>
    <t>傷・痕、模様・装飾</t>
  </si>
  <si>
    <t>目、体格、模様・装飾</t>
  </si>
  <si>
    <t>治安、元ヤン</t>
  </si>
  <si>
    <t>教育、芸能</t>
  </si>
  <si>
    <t>耳、尻尾</t>
  </si>
  <si>
    <t>宇宙・天体、哺乳類</t>
  </si>
  <si>
    <t>耳、髭、尻尾</t>
  </si>
  <si>
    <t>目隠れ、傷・痕、模様・装飾</t>
  </si>
  <si>
    <t>宗教・ファンタジー、舞台・パフォーマンス</t>
  </si>
  <si>
    <t>翼、耳、口元</t>
  </si>
  <si>
    <t>傷・痕、模様・装飾、口元</t>
  </si>
  <si>
    <t>耳装備、道具</t>
  </si>
  <si>
    <t>服飾、道具</t>
  </si>
  <si>
    <t>模様・装飾、体格</t>
  </si>
  <si>
    <t>耳、目隠れ、尻尾</t>
  </si>
  <si>
    <t>元ヤン、創作</t>
  </si>
  <si>
    <t>翼、目</t>
  </si>
  <si>
    <t>眼部、耳装備</t>
    <phoneticPr fontId="1"/>
  </si>
  <si>
    <t>属性タグ</t>
    <rPh sb="0" eb="2">
      <t>ゾクセイ</t>
    </rPh>
    <phoneticPr fontId="1"/>
  </si>
  <si>
    <t>両性</t>
  </si>
  <si>
    <t>キメラ</t>
  </si>
  <si>
    <t>鬼</t>
  </si>
  <si>
    <t>人間</t>
  </si>
  <si>
    <t>機械</t>
  </si>
  <si>
    <t>フィギュア</t>
  </si>
  <si>
    <t>天使</t>
  </si>
  <si>
    <t>堕天使</t>
  </si>
  <si>
    <t>人魚</t>
  </si>
  <si>
    <t>宇宙人</t>
  </si>
  <si>
    <t>悪魔</t>
  </si>
  <si>
    <t>使い魔</t>
  </si>
  <si>
    <t>人形</t>
  </si>
  <si>
    <t>人造人間</t>
  </si>
  <si>
    <t>神</t>
  </si>
  <si>
    <t>気体</t>
  </si>
  <si>
    <t>故人</t>
  </si>
  <si>
    <t>幽霊</t>
  </si>
  <si>
    <t>双子</t>
  </si>
  <si>
    <t>妖精</t>
  </si>
  <si>
    <t>不老</t>
  </si>
  <si>
    <t>不死</t>
  </si>
  <si>
    <t>長寿</t>
  </si>
  <si>
    <t>妖怪</t>
  </si>
  <si>
    <t>ゾンビ</t>
  </si>
  <si>
    <t>職業タグ</t>
    <phoneticPr fontId="1"/>
  </si>
  <si>
    <t>小物タグ</t>
    <phoneticPr fontId="1"/>
  </si>
  <si>
    <t>植物・自然</t>
  </si>
  <si>
    <t>角(つの)</t>
  </si>
  <si>
    <t>傷・痕</t>
  </si>
  <si>
    <t>首装飾</t>
  </si>
  <si>
    <t>装身具</t>
  </si>
  <si>
    <t>体格</t>
  </si>
  <si>
    <t>服飾</t>
  </si>
  <si>
    <t>眉</t>
  </si>
  <si>
    <t>髭</t>
  </si>
  <si>
    <t>服飾・ファッション</t>
    <phoneticPr fontId="1"/>
  </si>
  <si>
    <t>服飾、髪飾り</t>
  </si>
  <si>
    <t>高身長</t>
    <rPh sb="0" eb="3">
      <t>コウシンチョウ</t>
    </rPh>
    <phoneticPr fontId="1"/>
  </si>
  <si>
    <t>低身長</t>
    <rPh sb="0" eb="3">
      <t>テイシンチョウ</t>
    </rPh>
    <phoneticPr fontId="1"/>
  </si>
  <si>
    <t>目、髪型</t>
  </si>
  <si>
    <t>髪型</t>
  </si>
  <si>
    <t>髪型、目隠れ</t>
  </si>
  <si>
    <t>髪型、目、肌、尻尾</t>
  </si>
  <si>
    <t>髪型</t>
    <phoneticPr fontId="1"/>
  </si>
  <si>
    <t>髪色、目隠れ</t>
  </si>
  <si>
    <t>髪色</t>
  </si>
  <si>
    <t>耳、髪色、尻尾</t>
  </si>
  <si>
    <t>髪色、翼</t>
  </si>
  <si>
    <t>髪型、髪色</t>
  </si>
  <si>
    <t>髪色、尻尾</t>
  </si>
  <si>
    <t>髪色、眉</t>
  </si>
  <si>
    <t>髪色、目</t>
  </si>
  <si>
    <t>髪型、髪色、目隠れ</t>
  </si>
  <si>
    <t>髪色、目隠れ、体格</t>
  </si>
  <si>
    <t>髪色</t>
    <phoneticPr fontId="1"/>
  </si>
  <si>
    <t>身体的特徴タグ</t>
    <rPh sb="0" eb="5">
      <t>シンタイテキトクチョウ</t>
    </rPh>
    <phoneticPr fontId="1"/>
  </si>
  <si>
    <t>身体的特徴タグ</t>
    <rPh sb="0" eb="3">
      <t>シンタイテキ</t>
    </rPh>
    <rPh sb="3" eb="5">
      <t>トクチョウ</t>
    </rPh>
    <phoneticPr fontId="1"/>
  </si>
  <si>
    <t>元ヤン</t>
    <rPh sb="0" eb="1">
      <t>モト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</si>
</sst>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5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9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8"/>
      <tableStyleElement type="headerRow" dxfId="77"/>
      <tableStyleElement type="totalRow" dxfId="76"/>
      <tableStyleElement type="secondRowStripe" dxfId="75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Z269" headerRowDxfId="74" dataDxfId="73" tableBorderDxfId="72">
  <autoFilter ref="A1:Z269" xr:uid="{AFDEA6E0-6891-40ED-8736-87CEEF9CED2F}"/>
  <sortState xmlns:xlrd2="http://schemas.microsoft.com/office/spreadsheetml/2017/richdata2" ref="A2:Z269">
    <sortCondition ref="A1:A269"/>
  </sortState>
  <tableColumns count="26">
    <tableColumn id="7" xr3:uid="{9D671CE8-205F-4EC4-AF57-C49043815D5D}" name="番号" totalsRowLabel="集計" dataDxfId="71" totalsRowDxfId="70"/>
    <tableColumn id="1" xr3:uid="{BC0E7496-4241-40F3-92D1-BFEC8E2F21B0}" name="画像" dataDxfId="69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8" totalsRowDxfId="67"/>
    <tableColumn id="3" xr3:uid="{1CD1AB40-A0B3-43E1-8992-FB5152113AF0}" name="なまえ" dataDxfId="66" totalsRowDxfId="65"/>
    <tableColumn id="4" xr3:uid="{3A18F89A-C86D-435E-8081-BFA7EDB53407}" name="Name" dataDxfId="64" totalsRowDxfId="63"/>
    <tableColumn id="5" xr3:uid="{465CE434-66FF-4581-97B6-92FB1196AA88}" name="リンク" dataDxfId="62" totalsRowDxfId="61"/>
    <tableColumn id="6" xr3:uid="{C8A231EF-CEE1-4EDF-9F79-E20B4EE26A3B}" name="作品タグ" dataDxfId="60" totalsRowDxfId="59"/>
    <tableColumn id="21" xr3:uid="{A3F04976-FEAF-4AB6-883A-CBF50885B75B}" name="性別" dataDxfId="58" totalsRowDxfId="57"/>
    <tableColumn id="20" xr3:uid="{1BC45536-DCFC-46D8-8A1D-7CA1DB3A4086}" name="種族タグ" dataDxfId="56" totalsRowDxfId="55"/>
    <tableColumn id="22" xr3:uid="{A500EE07-F0A6-4CFF-83B6-145BEF44F05E}" name="モチーフタグ" dataDxfId="54" totalsRowDxfId="53"/>
    <tableColumn id="26" xr3:uid="{2B96D442-9F1D-4AD2-BE19-F53862387B36}" name="属性タグ" dataDxfId="52" totalsRowDxfId="51"/>
    <tableColumn id="23" xr3:uid="{C7A460FE-A76F-44CC-BA42-F2EDCB5166B0}" name="職業タグ" dataDxfId="50" totalsRowDxfId="49"/>
    <tableColumn id="24" xr3:uid="{13CD4112-798D-4D06-B448-3A060DFAF850}" name="小物タグ" dataDxfId="48" totalsRowDxfId="47"/>
    <tableColumn id="25" xr3:uid="{BB31FC48-2C53-4F77-9754-878F1123A640}" name="身体的特徴タグ" dataDxfId="46" totalsRowDxfId="45"/>
    <tableColumn id="14" xr3:uid="{419D2296-96F6-49B6-A101-8BE8083A1FF8}" name="グッズ許可・許可" dataDxfId="44" totalsRowDxfId="43"/>
    <tableColumn id="10" xr3:uid="{A3DF9BE0-B684-4FD2-9C65-44C5CE7A0DC3}" name="描画状況" totalsRowFunction="count" dataDxfId="42" totalsRowDxfId="41"/>
    <tableColumn id="9" xr3:uid="{02AE6379-3B3C-4BB2-A47F-0A695072C3A9}" name="列1" dataDxfId="40" totalsRowDxfId="39">
      <calculatedColumnFormula>テーブル1[[#This Row],[リンク]]&amp;テーブル1[[#This Row],[描画状況]]</calculatedColumnFormula>
    </tableColumn>
    <tableColumn id="13" xr3:uid="{823DB8CC-CE55-4F0C-AE72-2EE293521925}" name="列2" dataDxfId="38" dataCellStyle="パーセント">
      <calculatedColumnFormula>1-(COUNTIF(Q:Q,_xlfn.TEXTJOIN(",",TRUE,テーブル1[[#This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7" totalsRowDxfId="36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5" totalsRowDxfId="34">
      <totalsRowFormula>COUNTIF(テーブル1[投稿状況],"")</totalsRowFormula>
    </tableColumn>
    <tableColumn id="11" xr3:uid="{81D4E3E6-4E02-4A2D-B6F1-0BB82B392F85}" name="乱数B" dataDxfId="33" totalsRowDxfId="32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31" totalsRowDxfId="30">
      <calculatedColumnFormula>"|&amp;image("&amp;テーブル1[[#This Row],[画像]]&amp;".png,width=100,height=100)"</calculatedColumnFormula>
    </tableColumn>
    <tableColumn id="16" xr3:uid="{AC31EEC7-EDA4-4933-B34D-6F013BAC07AB}" name="|名前" dataDxfId="29" totalsRowDxfId="28">
      <calculatedColumnFormula>"|MIDDLE:​"&amp;テーブル1[[#This Row],[名前]]</calculatedColumnFormula>
    </tableColumn>
    <tableColumn id="17" xr3:uid="{5631FE5D-E14B-45F0-9DC6-C07DDBCF063D}" name="|なまえ" dataDxfId="27" totalsRowDxfId="26">
      <calculatedColumnFormula>"|MIDDLE:​"&amp;テーブル1[[#This Row],[なまえ]]</calculatedColumnFormula>
    </tableColumn>
    <tableColumn id="18" xr3:uid="{1D34E550-311D-4181-9DE5-9513280D0029}" name="|Name" dataDxfId="25" totalsRowDxfId="24">
      <calculatedColumnFormula>"|MIDDLE:​"&amp;テーブル1[[#This Row],[Name]]</calculatedColumnFormula>
    </tableColumn>
    <tableColumn id="19" xr3:uid="{742CFAB1-9F2D-444A-A881-F762695DCCB1}" name="|キャラクター情報リンク|" dataDxfId="23" totalsRowDxfId="22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N269" totalsRowShown="0" headerRowDxfId="21" dataDxfId="20">
  <autoFilter ref="A1:N269" xr:uid="{E4C87AB3-D453-4364-A868-37CD257B126C}"/>
  <tableColumns count="14">
    <tableColumn id="1" xr3:uid="{1E92C13E-0744-4588-9D96-A833A7BD4B23}" name="id" dataDxfId="19">
      <calculatedColumnFormula>テーブル1[[#This Row],[番号]]</calculatedColumnFormula>
    </tableColumn>
    <tableColumn id="2" xr3:uid="{BFFC27FC-5A70-42B5-935F-18B299D9A450}" name="name" dataDxfId="18">
      <calculatedColumnFormula>テーブル1[[#This Row],[名前]]</calculatedColumnFormula>
    </tableColumn>
    <tableColumn id="3" xr3:uid="{376B9D63-7024-4C39-A1F3-F8A88D986D2E}" name="kana" dataDxfId="17">
      <calculatedColumnFormula>テーブル1[[#This Row],[なまえ]]</calculatedColumnFormula>
    </tableColumn>
    <tableColumn id="4" xr3:uid="{3A4FC950-495C-4C11-B6DB-96CE6A55121C}" name="romaji" dataDxfId="16">
      <calculatedColumnFormula>テーブル1[[#This Row],[Name]]</calculatedColumnFormula>
    </tableColumn>
    <tableColumn id="5" xr3:uid="{B264791E-28AE-437A-AA33-4258BDE55BAA}" name="icon" dataDxfId="15">
      <calculatedColumnFormula>"image/"&amp;テーブル1[[#This Row],[画像]]&amp;".png"</calculatedColumnFormula>
    </tableColumn>
    <tableColumn id="6" xr3:uid="{857A780E-B021-402A-872A-1CBFFEF7F813}" name="url" dataDxfId="14">
      <calculatedColumnFormula>テーブル1[[#This Row],[リンク]]</calculatedColumnFormula>
    </tableColumn>
    <tableColumn id="7" xr3:uid="{54796813-8C4A-4907-9B54-8EC5819BC55C}" name="workTags" dataDxfId="13">
      <calculatedColumnFormula>SUBSTITUTE(テーブル1[[#This Row],[作品タグ]],"、","|")</calculatedColumnFormula>
    </tableColumn>
    <tableColumn id="8" xr3:uid="{C71938D1-4F25-43A4-AC89-6B4F6A5026A2}" name="gender" dataDxfId="12">
      <calculatedColumnFormula>テーブル1[[#This Row],[性別]]&amp;""</calculatedColumnFormula>
    </tableColumn>
    <tableColumn id="9" xr3:uid="{39305227-2E4A-4CF9-88DD-B221FEC21124}" name="種族タグ" dataDxfId="11">
      <calculatedColumnFormula>SUBSTITUTE(テーブル1[[#This Row],[種族タグ]],"、","|")</calculatedColumnFormula>
    </tableColumn>
    <tableColumn id="13" xr3:uid="{B62C6CC3-DFD5-40D0-9E39-6AE6C719FF5E}" name="モチーフタグ" dataDxfId="10">
      <calculatedColumnFormula>SUBSTITUTE(テーブル1[[#This Row],[モチーフタグ]],"、","|")</calculatedColumnFormula>
    </tableColumn>
    <tableColumn id="14" xr3:uid="{F7330F03-94E9-4728-B627-57B809D1D253}" name="属性タグ" dataDxfId="9">
      <calculatedColumnFormula>SUBSTITUTE(テーブル1[[#This Row],[属性タグ]],"、","|")</calculatedColumnFormula>
    </tableColumn>
    <tableColumn id="10" xr3:uid="{4C1B4E5B-0816-4E7B-B94D-DABFCF9BB4A5}" name="職業タグ" dataDxfId="8">
      <calculatedColumnFormula>SUBSTITUTE(テーブル1[[#This Row],[職業タグ]],"、","|")</calculatedColumnFormula>
    </tableColumn>
    <tableColumn id="11" xr3:uid="{C1145559-52E6-4141-BB43-03D7F9D319F4}" name="小物タグ" dataDxfId="7">
      <calculatedColumnFormula>SUBSTITUTE(テーブル1[[#This Row],[小物タグ]],"、","|")</calculatedColumnFormula>
    </tableColumn>
    <tableColumn id="12" xr3:uid="{1869C5D2-E7D3-4710-BDB3-B35F4A761BEE}" name="身体的特徴タグ" dataDxfId="6">
      <calculatedColumnFormula>SUBSTITUTE(テーブル1[[#This Row],[身体的特徴タグ]],"、","|")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shimo0330.wixsite.com/awaka-utau" TargetMode="External"/><Relationship Id="rId21" Type="http://schemas.openxmlformats.org/officeDocument/2006/relationships/hyperlink" Target="https://lit.link/nemukoneko" TargetMode="External"/><Relationship Id="rId42" Type="http://schemas.openxmlformats.org/officeDocument/2006/relationships/hyperlink" Target="https://utauudon.wixsite.com/origamisyokudou" TargetMode="External"/><Relationship Id="rId63" Type="http://schemas.openxmlformats.org/officeDocument/2006/relationships/hyperlink" Target="https://abschandayo.wixsite.com/abschan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canon-voice.com/" TargetMode="External"/><Relationship Id="rId159" Type="http://schemas.openxmlformats.org/officeDocument/2006/relationships/hyperlink" Target="https://m.blog.naver.com/string_legacy/224045016399" TargetMode="External"/><Relationship Id="rId170" Type="http://schemas.openxmlformats.org/officeDocument/2006/relationships/hyperlink" Target="https://komagatabone.fc2.page/" TargetMode="External"/><Relationship Id="rId191" Type="http://schemas.openxmlformats.org/officeDocument/2006/relationships/hyperlink" Target="https://bowlroll.net/user/980255" TargetMode="External"/><Relationship Id="rId205" Type="http://schemas.openxmlformats.org/officeDocument/2006/relationships/hyperlink" Target="https://nyaruru.wixsite.com/s-p-w" TargetMode="External"/><Relationship Id="rId226" Type="http://schemas.openxmlformats.org/officeDocument/2006/relationships/hyperlink" Target="https://uu.getuploader.com/mirakibonoutau" TargetMode="External"/><Relationship Id="rId107" Type="http://schemas.openxmlformats.org/officeDocument/2006/relationships/hyperlink" Target="https://bowlroll.net/file/336695" TargetMode="External"/><Relationship Id="rId11" Type="http://schemas.openxmlformats.org/officeDocument/2006/relationships/hyperlink" Target="http://park2.wakwak.com/~mbox/vo/hk/hkfre.htm" TargetMode="External"/><Relationship Id="rId32" Type="http://schemas.openxmlformats.org/officeDocument/2006/relationships/hyperlink" Target="https://itsuriutau.wixsite.com/kanadeshia" TargetMode="External"/><Relationship Id="rId53" Type="http://schemas.openxmlformats.org/officeDocument/2006/relationships/hyperlink" Target="https://moqujc.wixsite.com/mqtop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://shadeofgreen.web.fc2.com/" TargetMode="External"/><Relationship Id="rId149" Type="http://schemas.openxmlformats.org/officeDocument/2006/relationships/hyperlink" Target="https://kakokyu102krbs.wixsite.com/greenmilky" TargetMode="External"/><Relationship Id="rId5" Type="http://schemas.openxmlformats.org/officeDocument/2006/relationships/hyperlink" Target="https://seirentoybox.jimdofree.com/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askdance.wixsite.com/monitor-room/monitor-room" TargetMode="External"/><Relationship Id="rId181" Type="http://schemas.openxmlformats.org/officeDocument/2006/relationships/hyperlink" Target="https://magnawitch.wixsite.com/seong-ah" TargetMode="External"/><Relationship Id="rId216" Type="http://schemas.openxmlformats.org/officeDocument/2006/relationships/hyperlink" Target="https://tourist100f.wixsite.com/utakata-kosyo" TargetMode="External"/><Relationship Id="rId22" Type="http://schemas.openxmlformats.org/officeDocument/2006/relationships/hyperlink" Target="https://lit.link/nemukoneko" TargetMode="External"/><Relationship Id="rId43" Type="http://schemas.openxmlformats.org/officeDocument/2006/relationships/hyperlink" Target="https://utauudon.wixsite.com/origamisyokudou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mikawayanerutoko.jimdofree.com/" TargetMode="External"/><Relationship Id="rId139" Type="http://schemas.openxmlformats.org/officeDocument/2006/relationships/hyperlink" Target="https://makaron3264.wixsite.com/utauotoohan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tropicalsamejima.wixsite.com/oyutau" TargetMode="External"/><Relationship Id="rId171" Type="http://schemas.openxmlformats.org/officeDocument/2006/relationships/hyperlink" Target="https://vividseekers.utau.sorairomarch.com/" TargetMode="External"/><Relationship Id="rId192" Type="http://schemas.openxmlformats.org/officeDocument/2006/relationships/hyperlink" Target="https://lclcofficial6565.wixsite.com/lclc" TargetMode="External"/><Relationship Id="rId206" Type="http://schemas.openxmlformats.org/officeDocument/2006/relationships/hyperlink" Target="https://nyaruru.wixsite.com/s-p-w" TargetMode="External"/><Relationship Id="rId227" Type="http://schemas.openxmlformats.org/officeDocument/2006/relationships/hyperlink" Target="https://sikiori.wepage.com/" TargetMode="External"/><Relationship Id="rId12" Type="http://schemas.openxmlformats.org/officeDocument/2006/relationships/hyperlink" Target="http://park2.wakwak.com/~mbox/vo/hk/hkfre.htm" TargetMode="External"/><Relationship Id="rId33" Type="http://schemas.openxmlformats.org/officeDocument/2006/relationships/hyperlink" Target="https://witchdoll.jimdofree.com/" TargetMode="External"/><Relationship Id="rId108" Type="http://schemas.openxmlformats.org/officeDocument/2006/relationships/hyperlink" Target="https://bowlroll.net/user/700434" TargetMode="External"/><Relationship Id="rId129" Type="http://schemas.openxmlformats.org/officeDocument/2006/relationships/hyperlink" Target="https://ma2bana7.wixsite.com/sssr" TargetMode="External"/><Relationship Id="rId54" Type="http://schemas.openxmlformats.org/officeDocument/2006/relationships/hyperlink" Target="https://lit.link/sereinrain" TargetMode="External"/><Relationship Id="rId75" Type="http://schemas.openxmlformats.org/officeDocument/2006/relationships/hyperlink" Target="https://kasaneteto.jp/" TargetMode="External"/><Relationship Id="rId96" Type="http://schemas.openxmlformats.org/officeDocument/2006/relationships/hyperlink" Target="https://nanarabo626.studio.site/" TargetMode="External"/><Relationship Id="rId140" Type="http://schemas.openxmlformats.org/officeDocument/2006/relationships/hyperlink" Target="https://maybeanglo0mochi.wixsite.com/mochiyanosouko" TargetMode="External"/><Relationship Id="rId161" Type="http://schemas.openxmlformats.org/officeDocument/2006/relationships/hyperlink" Target="https://chaka000.wixsite.com/chaka" TargetMode="External"/><Relationship Id="rId182" Type="http://schemas.openxmlformats.org/officeDocument/2006/relationships/hyperlink" Target="https://toooru421.booth.pm/items/8151791" TargetMode="External"/><Relationship Id="rId217" Type="http://schemas.openxmlformats.org/officeDocument/2006/relationships/hyperlink" Target="https://haingyoi.wixsite.com/utau" TargetMode="External"/><Relationship Id="rId6" Type="http://schemas.openxmlformats.org/officeDocument/2006/relationships/hyperlink" Target="https://seirentoybox.jimdofree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teapartyandmugshelf.wixsite.com/my-site-1" TargetMode="External"/><Relationship Id="rId44" Type="http://schemas.openxmlformats.org/officeDocument/2006/relationships/hyperlink" Target="https://utauudon.wixsite.com/origamisyokudou" TargetMode="External"/><Relationship Id="rId65" Type="http://schemas.openxmlformats.org/officeDocument/2006/relationships/hyperlink" Target="https://sabaneko.amebaownd.com/" TargetMode="External"/><Relationship Id="rId86" Type="http://schemas.openxmlformats.org/officeDocument/2006/relationships/hyperlink" Target="https://utausuzuminnya.jimdofree.com/" TargetMode="External"/><Relationship Id="rId130" Type="http://schemas.openxmlformats.org/officeDocument/2006/relationships/hyperlink" Target="https://suukedayo.wixsite.com/shiawasefairu" TargetMode="External"/><Relationship Id="rId151" Type="http://schemas.openxmlformats.org/officeDocument/2006/relationships/hyperlink" Target="https://hinoyuzirenraku.wixsite.com/mu-neneo" TargetMode="External"/><Relationship Id="rId172" Type="http://schemas.openxmlformats.org/officeDocument/2006/relationships/hyperlink" Target="https://vividseekers.utau.sorairomarch.com/" TargetMode="External"/><Relationship Id="rId193" Type="http://schemas.openxmlformats.org/officeDocument/2006/relationships/hyperlink" Target="https://kagerou009.hatenablog.com/" TargetMode="External"/><Relationship Id="rId207" Type="http://schemas.openxmlformats.org/officeDocument/2006/relationships/hyperlink" Target="https://kakokyu102krbs.wixsite.com/greenmilky" TargetMode="External"/><Relationship Id="rId228" Type="http://schemas.openxmlformats.org/officeDocument/2006/relationships/hyperlink" Target="https://sikiori.wepage.com/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inudanuki.wixsite.com/gottaniomotyabako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lit.link/sereinrain" TargetMode="External"/><Relationship Id="rId76" Type="http://schemas.openxmlformats.org/officeDocument/2006/relationships/hyperlink" Target="https://kasaneteto.jp/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okome32500.wixsite.com/onekomochi" TargetMode="External"/><Relationship Id="rId141" Type="http://schemas.openxmlformats.org/officeDocument/2006/relationships/hyperlink" Target="https://ameutaulii.wixsite.com/telepathycapsule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chunyinhui021.wixsite.com/mutyuusaisei" TargetMode="External"/><Relationship Id="rId183" Type="http://schemas.openxmlformats.org/officeDocument/2006/relationships/hyperlink" Target="https://strife-horizon.weebly.com/" TargetMode="External"/><Relationship Id="rId218" Type="http://schemas.openxmlformats.org/officeDocument/2006/relationships/hyperlink" Target="https://lit.link/nemukoneko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inudanuki.wixsite.com/gottaniomotyabako" TargetMode="External"/><Relationship Id="rId131" Type="http://schemas.openxmlformats.org/officeDocument/2006/relationships/hyperlink" Target="https://ameutaulii.wixsite.com/telepathycapsule" TargetMode="External"/><Relationship Id="rId152" Type="http://schemas.openxmlformats.org/officeDocument/2006/relationships/hyperlink" Target="https://zaregotohitori.wixsite.com/ritsudokishidoku" TargetMode="External"/><Relationship Id="rId173" Type="http://schemas.openxmlformats.org/officeDocument/2006/relationships/hyperlink" Target="https://bowlroll.net/user/946776" TargetMode="External"/><Relationship Id="rId194" Type="http://schemas.openxmlformats.org/officeDocument/2006/relationships/hyperlink" Target="https://pessieuph.wixsite.com/meusycaseuphoria" TargetMode="External"/><Relationship Id="rId208" Type="http://schemas.openxmlformats.org/officeDocument/2006/relationships/hyperlink" Target="https://kakokyu102krbs.wixsite.com/greenmilky" TargetMode="External"/><Relationship Id="rId229" Type="http://schemas.openxmlformats.org/officeDocument/2006/relationships/hyperlink" Target="https://mohumohuton.web.fc2.com/makimiya/index.html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zakrotsukumo.wixsite.com/utau-zerozero" TargetMode="External"/><Relationship Id="rId142" Type="http://schemas.openxmlformats.org/officeDocument/2006/relationships/hyperlink" Target="https://cloudcatch1224.wixsite.com/godsfoot" TargetMode="External"/><Relationship Id="rId163" Type="http://schemas.openxmlformats.org/officeDocument/2006/relationships/hyperlink" Target="https://cmamizki.wixsite.com/edelstein" TargetMode="External"/><Relationship Id="rId184" Type="http://schemas.openxmlformats.org/officeDocument/2006/relationships/hyperlink" Target="https://bowlroll.net/user/946776" TargetMode="External"/><Relationship Id="rId219" Type="http://schemas.openxmlformats.org/officeDocument/2006/relationships/hyperlink" Target="https://lit.link/nemukoneko" TargetMode="External"/><Relationship Id="rId230" Type="http://schemas.openxmlformats.org/officeDocument/2006/relationships/hyperlink" Target="https://bowlroll.net/user/946776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kairi0utau.wixsite.com/arugamamanouta" TargetMode="External"/><Relationship Id="rId132" Type="http://schemas.openxmlformats.org/officeDocument/2006/relationships/hyperlink" Target="https://bowlroll.net/user/980255/files" TargetMode="External"/><Relationship Id="rId153" Type="http://schemas.openxmlformats.org/officeDocument/2006/relationships/hyperlink" Target="https://long-sleeper.net/" TargetMode="External"/><Relationship Id="rId174" Type="http://schemas.openxmlformats.org/officeDocument/2006/relationships/hyperlink" Target="https://piku.page/@toitoitoi23" TargetMode="External"/><Relationship Id="rId179" Type="http://schemas.openxmlformats.org/officeDocument/2006/relationships/hyperlink" Target="https://magnawitch.wixsite.com/seong-ah" TargetMode="External"/><Relationship Id="rId195" Type="http://schemas.openxmlformats.org/officeDocument/2006/relationships/hyperlink" Target="https://arujinesarasa.wixsite.com/official" TargetMode="External"/><Relationship Id="rId209" Type="http://schemas.openxmlformats.org/officeDocument/2006/relationships/hyperlink" Target="https://lenskkpb.wixsite.com/len-sakaki-official" TargetMode="External"/><Relationship Id="rId190" Type="http://schemas.openxmlformats.org/officeDocument/2006/relationships/hyperlink" Target="https://bowlroll.net/user/980255" TargetMode="External"/><Relationship Id="rId204" Type="http://schemas.openxmlformats.org/officeDocument/2006/relationships/hyperlink" Target="https://nyaruru.wixsite.com/s-p-w" TargetMode="External"/><Relationship Id="rId220" Type="http://schemas.openxmlformats.org/officeDocument/2006/relationships/hyperlink" Target="https://note.com/lycopema/n/n7abddbef7b6e" TargetMode="External"/><Relationship Id="rId225" Type="http://schemas.openxmlformats.org/officeDocument/2006/relationships/hyperlink" Target="https://mitamayade.wixsite.com/mitama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106" Type="http://schemas.openxmlformats.org/officeDocument/2006/relationships/hyperlink" Target="https://ne510channel.wixsite.com/website" TargetMode="External"/><Relationship Id="rId127" Type="http://schemas.openxmlformats.org/officeDocument/2006/relationships/hyperlink" Target="https://bowlroll.net/file/333777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78" Type="http://schemas.openxmlformats.org/officeDocument/2006/relationships/hyperlink" Target="http://lllll17.web.fc2.com/index.html" TargetMode="External"/><Relationship Id="rId94" Type="http://schemas.openxmlformats.org/officeDocument/2006/relationships/hyperlink" Target="https://lit.link/sereinrain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moqujc.wixsite.com/mqtop" TargetMode="External"/><Relationship Id="rId122" Type="http://schemas.openxmlformats.org/officeDocument/2006/relationships/hyperlink" Target="https://zakrotsukumo.wixsite.com/utau-zerozero" TargetMode="External"/><Relationship Id="rId143" Type="http://schemas.openxmlformats.org/officeDocument/2006/relationships/hyperlink" Target="https://grskmot8.wixsite.com/kdarock" TargetMode="External"/><Relationship Id="rId148" Type="http://schemas.openxmlformats.org/officeDocument/2006/relationships/hyperlink" Target="https://kaitoramma.chu.jp/" TargetMode="External"/><Relationship Id="rId164" Type="http://schemas.openxmlformats.org/officeDocument/2006/relationships/hyperlink" Target="https://flowerrocklove.wixsite.com/twilight-crisis" TargetMode="External"/><Relationship Id="rId169" Type="http://schemas.openxmlformats.org/officeDocument/2006/relationships/hyperlink" Target="https://cgamy40.wixsite.com/tsuraiuroyoi" TargetMode="External"/><Relationship Id="rId185" Type="http://schemas.openxmlformats.org/officeDocument/2006/relationships/hyperlink" Target="https://bowlroll.net/user/946776" TargetMode="External"/><Relationship Id="rId4" Type="http://schemas.openxmlformats.org/officeDocument/2006/relationships/hyperlink" Target="https://seirentoybox.jimdofree.com/" TargetMode="External"/><Relationship Id="rId9" Type="http://schemas.openxmlformats.org/officeDocument/2006/relationships/hyperlink" Target="https://sysynmnm.wixsite.com/oyasumi-zzz" TargetMode="External"/><Relationship Id="rId180" Type="http://schemas.openxmlformats.org/officeDocument/2006/relationships/hyperlink" Target="https://magnawitch.wixsite.com/seong-ah" TargetMode="External"/><Relationship Id="rId210" Type="http://schemas.openxmlformats.org/officeDocument/2006/relationships/hyperlink" Target="https://vividseekers.utau.sorairomarch.com/" TargetMode="External"/><Relationship Id="rId215" Type="http://schemas.openxmlformats.org/officeDocument/2006/relationships/hyperlink" Target="https://tourist100f.wixsite.com/utakata-kosyo" TargetMode="External"/><Relationship Id="rId236" Type="http://schemas.openxmlformats.org/officeDocument/2006/relationships/table" Target="../tables/table1.xm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suukedayo.wixsite.com/shiawasefairu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kuroi9603.wixsite.com/delu-lab-south" TargetMode="External"/><Relationship Id="rId133" Type="http://schemas.openxmlformats.org/officeDocument/2006/relationships/hyperlink" Target="https://yukimiyashimusho.jimdofree.com/" TargetMode="External"/><Relationship Id="rId154" Type="http://schemas.openxmlformats.org/officeDocument/2006/relationships/hyperlink" Target="https://todosho1192.wixsite.com/my-site-3" TargetMode="External"/><Relationship Id="rId175" Type="http://schemas.openxmlformats.org/officeDocument/2006/relationships/hyperlink" Target="https://seirentoybox.jimdofree.com/" TargetMode="External"/><Relationship Id="rId196" Type="http://schemas.openxmlformats.org/officeDocument/2006/relationships/hyperlink" Target="https://www.mizuiro.info/amagaelu" TargetMode="External"/><Relationship Id="rId200" Type="http://schemas.openxmlformats.org/officeDocument/2006/relationships/hyperlink" Target="https://kinomihautaimas.wixsite.com/dongurihiroba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sites.google.com/view/ronku99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suihankinonaka.wixsite.com/my-site-1" TargetMode="External"/><Relationship Id="rId123" Type="http://schemas.openxmlformats.org/officeDocument/2006/relationships/hyperlink" Target="https://www.mackhouse-soft.com/" TargetMode="External"/><Relationship Id="rId144" Type="http://schemas.openxmlformats.org/officeDocument/2006/relationships/hyperlink" Target="https://hinagitsune-utau.wixsite.com/utaukokoron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flowerrocklove.wixsite.com/twilight-crisis" TargetMode="External"/><Relationship Id="rId186" Type="http://schemas.openxmlformats.org/officeDocument/2006/relationships/hyperlink" Target="https://utau.kurotsuka.xyz/" TargetMode="External"/><Relationship Id="rId211" Type="http://schemas.openxmlformats.org/officeDocument/2006/relationships/hyperlink" Target="https://mitamayade.wixsite.com/mitama" TargetMode="External"/><Relationship Id="rId232" Type="http://schemas.openxmlformats.org/officeDocument/2006/relationships/hyperlink" Target="https://aisupiku.wixsite.com/tsuginesaiko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sites.google.com/view/qsuke-garden/home" TargetMode="External"/><Relationship Id="rId134" Type="http://schemas.openxmlformats.org/officeDocument/2006/relationships/hyperlink" Target="https://yautau.wixsite.com/0909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utau.fandom.com/wiki/Shizuruu" TargetMode="External"/><Relationship Id="rId176" Type="http://schemas.openxmlformats.org/officeDocument/2006/relationships/hyperlink" Target="https://mitoristu.wixsite.com/kousaibako" TargetMode="External"/><Relationship Id="rId197" Type="http://schemas.openxmlformats.org/officeDocument/2006/relationships/hyperlink" Target="https://sites.google.com/view/arcobaleno-utau/home" TargetMode="External"/><Relationship Id="rId201" Type="http://schemas.openxmlformats.org/officeDocument/2006/relationships/hyperlink" Target="https://nyaruru.wixsite.com/s-p-w" TargetMode="External"/><Relationship Id="rId222" Type="http://schemas.openxmlformats.org/officeDocument/2006/relationships/hyperlink" Target="https://hatonosuke5.booth.pm/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suihankinonaka.wixsite.com/my-site-1" TargetMode="External"/><Relationship Id="rId124" Type="http://schemas.openxmlformats.org/officeDocument/2006/relationships/hyperlink" Target="https://www.mackhouse-soft.com/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hznonoka.wixsite.com/utau" TargetMode="External"/><Relationship Id="rId166" Type="http://schemas.openxmlformats.org/officeDocument/2006/relationships/hyperlink" Target="https://hznonoka.wixsite.com/utau" TargetMode="External"/><Relationship Id="rId187" Type="http://schemas.openxmlformats.org/officeDocument/2006/relationships/hyperlink" Target="https://utau.kurotsuka.xyz/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lit.link/4ATEPQoK7bZP3auccNvRi28UQdf1" TargetMode="External"/><Relationship Id="rId233" Type="http://schemas.openxmlformats.org/officeDocument/2006/relationships/hyperlink" Target="http://utau.wikidot.com/utau:isshiki-su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sites.google.com/view/qsuke-garden/home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osomatsu-poid.wixsite.com/konari-san-chi" TargetMode="External"/><Relationship Id="rId156" Type="http://schemas.openxmlformats.org/officeDocument/2006/relationships/hyperlink" Target="https://sites.google.com/view/ronku99" TargetMode="External"/><Relationship Id="rId177" Type="http://schemas.openxmlformats.org/officeDocument/2006/relationships/hyperlink" Target="https://vividseekers.utau.sorairomarch.com/" TargetMode="External"/><Relationship Id="rId198" Type="http://schemas.openxmlformats.org/officeDocument/2006/relationships/hyperlink" Target="https://kinomihautaimas.wixsite.com/dongurihiroba" TargetMode="External"/><Relationship Id="rId202" Type="http://schemas.openxmlformats.org/officeDocument/2006/relationships/hyperlink" Target="https://nyaruru.wixsite.com/s-p-w" TargetMode="External"/><Relationship Id="rId223" Type="http://schemas.openxmlformats.org/officeDocument/2006/relationships/hyperlink" Target="https://rapo080302.wixsite.com/twosibi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bowlroll.net/user/980255" TargetMode="External"/><Relationship Id="rId125" Type="http://schemas.openxmlformats.org/officeDocument/2006/relationships/hyperlink" Target="https://grskmot8.wixsite.com/kdarock" TargetMode="External"/><Relationship Id="rId146" Type="http://schemas.openxmlformats.org/officeDocument/2006/relationships/hyperlink" Target="https://jiwajiwakirinn.wixsite.com/sakurada" TargetMode="External"/><Relationship Id="rId167" Type="http://schemas.openxmlformats.org/officeDocument/2006/relationships/hyperlink" Target="https://mackerel178.wixsite.com/yuusensuizokukan" TargetMode="External"/><Relationship Id="rId188" Type="http://schemas.openxmlformats.org/officeDocument/2006/relationships/hyperlink" Target="https://ameutaulii.wixsite.com/telepathycapsule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xi-voice.carrd.co/" TargetMode="External"/><Relationship Id="rId234" Type="http://schemas.openxmlformats.org/officeDocument/2006/relationships/hyperlink" Target="https://nagimachi.wixsite.com/kairikonomachi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mebisnori.wixsite.com/nori-mebis" TargetMode="External"/><Relationship Id="rId136" Type="http://schemas.openxmlformats.org/officeDocument/2006/relationships/hyperlink" Target="https://hakutoujelly.booth.pm/items/6496885" TargetMode="External"/><Relationship Id="rId157" Type="http://schemas.openxmlformats.org/officeDocument/2006/relationships/hyperlink" Target="https://abiencearray.carrd.co/" TargetMode="External"/><Relationship Id="rId178" Type="http://schemas.openxmlformats.org/officeDocument/2006/relationships/hyperlink" Target="https://vividseekers.utau.sorairomarch.com/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kinomihautaimas.wixsite.com/dongurihiroba" TargetMode="External"/><Relationship Id="rId203" Type="http://schemas.openxmlformats.org/officeDocument/2006/relationships/hyperlink" Target="https://nyaruru.wixsite.com/s-p-w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uu.getuploader.com/mirakibonoutau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ne510channel.wixsite.com/website" TargetMode="External"/><Relationship Id="rId126" Type="http://schemas.openxmlformats.org/officeDocument/2006/relationships/hyperlink" Target="https://shiromeneko162.wixsite.com/shiromean-official" TargetMode="External"/><Relationship Id="rId147" Type="http://schemas.openxmlformats.org/officeDocument/2006/relationships/hyperlink" Target="https://kairi0utau.wixsite.com/arugamamanouta" TargetMode="External"/><Relationship Id="rId168" Type="http://schemas.openxmlformats.org/officeDocument/2006/relationships/hyperlink" Target="https://mackerel178.wixsite.com/yuusensuizokukan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bowlroll.net/user/980255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utau.fandom.com/wiki/Aisu_Kurimu" TargetMode="External"/><Relationship Id="rId235" Type="http://schemas.openxmlformats.org/officeDocument/2006/relationships/hyperlink" Target="https://nagimachi.wixsite.com/kairikonomachi" TargetMode="External"/><Relationship Id="rId116" Type="http://schemas.openxmlformats.org/officeDocument/2006/relationships/hyperlink" Target="https://mebisnori.wixsite.com/nori-mebis" TargetMode="External"/><Relationship Id="rId137" Type="http://schemas.openxmlformats.org/officeDocument/2006/relationships/hyperlink" Target="https://inumokoco.wixsite.com/sleep-church" TargetMode="External"/><Relationship Id="rId158" Type="http://schemas.openxmlformats.org/officeDocument/2006/relationships/hyperlink" Target="https://sites.google.com/view/ronku99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Z280"/>
  <sheetViews>
    <sheetView tabSelected="1" zoomScale="85" zoomScaleNormal="85" workbookViewId="0">
      <pane xSplit="1" ySplit="1" topLeftCell="B255" activePane="bottomRight" state="frozen"/>
      <selection pane="topRight" activeCell="B1" sqref="B1"/>
      <selection pane="bottomLeft" activeCell="A2" sqref="A2"/>
      <selection pane="bottomRight" activeCell="K37" sqref="K37"/>
    </sheetView>
  </sheetViews>
  <sheetFormatPr defaultColWidth="8.6640625" defaultRowHeight="20.149999999999999" customHeight="1" x14ac:dyDescent="0.35"/>
  <cols>
    <col min="1" max="1" width="6.86328125" style="20" bestFit="1" customWidth="1"/>
    <col min="2" max="2" width="23.86328125" style="23" bestFit="1" customWidth="1"/>
    <col min="3" max="3" width="15.265625" style="24" bestFit="1" customWidth="1"/>
    <col min="4" max="4" width="18.19921875" style="23" bestFit="1" customWidth="1"/>
    <col min="5" max="5" width="18.46484375" style="23" bestFit="1" customWidth="1"/>
    <col min="6" max="6" width="45.46484375" style="23" bestFit="1" customWidth="1"/>
    <col min="7" max="7" width="17.06640625" style="23" bestFit="1" customWidth="1"/>
    <col min="8" max="13" width="17.06640625" style="23" customWidth="1"/>
    <col min="14" max="14" width="22.265625" style="23" bestFit="1" customWidth="1"/>
    <col min="15" max="15" width="13.59765625" style="1" bestFit="1" customWidth="1"/>
    <col min="16" max="16" width="9.46484375" style="1" bestFit="1" customWidth="1"/>
    <col min="17" max="17" width="42.86328125" style="24" hidden="1" customWidth="1"/>
    <col min="18" max="18" width="6.86328125" style="17" hidden="1" customWidth="1"/>
    <col min="19" max="19" width="10.46484375" style="16" hidden="1" customWidth="1"/>
    <col min="20" max="20" width="9.46484375" style="1" bestFit="1" customWidth="1"/>
    <col min="21" max="21" width="9.46484375" style="24" hidden="1" customWidth="1"/>
    <col min="22" max="22" width="42.46484375" style="23" bestFit="1" customWidth="1"/>
    <col min="23" max="23" width="22.6640625" style="23" bestFit="1" customWidth="1"/>
    <col min="24" max="24" width="24.86328125" style="23" bestFit="1" customWidth="1"/>
    <col min="25" max="25" width="25.265625" style="23" bestFit="1" customWidth="1"/>
    <col min="26" max="26" width="52.59765625" style="23" bestFit="1" customWidth="1"/>
    <col min="27" max="16384" width="8.6640625" style="23"/>
  </cols>
  <sheetData>
    <row r="1" spans="1:26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659</v>
      </c>
      <c r="H1" s="1" t="s">
        <v>658</v>
      </c>
      <c r="I1" s="1" t="s">
        <v>663</v>
      </c>
      <c r="J1" s="1" t="s">
        <v>703</v>
      </c>
      <c r="K1" s="1" t="s">
        <v>1251</v>
      </c>
      <c r="L1" s="1" t="s">
        <v>664</v>
      </c>
      <c r="M1" s="1" t="s">
        <v>665</v>
      </c>
      <c r="N1" s="1" t="s">
        <v>1309</v>
      </c>
      <c r="O1" s="1" t="s">
        <v>596</v>
      </c>
      <c r="P1" s="1" t="s">
        <v>406</v>
      </c>
      <c r="Q1" s="1" t="s">
        <v>488</v>
      </c>
      <c r="R1" s="17" t="s">
        <v>489</v>
      </c>
      <c r="S1" s="22" t="s">
        <v>424</v>
      </c>
      <c r="T1" s="1" t="s">
        <v>6</v>
      </c>
      <c r="U1" s="1" t="s">
        <v>425</v>
      </c>
      <c r="V1" s="1" t="s">
        <v>620</v>
      </c>
      <c r="W1" s="1" t="s">
        <v>621</v>
      </c>
      <c r="X1" s="1" t="s">
        <v>622</v>
      </c>
      <c r="Y1" s="1" t="s">
        <v>623</v>
      </c>
      <c r="Z1" s="1" t="s">
        <v>624</v>
      </c>
    </row>
    <row r="2" spans="1:26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460</v>
      </c>
      <c r="D2" s="23" t="s">
        <v>774</v>
      </c>
      <c r="E2" s="23" t="s">
        <v>942</v>
      </c>
      <c r="F2" s="2" t="s">
        <v>149</v>
      </c>
      <c r="G2" s="23" t="s">
        <v>150</v>
      </c>
      <c r="H2" s="23" t="s">
        <v>660</v>
      </c>
      <c r="I2" s="23" t="s">
        <v>666</v>
      </c>
      <c r="N2" s="23" t="s">
        <v>1199</v>
      </c>
      <c r="O2" s="1" t="s">
        <v>594</v>
      </c>
      <c r="P2" s="1" t="s">
        <v>549</v>
      </c>
      <c r="Q2" s="24" t="str">
        <f>テーブル1[[#This Row],[リンク]]&amp;テーブル1[[#This Row],[描画状況]]</f>
        <v>https://mitoristu.wixsite.com/kousaibako済</v>
      </c>
      <c r="R2" s="17">
        <f>1-(COUNTIF(Q:Q,_xlfn.TEXTJOIN(",",TRUE,テーブル1[[#This Row],[リンク]],テーブル1[[#This Row],[描画状況]]))/COUNTIF(F:F,テーブル1[[#This Row],[リンク]]))</f>
        <v>1</v>
      </c>
      <c r="S2" s="16" t="str">
        <f ca="1">IFERROR(IF(テーブル1[[#This Row],[描画状況]]="",RAND()+(テーブル1[[#This Row],[列2]]*100),""),RAND())</f>
        <v/>
      </c>
      <c r="T2" s="1" t="s">
        <v>12</v>
      </c>
      <c r="U2" s="24" t="str">
        <f ca="1">IF(AND(テーブル1[[#This Row],[描画状況]]="済",テーブル1[[#This Row],[投稿状況]]=""),RAND(),"")</f>
        <v/>
      </c>
      <c r="V2" s="23" t="str">
        <f>"|&amp;image("&amp;テーブル1[[#This Row],[画像]]&amp;".png,width=100,height=100)"</f>
        <v>|&amp;image(akagane-fuyo.png,width=100,height=100)</v>
      </c>
      <c r="W2" s="23" t="str">
        <f>"|MIDDLE:​"&amp;テーブル1[[#This Row],[名前]]</f>
        <v>|MIDDLE:​赤鐘芙蓉</v>
      </c>
      <c r="X2" s="23" t="str">
        <f>"|MIDDLE:​"&amp;テーブル1[[#This Row],[なまえ]]</f>
        <v>|MIDDLE:​あかがね ふよう</v>
      </c>
      <c r="Y2" s="23" t="str">
        <f>"|MIDDLE:​"&amp;テーブル1[[#This Row],[Name]]</f>
        <v>|MIDDLE:​Akagane Fuyo</v>
      </c>
      <c r="Z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6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461</v>
      </c>
      <c r="D3" s="23" t="s">
        <v>775</v>
      </c>
      <c r="E3" s="23" t="s">
        <v>943</v>
      </c>
      <c r="F3" s="2" t="s">
        <v>129</v>
      </c>
      <c r="G3" s="23" t="s">
        <v>130</v>
      </c>
      <c r="H3" s="23" t="s">
        <v>661</v>
      </c>
      <c r="I3" s="23" t="s">
        <v>667</v>
      </c>
      <c r="L3" s="23" t="s">
        <v>1200</v>
      </c>
      <c r="M3" s="23" t="s">
        <v>1178</v>
      </c>
      <c r="N3" s="23" t="s">
        <v>1297</v>
      </c>
      <c r="P3" s="1" t="s">
        <v>549</v>
      </c>
      <c r="Q3" s="24" t="str">
        <f>テーブル1[[#This Row],[リンク]]&amp;テーブル1[[#This Row],[描画状況]]</f>
        <v>https://lit.link/sereinrain済</v>
      </c>
      <c r="R3" s="17">
        <f>1-(COUNTIF(Q:Q,_xlfn.TEXTJOIN(",",TRUE,テーブル1[[#This Row],[リンク]],テーブル1[[#This Row],[描画状況]]))/COUNTIF(F:F,テーブル1[[#This Row],[リンク]]))</f>
        <v>1</v>
      </c>
      <c r="S3" s="16" t="str">
        <f ca="1">IFERROR(IF(テーブル1[[#This Row],[描画状況]]="",RAND()+(テーブル1[[#This Row],[列2]]*100),""),RAND())</f>
        <v/>
      </c>
      <c r="T3" s="1" t="s">
        <v>12</v>
      </c>
      <c r="U3" s="24" t="str">
        <f ca="1">IF(AND(テーブル1[[#This Row],[描画状況]]="済",テーブル1[[#This Row],[投稿状況]]=""),RAND(),"")</f>
        <v/>
      </c>
      <c r="V3" s="23" t="str">
        <f>"|&amp;image("&amp;テーブル1[[#This Row],[画像]]&amp;".png,width=100,height=100)"</f>
        <v>|&amp;image(azumayatei-kyuichi.png,width=100,height=100)</v>
      </c>
      <c r="W3" s="23" t="str">
        <f>"|MIDDLE:​"&amp;テーブル1[[#This Row],[名前]]</f>
        <v>|MIDDLE:​東屋亭久一</v>
      </c>
      <c r="X3" s="23" t="str">
        <f>"|MIDDLE:​"&amp;テーブル1[[#This Row],[なまえ]]</f>
        <v>|MIDDLE:​あずまやてい きゅういち</v>
      </c>
      <c r="Y3" s="23" t="str">
        <f>"|MIDDLE:​"&amp;テーブル1[[#This Row],[Name]]</f>
        <v>|MIDDLE:​Azumayatei Kyuichi</v>
      </c>
      <c r="Z3" s="23" t="str">
        <f>"|MIDDLE:​&amp;link(配布所はこちら){​"&amp;テーブル1[[#This Row],[リンク]]&amp;"}|"</f>
        <v>|MIDDLE:​&amp;link(配布所はこちら){​https://lit.link/sereinrain}|</v>
      </c>
    </row>
    <row r="4" spans="1:26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462</v>
      </c>
      <c r="D4" s="23" t="s">
        <v>59</v>
      </c>
      <c r="E4" s="23" t="s">
        <v>60</v>
      </c>
      <c r="F4" s="2" t="s">
        <v>61</v>
      </c>
      <c r="G4" s="23" t="s">
        <v>62</v>
      </c>
      <c r="H4" s="23" t="s">
        <v>661</v>
      </c>
      <c r="I4" s="23" t="s">
        <v>711</v>
      </c>
      <c r="J4" s="23" t="s">
        <v>1201</v>
      </c>
      <c r="L4" s="23" t="s">
        <v>1200</v>
      </c>
      <c r="N4" s="23" t="s">
        <v>1228</v>
      </c>
      <c r="O4" s="1" t="s">
        <v>595</v>
      </c>
      <c r="P4" s="1" t="s">
        <v>549</v>
      </c>
      <c r="Q4" s="24" t="str">
        <f>テーブル1[[#This Row],[リンク]]&amp;テーブル1[[#This Row],[描画状況]]</f>
        <v>https://cloudcatch1224.wixsite.com/godsfoot済</v>
      </c>
      <c r="R4" s="17">
        <f>1-(COUNTIF(Q:Q,_xlfn.TEXTJOIN(",",TRUE,テーブル1[[#This Row],[リンク]],テーブル1[[#This Row],[描画状況]]))/COUNTIF(F:F,テーブル1[[#This Row],[リンク]]))</f>
        <v>1</v>
      </c>
      <c r="S4" s="16" t="str">
        <f ca="1">IFERROR(IF(テーブル1[[#This Row],[描画状況]]="",RAND()+(テーブル1[[#This Row],[列2]]*100),""),RAND())</f>
        <v/>
      </c>
      <c r="T4" s="1" t="s">
        <v>12</v>
      </c>
      <c r="U4" s="24" t="str">
        <f ca="1">IF(AND(テーブル1[[#This Row],[描画状況]]="済",テーブル1[[#This Row],[投稿状況]]=""),RAND(),"")</f>
        <v/>
      </c>
      <c r="V4" s="23" t="str">
        <f>"|&amp;image("&amp;テーブル1[[#This Row],[画像]]&amp;".png,width=100,height=100)"</f>
        <v>|&amp;image(acetate.png,width=100,height=100)</v>
      </c>
      <c r="W4" s="23" t="str">
        <f>"|MIDDLE:​"&amp;テーブル1[[#This Row],[名前]]</f>
        <v>|MIDDLE:​アセテート</v>
      </c>
      <c r="X4" s="23" t="str">
        <f>"|MIDDLE:​"&amp;テーブル1[[#This Row],[なまえ]]</f>
        <v>|MIDDLE:​あせてーと</v>
      </c>
      <c r="Y4" s="23" t="str">
        <f>"|MIDDLE:​"&amp;テーブル1[[#This Row],[Name]]</f>
        <v>|MIDDLE:​Acetate</v>
      </c>
      <c r="Z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6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142</v>
      </c>
      <c r="D5" s="23" t="s">
        <v>776</v>
      </c>
      <c r="E5" s="23" t="s">
        <v>944</v>
      </c>
      <c r="F5" s="2" t="s">
        <v>143</v>
      </c>
      <c r="G5" s="23" t="s">
        <v>144</v>
      </c>
      <c r="H5" s="23" t="s">
        <v>660</v>
      </c>
      <c r="I5" s="23" t="s">
        <v>670</v>
      </c>
      <c r="M5" s="23" t="s">
        <v>1181</v>
      </c>
      <c r="P5" s="1" t="s">
        <v>549</v>
      </c>
      <c r="Q5" s="24" t="str">
        <f>テーブル1[[#This Row],[リンク]]&amp;テーブル1[[#This Row],[描画状況]]</f>
        <v>https://mechanicalgirl.jp済</v>
      </c>
      <c r="R5" s="17">
        <f>1-(COUNTIF(Q:Q,_xlfn.TEXTJOIN(",",TRUE,テーブル1[[#This Row],[リンク]],テーブル1[[#This Row],[描画状況]]))/COUNTIF(F:F,テーブル1[[#This Row],[リンク]]))</f>
        <v>1</v>
      </c>
      <c r="S5" s="16" t="str">
        <f ca="1">IFERROR(IF(テーブル1[[#This Row],[描画状況]]="",RAND()+(テーブル1[[#This Row],[列2]]*100),""),RAND())</f>
        <v/>
      </c>
      <c r="T5" s="1" t="s">
        <v>12</v>
      </c>
      <c r="U5" s="24" t="str">
        <f ca="1">IF(AND(テーブル1[[#This Row],[描画状況]]="済",テーブル1[[#This Row],[投稿状況]]=""),RAND(),"")</f>
        <v/>
      </c>
      <c r="V5" s="23" t="str">
        <f>"|&amp;image("&amp;テーブル1[[#This Row],[画像]]&amp;".png,width=100,height=100)"</f>
        <v>|&amp;image(adachi-rei.png,width=100,height=100)</v>
      </c>
      <c r="W5" s="23" t="str">
        <f>"|MIDDLE:​"&amp;テーブル1[[#This Row],[名前]]</f>
        <v>|MIDDLE:​足立レイ</v>
      </c>
      <c r="X5" s="23" t="str">
        <f>"|MIDDLE:​"&amp;テーブル1[[#This Row],[なまえ]]</f>
        <v>|MIDDLE:​あだち れい</v>
      </c>
      <c r="Y5" s="23" t="str">
        <f>"|MIDDLE:​"&amp;テーブル1[[#This Row],[Name]]</f>
        <v>|MIDDLE:​Adachi Rei</v>
      </c>
      <c r="Z5" s="23" t="str">
        <f>"|MIDDLE:​&amp;link(配布所はこちら){​"&amp;テーブル1[[#This Row],[リンク]]&amp;"}|"</f>
        <v>|MIDDLE:​&amp;link(配布所はこちら){​https://mechanicalgirl.jp}|</v>
      </c>
    </row>
    <row r="6" spans="1:26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230</v>
      </c>
      <c r="D6" s="23" t="s">
        <v>777</v>
      </c>
      <c r="E6" s="23" t="s">
        <v>945</v>
      </c>
      <c r="F6" s="2" t="s">
        <v>231</v>
      </c>
      <c r="G6" s="23" t="s">
        <v>232</v>
      </c>
      <c r="H6" s="23" t="s">
        <v>660</v>
      </c>
      <c r="I6" s="23" t="s">
        <v>1125</v>
      </c>
      <c r="J6" s="23" t="s">
        <v>1191</v>
      </c>
      <c r="M6" s="23" t="s">
        <v>1180</v>
      </c>
      <c r="N6" s="23" t="s">
        <v>1202</v>
      </c>
      <c r="P6" s="1" t="s">
        <v>549</v>
      </c>
      <c r="Q6" s="24" t="str">
        <f>テーブル1[[#This Row],[リンク]]&amp;テーブル1[[#This Row],[描画状況]]</f>
        <v>https://torinosu-hikikomori.jimdofree.com済</v>
      </c>
      <c r="R6" s="17">
        <f>1-(COUNTIF(Q:Q,_xlfn.TEXTJOIN(",",TRUE,テーブル1[[#This Row],[リンク]],テーブル1[[#This Row],[描画状況]]))/COUNTIF(F:F,テーブル1[[#This Row],[リンク]]))</f>
        <v>1</v>
      </c>
      <c r="S6" s="16" t="str">
        <f ca="1">IFERROR(IF(テーブル1[[#This Row],[描画状況]]="",RAND()+(テーブル1[[#This Row],[列2]]*100),""),RAND())</f>
        <v/>
      </c>
      <c r="T6" s="1" t="s">
        <v>12</v>
      </c>
      <c r="U6" s="24" t="str">
        <f ca="1">IF(AND(テーブル1[[#This Row],[描画状況]]="済",テーブル1[[#This Row],[投稿状況]]=""),RAND(),"")</f>
        <v/>
      </c>
      <c r="V6" s="23" t="str">
        <f>"|&amp;image("&amp;テーブル1[[#This Row],[画像]]&amp;".png,width=100,height=100)"</f>
        <v>|&amp;image(atorine-hiwa.png,width=100,height=100)</v>
      </c>
      <c r="W6" s="23" t="str">
        <f>"|MIDDLE:​"&amp;テーブル1[[#This Row],[名前]]</f>
        <v>|MIDDLE:​花鶏音ひわ</v>
      </c>
      <c r="X6" s="23" t="str">
        <f>"|MIDDLE:​"&amp;テーブル1[[#This Row],[なまえ]]</f>
        <v>|MIDDLE:​あとりね ひわ</v>
      </c>
      <c r="Y6" s="23" t="str">
        <f>"|MIDDLE:​"&amp;テーブル1[[#This Row],[Name]]</f>
        <v>|MIDDLE:​Atorine Hiwa</v>
      </c>
      <c r="Z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6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110</v>
      </c>
      <c r="D7" s="23" t="s">
        <v>111</v>
      </c>
      <c r="E7" s="23" t="s">
        <v>110</v>
      </c>
      <c r="F7" s="2" t="s">
        <v>112</v>
      </c>
      <c r="G7" s="23" t="s">
        <v>113</v>
      </c>
      <c r="H7" s="23" t="s">
        <v>671</v>
      </c>
      <c r="I7" s="23" t="s">
        <v>667</v>
      </c>
      <c r="P7" s="1" t="s">
        <v>549</v>
      </c>
      <c r="Q7" s="24" t="str">
        <f>テーブル1[[#This Row],[リンク]]&amp;テーブル1[[#This Row],[描画状況]]</f>
        <v>https://kuroi9603.wixsite.com/delu-lab-south済</v>
      </c>
      <c r="R7" s="17">
        <f>1-(COUNTIF(Q:Q,_xlfn.TEXTJOIN(",",TRUE,テーブル1[[#This Row],[リンク]],テーブル1[[#This Row],[描画状況]]))/COUNTIF(F:F,テーブル1[[#This Row],[リンク]]))</f>
        <v>1</v>
      </c>
      <c r="S7" s="16" t="str">
        <f ca="1">IFERROR(IF(テーブル1[[#This Row],[描画状況]]="",RAND()+(テーブル1[[#This Row],[列2]]*100),""),RAND())</f>
        <v/>
      </c>
      <c r="T7" s="1" t="s">
        <v>12</v>
      </c>
      <c r="U7" s="24" t="str">
        <f ca="1">IF(AND(テーブル1[[#This Row],[描画状況]]="済",テーブル1[[#This Row],[投稿状況]]=""),RAND(),"")</f>
        <v/>
      </c>
      <c r="V7" s="23" t="str">
        <f>"|&amp;image("&amp;テーブル1[[#This Row],[画像]]&amp;".png,width=100,height=100)"</f>
        <v>|&amp;image(adol.png,width=100,height=100)</v>
      </c>
      <c r="W7" s="23" t="str">
        <f>"|MIDDLE:​"&amp;テーブル1[[#This Row],[名前]]</f>
        <v>|MIDDLE:​Adol</v>
      </c>
      <c r="X7" s="23" t="str">
        <f>"|MIDDLE:​"&amp;テーブル1[[#This Row],[なまえ]]</f>
        <v>|MIDDLE:​あどる</v>
      </c>
      <c r="Y7" s="23" t="str">
        <f>"|MIDDLE:​"&amp;テーブル1[[#This Row],[Name]]</f>
        <v>|MIDDLE:​Adol</v>
      </c>
      <c r="Z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6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197</v>
      </c>
      <c r="D8" s="23" t="s">
        <v>778</v>
      </c>
      <c r="E8" s="23" t="s">
        <v>946</v>
      </c>
      <c r="F8" s="2" t="s">
        <v>198</v>
      </c>
      <c r="G8" s="23" t="s">
        <v>199</v>
      </c>
      <c r="H8" s="23" t="s">
        <v>673</v>
      </c>
      <c r="I8" s="23" t="s">
        <v>668</v>
      </c>
      <c r="M8" s="23" t="s">
        <v>1178</v>
      </c>
      <c r="N8" s="23" t="s">
        <v>1203</v>
      </c>
      <c r="O8" s="1" t="s">
        <v>594</v>
      </c>
      <c r="P8" s="1" t="s">
        <v>549</v>
      </c>
      <c r="Q8" s="24" t="str">
        <f>テーブル1[[#This Row],[リンク]]&amp;テーブル1[[#This Row],[描画状況]]</f>
        <v>https://seirentoybox.jimdofree.com済</v>
      </c>
      <c r="R8" s="17">
        <f>1-(COUNTIF(Q:Q,_xlfn.TEXTJOIN(",",TRUE,テーブル1[[#This Row],[リンク]],テーブル1[[#This Row],[描画状況]]))/COUNTIF(F:F,テーブル1[[#This Row],[リンク]]))</f>
        <v>1</v>
      </c>
      <c r="S8" s="16" t="str">
        <f ca="1">IFERROR(IF(テーブル1[[#This Row],[描画状況]]="",RAND()+(テーブル1[[#This Row],[列2]]*100),""),RAND())</f>
        <v/>
      </c>
      <c r="T8" s="1" t="s">
        <v>12</v>
      </c>
      <c r="U8" s="24" t="str">
        <f ca="1">IF(AND(テーブル1[[#This Row],[描画状況]]="済",テーブル1[[#This Row],[投稿状況]]=""),RAND(),"")</f>
        <v/>
      </c>
      <c r="V8" s="23" t="str">
        <f>"|&amp;image("&amp;テーブル1[[#This Row],[画像]]&amp;".png,width=100,height=100)"</f>
        <v>|&amp;image(anima-raituhatto.png,width=100,height=100)</v>
      </c>
      <c r="W8" s="23" t="str">
        <f>"|MIDDLE:​"&amp;テーブル1[[#This Row],[名前]]</f>
        <v>|MIDDLE:​アニマ・ライツハット</v>
      </c>
      <c r="X8" s="23" t="str">
        <f>"|MIDDLE:​"&amp;テーブル1[[#This Row],[なまえ]]</f>
        <v>|MIDDLE:​あにま らいつはっと</v>
      </c>
      <c r="Y8" s="23" t="str">
        <f>"|MIDDLE:​"&amp;テーブル1[[#This Row],[Name]]</f>
        <v>|MIDDLE:​Anima Raituhatto</v>
      </c>
      <c r="Z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6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248</v>
      </c>
      <c r="D9" s="23" t="s">
        <v>779</v>
      </c>
      <c r="E9" s="23" t="s">
        <v>947</v>
      </c>
      <c r="F9" s="2" t="s">
        <v>249</v>
      </c>
      <c r="G9" s="23" t="s">
        <v>250</v>
      </c>
      <c r="H9" s="23" t="s">
        <v>660</v>
      </c>
      <c r="I9" s="23" t="s">
        <v>712</v>
      </c>
      <c r="N9" s="23" t="s">
        <v>1202</v>
      </c>
      <c r="P9" s="1" t="s">
        <v>549</v>
      </c>
      <c r="Q9" s="24" t="str">
        <f>テーブル1[[#This Row],[リンク]]&amp;テーブル1[[#This Row],[描画状況]]</f>
        <v>https://utausuzuminnya.jimdofree.com済</v>
      </c>
      <c r="R9" s="17">
        <f>1-(COUNTIF(Q:Q,_xlfn.TEXTJOIN(",",TRUE,テーブル1[[#This Row],[リンク]],テーブル1[[#This Row],[描画状況]]))/COUNTIF(F:F,テーブル1[[#This Row],[リンク]]))</f>
        <v>1</v>
      </c>
      <c r="S9" s="16" t="str">
        <f ca="1">IFERROR(IF(テーブル1[[#This Row],[描画状況]]="",RAND()+(テーブル1[[#This Row],[列2]]*100),""),RAND())</f>
        <v/>
      </c>
      <c r="T9" s="1" t="s">
        <v>12</v>
      </c>
      <c r="U9" s="24" t="str">
        <f ca="1">IF(AND(テーブル1[[#This Row],[描画状況]]="済",テーブル1[[#This Row],[投稿状況]]=""),RAND(),"")</f>
        <v/>
      </c>
      <c r="V9" s="23" t="str">
        <f>"|&amp;image("&amp;テーブル1[[#This Row],[画像]]&amp;".png,width=100,height=100)"</f>
        <v>|&amp;image(amatsuka-fuawa.png,width=100,height=100)</v>
      </c>
      <c r="W9" s="23" t="str">
        <f>"|MIDDLE:​"&amp;テーブル1[[#This Row],[名前]]</f>
        <v>|MIDDLE:​天使ふあわ</v>
      </c>
      <c r="X9" s="23" t="str">
        <f>"|MIDDLE:​"&amp;テーブル1[[#This Row],[なまえ]]</f>
        <v>|MIDDLE:​あまつか ふあわ</v>
      </c>
      <c r="Y9" s="23" t="str">
        <f>"|MIDDLE:​"&amp;テーブル1[[#This Row],[Name]]</f>
        <v>|MIDDLE:​Amatsuka Fuawa</v>
      </c>
      <c r="Z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6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194</v>
      </c>
      <c r="D10" s="23" t="s">
        <v>780</v>
      </c>
      <c r="E10" s="23" t="s">
        <v>948</v>
      </c>
      <c r="F10" s="2" t="s">
        <v>195</v>
      </c>
      <c r="G10" s="23" t="s">
        <v>196</v>
      </c>
      <c r="H10" s="23" t="s">
        <v>660</v>
      </c>
      <c r="I10" s="23" t="s">
        <v>667</v>
      </c>
      <c r="J10" s="23" t="s">
        <v>1190</v>
      </c>
      <c r="M10" s="23" t="s">
        <v>1177</v>
      </c>
      <c r="N10" s="23" t="s">
        <v>1292</v>
      </c>
      <c r="P10" s="1" t="s">
        <v>549</v>
      </c>
      <c r="Q10" s="24" t="str">
        <f>テーブル1[[#This Row],[リンク]]&amp;テーブル1[[#This Row],[描画状況]]</f>
        <v>https://sabaneko.amebaownd.com済</v>
      </c>
      <c r="R10" s="17">
        <f>1-(COUNTIF(Q:Q,_xlfn.TEXTJOIN(",",TRUE,テーブル1[[#This Row],[リンク]],テーブル1[[#This Row],[描画状況]]))/COUNTIF(F:F,テーブル1[[#This Row],[リンク]]))</f>
        <v>1</v>
      </c>
      <c r="S10" s="16" t="str">
        <f ca="1">IFERROR(IF(テーブル1[[#This Row],[描画状況]]="",RAND()+(テーブル1[[#This Row],[列2]]*100),""),RAND())</f>
        <v/>
      </c>
      <c r="T10" s="1" t="s">
        <v>12</v>
      </c>
      <c r="U10" s="24" t="str">
        <f ca="1">IF(AND(テーブル1[[#This Row],[描画状況]]="済",テーブル1[[#This Row],[投稿状況]]=""),RAND(),"")</f>
        <v/>
      </c>
      <c r="V10" s="23" t="str">
        <f>"|&amp;image("&amp;テーブル1[[#This Row],[画像]]&amp;".png,width=100,height=100)"</f>
        <v>|&amp;image(amane-usagi.png,width=100,height=100)</v>
      </c>
      <c r="W10" s="23" t="str">
        <f>"|MIDDLE:​"&amp;テーブル1[[#This Row],[名前]]</f>
        <v>|MIDDLE:​雨音うさぎ</v>
      </c>
      <c r="X10" s="23" t="str">
        <f>"|MIDDLE:​"&amp;テーブル1[[#This Row],[なまえ]]</f>
        <v>|MIDDLE:​あまね うさぎ</v>
      </c>
      <c r="Y10" s="23" t="str">
        <f>"|MIDDLE:​"&amp;テーブル1[[#This Row],[Name]]</f>
        <v>|MIDDLE:​Amane Usagi</v>
      </c>
      <c r="Z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6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80</v>
      </c>
      <c r="D11" s="23" t="s">
        <v>81</v>
      </c>
      <c r="E11" s="23" t="s">
        <v>82</v>
      </c>
      <c r="F11" s="2" t="s">
        <v>83</v>
      </c>
      <c r="G11" s="23" t="s">
        <v>84</v>
      </c>
      <c r="H11" s="23" t="s">
        <v>661</v>
      </c>
      <c r="I11" s="23" t="s">
        <v>713</v>
      </c>
      <c r="N11" s="23" t="s">
        <v>1298</v>
      </c>
      <c r="P11" s="1" t="s">
        <v>549</v>
      </c>
      <c r="Q11" s="24" t="str">
        <f>テーブル1[[#This Row],[リンク]]&amp;テーブル1[[#This Row],[描画状況]]</f>
        <v>https://inudanuki.wixsite.com/gottaniomotyabako済</v>
      </c>
      <c r="R11" s="17">
        <f>1-(COUNTIF(Q:Q,_xlfn.TEXTJOIN(",",TRUE,テーブル1[[#This Row],[リンク]],テーブル1[[#This Row],[描画状況]]))/COUNTIF(F:F,テーブル1[[#This Row],[リンク]]))</f>
        <v>1</v>
      </c>
      <c r="S11" s="16" t="str">
        <f ca="1">IFERROR(IF(テーブル1[[#This Row],[描画状況]]="",RAND()+(テーブル1[[#This Row],[列2]]*100),""),RAND())</f>
        <v/>
      </c>
      <c r="T11" s="1" t="s">
        <v>12</v>
      </c>
      <c r="U11" s="24" t="str">
        <f ca="1">IF(AND(テーブル1[[#This Row],[描画状況]]="済",テーブル1[[#This Row],[投稿状況]]=""),RAND(),"")</f>
        <v/>
      </c>
      <c r="V11" s="23" t="str">
        <f>"|&amp;image("&amp;テーブル1[[#This Row],[画像]]&amp;".png,width=100,height=100)"</f>
        <v>|&amp;image(ayashiki.png,width=100,height=100)</v>
      </c>
      <c r="W11" s="23" t="str">
        <f>"|MIDDLE:​"&amp;テーブル1[[#This Row],[名前]]</f>
        <v>|MIDDLE:​怪子奇</v>
      </c>
      <c r="X11" s="23" t="str">
        <f>"|MIDDLE:​"&amp;テーブル1[[#This Row],[なまえ]]</f>
        <v>|MIDDLE:​あやしき</v>
      </c>
      <c r="Y11" s="23" t="str">
        <f>"|MIDDLE:​"&amp;テーブル1[[#This Row],[Name]]</f>
        <v>|MIDDLE:​Ayashiki</v>
      </c>
      <c r="Z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6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234</v>
      </c>
      <c r="D12" s="23" t="s">
        <v>781</v>
      </c>
      <c r="E12" s="23" t="s">
        <v>949</v>
      </c>
      <c r="F12" s="2" t="s">
        <v>235</v>
      </c>
      <c r="G12" s="23" t="s">
        <v>236</v>
      </c>
      <c r="H12" s="23" t="s">
        <v>660</v>
      </c>
      <c r="I12" s="23" t="s">
        <v>667</v>
      </c>
      <c r="L12" s="23" t="s">
        <v>1204</v>
      </c>
      <c r="M12" s="23" t="s">
        <v>1178</v>
      </c>
      <c r="O12" s="1" t="s">
        <v>631</v>
      </c>
      <c r="P12" s="1" t="s">
        <v>549</v>
      </c>
      <c r="Q12" s="24" t="str">
        <f>テーブル1[[#This Row],[リンク]]&amp;テーブル1[[#This Row],[描画状況]]</f>
        <v>https://tourist100f.wixsite.com/utakata-kosyo済</v>
      </c>
      <c r="R12" s="17">
        <f>1-(COUNTIF(Q:Q,_xlfn.TEXTJOIN(",",TRUE,テーブル1[[#This Row],[リンク]],テーブル1[[#This Row],[描画状況]]))/COUNTIF(F:F,テーブル1[[#This Row],[リンク]]))</f>
        <v>1</v>
      </c>
      <c r="S12" s="16" t="str">
        <f ca="1">IFERROR(IF(テーブル1[[#This Row],[描画状況]]="",RAND()+(テーブル1[[#This Row],[列2]]*100),""),RAND())</f>
        <v/>
      </c>
      <c r="T12" s="1" t="s">
        <v>12</v>
      </c>
      <c r="U12" s="24" t="str">
        <f ca="1">IF(AND(テーブル1[[#This Row],[描画状況]]="済",テーブル1[[#This Row],[投稿状況]]=""),RAND(),"")</f>
        <v/>
      </c>
      <c r="V12" s="23" t="str">
        <f>"|&amp;image("&amp;テーブル1[[#This Row],[画像]]&amp;".png,width=100,height=100)"</f>
        <v>|&amp;image(utakata-tsumugi.png,width=100,height=100)</v>
      </c>
      <c r="W12" s="23" t="str">
        <f>"|MIDDLE:​"&amp;テーブル1[[#This Row],[名前]]</f>
        <v>|MIDDLE:​泡沫紬</v>
      </c>
      <c r="X12" s="23" t="str">
        <f>"|MIDDLE:​"&amp;テーブル1[[#This Row],[なまえ]]</f>
        <v>|MIDDLE:​うたかた つむぎ</v>
      </c>
      <c r="Y12" s="23" t="str">
        <f>"|MIDDLE:​"&amp;テーブル1[[#This Row],[Name]]</f>
        <v>|MIDDLE:​Utakata Tsumugi</v>
      </c>
      <c r="Z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6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274</v>
      </c>
      <c r="D13" s="23" t="s">
        <v>782</v>
      </c>
      <c r="E13" s="23" t="s">
        <v>950</v>
      </c>
      <c r="F13" s="23" t="s">
        <v>279</v>
      </c>
      <c r="G13" s="23" t="s">
        <v>275</v>
      </c>
      <c r="H13" s="23" t="s">
        <v>660</v>
      </c>
      <c r="M13" s="23" t="s">
        <v>1181</v>
      </c>
      <c r="O13" s="1" t="s">
        <v>592</v>
      </c>
      <c r="P13" s="1" t="s">
        <v>549</v>
      </c>
      <c r="Q13" s="24" t="str">
        <f>テーブル1[[#This Row],[リンク]]&amp;テーブル1[[#This Row],[描画状況]]</f>
        <v>-済</v>
      </c>
      <c r="R13" s="17">
        <f>1-(COUNTIF(Q:Q,_xlfn.TEXTJOIN(",",TRUE,テーブル1[[#This Row],[リンク]],テーブル1[[#This Row],[描画状況]]))/COUNTIF(F:F,テーブル1[[#This Row],[リンク]]))</f>
        <v>1</v>
      </c>
      <c r="S13" s="16" t="str">
        <f ca="1">IFERROR(IF(テーブル1[[#This Row],[描画状況]]="",RAND()+(テーブル1[[#This Row],[列2]]*100),""),RAND())</f>
        <v/>
      </c>
      <c r="T13" s="1" t="s">
        <v>12</v>
      </c>
      <c r="U13" s="24" t="str">
        <f ca="1">IF(AND(テーブル1[[#This Row],[描画状況]]="済",テーブル1[[#This Row],[投稿状況]]=""),RAND(),"")</f>
        <v/>
      </c>
      <c r="V13" s="23" t="str">
        <f>"|&amp;image("&amp;テーブル1[[#This Row],[画像]]&amp;".png,width=100,height=100)"</f>
        <v>|&amp;image(utane-uta(defoko).png,width=100,height=100)</v>
      </c>
      <c r="W13" s="23" t="str">
        <f>"|MIDDLE:​"&amp;テーブル1[[#This Row],[名前]]</f>
        <v>|MIDDLE:​唄音ウタ(デフォ子)</v>
      </c>
      <c r="X13" s="23" t="str">
        <f>"|MIDDLE:​"&amp;テーブル1[[#This Row],[なまえ]]</f>
        <v>|MIDDLE:​うたね うた(でふぉこ)</v>
      </c>
      <c r="Y13" s="23" t="str">
        <f>"|MIDDLE:​"&amp;テーブル1[[#This Row],[Name]]</f>
        <v>|MIDDLE:​Utane Uta(Defoko)</v>
      </c>
      <c r="Z13" s="23" t="str">
        <f>"|MIDDLE:​&amp;link(配布所はこちら){​"&amp;テーブル1[[#This Row],[リンク]]&amp;"}|"</f>
        <v>|MIDDLE:​&amp;link(配布所はこちら){​-}|</v>
      </c>
    </row>
    <row r="14" spans="1:26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214</v>
      </c>
      <c r="D14" s="23" t="s">
        <v>215</v>
      </c>
      <c r="E14" s="23" t="s">
        <v>216</v>
      </c>
      <c r="F14" s="2" t="s">
        <v>217</v>
      </c>
      <c r="G14" s="23" t="s">
        <v>218</v>
      </c>
      <c r="H14" s="23" t="s">
        <v>660</v>
      </c>
      <c r="I14" s="23" t="s">
        <v>676</v>
      </c>
      <c r="J14" s="23" t="s">
        <v>1190</v>
      </c>
      <c r="N14" s="23" t="s">
        <v>1205</v>
      </c>
      <c r="P14" s="1" t="s">
        <v>549</v>
      </c>
      <c r="Q14" s="24" t="str">
        <f>テーブル1[[#This Row],[リンク]]&amp;テーブル1[[#This Row],[描画状況]]</f>
        <v>https://sites.google.com/view/tokakobo済</v>
      </c>
      <c r="R14" s="17">
        <f>1-(COUNTIF(Q:Q,_xlfn.TEXTJOIN(",",TRUE,テーブル1[[#This Row],[リンク]],テーブル1[[#This Row],[描画状況]]))/COUNTIF(F:F,テーブル1[[#This Row],[リンク]]))</f>
        <v>1</v>
      </c>
      <c r="S14" s="16" t="str">
        <f ca="1">IFERROR(IF(テーブル1[[#This Row],[描画状況]]="",RAND()+(テーブル1[[#This Row],[列2]]*100),""),RAND())</f>
        <v/>
      </c>
      <c r="T14" s="1" t="s">
        <v>12</v>
      </c>
      <c r="U14" s="24" t="str">
        <f ca="1">IF(AND(テーブル1[[#This Row],[描画状況]]="済",テーブル1[[#This Row],[投稿状況]]=""),RAND(),"")</f>
        <v/>
      </c>
      <c r="V14" s="23" t="str">
        <f>"|&amp;image("&amp;テーブル1[[#This Row],[画像]]&amp;".png,width=100,height=100)"</f>
        <v>|&amp;image(uruya.png,width=100,height=100)</v>
      </c>
      <c r="W14" s="23" t="str">
        <f>"|MIDDLE:​"&amp;テーブル1[[#This Row],[名前]]</f>
        <v>|MIDDLE:​URUYA</v>
      </c>
      <c r="X14" s="23" t="str">
        <f>"|MIDDLE:​"&amp;テーブル1[[#This Row],[なまえ]]</f>
        <v>|MIDDLE:​うるや</v>
      </c>
      <c r="Y14" s="23" t="str">
        <f>"|MIDDLE:​"&amp;テーブル1[[#This Row],[Name]]</f>
        <v>|MIDDLE:​Uruya</v>
      </c>
      <c r="Z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6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233</v>
      </c>
      <c r="D15" s="23" t="s">
        <v>783</v>
      </c>
      <c r="E15" s="23" t="s">
        <v>951</v>
      </c>
      <c r="F15" s="2" t="s">
        <v>231</v>
      </c>
      <c r="G15" s="23" t="s">
        <v>232</v>
      </c>
      <c r="H15" s="23" t="s">
        <v>661</v>
      </c>
      <c r="I15" s="23" t="s">
        <v>714</v>
      </c>
      <c r="L15" s="23" t="s">
        <v>1206</v>
      </c>
      <c r="N15" s="23" t="s">
        <v>1207</v>
      </c>
      <c r="P15" s="1" t="s">
        <v>549</v>
      </c>
      <c r="Q15" s="24" t="str">
        <f>テーブル1[[#This Row],[リンク]]&amp;テーブル1[[#This Row],[描画状況]]</f>
        <v>https://torinosu-hikikomori.jimdofree.com済</v>
      </c>
      <c r="R15" s="17">
        <f>1-(COUNTIF(Q:Q,_xlfn.TEXTJOIN(",",TRUE,テーブル1[[#This Row],[リンク]],テーブル1[[#This Row],[描画状況]]))/COUNTIF(F:F,テーブル1[[#This Row],[リンク]]))</f>
        <v>1</v>
      </c>
      <c r="S15" s="16" t="str">
        <f ca="1">IFERROR(IF(テーブル1[[#This Row],[描画状況]]="",RAND()+(テーブル1[[#This Row],[列2]]*100),""),RAND())</f>
        <v/>
      </c>
      <c r="T15" s="1" t="s">
        <v>12</v>
      </c>
      <c r="U15" s="24" t="str">
        <f ca="1">IF(AND(テーブル1[[#This Row],[描画状況]]="済",テーブル1[[#This Row],[投稿状況]]=""),RAND(),"")</f>
        <v/>
      </c>
      <c r="V15" s="23" t="str">
        <f>"|&amp;image("&amp;テーブル1[[#This Row],[画像]]&amp;".png,width=100,height=100)"</f>
        <v>|&amp;image(oroku-korokuro.png,width=100,height=100)</v>
      </c>
      <c r="W15" s="23" t="str">
        <f>"|MIDDLE:​"&amp;テーブル1[[#This Row],[名前]]</f>
        <v>|MIDDLE:​オーロク&amp;小六郎</v>
      </c>
      <c r="X15" s="23" t="str">
        <f>"|MIDDLE:​"&amp;テーブル1[[#This Row],[なまえ]]</f>
        <v>|MIDDLE:​おーろく &amp; ころくろう</v>
      </c>
      <c r="Y15" s="23" t="str">
        <f>"|MIDDLE:​"&amp;テーブル1[[#This Row],[Name]]</f>
        <v>|MIDDLE:​Oroku &amp; korokuro</v>
      </c>
      <c r="Z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6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73</v>
      </c>
      <c r="D16" s="23" t="s">
        <v>74</v>
      </c>
      <c r="E16" s="23" t="s">
        <v>75</v>
      </c>
      <c r="F16" s="2" t="s">
        <v>76</v>
      </c>
      <c r="G16" s="23" t="s">
        <v>77</v>
      </c>
      <c r="H16" s="23" t="s">
        <v>660</v>
      </c>
      <c r="I16" s="23" t="s">
        <v>677</v>
      </c>
      <c r="L16" s="23" t="s">
        <v>1208</v>
      </c>
      <c r="N16" s="23" t="s">
        <v>1298</v>
      </c>
      <c r="O16" s="1" t="s">
        <v>594</v>
      </c>
      <c r="P16" s="1" t="s">
        <v>549</v>
      </c>
      <c r="Q16" s="24" t="str">
        <f>テーブル1[[#This Row],[リンク]]&amp;テーブル1[[#This Row],[描画状況]]</f>
        <v>https://ichistart.wixsite.com/official/respiaker済</v>
      </c>
      <c r="R16" s="17">
        <f>1-(COUNTIF(Q:Q,_xlfn.TEXTJOIN(",",TRUE,テーブル1[[#This Row],[リンク]],テーブル1[[#This Row],[描画状況]]))/COUNTIF(F:F,テーブル1[[#This Row],[リンク]]))</f>
        <v>1</v>
      </c>
      <c r="S16" s="16" t="str">
        <f ca="1">IFERROR(IF(テーブル1[[#This Row],[描画状況]]="",RAND()+(テーブル1[[#This Row],[列2]]*100),""),RAND())</f>
        <v/>
      </c>
      <c r="T16" s="1" t="s">
        <v>12</v>
      </c>
      <c r="U16" s="24" t="str">
        <f ca="1">IF(AND(テーブル1[[#This Row],[描画状況]]="済",テーブル1[[#This Row],[投稿状況]]=""),RAND(),"")</f>
        <v/>
      </c>
      <c r="V16" s="23" t="str">
        <f>"|&amp;image("&amp;テーブル1[[#This Row],[画像]]&amp;".png,width=100,height=100)"</f>
        <v>|&amp;image(ohoshi.png,width=100,height=100)</v>
      </c>
      <c r="W16" s="23" t="str">
        <f>"|MIDDLE:​"&amp;テーブル1[[#This Row],[名前]]</f>
        <v>|MIDDLE:​お星</v>
      </c>
      <c r="X16" s="23" t="str">
        <f>"|MIDDLE:​"&amp;テーブル1[[#This Row],[なまえ]]</f>
        <v>|MIDDLE:​おほし</v>
      </c>
      <c r="Y16" s="23" t="str">
        <f>"|MIDDLE:​"&amp;テーブル1[[#This Row],[Name]]</f>
        <v>|MIDDLE:​Ohoshi</v>
      </c>
      <c r="Z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6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593</v>
      </c>
      <c r="D17" s="23" t="s">
        <v>784</v>
      </c>
      <c r="E17" s="23" t="s">
        <v>952</v>
      </c>
      <c r="F17" s="15" t="s">
        <v>611</v>
      </c>
      <c r="G17" s="23" t="s">
        <v>276</v>
      </c>
      <c r="H17" s="23" t="s">
        <v>673</v>
      </c>
      <c r="I17" s="23" t="s">
        <v>732</v>
      </c>
      <c r="M17" s="23" t="s">
        <v>1188</v>
      </c>
      <c r="O17" s="1" t="s">
        <v>594</v>
      </c>
      <c r="P17" s="1" t="s">
        <v>549</v>
      </c>
      <c r="Q17" s="24" t="str">
        <f>テーブル1[[#This Row],[リンク]]&amp;テーブル1[[#This Row],[描画状況]]</f>
        <v>https://vividseekers.utau.sorairomarch.com済</v>
      </c>
      <c r="R17" s="17">
        <f>1-(COUNTIF(Q:Q,_xlfn.TEXTJOIN(",",TRUE,テーブル1[[#This Row],[リンク]],テーブル1[[#This Row],[描画状況]]))/COUNTIF(F:F,テーブル1[[#This Row],[リンク]]))</f>
        <v>1</v>
      </c>
      <c r="S17" s="16" t="str">
        <f ca="1">IFERROR(IF(テーブル1[[#This Row],[描画状況]]="",RAND()+(テーブル1[[#This Row],[列2]]*100),""),RAND())</f>
        <v/>
      </c>
      <c r="T17" s="1" t="s">
        <v>12</v>
      </c>
      <c r="U17" s="24" t="str">
        <f ca="1">IF(AND(テーブル1[[#This Row],[描画状況]]="済",テーブル1[[#This Row],[投稿状況]]=""),RAND(),"")</f>
        <v/>
      </c>
      <c r="V17" s="23" t="str">
        <f>"|&amp;image("&amp;テーブル1[[#This Row],[画像]]&amp;".png,width=100,height=100)"</f>
        <v>|&amp;image(kagiai-aya.png,width=100,height=100)</v>
      </c>
      <c r="W17" s="23" t="str">
        <f>"|MIDDLE:​"&amp;テーブル1[[#This Row],[名前]]</f>
        <v>|MIDDLE:​鍵合アヤ</v>
      </c>
      <c r="X17" s="23" t="str">
        <f>"|MIDDLE:​"&amp;テーブル1[[#This Row],[なまえ]]</f>
        <v>|MIDDLE:​かぎあい あや</v>
      </c>
      <c r="Y17" s="23" t="str">
        <f>"|MIDDLE:​"&amp;テーブル1[[#This Row],[Name]]</f>
        <v>|MIDDLE:​Kagiai Aya</v>
      </c>
      <c r="Z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6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277</v>
      </c>
      <c r="D18" s="23" t="s">
        <v>785</v>
      </c>
      <c r="E18" s="23" t="s">
        <v>953</v>
      </c>
      <c r="F18" s="2" t="s">
        <v>611</v>
      </c>
      <c r="G18" s="23" t="s">
        <v>276</v>
      </c>
      <c r="H18" s="23" t="s">
        <v>673</v>
      </c>
      <c r="I18" s="23" t="s">
        <v>732</v>
      </c>
      <c r="L18" s="23" t="s">
        <v>1209</v>
      </c>
      <c r="M18" s="23" t="s">
        <v>1188</v>
      </c>
      <c r="O18" s="1" t="s">
        <v>594</v>
      </c>
      <c r="P18" s="1" t="s">
        <v>549</v>
      </c>
      <c r="Q18" s="24" t="str">
        <f>テーブル1[[#This Row],[リンク]]&amp;テーブル1[[#This Row],[描画状況]]</f>
        <v>https://vividseekers.utau.sorairomarch.com済</v>
      </c>
      <c r="R18" s="17">
        <f>1-(COUNTIF(Q:Q,_xlfn.TEXTJOIN(",",TRUE,テーブル1[[#This Row],[リンク]],テーブル1[[#This Row],[描画状況]]))/COUNTIF(F:F,テーブル1[[#This Row],[リンク]]))</f>
        <v>1</v>
      </c>
      <c r="S18" s="16" t="str">
        <f ca="1">IFERROR(IF(テーブル1[[#This Row],[描画状況]]="",RAND()+(テーブル1[[#This Row],[列2]]*100),""),RAND())</f>
        <v/>
      </c>
      <c r="T18" s="1" t="s">
        <v>12</v>
      </c>
      <c r="U18" s="24" t="str">
        <f ca="1">IF(AND(テーブル1[[#This Row],[描画状況]]="済",テーブル1[[#This Row],[投稿状況]]=""),RAND(),"")</f>
        <v/>
      </c>
      <c r="V18" s="23" t="str">
        <f>"|&amp;image("&amp;テーブル1[[#This Row],[画像]]&amp;".png,width=100,height=100)"</f>
        <v>|&amp;image(kagiai-suzu.png,width=100,height=100)</v>
      </c>
      <c r="W18" s="23" t="str">
        <f>"|MIDDLE:​"&amp;テーブル1[[#This Row],[名前]]</f>
        <v>|MIDDLE:​鍵合スズ</v>
      </c>
      <c r="X18" s="23" t="str">
        <f>"|MIDDLE:​"&amp;テーブル1[[#This Row],[なまえ]]</f>
        <v>|MIDDLE:​かぎあい すず</v>
      </c>
      <c r="Y18" s="23" t="str">
        <f>"|MIDDLE:​"&amp;テーブル1[[#This Row],[Name]]</f>
        <v>|MIDDLE:​Kagiai Suzu</v>
      </c>
      <c r="Z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6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37</v>
      </c>
      <c r="D19" s="23" t="s">
        <v>38</v>
      </c>
      <c r="E19" s="23" t="s">
        <v>954</v>
      </c>
      <c r="F19" s="15" t="s">
        <v>678</v>
      </c>
      <c r="G19" s="23" t="s">
        <v>39</v>
      </c>
      <c r="H19" s="23" t="s">
        <v>660</v>
      </c>
      <c r="M19" s="23" t="s">
        <v>1229</v>
      </c>
      <c r="O19" s="1" t="s">
        <v>595</v>
      </c>
      <c r="P19" s="1" t="s">
        <v>549</v>
      </c>
      <c r="Q19" s="24" t="str">
        <f>テーブル1[[#This Row],[リンク]]&amp;テーブル1[[#This Row],[描画状況]]</f>
        <v>https://ameutaulii.wixsite.com/telepathycapsule済</v>
      </c>
      <c r="R19" s="17">
        <f>1-(COUNTIF(Q:Q,_xlfn.TEXTJOIN(",",TRUE,テーブル1[[#This Row],[リンク]],テーブル1[[#This Row],[描画状況]]))/COUNTIF(F:F,テーブル1[[#This Row],[リンク]]))</f>
        <v>1</v>
      </c>
      <c r="S19" s="16" t="str">
        <f ca="1">IFERROR(IF(テーブル1[[#This Row],[描画状況]]="",RAND()+(テーブル1[[#This Row],[列2]]*100),""),RAND())</f>
        <v/>
      </c>
      <c r="T19" s="1" t="s">
        <v>12</v>
      </c>
      <c r="U19" s="24" t="str">
        <f ca="1">IF(AND(テーブル1[[#This Row],[描画状況]]="済",テーブル1[[#This Row],[投稿状況]]=""),RAND(),"")</f>
        <v/>
      </c>
      <c r="V19" s="23" t="str">
        <f>"|&amp;image("&amp;テーブル1[[#This Row],[画像]]&amp;".png,width=100,height=100)"</f>
        <v>|&amp;image(kakune-shanonn.png,width=100,height=100)</v>
      </c>
      <c r="W19" s="23" t="str">
        <f>"|MIDDLE:​"&amp;テーブル1[[#This Row],[名前]]</f>
        <v>|MIDDLE:​​拡音シャノン</v>
      </c>
      <c r="X19" s="23" t="str">
        <f>"|MIDDLE:​"&amp;テーブル1[[#This Row],[なまえ]]</f>
        <v>|MIDDLE:​かくね しゃのん</v>
      </c>
      <c r="Y19" s="23" t="str">
        <f>"|MIDDLE:​"&amp;テーブル1[[#This Row],[Name]]</f>
        <v>|MIDDLE:​Kakune Shanonn</v>
      </c>
      <c r="Z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6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102</v>
      </c>
      <c r="D20" s="23" t="s">
        <v>786</v>
      </c>
      <c r="E20" s="23" t="s">
        <v>955</v>
      </c>
      <c r="F20" s="2" t="s">
        <v>103</v>
      </c>
      <c r="G20" s="23" t="s">
        <v>104</v>
      </c>
      <c r="H20" s="23" t="s">
        <v>672</v>
      </c>
      <c r="I20" s="23" t="s">
        <v>715</v>
      </c>
      <c r="M20" s="23" t="s">
        <v>1181</v>
      </c>
      <c r="P20" s="1" t="s">
        <v>549</v>
      </c>
      <c r="Q20" s="24" t="str">
        <f>テーブル1[[#This Row],[リンク]]&amp;テーブル1[[#This Row],[描画状況]]</f>
        <v>https://kasaneteto.jp済</v>
      </c>
      <c r="R20" s="17">
        <f>1-(COUNTIF(Q:Q,_xlfn.TEXTJOIN(",",TRUE,テーブル1[[#This Row],[リンク]],テーブル1[[#This Row],[描画状況]]))/COUNTIF(F:F,テーブル1[[#This Row],[リンク]]))</f>
        <v>1</v>
      </c>
      <c r="S20" s="16" t="str">
        <f ca="1">IFERROR(IF(テーブル1[[#This Row],[描画状況]]="",RAND()+(テーブル1[[#This Row],[列2]]*100),""),RAND())</f>
        <v/>
      </c>
      <c r="T20" s="1" t="s">
        <v>12</v>
      </c>
      <c r="U20" s="24" t="str">
        <f ca="1">IF(AND(テーブル1[[#This Row],[描画状況]]="済",テーブル1[[#This Row],[投稿状況]]=""),RAND(),"")</f>
        <v/>
      </c>
      <c r="V20" s="23" t="str">
        <f>"|&amp;image("&amp;テーブル1[[#This Row],[画像]]&amp;".png,width=100,height=100)"</f>
        <v>|&amp;image(kasane-teddo.png,width=100,height=100)</v>
      </c>
      <c r="W20" s="23" t="str">
        <f>"|MIDDLE:​"&amp;テーブル1[[#This Row],[名前]]</f>
        <v>|MIDDLE:​重音テッド</v>
      </c>
      <c r="X20" s="23" t="str">
        <f>"|MIDDLE:​"&amp;テーブル1[[#This Row],[なまえ]]</f>
        <v>|MIDDLE:​かさね てっど</v>
      </c>
      <c r="Y20" s="23" t="str">
        <f>"|MIDDLE:​"&amp;テーブル1[[#This Row],[Name]]</f>
        <v>|MIDDLE:​Kasane Teddo</v>
      </c>
      <c r="Z20" s="23" t="str">
        <f>"|MIDDLE:​&amp;link(配布所はこちら){​"&amp;テーブル1[[#This Row],[リンク]]&amp;"}|"</f>
        <v>|MIDDLE:​&amp;link(配布所はこちら){​https://kasaneteto.jp}|</v>
      </c>
    </row>
    <row r="21" spans="1:26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105</v>
      </c>
      <c r="D21" s="23" t="s">
        <v>787</v>
      </c>
      <c r="E21" s="23" t="s">
        <v>956</v>
      </c>
      <c r="F21" s="2" t="s">
        <v>103</v>
      </c>
      <c r="G21" s="23" t="s">
        <v>106</v>
      </c>
      <c r="H21" s="23" t="s">
        <v>672</v>
      </c>
      <c r="I21" s="23" t="s">
        <v>715</v>
      </c>
      <c r="P21" s="1" t="s">
        <v>549</v>
      </c>
      <c r="Q21" s="24" t="str">
        <f>テーブル1[[#This Row],[リンク]]&amp;テーブル1[[#This Row],[描画状況]]</f>
        <v>https://kasaneteto.jp済</v>
      </c>
      <c r="R21" s="17">
        <f>1-(COUNTIF(Q:Q,_xlfn.TEXTJOIN(",",TRUE,テーブル1[[#This Row],[リンク]],テーブル1[[#This Row],[描画状況]]))/COUNTIF(F:F,テーブル1[[#This Row],[リンク]]))</f>
        <v>1</v>
      </c>
      <c r="S21" s="16" t="str">
        <f ca="1">IFERROR(IF(テーブル1[[#This Row],[描画状況]]="",RAND()+(テーブル1[[#This Row],[列2]]*100),""),RAND())</f>
        <v/>
      </c>
      <c r="T21" s="1" t="s">
        <v>12</v>
      </c>
      <c r="U21" s="24" t="str">
        <f ca="1">IF(AND(テーブル1[[#This Row],[描画状況]]="済",テーブル1[[#This Row],[投稿状況]]=""),RAND(),"")</f>
        <v/>
      </c>
      <c r="V21" s="23" t="str">
        <f>"|&amp;image("&amp;テーブル1[[#This Row],[画像]]&amp;".png,width=100,height=100)"</f>
        <v>|&amp;image(kasane-teto.png,width=100,height=100)</v>
      </c>
      <c r="W21" s="23" t="str">
        <f>"|MIDDLE:​"&amp;テーブル1[[#This Row],[名前]]</f>
        <v>|MIDDLE:​重音テト</v>
      </c>
      <c r="X21" s="23" t="str">
        <f>"|MIDDLE:​"&amp;テーブル1[[#This Row],[なまえ]]</f>
        <v>|MIDDLE:​かさね てと</v>
      </c>
      <c r="Y21" s="23" t="str">
        <f>"|MIDDLE:​"&amp;テーブル1[[#This Row],[Name]]</f>
        <v>|MIDDLE:​Kasane Teto</v>
      </c>
      <c r="Z21" s="23" t="str">
        <f>"|MIDDLE:​&amp;link(配布所はこちら){​"&amp;テーブル1[[#This Row],[リンク]]&amp;"}|"</f>
        <v>|MIDDLE:​&amp;link(配布所はこちら){​https://kasaneteto.jp}|</v>
      </c>
    </row>
    <row r="22" spans="1:26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517</v>
      </c>
      <c r="D22" s="23" t="s">
        <v>788</v>
      </c>
      <c r="E22" s="23" t="s">
        <v>957</v>
      </c>
      <c r="F22" s="2" t="s">
        <v>329</v>
      </c>
      <c r="G22" s="23" t="s">
        <v>49</v>
      </c>
      <c r="H22" s="23" t="s">
        <v>660</v>
      </c>
      <c r="I22" s="23" t="s">
        <v>680</v>
      </c>
      <c r="N22" s="23" t="s">
        <v>1230</v>
      </c>
      <c r="O22" s="1" t="s">
        <v>594</v>
      </c>
      <c r="P22" s="1" t="s">
        <v>549</v>
      </c>
      <c r="Q22" s="24" t="str">
        <f>テーブル1[[#This Row],[リンク]]&amp;テーブル1[[#This Row],[描画状況]]</f>
        <v>https://bowlroll.net/user/980255済</v>
      </c>
      <c r="R22" s="17">
        <f>1-(COUNTIF(Q:Q,_xlfn.TEXTJOIN(",",TRUE,テーブル1[[#This Row],[リンク]],テーブル1[[#This Row],[描画状況]]))/COUNTIF(F:F,テーブル1[[#This Row],[リンク]]))</f>
        <v>1</v>
      </c>
      <c r="S22" s="16" t="str">
        <f ca="1">IFERROR(IF(テーブル1[[#This Row],[描画状況]]="",RAND()+(テーブル1[[#This Row],[列2]]*100),""),RAND())</f>
        <v/>
      </c>
      <c r="T22" s="1" t="s">
        <v>12</v>
      </c>
      <c r="U22" s="24" t="str">
        <f ca="1">IF(AND(テーブル1[[#This Row],[描画状況]]="済",テーブル1[[#This Row],[投稿状況]]=""),RAND(),"")</f>
        <v/>
      </c>
      <c r="V22" s="23" t="str">
        <f>"|&amp;image("&amp;テーブル1[[#This Row],[画像]]&amp;".png,width=100,height=100)"</f>
        <v>|&amp;image(kasumi-ua.png,width=100,height=100)</v>
      </c>
      <c r="W22" s="23" t="str">
        <f>"|MIDDLE:​"&amp;テーブル1[[#This Row],[名前]]</f>
        <v>|MIDDLE:​化炭ウア</v>
      </c>
      <c r="X22" s="23" t="str">
        <f>"|MIDDLE:​"&amp;テーブル1[[#This Row],[なまえ]]</f>
        <v>|MIDDLE:​かすみ うあ</v>
      </c>
      <c r="Y22" s="23" t="str">
        <f>"|MIDDLE:​"&amp;テーブル1[[#This Row],[Name]]</f>
        <v>|MIDDLE:​Kasumi Ua</v>
      </c>
      <c r="Z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6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114</v>
      </c>
      <c r="D23" s="23" t="s">
        <v>115</v>
      </c>
      <c r="E23" s="23" t="s">
        <v>116</v>
      </c>
      <c r="F23" s="2" t="s">
        <v>117</v>
      </c>
      <c r="G23" s="23" t="s">
        <v>118</v>
      </c>
      <c r="H23" s="23" t="s">
        <v>661</v>
      </c>
      <c r="I23" s="23" t="s">
        <v>667</v>
      </c>
      <c r="L23" s="23" t="s">
        <v>1210</v>
      </c>
      <c r="M23" s="23" t="s">
        <v>1231</v>
      </c>
      <c r="N23" s="23" t="s">
        <v>1207</v>
      </c>
      <c r="O23" s="1" t="s">
        <v>631</v>
      </c>
      <c r="P23" s="1" t="s">
        <v>549</v>
      </c>
      <c r="Q23" s="24" t="str">
        <f>テーブル1[[#This Row],[リンク]]&amp;テーブル1[[#This Row],[描画状況]]</f>
        <v>https://kurukuru2suuzi.wixsite.com/kuzutokaze済</v>
      </c>
      <c r="R23" s="17">
        <f>1-(COUNTIF(Q:Q,_xlfn.TEXTJOIN(",",TRUE,テーブル1[[#This Row],[リンク]],テーブル1[[#This Row],[描画状況]]))/COUNTIF(F:F,テーブル1[[#This Row],[リンク]]))</f>
        <v>1</v>
      </c>
      <c r="S23" s="16" t="str">
        <f ca="1">IFERROR(IF(テーブル1[[#This Row],[描画状況]]="",RAND()+(テーブル1[[#This Row],[列2]]*100),""),RAND())</f>
        <v/>
      </c>
      <c r="T23" s="1" t="s">
        <v>12</v>
      </c>
      <c r="U23" s="24" t="str">
        <f ca="1">IF(AND(テーブル1[[#This Row],[描画状況]]="済",テーブル1[[#This Row],[投稿状況]]=""),RAND(),"")</f>
        <v/>
      </c>
      <c r="V23" s="23" t="str">
        <f>"|&amp;image("&amp;テーブル1[[#This Row],[画像]]&amp;".png,width=100,height=100)"</f>
        <v>|&amp;image(kazehiki.png,width=100,height=100)</v>
      </c>
      <c r="W23" s="23" t="str">
        <f>"|MIDDLE:​"&amp;テーブル1[[#This Row],[名前]]</f>
        <v>|MIDDLE:​カゼヒキ</v>
      </c>
      <c r="X23" s="23" t="str">
        <f>"|MIDDLE:​"&amp;テーブル1[[#This Row],[なまえ]]</f>
        <v>|MIDDLE:​かぜひき</v>
      </c>
      <c r="Y23" s="23" t="str">
        <f>"|MIDDLE:​"&amp;テーブル1[[#This Row],[Name]]</f>
        <v>|MIDDLE:​Kazehiki</v>
      </c>
      <c r="Z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6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518</v>
      </c>
      <c r="D24" s="23" t="s">
        <v>200</v>
      </c>
      <c r="E24" s="23" t="s">
        <v>201</v>
      </c>
      <c r="F24" s="2" t="s">
        <v>198</v>
      </c>
      <c r="G24" s="23" t="s">
        <v>199</v>
      </c>
      <c r="H24" s="23" t="s">
        <v>672</v>
      </c>
      <c r="I24" s="23" t="s">
        <v>716</v>
      </c>
      <c r="M24" s="23" t="s">
        <v>1178</v>
      </c>
      <c r="O24" s="1" t="s">
        <v>594</v>
      </c>
      <c r="P24" s="1" t="s">
        <v>549</v>
      </c>
      <c r="Q24" s="24" t="str">
        <f>テーブル1[[#This Row],[リンク]]&amp;テーブル1[[#This Row],[描画状況]]</f>
        <v>https://seirentoybox.jimdofree.com済</v>
      </c>
      <c r="R24" s="17">
        <f>1-(COUNTIF(Q:Q,_xlfn.TEXTJOIN(",",TRUE,テーブル1[[#This Row],[リンク]],テーブル1[[#This Row],[描画状況]]))/COUNTIF(F:F,テーブル1[[#This Row],[リンク]]))</f>
        <v>1</v>
      </c>
      <c r="S24" s="16" t="str">
        <f ca="1">IFERROR(IF(テーブル1[[#This Row],[描画状況]]="",RAND()+(テーブル1[[#This Row],[列2]]*100),""),RAND())</f>
        <v/>
      </c>
      <c r="T24" s="1" t="s">
        <v>12</v>
      </c>
      <c r="U24" s="24" t="str">
        <f ca="1">IF(AND(テーブル1[[#This Row],[描画状況]]="済",テーブル1[[#This Row],[投稿状況]]=""),RAND(),"")</f>
        <v/>
      </c>
      <c r="V24" s="23" t="str">
        <f>"|&amp;image("&amp;テーブル1[[#This Row],[画像]]&amp;".png,width=100,height=100)"</f>
        <v>|&amp;image(katabami.png,width=100,height=100)</v>
      </c>
      <c r="W24" s="23" t="str">
        <f>"|MIDDLE:​"&amp;テーブル1[[#This Row],[名前]]</f>
        <v>|MIDDLE:​カタバミ</v>
      </c>
      <c r="X24" s="23" t="str">
        <f>"|MIDDLE:​"&amp;テーブル1[[#This Row],[なまえ]]</f>
        <v>|MIDDLE:​かたばみ</v>
      </c>
      <c r="Y24" s="23" t="str">
        <f>"|MIDDLE:​"&amp;テーブル1[[#This Row],[Name]]</f>
        <v>|MIDDLE:​Katabami</v>
      </c>
      <c r="Z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6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519</v>
      </c>
      <c r="D25" s="23" t="s">
        <v>151</v>
      </c>
      <c r="E25" s="23" t="s">
        <v>152</v>
      </c>
      <c r="F25" s="2" t="s">
        <v>153</v>
      </c>
      <c r="G25" s="23" t="s">
        <v>154</v>
      </c>
      <c r="H25" s="23" t="s">
        <v>661</v>
      </c>
      <c r="I25" s="23" t="s">
        <v>670</v>
      </c>
      <c r="M25" s="23" t="s">
        <v>1182</v>
      </c>
      <c r="N25" s="23" t="s">
        <v>1207</v>
      </c>
      <c r="O25" s="1" t="s">
        <v>631</v>
      </c>
      <c r="P25" s="1" t="s">
        <v>549</v>
      </c>
      <c r="Q25" s="24" t="str">
        <f>テーブル1[[#This Row],[リンク]]&amp;テーブル1[[#This Row],[描画状況]]</f>
        <v>https://moqujc.wixsite.com/mqtop済</v>
      </c>
      <c r="R25" s="17">
        <f>1-(COUNTIF(Q:Q,_xlfn.TEXTJOIN(",",TRUE,テーブル1[[#This Row],[リンク]],テーブル1[[#This Row],[描画状況]]))/COUNTIF(F:F,テーブル1[[#This Row],[リンク]]))</f>
        <v>1</v>
      </c>
      <c r="S25" s="16" t="str">
        <f ca="1">IFERROR(IF(テーブル1[[#This Row],[描画状況]]="",RAND()+(テーブル1[[#This Row],[列2]]*100),""),RAND())</f>
        <v/>
      </c>
      <c r="T25" s="1" t="s">
        <v>12</v>
      </c>
      <c r="U25" s="24" t="str">
        <f ca="1">IF(AND(テーブル1[[#This Row],[描画状況]]="済",テーブル1[[#This Row],[投稿状況]]=""),RAND(),"")</f>
        <v/>
      </c>
      <c r="V25" s="23" t="str">
        <f>"|&amp;image("&amp;テーブル1[[#This Row],[画像]]&amp;".png,width=100,height=100)"</f>
        <v>|&amp;image(katabanhumei.png,width=100,height=100)</v>
      </c>
      <c r="W25" s="23" t="str">
        <f>"|MIDDLE:​"&amp;テーブル1[[#This Row],[名前]]</f>
        <v>|MIDDLE:​型番不明</v>
      </c>
      <c r="X25" s="23" t="str">
        <f>"|MIDDLE:​"&amp;テーブル1[[#This Row],[なまえ]]</f>
        <v>|MIDDLE:​かたばんふめい</v>
      </c>
      <c r="Y25" s="23" t="str">
        <f>"|MIDDLE:​"&amp;テーブル1[[#This Row],[Name]]</f>
        <v>|MIDDLE:​Katabanhumei</v>
      </c>
      <c r="Z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6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85</v>
      </c>
      <c r="D26" s="23" t="s">
        <v>789</v>
      </c>
      <c r="E26" s="23" t="s">
        <v>958</v>
      </c>
      <c r="F26" s="2" t="s">
        <v>86</v>
      </c>
      <c r="G26" s="23" t="s">
        <v>87</v>
      </c>
      <c r="H26" s="23" t="s">
        <v>660</v>
      </c>
      <c r="I26" s="23" t="s">
        <v>667</v>
      </c>
      <c r="L26" s="23" t="s">
        <v>1211</v>
      </c>
      <c r="N26" s="23" t="s">
        <v>1232</v>
      </c>
      <c r="O26" s="1" t="s">
        <v>631</v>
      </c>
      <c r="P26" s="1" t="s">
        <v>549</v>
      </c>
      <c r="Q26" s="24" t="str">
        <f>テーブル1[[#This Row],[リンク]]&amp;テーブル1[[#This Row],[描画状況]]</f>
        <v>https://itsuriutau.wixsite.com/kanadeshia済</v>
      </c>
      <c r="R26" s="17">
        <f>1-(COUNTIF(Q:Q,_xlfn.TEXTJOIN(",",TRUE,テーブル1[[#This Row],[リンク]],テーブル1[[#This Row],[描画状況]]))/COUNTIF(F:F,テーブル1[[#This Row],[リンク]]))</f>
        <v>1</v>
      </c>
      <c r="S26" s="16" t="str">
        <f ca="1">IFERROR(IF(テーブル1[[#This Row],[描画状況]]="",RAND()+(テーブル1[[#This Row],[列2]]*100),""),RAND())</f>
        <v/>
      </c>
      <c r="T26" s="1" t="s">
        <v>12</v>
      </c>
      <c r="U26" s="24" t="str">
        <f ca="1">IF(AND(テーブル1[[#This Row],[描画状況]]="済",テーブル1[[#This Row],[投稿状況]]=""),RAND(),"")</f>
        <v/>
      </c>
      <c r="V26" s="23" t="str">
        <f>"|&amp;image("&amp;テーブル1[[#This Row],[画像]]&amp;".png,width=100,height=100)"</f>
        <v>|&amp;image(kanade-shia.png,width=100,height=100)</v>
      </c>
      <c r="W26" s="23" t="str">
        <f>"|MIDDLE:​"&amp;テーブル1[[#This Row],[名前]]</f>
        <v>|MIDDLE:​花撫シア</v>
      </c>
      <c r="X26" s="23" t="str">
        <f>"|MIDDLE:​"&amp;テーブル1[[#This Row],[なまえ]]</f>
        <v>|MIDDLE:​かなで しあ</v>
      </c>
      <c r="Y26" s="23" t="str">
        <f>"|MIDDLE:​"&amp;テーブル1[[#This Row],[Name]]</f>
        <v>|MIDDLE:​Kanade Shia</v>
      </c>
      <c r="Z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6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88</v>
      </c>
      <c r="D27" s="23" t="s">
        <v>790</v>
      </c>
      <c r="E27" s="23" t="s">
        <v>959</v>
      </c>
      <c r="F27" s="2" t="s">
        <v>86</v>
      </c>
      <c r="G27" s="23" t="s">
        <v>89</v>
      </c>
      <c r="H27" s="23" t="s">
        <v>661</v>
      </c>
      <c r="I27" s="23" t="s">
        <v>667</v>
      </c>
      <c r="L27" s="23" t="s">
        <v>1211</v>
      </c>
      <c r="N27" s="23" t="s">
        <v>1212</v>
      </c>
      <c r="O27" s="1" t="s">
        <v>631</v>
      </c>
      <c r="P27" s="1" t="s">
        <v>549</v>
      </c>
      <c r="Q27" s="24" t="str">
        <f>テーブル1[[#This Row],[リンク]]&amp;テーブル1[[#This Row],[描画状況]]</f>
        <v>https://itsuriutau.wixsite.com/kanadeshia済</v>
      </c>
      <c r="R27" s="17">
        <f>1-(COUNTIF(Q:Q,_xlfn.TEXTJOIN(",",TRUE,テーブル1[[#This Row],[リンク]],テーブル1[[#This Row],[描画状況]]))/COUNTIF(F:F,テーブル1[[#This Row],[リンク]]))</f>
        <v>1</v>
      </c>
      <c r="S27" s="16" t="str">
        <f ca="1">IFERROR(IF(テーブル1[[#This Row],[描画状況]]="",RAND()+(テーブル1[[#This Row],[列2]]*100),""),RAND())</f>
        <v/>
      </c>
      <c r="T27" s="1" t="s">
        <v>12</v>
      </c>
      <c r="U27" s="24" t="str">
        <f ca="1">IF(AND(テーブル1[[#This Row],[描画状況]]="済",テーブル1[[#This Row],[投稿状況]]=""),RAND(),"")</f>
        <v/>
      </c>
      <c r="V27" s="23" t="str">
        <f>"|&amp;image("&amp;テーブル1[[#This Row],[画像]]&amp;".png,width=100,height=100)"</f>
        <v>|&amp;image(kanade-shion.png,width=100,height=100)</v>
      </c>
      <c r="W27" s="23" t="str">
        <f>"|MIDDLE:​"&amp;テーブル1[[#This Row],[名前]]</f>
        <v>|MIDDLE:​花撫シオン</v>
      </c>
      <c r="X27" s="23" t="str">
        <f>"|MIDDLE:​"&amp;テーブル1[[#This Row],[なまえ]]</f>
        <v>|MIDDLE:​かなで しおん</v>
      </c>
      <c r="Y27" s="23" t="str">
        <f>"|MIDDLE:​"&amp;テーブル1[[#This Row],[Name]]</f>
        <v>|MIDDLE:​Kanade Shion</v>
      </c>
      <c r="Z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6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46</v>
      </c>
      <c r="D28" s="23" t="s">
        <v>791</v>
      </c>
      <c r="E28" s="23" t="s">
        <v>960</v>
      </c>
      <c r="F28" s="15" t="s">
        <v>705</v>
      </c>
      <c r="G28" s="23" t="s">
        <v>47</v>
      </c>
      <c r="H28" s="23" t="s">
        <v>672</v>
      </c>
      <c r="I28" s="23" t="s">
        <v>667</v>
      </c>
      <c r="J28" s="23" t="s">
        <v>1213</v>
      </c>
      <c r="L28" s="23" t="s">
        <v>1214</v>
      </c>
      <c r="O28" s="1" t="s">
        <v>594</v>
      </c>
      <c r="P28" s="1" t="s">
        <v>549</v>
      </c>
      <c r="Q28" s="24" t="str">
        <f>テーブル1[[#This Row],[リンク]]&amp;テーブル1[[#This Row],[描画状況]]</f>
        <v>https://kinomihautaimas.wixsite.com/dongurihiroba済</v>
      </c>
      <c r="R28" s="17">
        <f>1-(COUNTIF(Q:Q,_xlfn.TEXTJOIN(",",TRUE,テーブル1[[#This Row],[リンク]],テーブル1[[#This Row],[描画状況]]))/COUNTIF(F:F,テーブル1[[#This Row],[リンク]]))</f>
        <v>1</v>
      </c>
      <c r="S28" s="16" t="str">
        <f ca="1">IFERROR(IF(テーブル1[[#This Row],[描画状況]]="",RAND()+(テーブル1[[#This Row],[列2]]*100),""),RAND())</f>
        <v/>
      </c>
      <c r="T28" s="1" t="s">
        <v>12</v>
      </c>
      <c r="U28" s="24" t="str">
        <f ca="1">IF(AND(テーブル1[[#This Row],[描画状況]]="済",テーブル1[[#This Row],[投稿状況]]=""),RAND(),"")</f>
        <v/>
      </c>
      <c r="V28" s="23" t="str">
        <f>"|&amp;image("&amp;テーブル1[[#This Row],[画像]]&amp;".png,width=100,height=100)"</f>
        <v>|&amp;image(kanari-nito.png,width=100,height=100)</v>
      </c>
      <c r="W28" s="23" t="str">
        <f>"|MIDDLE:​"&amp;テーブル1[[#This Row],[名前]]</f>
        <v>|MIDDLE:​歌為にーと</v>
      </c>
      <c r="X28" s="23" t="str">
        <f>"|MIDDLE:​"&amp;テーブル1[[#This Row],[なまえ]]</f>
        <v>|MIDDLE:​かなり にーと</v>
      </c>
      <c r="Y28" s="23" t="str">
        <f>"|MIDDLE:​"&amp;テーブル1[[#This Row],[Name]]</f>
        <v>|MIDDLE:​Kanari Nito</v>
      </c>
      <c r="Z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6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520</v>
      </c>
      <c r="D29" s="23" t="s">
        <v>792</v>
      </c>
      <c r="E29" s="23" t="s">
        <v>961</v>
      </c>
      <c r="F29" s="2" t="s">
        <v>90</v>
      </c>
      <c r="G29" s="23" t="s">
        <v>91</v>
      </c>
      <c r="H29" s="23" t="s">
        <v>660</v>
      </c>
      <c r="I29" s="23" t="s">
        <v>667</v>
      </c>
      <c r="P29" s="1" t="s">
        <v>549</v>
      </c>
      <c r="Q29" s="24" t="str">
        <f>テーブル1[[#This Row],[リンク]]&amp;テーブル1[[#This Row],[描画状況]]</f>
        <v>https://kaitoramma.chu.jp済</v>
      </c>
      <c r="R29" s="17">
        <f>1-(COUNTIF(Q:Q,_xlfn.TEXTJOIN(",",TRUE,テーブル1[[#This Row],[リンク]],テーブル1[[#This Row],[描画状況]]))/COUNTIF(F:F,テーブル1[[#This Row],[リンク]]))</f>
        <v>1</v>
      </c>
      <c r="S29" s="16" t="str">
        <f ca="1">IFERROR(IF(テーブル1[[#This Row],[描画状況]]="",RAND()+(テーブル1[[#This Row],[列2]]*100),""),RAND())</f>
        <v/>
      </c>
      <c r="T29" s="1" t="s">
        <v>12</v>
      </c>
      <c r="U29" s="24" t="str">
        <f ca="1">IF(AND(テーブル1[[#This Row],[描画状況]]="済",テーブル1[[#This Row],[投稿状況]]=""),RAND(),"")</f>
        <v/>
      </c>
      <c r="V29" s="23" t="str">
        <f>"|&amp;image("&amp;テーブル1[[#This Row],[画像]]&amp;".png,width=100,height=100)"</f>
        <v>|&amp;image(karane-kyoka.png,width=100,height=100)</v>
      </c>
      <c r="W29" s="23" t="str">
        <f>"|MIDDLE:​"&amp;テーブル1[[#This Row],[名前]]</f>
        <v>|MIDDLE:​空音響歌</v>
      </c>
      <c r="X29" s="23" t="str">
        <f>"|MIDDLE:​"&amp;テーブル1[[#This Row],[なまえ]]</f>
        <v>|MIDDLE:​からね きょうか</v>
      </c>
      <c r="Y29" s="23" t="str">
        <f>"|MIDDLE:​"&amp;テーブル1[[#This Row],[Name]]</f>
        <v>|MIDDLE:​Karane Kyoka</v>
      </c>
      <c r="Z29" s="23" t="str">
        <f>"|MIDDLE:​&amp;link(配布所はこちら){​"&amp;テーブル1[[#This Row],[リンク]]&amp;"}|"</f>
        <v>|MIDDLE:​&amp;link(配布所はこちら){​https://kaitoramma.chu.jp}|</v>
      </c>
    </row>
    <row r="30" spans="1:26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521</v>
      </c>
      <c r="D30" s="23" t="s">
        <v>793</v>
      </c>
      <c r="E30" s="23" t="s">
        <v>962</v>
      </c>
      <c r="F30" s="2" t="s">
        <v>90</v>
      </c>
      <c r="G30" s="23" t="s">
        <v>91</v>
      </c>
      <c r="H30" s="23" t="s">
        <v>673</v>
      </c>
      <c r="I30" s="23" t="s">
        <v>667</v>
      </c>
      <c r="M30" s="23" t="s">
        <v>1187</v>
      </c>
      <c r="P30" s="1" t="s">
        <v>549</v>
      </c>
      <c r="Q30" s="24" t="str">
        <f>テーブル1[[#This Row],[リンク]]&amp;テーブル1[[#This Row],[描画状況]]</f>
        <v>https://kaitoramma.chu.jp済</v>
      </c>
      <c r="R30" s="17">
        <f>1-(COUNTIF(Q:Q,_xlfn.TEXTJOIN(",",TRUE,テーブル1[[#This Row],[リンク]],テーブル1[[#This Row],[描画状況]]))/COUNTIF(F:F,テーブル1[[#This Row],[リンク]]))</f>
        <v>1</v>
      </c>
      <c r="S30" s="16" t="str">
        <f ca="1">IFERROR(IF(テーブル1[[#This Row],[描画状況]]="",RAND()+(テーブル1[[#This Row],[列2]]*100),""),RAND())</f>
        <v/>
      </c>
      <c r="T30" s="1" t="s">
        <v>12</v>
      </c>
      <c r="U30" s="24" t="str">
        <f ca="1">IF(AND(テーブル1[[#This Row],[描画状況]]="済",テーブル1[[#This Row],[投稿状況]]=""),RAND(),"")</f>
        <v/>
      </c>
      <c r="V30" s="23" t="str">
        <f>"|&amp;image("&amp;テーブル1[[#This Row],[画像]]&amp;".png,width=100,height=100)"</f>
        <v>|&amp;image(karane-hibiki.png,width=100,height=100)</v>
      </c>
      <c r="W30" s="23" t="str">
        <f>"|MIDDLE:​"&amp;テーブル1[[#This Row],[名前]]</f>
        <v>|MIDDLE:​空音ヒビキ</v>
      </c>
      <c r="X30" s="23" t="str">
        <f>"|MIDDLE:​"&amp;テーブル1[[#This Row],[なまえ]]</f>
        <v>|MIDDLE:​からね ひびき</v>
      </c>
      <c r="Y30" s="23" t="str">
        <f>"|MIDDLE:​"&amp;テーブル1[[#This Row],[Name]]</f>
        <v>|MIDDLE:​Karane Hibiki</v>
      </c>
      <c r="Z30" s="23" t="str">
        <f>"|MIDDLE:​&amp;link(配布所はこちら){​"&amp;テーブル1[[#This Row],[リンク]]&amp;"}|"</f>
        <v>|MIDDLE:​&amp;link(配布所はこちら){​https://kaitoramma.chu.jp}|</v>
      </c>
    </row>
    <row r="31" spans="1:26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522</v>
      </c>
      <c r="D31" s="23" t="s">
        <v>244</v>
      </c>
      <c r="E31" s="23" t="s">
        <v>245</v>
      </c>
      <c r="F31" s="2" t="s">
        <v>246</v>
      </c>
      <c r="G31" s="23" t="s">
        <v>247</v>
      </c>
      <c r="H31" s="23" t="s">
        <v>660</v>
      </c>
      <c r="I31" s="23" t="s">
        <v>679</v>
      </c>
      <c r="P31" s="1" t="s">
        <v>549</v>
      </c>
      <c r="Q31" s="24" t="str">
        <f>テーブル1[[#This Row],[リンク]]&amp;テーブル1[[#This Row],[描画状況]]</f>
        <v>https://utaunanaproplus.wixsite.com/of-web済</v>
      </c>
      <c r="R31" s="17">
        <f>1-(COUNTIF(Q:Q,_xlfn.TEXTJOIN(",",TRUE,テーブル1[[#This Row],[リンク]],テーブル1[[#This Row],[描画状況]]))/COUNTIF(F:F,テーブル1[[#This Row],[リンク]]))</f>
        <v>1</v>
      </c>
      <c r="S31" s="16" t="str">
        <f ca="1">IFERROR(IF(テーブル1[[#This Row],[描画状況]]="",RAND()+(テーブル1[[#This Row],[列2]]*100),""),RAND())</f>
        <v/>
      </c>
      <c r="T31" s="1" t="s">
        <v>12</v>
      </c>
      <c r="U31" s="24" t="str">
        <f ca="1">IF(AND(テーブル1[[#This Row],[描画状況]]="済",テーブル1[[#This Row],[投稿状況]]=""),RAND(),"")</f>
        <v/>
      </c>
      <c r="V31" s="23" t="str">
        <f>"|&amp;image("&amp;テーブル1[[#This Row],[画像]]&amp;".png,width=100,height=100)"</f>
        <v>|&amp;image(kiyenn.png,width=100,height=100)</v>
      </c>
      <c r="W31" s="23" t="str">
        <f>"|MIDDLE:​"&amp;テーブル1[[#This Row],[名前]]</f>
        <v>|MIDDLE:​キエン</v>
      </c>
      <c r="X31" s="23" t="str">
        <f>"|MIDDLE:​"&amp;テーブル1[[#This Row],[なまえ]]</f>
        <v>|MIDDLE:​きえん</v>
      </c>
      <c r="Y31" s="23" t="str">
        <f>"|MIDDLE:​"&amp;テーブル1[[#This Row],[Name]]</f>
        <v>|MIDDLE:​Kiyenn</v>
      </c>
      <c r="Z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6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523</v>
      </c>
      <c r="D32" s="23" t="s">
        <v>794</v>
      </c>
      <c r="E32" s="23" t="s">
        <v>963</v>
      </c>
      <c r="F32" s="2" t="s">
        <v>198</v>
      </c>
      <c r="G32" s="23" t="s">
        <v>199</v>
      </c>
      <c r="H32" s="23" t="s">
        <v>660</v>
      </c>
      <c r="I32" s="23" t="s">
        <v>717</v>
      </c>
      <c r="L32" s="23" t="s">
        <v>1206</v>
      </c>
      <c r="M32" s="23" t="s">
        <v>1285</v>
      </c>
      <c r="N32" s="23" t="s">
        <v>1215</v>
      </c>
      <c r="O32" s="1" t="s">
        <v>594</v>
      </c>
      <c r="P32" s="1" t="s">
        <v>549</v>
      </c>
      <c r="Q32" s="24" t="str">
        <f>テーブル1[[#This Row],[リンク]]&amp;テーブル1[[#This Row],[描画状況]]</f>
        <v>https://seirentoybox.jimdofree.com済</v>
      </c>
      <c r="R32" s="17">
        <f>1-(COUNTIF(Q:Q,_xlfn.TEXTJOIN(",",TRUE,テーブル1[[#This Row],[リンク]],テーブル1[[#This Row],[描画状況]]))/COUNTIF(F:F,テーブル1[[#This Row],[リンク]]))</f>
        <v>1</v>
      </c>
      <c r="S32" s="16" t="str">
        <f ca="1">IFERROR(IF(テーブル1[[#This Row],[描画状況]]="",RAND()+(テーブル1[[#This Row],[列2]]*100),""),RAND())</f>
        <v/>
      </c>
      <c r="T32" s="1" t="s">
        <v>12</v>
      </c>
      <c r="U32" s="24" t="str">
        <f ca="1">IF(AND(テーブル1[[#This Row],[描画状況]]="済",テーブル1[[#This Row],[投稿状況]]=""),RAND(),"")</f>
        <v/>
      </c>
      <c r="V32" s="23" t="str">
        <f>"|&amp;image("&amp;テーブル1[[#This Row],[画像]]&amp;".png,width=100,height=100)"</f>
        <v>|&amp;image(kigeki-warota.png,width=100,height=100)</v>
      </c>
      <c r="W32" s="23" t="str">
        <f>"|MIDDLE:​"&amp;テーブル1[[#This Row],[名前]]</f>
        <v>|MIDDLE:​喜檄わろた</v>
      </c>
      <c r="X32" s="23" t="str">
        <f>"|MIDDLE:​"&amp;テーブル1[[#This Row],[なまえ]]</f>
        <v>|MIDDLE:​きげき わろた</v>
      </c>
      <c r="Y32" s="23" t="str">
        <f>"|MIDDLE:​"&amp;テーブル1[[#This Row],[Name]]</f>
        <v>|MIDDLE:​Kigeki Warota</v>
      </c>
      <c r="Z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6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175</v>
      </c>
      <c r="D33" s="23" t="s">
        <v>795</v>
      </c>
      <c r="E33" s="23" t="s">
        <v>964</v>
      </c>
      <c r="F33" s="15" t="s">
        <v>176</v>
      </c>
      <c r="G33" s="23" t="s">
        <v>177</v>
      </c>
      <c r="H33" s="23" t="s">
        <v>661</v>
      </c>
      <c r="I33" s="23" t="s">
        <v>726</v>
      </c>
      <c r="L33" s="23" t="s">
        <v>1216</v>
      </c>
      <c r="M33" s="23" t="s">
        <v>1187</v>
      </c>
      <c r="N33" s="23" t="s">
        <v>1233</v>
      </c>
      <c r="O33" s="1" t="s">
        <v>631</v>
      </c>
      <c r="P33" s="1" t="s">
        <v>549</v>
      </c>
      <c r="Q33" s="24" t="str">
        <f>テーブル1[[#This Row],[リンク]]&amp;テーブル1[[#This Row],[描画状況]]</f>
        <v>https://nyaruru.wixsite.com/s-p-w済</v>
      </c>
      <c r="R33" s="17">
        <f>1-(COUNTIF(Q:Q,_xlfn.TEXTJOIN(",",TRUE,テーブル1[[#This Row],[リンク]],テーブル1[[#This Row],[描画状況]]))/COUNTIF(F:F,テーブル1[[#This Row],[リンク]]))</f>
        <v>1</v>
      </c>
      <c r="S33" s="16" t="str">
        <f ca="1">IFERROR(IF(テーブル1[[#This Row],[描画状況]]="",RAND()+(テーブル1[[#This Row],[列2]]*100),""),RAND())</f>
        <v/>
      </c>
      <c r="T33" s="1" t="s">
        <v>12</v>
      </c>
      <c r="U33" s="24" t="str">
        <f ca="1">IF(AND(テーブル1[[#This Row],[描画状況]]="済",テーブル1[[#This Row],[投稿状況]]=""),RAND(),"")</f>
        <v/>
      </c>
      <c r="V33" s="23" t="str">
        <f>"|&amp;image("&amp;テーブル1[[#This Row],[画像]]&amp;".png,width=100,height=100)"</f>
        <v>|&amp;image(kizuboshi-sora.png,width=100,height=100)</v>
      </c>
      <c r="W33" s="23" t="str">
        <f>"|MIDDLE:​"&amp;テーブル1[[#This Row],[名前]]</f>
        <v>|MIDDLE:​創星宙</v>
      </c>
      <c r="X33" s="23" t="str">
        <f>"|MIDDLE:​"&amp;テーブル1[[#This Row],[なまえ]]</f>
        <v>|MIDDLE:​きずぼし そら</v>
      </c>
      <c r="Y33" s="23" t="str">
        <f>"|MIDDLE:​"&amp;テーブル1[[#This Row],[Name]]</f>
        <v>|MIDDLE:​Kizuboshi Sora</v>
      </c>
      <c r="Z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6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48</v>
      </c>
      <c r="D34" s="23" t="s">
        <v>796</v>
      </c>
      <c r="E34" s="23" t="s">
        <v>965</v>
      </c>
      <c r="F34" s="2" t="s">
        <v>705</v>
      </c>
      <c r="G34" s="23" t="s">
        <v>47</v>
      </c>
      <c r="H34" s="23" t="s">
        <v>660</v>
      </c>
      <c r="I34" s="23" t="s">
        <v>667</v>
      </c>
      <c r="M34" s="23" t="s">
        <v>1186</v>
      </c>
      <c r="N34" s="23" t="s">
        <v>1234</v>
      </c>
      <c r="O34" s="1" t="s">
        <v>594</v>
      </c>
      <c r="P34" s="1" t="s">
        <v>549</v>
      </c>
      <c r="Q34" s="24" t="str">
        <f>テーブル1[[#This Row],[リンク]]&amp;テーブル1[[#This Row],[描画状況]]</f>
        <v>https://kinomihautaimas.wixsite.com/dongurihiroba済</v>
      </c>
      <c r="R34" s="17">
        <f>1-(COUNTIF(Q:Q,_xlfn.TEXTJOIN(",",TRUE,テーブル1[[#This Row],[リンク]],テーブル1[[#This Row],[描画状況]]))/COUNTIF(F:F,テーブル1[[#This Row],[リンク]]))</f>
        <v>1</v>
      </c>
      <c r="S34" s="16" t="str">
        <f ca="1">IFERROR(IF(テーブル1[[#This Row],[描画状況]]="",RAND()+(テーブル1[[#This Row],[列2]]*100),""),RAND())</f>
        <v/>
      </c>
      <c r="T34" s="1" t="s">
        <v>12</v>
      </c>
      <c r="U34" s="24" t="str">
        <f ca="1">IF(AND(テーブル1[[#This Row],[描画状況]]="済",テーブル1[[#This Row],[投稿状況]]=""),RAND(),"")</f>
        <v/>
      </c>
      <c r="V34" s="23" t="str">
        <f>"|&amp;image("&amp;テーブル1[[#This Row],[画像]]&amp;".png,width=100,height=100)"</f>
        <v>|&amp;image(kine-kine.png,width=100,height=100)</v>
      </c>
      <c r="W34" s="23" t="str">
        <f>"|MIDDLE:​"&amp;テーブル1[[#This Row],[名前]]</f>
        <v>|MIDDLE:​キ音キネ</v>
      </c>
      <c r="X34" s="23" t="str">
        <f>"|MIDDLE:​"&amp;テーブル1[[#This Row],[なまえ]]</f>
        <v>|MIDDLE:​きね きね</v>
      </c>
      <c r="Y34" s="23" t="str">
        <f>"|MIDDLE:​"&amp;テーブル1[[#This Row],[Name]]</f>
        <v>|MIDDLE:​Kine Kine</v>
      </c>
      <c r="Z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6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524</v>
      </c>
      <c r="D35" s="23" t="s">
        <v>797</v>
      </c>
      <c r="E35" s="23" t="s">
        <v>966</v>
      </c>
      <c r="F35" s="2" t="s">
        <v>246</v>
      </c>
      <c r="G35" s="23" t="s">
        <v>247</v>
      </c>
      <c r="H35" s="23" t="s">
        <v>661</v>
      </c>
      <c r="I35" s="23" t="s">
        <v>713</v>
      </c>
      <c r="L35" s="23" t="s">
        <v>1216</v>
      </c>
      <c r="M35" s="23" t="s">
        <v>1217</v>
      </c>
      <c r="N35" s="23" t="s">
        <v>1207</v>
      </c>
      <c r="P35" s="1" t="s">
        <v>549</v>
      </c>
      <c r="Q35" s="24" t="str">
        <f>テーブル1[[#This Row],[リンク]]&amp;テーブル1[[#This Row],[描画状況]]</f>
        <v>https://utaunanaproplus.wixsite.com/of-web済</v>
      </c>
      <c r="R35" s="17">
        <f>1-(COUNTIF(Q:Q,_xlfn.TEXTJOIN(",",TRUE,テーブル1[[#This Row],[リンク]],テーブル1[[#This Row],[描画状況]]))/COUNTIF(F:F,テーブル1[[#This Row],[リンク]]))</f>
        <v>1</v>
      </c>
      <c r="S35" s="16" t="str">
        <f ca="1">IFERROR(IF(テーブル1[[#This Row],[描画状況]]="",RAND()+(テーブル1[[#This Row],[列2]]*100),""),RAND())</f>
        <v/>
      </c>
      <c r="T35" s="1" t="s">
        <v>12</v>
      </c>
      <c r="U35" s="24" t="str">
        <f ca="1">IF(AND(テーブル1[[#This Row],[描画状況]]="済",テーブル1[[#This Row],[投稿状況]]=""),RAND(),"")</f>
        <v/>
      </c>
      <c r="V35" s="23" t="str">
        <f>"|&amp;image("&amp;テーブル1[[#This Row],[画像]]&amp;".png,width=100,height=100)"</f>
        <v>|&amp;image(kyomachi-morte.png,width=100,height=100)</v>
      </c>
      <c r="W35" s="23" t="str">
        <f>"|MIDDLE:​"&amp;テーブル1[[#This Row],[名前]]</f>
        <v>|MIDDLE:​凶街モルテ</v>
      </c>
      <c r="X35" s="23" t="str">
        <f>"|MIDDLE:​"&amp;テーブル1[[#This Row],[なまえ]]</f>
        <v>|MIDDLE:​きょうまち もるて</v>
      </c>
      <c r="Y35" s="23" t="str">
        <f>"|MIDDLE:​"&amp;テーブル1[[#This Row],[Name]]</f>
        <v>|MIDDLE:​Kyomachi Morte</v>
      </c>
      <c r="Z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6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178</v>
      </c>
      <c r="D36" s="23" t="s">
        <v>798</v>
      </c>
      <c r="E36" s="23" t="s">
        <v>967</v>
      </c>
      <c r="F36" s="2" t="s">
        <v>176</v>
      </c>
      <c r="G36" s="23" t="s">
        <v>179</v>
      </c>
      <c r="H36" s="23" t="s">
        <v>661</v>
      </c>
      <c r="I36" s="23" t="s">
        <v>704</v>
      </c>
      <c r="K36" s="23" t="s">
        <v>1310</v>
      </c>
      <c r="L36" s="23" t="s">
        <v>1235</v>
      </c>
      <c r="M36" s="23" t="s">
        <v>1182</v>
      </c>
      <c r="N36" s="23" t="s">
        <v>1298</v>
      </c>
      <c r="O36" s="1" t="s">
        <v>631</v>
      </c>
      <c r="P36" s="1" t="s">
        <v>549</v>
      </c>
      <c r="Q36" s="24" t="str">
        <f>テーブル1[[#This Row],[リンク]]&amp;テーブル1[[#This Row],[描画状況]]</f>
        <v>https://nyaruru.wixsite.com/s-p-w済</v>
      </c>
      <c r="R36" s="17">
        <f>1-(COUNTIF(Q:Q,_xlfn.TEXTJOIN(",",TRUE,テーブル1[[#This Row],[リンク]],テーブル1[[#This Row],[描画状況]]))/COUNTIF(F:F,テーブル1[[#This Row],[リンク]]))</f>
        <v>1</v>
      </c>
      <c r="S36" s="16" t="str">
        <f ca="1">IFERROR(IF(テーブル1[[#This Row],[描画状況]]="",RAND()+(テーブル1[[#This Row],[列2]]*100),""),RAND())</f>
        <v/>
      </c>
      <c r="T36" s="1" t="s">
        <v>12</v>
      </c>
      <c r="U36" s="24" t="str">
        <f ca="1">IF(AND(テーブル1[[#This Row],[描画状況]]="済",テーブル1[[#This Row],[投稿状況]]=""),RAND(),"")</f>
        <v/>
      </c>
      <c r="V36" s="23" t="str">
        <f>"|&amp;image("&amp;テーブル1[[#This Row],[画像]]&amp;".png,width=100,height=100)"</f>
        <v>|&amp;image(kiraboshi-waku.png,width=100,height=100)</v>
      </c>
      <c r="W36" s="23" t="str">
        <f>"|MIDDLE:​"&amp;テーブル1[[#This Row],[名前]]</f>
        <v>|MIDDLE:​輝星惑</v>
      </c>
      <c r="X36" s="23" t="str">
        <f>"|MIDDLE:​"&amp;テーブル1[[#This Row],[なまえ]]</f>
        <v>|MIDDLE:​きらぼし わく</v>
      </c>
      <c r="Y36" s="23" t="str">
        <f>"|MIDDLE:​"&amp;テーブル1[[#This Row],[Name]]</f>
        <v>|MIDDLE:​Kiraboshi Waku</v>
      </c>
      <c r="Z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6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71</v>
      </c>
      <c r="D37" s="23" t="s">
        <v>799</v>
      </c>
      <c r="E37" s="23" t="s">
        <v>968</v>
      </c>
      <c r="F37" s="15" t="s">
        <v>72</v>
      </c>
      <c r="G37" s="23" t="s">
        <v>1113</v>
      </c>
      <c r="H37" s="23" t="s">
        <v>661</v>
      </c>
      <c r="I37" s="23" t="s">
        <v>667</v>
      </c>
      <c r="L37" s="23" t="s">
        <v>1211</v>
      </c>
      <c r="M37" s="23" t="s">
        <v>1177</v>
      </c>
      <c r="O37" s="1" t="s">
        <v>594</v>
      </c>
      <c r="P37" s="1" t="s">
        <v>549</v>
      </c>
      <c r="Q37" s="24" t="str">
        <f>テーブル1[[#This Row],[リンク]]&amp;テーブル1[[#This Row],[描画状況]]</f>
        <v>https://hznonoka.wixsite.com/utau済</v>
      </c>
      <c r="R37" s="17">
        <f>1-(COUNTIF(Q:Q,_xlfn.TEXTJOIN(",",TRUE,テーブル1[[#This Row],[リンク]],テーブル1[[#This Row],[描画状況]]))/COUNTIF(F:F,テーブル1[[#This Row],[リンク]]))</f>
        <v>1</v>
      </c>
      <c r="S37" s="16" t="str">
        <f ca="1">IFERROR(IF(テーブル1[[#This Row],[描画状況]]="",RAND()+(テーブル1[[#This Row],[列2]]*100),""),RAND())</f>
        <v/>
      </c>
      <c r="T37" s="1" t="s">
        <v>12</v>
      </c>
      <c r="U37" s="24" t="str">
        <f ca="1">IF(AND(テーブル1[[#This Row],[描画状況]]="済",テーブル1[[#This Row],[投稿状況]]=""),RAND(),"")</f>
        <v/>
      </c>
      <c r="V37" s="23" t="str">
        <f>"|&amp;image("&amp;テーブル1[[#This Row],[画像]]&amp;".png,width=100,height=100)"</f>
        <v>|&amp;image(kuzyaku-eren.png,width=100,height=100)</v>
      </c>
      <c r="W37" s="23" t="str">
        <f>"|MIDDLE:​"&amp;テーブル1[[#This Row],[名前]]</f>
        <v>|MIDDLE:​玖婥えれん</v>
      </c>
      <c r="X37" s="23" t="str">
        <f>"|MIDDLE:​"&amp;テーブル1[[#This Row],[なまえ]]</f>
        <v>|MIDDLE:​くじゃく えれん</v>
      </c>
      <c r="Y37" s="23" t="str">
        <f>"|MIDDLE:​"&amp;テーブル1[[#This Row],[Name]]</f>
        <v>|MIDDLE:​Kuzyaku Eren</v>
      </c>
      <c r="Z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6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525</v>
      </c>
      <c r="D38" s="23" t="s">
        <v>800</v>
      </c>
      <c r="E38" s="23" t="s">
        <v>969</v>
      </c>
      <c r="F38" s="2" t="s">
        <v>167</v>
      </c>
      <c r="G38" s="23" t="s">
        <v>168</v>
      </c>
      <c r="H38" s="23" t="s">
        <v>660</v>
      </c>
      <c r="I38" s="23" t="s">
        <v>670</v>
      </c>
      <c r="L38" s="23" t="s">
        <v>1218</v>
      </c>
      <c r="N38" s="23" t="s">
        <v>1298</v>
      </c>
      <c r="O38" s="1" t="s">
        <v>631</v>
      </c>
      <c r="P38" s="1" t="s">
        <v>549</v>
      </c>
      <c r="Q38" s="24" t="str">
        <f>テーブル1[[#This Row],[リンク]]&amp;テーブル1[[#This Row],[描画状況]]</f>
        <v>https://nichikuniku1129063.wixsite.com/website-3済</v>
      </c>
      <c r="R38" s="17">
        <f>1-(COUNTIF(Q:Q,_xlfn.TEXTJOIN(",",TRUE,テーブル1[[#This Row],[リンク]],テーブル1[[#This Row],[描画状況]]))/COUNTIF(F:F,テーブル1[[#This Row],[リンク]]))</f>
        <v>1</v>
      </c>
      <c r="S38" s="16" t="str">
        <f ca="1">IFERROR(IF(テーブル1[[#This Row],[描画状況]]="",RAND()+(テーブル1[[#This Row],[列2]]*100),""),RAND())</f>
        <v/>
      </c>
      <c r="T38" s="1" t="s">
        <v>12</v>
      </c>
      <c r="U38" s="24" t="str">
        <f ca="1">IF(AND(テーブル1[[#This Row],[描画状況]]="済",テーブル1[[#This Row],[投稿状況]]=""),RAND(),"")</f>
        <v/>
      </c>
      <c r="V38" s="23" t="str">
        <f>"|&amp;image("&amp;テーブル1[[#This Row],[画像]]&amp;".png,width=100,height=100)"</f>
        <v>|&amp;image(kuchinashi-awo.png,width=100,height=100)</v>
      </c>
      <c r="W38" s="23" t="str">
        <f>"|MIDDLE:​"&amp;テーブル1[[#This Row],[名前]]</f>
        <v>|MIDDLE:​口無アヲ</v>
      </c>
      <c r="X38" s="23" t="str">
        <f>"|MIDDLE:​"&amp;テーブル1[[#This Row],[なまえ]]</f>
        <v>|MIDDLE:​くちなし あを</v>
      </c>
      <c r="Y38" s="23" t="str">
        <f>"|MIDDLE:​"&amp;テーブル1[[#This Row],[Name]]</f>
        <v>|MIDDLE:​Kuchinashi Awo</v>
      </c>
      <c r="Z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6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219</v>
      </c>
      <c r="D39" s="23" t="s">
        <v>220</v>
      </c>
      <c r="E39" s="23" t="s">
        <v>221</v>
      </c>
      <c r="F39" s="2" t="s">
        <v>222</v>
      </c>
      <c r="G39" s="23" t="s">
        <v>223</v>
      </c>
      <c r="H39" s="23" t="s">
        <v>661</v>
      </c>
      <c r="I39" s="23" t="s">
        <v>667</v>
      </c>
      <c r="P39" s="1" t="s">
        <v>549</v>
      </c>
      <c r="Q39" s="24" t="str">
        <f>テーブル1[[#This Row],[リンク]]&amp;テーブル1[[#This Row],[描画状況]]</f>
        <v>https://subarumusicstore.studio.site済</v>
      </c>
      <c r="R39" s="17">
        <f>1-(COUNTIF(Q:Q,_xlfn.TEXTJOIN(",",TRUE,テーブル1[[#This Row],[リンク]],テーブル1[[#This Row],[描画状況]]))/COUNTIF(F:F,テーブル1[[#This Row],[リンク]]))</f>
        <v>1</v>
      </c>
      <c r="S39" s="16" t="str">
        <f ca="1">IFERROR(IF(テーブル1[[#This Row],[描画状況]]="",RAND()+(テーブル1[[#This Row],[列2]]*100),""),RAND())</f>
        <v/>
      </c>
      <c r="T39" s="1" t="s">
        <v>12</v>
      </c>
      <c r="U39" s="24" t="str">
        <f ca="1">IF(AND(テーブル1[[#This Row],[描画状況]]="済",テーブル1[[#This Row],[投稿状況]]=""),RAND(),"")</f>
        <v/>
      </c>
      <c r="V39" s="23" t="str">
        <f>"|&amp;image("&amp;テーブル1[[#This Row],[画像]]&amp;".png,width=100,height=100)"</f>
        <v>|&amp;image(kurobousuku.png,width=100,height=100)</v>
      </c>
      <c r="W39" s="23" t="str">
        <f>"|MIDDLE:​"&amp;テーブル1[[#This Row],[名前]]</f>
        <v>|MIDDLE:​黒昴宿</v>
      </c>
      <c r="X39" s="23" t="str">
        <f>"|MIDDLE:​"&amp;テーブル1[[#This Row],[なまえ]]</f>
        <v>|MIDDLE:​くろぼうすく</v>
      </c>
      <c r="Y39" s="23" t="str">
        <f>"|MIDDLE:​"&amp;テーブル1[[#This Row],[Name]]</f>
        <v>|MIDDLE:​Kurobousuku</v>
      </c>
      <c r="Z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6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661</v>
      </c>
      <c r="I40" s="23" t="s">
        <v>667</v>
      </c>
      <c r="L40" s="23" t="s">
        <v>1219</v>
      </c>
      <c r="O40" s="1" t="s">
        <v>595</v>
      </c>
      <c r="P40" s="1" t="s">
        <v>549</v>
      </c>
      <c r="Q40" s="24" t="str">
        <f>テーブル1[[#This Row],[リンク]]&amp;テーブル1[[#This Row],[描画状況]]</f>
        <v>http://park2.wakwak.com/~mbox/vo/hk/hkfre.htm済</v>
      </c>
      <c r="R40" s="17">
        <f>1-(COUNTIF(Q:Q,_xlfn.TEXTJOIN(",",TRUE,テーブル1[[#This Row],[リンク]],テーブル1[[#This Row],[描画状況]]))/COUNTIF(F:F,テーブル1[[#This Row],[リンク]]))</f>
        <v>1</v>
      </c>
      <c r="S40" s="16" t="str">
        <f ca="1">IFERROR(IF(テーブル1[[#This Row],[描画状況]]="",RAND()+(テーブル1[[#This Row],[列2]]*100),""),RAND())</f>
        <v/>
      </c>
      <c r="T40" s="1" t="s">
        <v>12</v>
      </c>
      <c r="U40" s="24" t="str">
        <f ca="1">IF(AND(テーブル1[[#This Row],[描画状況]]="済",テーブル1[[#This Row],[投稿状況]]=""),RAND(),"")</f>
        <v/>
      </c>
      <c r="V40" s="23" t="str">
        <f>"|&amp;image("&amp;テーブル1[[#This Row],[画像]]&amp;".png,width=100,height=100)"</f>
        <v>|&amp;image(kei.png,width=100,height=100)</v>
      </c>
      <c r="W40" s="23" t="str">
        <f>"|MIDDLE:​"&amp;テーブル1[[#This Row],[名前]]</f>
        <v>|MIDDLE:​蛍(ケイ)</v>
      </c>
      <c r="X40" s="23" t="str">
        <f>"|MIDDLE:​"&amp;テーブル1[[#This Row],[なまえ]]</f>
        <v>|MIDDLE:​けい</v>
      </c>
      <c r="Y40" s="23" t="str">
        <f>"|MIDDLE:​"&amp;テーブル1[[#This Row],[Name]]</f>
        <v>|MIDDLE:​Kei</v>
      </c>
      <c r="Z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6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107</v>
      </c>
      <c r="D41" s="23" t="s">
        <v>801</v>
      </c>
      <c r="E41" s="23" t="s">
        <v>970</v>
      </c>
      <c r="F41" s="30" t="s">
        <v>108</v>
      </c>
      <c r="G41" s="23" t="s">
        <v>109</v>
      </c>
      <c r="H41" s="23" t="s">
        <v>661</v>
      </c>
      <c r="I41" s="23" t="s">
        <v>667</v>
      </c>
      <c r="P41" s="1" t="s">
        <v>549</v>
      </c>
      <c r="Q41" s="24" t="str">
        <f>テーブル1[[#This Row],[リンク]]&amp;テーブル1[[#This Row],[描画状況]]</f>
        <v>https://keineron.wixsite.com/index済</v>
      </c>
      <c r="R41" s="17">
        <f>1-(COUNTIF(Q:Q,_xlfn.TEXTJOIN(",",TRUE,テーブル1[[#This Row],[リンク]],テーブル1[[#This Row],[描画状況]]))/COUNTIF(F:F,テーブル1[[#This Row],[リンク]]))</f>
        <v>1</v>
      </c>
      <c r="S41" s="16" t="str">
        <f ca="1">IFERROR(IF(テーブル1[[#This Row],[描画状況]]="",RAND()+(テーブル1[[#This Row],[列2]]*100),""),RAND())</f>
        <v/>
      </c>
      <c r="T41" s="1" t="s">
        <v>12</v>
      </c>
      <c r="U41" s="24" t="str">
        <f ca="1">IF(AND(テーブル1[[#This Row],[描画状況]]="済",テーブル1[[#This Row],[投稿状況]]=""),RAND(),"")</f>
        <v/>
      </c>
      <c r="V41" s="23" t="str">
        <f>"|&amp;image("&amp;テーブル1[[#This Row],[画像]]&amp;".png,width=100,height=100)"</f>
        <v>|&amp;image(keine-ron.png,width=100,height=100)</v>
      </c>
      <c r="W41" s="23" t="str">
        <f>"|MIDDLE:​"&amp;テーブル1[[#This Row],[名前]]</f>
        <v>|MIDDLE:​京音ロン</v>
      </c>
      <c r="X41" s="23" t="str">
        <f>"|MIDDLE:​"&amp;テーブル1[[#This Row],[なまえ]]</f>
        <v>|MIDDLE:​けいね ろん</v>
      </c>
      <c r="Y41" s="23" t="str">
        <f>"|MIDDLE:​"&amp;テーブル1[[#This Row],[Name]]</f>
        <v>|MIDDLE:​Keine Ron</v>
      </c>
      <c r="Z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6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119</v>
      </c>
      <c r="D42" s="23" t="s">
        <v>120</v>
      </c>
      <c r="E42" s="23" t="s">
        <v>121</v>
      </c>
      <c r="F42" s="2" t="s">
        <v>117</v>
      </c>
      <c r="G42" s="23" t="s">
        <v>118</v>
      </c>
      <c r="H42" s="23" t="s">
        <v>660</v>
      </c>
      <c r="I42" s="23" t="s">
        <v>667</v>
      </c>
      <c r="M42" s="23" t="s">
        <v>1189</v>
      </c>
      <c r="N42" s="23" t="s">
        <v>1293</v>
      </c>
      <c r="O42" s="1" t="s">
        <v>631</v>
      </c>
      <c r="P42" s="1" t="s">
        <v>549</v>
      </c>
      <c r="Q42" s="24" t="str">
        <f>テーブル1[[#This Row],[リンク]]&amp;テーブル1[[#This Row],[描画状況]]</f>
        <v>https://kurukuru2suuzi.wixsite.com/kuzutokaze済</v>
      </c>
      <c r="R42" s="17">
        <f>1-(COUNTIF(Q:Q,_xlfn.TEXTJOIN(",",TRUE,テーブル1[[#This Row],[リンク]],テーブル1[[#This Row],[描画状況]]))/COUNTIF(F:F,テーブル1[[#This Row],[リンク]]))</f>
        <v>1</v>
      </c>
      <c r="S42" s="16" t="str">
        <f ca="1">IFERROR(IF(テーブル1[[#This Row],[描画状況]]="",RAND()+(テーブル1[[#This Row],[列2]]*100),""),RAND())</f>
        <v/>
      </c>
      <c r="T42" s="1" t="s">
        <v>12</v>
      </c>
      <c r="U42" s="24" t="str">
        <f ca="1">IF(AND(テーブル1[[#This Row],[描画状況]]="済",テーブル1[[#This Row],[投稿状況]]=""),RAND(),"")</f>
        <v/>
      </c>
      <c r="V42" s="23" t="str">
        <f>"|&amp;image("&amp;テーブル1[[#This Row],[画像]]&amp;".png,width=100,height=100)"</f>
        <v>|&amp;image(gekiyaku.png,width=100,height=100)</v>
      </c>
      <c r="W42" s="23" t="str">
        <f>"|MIDDLE:​"&amp;テーブル1[[#This Row],[名前]]</f>
        <v>|MIDDLE:​ゲキヤク</v>
      </c>
      <c r="X42" s="23" t="str">
        <f>"|MIDDLE:​"&amp;テーブル1[[#This Row],[なまえ]]</f>
        <v>|MIDDLE:​げきやく</v>
      </c>
      <c r="Y42" s="23" t="str">
        <f>"|MIDDLE:​"&amp;テーブル1[[#This Row],[Name]]</f>
        <v>|MIDDLE:​Gekiyaku</v>
      </c>
      <c r="Z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6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92</v>
      </c>
      <c r="D43" s="23" t="s">
        <v>93</v>
      </c>
      <c r="E43" s="23" t="s">
        <v>94</v>
      </c>
      <c r="F43" s="15" t="s">
        <v>95</v>
      </c>
      <c r="G43" s="23" t="s">
        <v>96</v>
      </c>
      <c r="H43" s="23" t="s">
        <v>661</v>
      </c>
      <c r="I43" s="23" t="s">
        <v>667</v>
      </c>
      <c r="O43" s="1" t="s">
        <v>631</v>
      </c>
      <c r="P43" s="1" t="s">
        <v>549</v>
      </c>
      <c r="Q43" s="24" t="str">
        <f>テーブル1[[#This Row],[リンク]]&amp;テーブル1[[#This Row],[描画状況]]</f>
        <v>https://kakokyu102krbs.wixsite.com/greenmilky済</v>
      </c>
      <c r="R43" s="17">
        <f>1-(COUNTIF(Q:Q,_xlfn.TEXTJOIN(",",TRUE,テーブル1[[#This Row],[リンク]],テーブル1[[#This Row],[描画状況]]))/COUNTIF(F:F,テーブル1[[#This Row],[リンク]]))</f>
        <v>1</v>
      </c>
      <c r="S43" s="16" t="str">
        <f ca="1">IFERROR(IF(テーブル1[[#This Row],[描画状況]]="",RAND()+(テーブル1[[#This Row],[列2]]*100),""),RAND())</f>
        <v/>
      </c>
      <c r="T43" s="1" t="s">
        <v>12</v>
      </c>
      <c r="U43" s="24" t="str">
        <f ca="1">IF(AND(テーブル1[[#This Row],[描画状況]]="済",テーブル1[[#This Row],[投稿状況]]=""),RAND(),"")</f>
        <v/>
      </c>
      <c r="V43" s="23" t="str">
        <f>"|&amp;image("&amp;テーブル1[[#This Row],[画像]]&amp;".png,width=100,height=100)"</f>
        <v>|&amp;image(kedaruge.png,width=100,height=100)</v>
      </c>
      <c r="W43" s="23" t="str">
        <f>"|MIDDLE:​"&amp;テーブル1[[#This Row],[名前]]</f>
        <v>|MIDDLE:​蹴堕流激</v>
      </c>
      <c r="X43" s="23" t="str">
        <f>"|MIDDLE:​"&amp;テーブル1[[#This Row],[なまえ]]</f>
        <v>|MIDDLE:​けだるげ</v>
      </c>
      <c r="Y43" s="23" t="str">
        <f>"|MIDDLE:​"&amp;テーブル1[[#This Row],[Name]]</f>
        <v>|MIDDLE:​Kedaruge</v>
      </c>
      <c r="Z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6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526</v>
      </c>
      <c r="D44" s="23" t="s">
        <v>802</v>
      </c>
      <c r="E44" s="23" t="s">
        <v>971</v>
      </c>
      <c r="F44" s="27" t="s">
        <v>57</v>
      </c>
      <c r="G44" s="23" t="s">
        <v>58</v>
      </c>
      <c r="H44" s="23" t="s">
        <v>661</v>
      </c>
      <c r="I44" s="23" t="s">
        <v>718</v>
      </c>
      <c r="J44" s="23" t="s">
        <v>1190</v>
      </c>
      <c r="N44" s="23" t="s">
        <v>1299</v>
      </c>
      <c r="O44" s="1" t="s">
        <v>595</v>
      </c>
      <c r="P44" s="1" t="s">
        <v>549</v>
      </c>
      <c r="Q44" s="24" t="str">
        <f>テーブル1[[#This Row],[リンク]]&amp;テーブル1[[#This Row],[描画状況]]</f>
        <v>https://chunyinhui021.wixsite.com/mutyuusaisei済</v>
      </c>
      <c r="R44" s="17">
        <f>1-(COUNTIF(Q:Q,_xlfn.TEXTJOIN(",",TRUE,テーブル1[[#This Row],[リンク]],テーブル1[[#This Row],[描画状況]]))/COUNTIF(F:F,テーブル1[[#This Row],[リンク]]))</f>
        <v>1</v>
      </c>
      <c r="S44" s="16" t="str">
        <f ca="1">IFERROR(IF(テーブル1[[#This Row],[描画状況]]="",RAND()+(テーブル1[[#This Row],[列2]]*100),""),RAND())</f>
        <v/>
      </c>
      <c r="T44" s="1" t="s">
        <v>12</v>
      </c>
      <c r="U44" s="24" t="str">
        <f ca="1">IF(AND(テーブル1[[#This Row],[描画状況]]="済",テーブル1[[#This Row],[投稿状況]]=""),RAND(),"")</f>
        <v/>
      </c>
      <c r="V44" s="23" t="str">
        <f>"|&amp;image("&amp;テーブル1[[#This Row],[画像]]&amp;".png,width=100,height=100)"</f>
        <v>|&amp;image(kon-kokuto.png,width=100,height=100)</v>
      </c>
      <c r="W44" s="23" t="str">
        <f>"|MIDDLE:​"&amp;テーブル1[[#This Row],[名前]]</f>
        <v>|MIDDLE:​​狐隠黒途</v>
      </c>
      <c r="X44" s="23" t="str">
        <f>"|MIDDLE:​"&amp;テーブル1[[#This Row],[なまえ]]</f>
        <v>|MIDDLE:​こおん こくと</v>
      </c>
      <c r="Y44" s="23" t="str">
        <f>"|MIDDLE:​"&amp;テーブル1[[#This Row],[Name]]</f>
        <v>|MIDDLE:​Kon Kokuto</v>
      </c>
      <c r="Z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6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527</v>
      </c>
      <c r="D45" s="23" t="s">
        <v>253</v>
      </c>
      <c r="E45" s="23" t="s">
        <v>254</v>
      </c>
      <c r="F45" s="2" t="s">
        <v>255</v>
      </c>
      <c r="G45" s="23" t="s">
        <v>256</v>
      </c>
      <c r="H45" s="23" t="s">
        <v>660</v>
      </c>
      <c r="I45" s="23" t="s">
        <v>667</v>
      </c>
      <c r="L45" s="23" t="s">
        <v>1219</v>
      </c>
      <c r="M45" s="23" t="s">
        <v>1180</v>
      </c>
      <c r="P45" s="1" t="s">
        <v>549</v>
      </c>
      <c r="Q45" s="24" t="str">
        <f>テーブル1[[#This Row],[リンク]]&amp;テーブル1[[#This Row],[描画状況]]</f>
        <v>https://utauudon.wixsite.com/origamisyokudou済</v>
      </c>
      <c r="R45" s="17">
        <f>1-(COUNTIF(Q:Q,_xlfn.TEXTJOIN(",",TRUE,テーブル1[[#This Row],[リンク]],テーブル1[[#This Row],[描画状況]]))/COUNTIF(F:F,テーブル1[[#This Row],[リンク]]))</f>
        <v>1</v>
      </c>
      <c r="S45" s="16" t="str">
        <f ca="1">IFERROR(IF(テーブル1[[#This Row],[描画状況]]="",RAND()+(テーブル1[[#This Row],[列2]]*100),""),RAND())</f>
        <v/>
      </c>
      <c r="T45" s="1" t="s">
        <v>12</v>
      </c>
      <c r="U45" s="24" t="str">
        <f ca="1">IF(AND(テーブル1[[#This Row],[描画状況]]="済",テーブル1[[#This Row],[投稿状況]]=""),RAND(),"")</f>
        <v/>
      </c>
      <c r="V45" s="23" t="str">
        <f>"|&amp;image("&amp;テーブル1[[#This Row],[画像]]&amp;".png,width=100,height=100)"</f>
        <v>|&amp;image(kokubangakari.png,width=100,height=100)</v>
      </c>
      <c r="W45" s="23" t="str">
        <f>"|MIDDLE:​"&amp;テーブル1[[#This Row],[名前]]</f>
        <v>|MIDDLE:​​黒板係</v>
      </c>
      <c r="X45" s="23" t="str">
        <f>"|MIDDLE:​"&amp;テーブル1[[#This Row],[なまえ]]</f>
        <v>|MIDDLE:​こくばんがかり</v>
      </c>
      <c r="Y45" s="23" t="str">
        <f>"|MIDDLE:​"&amp;テーブル1[[#This Row],[Name]]</f>
        <v>|MIDDLE:​kokubangakari</v>
      </c>
      <c r="Z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6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528</v>
      </c>
      <c r="D46" s="23" t="s">
        <v>803</v>
      </c>
      <c r="E46" s="23" t="s">
        <v>972</v>
      </c>
      <c r="F46" s="2" t="s">
        <v>66</v>
      </c>
      <c r="G46" s="23" t="s">
        <v>67</v>
      </c>
      <c r="H46" s="23" t="s">
        <v>660</v>
      </c>
      <c r="I46" s="23" t="s">
        <v>667</v>
      </c>
      <c r="L46" s="23" t="s">
        <v>1236</v>
      </c>
      <c r="M46" s="23" t="s">
        <v>1289</v>
      </c>
      <c r="O46" s="1" t="s">
        <v>594</v>
      </c>
      <c r="P46" s="1" t="s">
        <v>549</v>
      </c>
      <c r="Q46" s="24" t="str">
        <f>テーブル1[[#This Row],[リンク]]&amp;テーブル1[[#This Row],[描画状況]]</f>
        <v>https://hinagitsune-utau.wixsite.com/utaukokorone済</v>
      </c>
      <c r="R46" s="17">
        <f>1-(COUNTIF(Q:Q,_xlfn.TEXTJOIN(",",TRUE,テーブル1[[#This Row],[リンク]],テーブル1[[#This Row],[描画状況]]))/COUNTIF(F:F,テーブル1[[#This Row],[リンク]]))</f>
        <v>1</v>
      </c>
      <c r="S46" s="16" t="str">
        <f ca="1">IFERROR(IF(テーブル1[[#This Row],[描画状況]]="",RAND()+(テーブル1[[#This Row],[列2]]*100),""),RAND())</f>
        <v/>
      </c>
      <c r="T46" s="1" t="s">
        <v>12</v>
      </c>
      <c r="U46" s="24" t="str">
        <f ca="1">IF(AND(テーブル1[[#This Row],[描画状況]]="済",テーブル1[[#This Row],[投稿状況]]=""),RAND(),"")</f>
        <v/>
      </c>
      <c r="V46" s="23" t="str">
        <f>"|&amp;image("&amp;テーブル1[[#This Row],[画像]]&amp;".png,width=100,height=100)"</f>
        <v>|&amp;image(kokorone-futaba.png,width=100,height=100)</v>
      </c>
      <c r="W46" s="23" t="str">
        <f>"|MIDDLE:​"&amp;テーブル1[[#This Row],[名前]]</f>
        <v>|MIDDLE:​心音フタバ</v>
      </c>
      <c r="X46" s="23" t="str">
        <f>"|MIDDLE:​"&amp;テーブル1[[#This Row],[なまえ]]</f>
        <v>|MIDDLE:​こころね ふたば</v>
      </c>
      <c r="Y46" s="23" t="str">
        <f>"|MIDDLE:​"&amp;テーブル1[[#This Row],[Name]]</f>
        <v>|MIDDLE:​Kokorone Futaba</v>
      </c>
      <c r="Z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6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529</v>
      </c>
      <c r="D47" s="23" t="s">
        <v>804</v>
      </c>
      <c r="E47" s="23" t="s">
        <v>973</v>
      </c>
      <c r="F47" s="2" t="s">
        <v>158</v>
      </c>
      <c r="G47" s="23" t="s">
        <v>159</v>
      </c>
      <c r="P47" s="1" t="s">
        <v>549</v>
      </c>
      <c r="Q47" s="24" t="str">
        <f>テーブル1[[#This Row],[リンク]]&amp;テーブル1[[#This Row],[描画状況]]</f>
        <v>https://nananasyrup.wixsite.com/13kka済</v>
      </c>
      <c r="R47" s="17">
        <f>1-(COUNTIF(Q:Q,_xlfn.TEXTJOIN(",",TRUE,テーブル1[[#This Row],[リンク]],テーブル1[[#This Row],[描画状況]]))/COUNTIF(F:F,テーブル1[[#This Row],[リンク]]))</f>
        <v>1</v>
      </c>
      <c r="S47" s="16" t="str">
        <f ca="1">IFERROR(IF(テーブル1[[#This Row],[描画状況]]="",RAND()+(テーブル1[[#This Row],[列2]]*100),""),RAND())</f>
        <v/>
      </c>
      <c r="T47" s="1" t="s">
        <v>12</v>
      </c>
      <c r="U47" s="24" t="str">
        <f ca="1">IF(AND(テーブル1[[#This Row],[描画状況]]="済",テーブル1[[#This Row],[投稿状況]]=""),RAND(),"")</f>
        <v/>
      </c>
      <c r="V47" s="23" t="str">
        <f>"|&amp;image("&amp;テーブル1[[#This Row],[画像]]&amp;".png,width=100,height=100)"</f>
        <v>|&amp;image(kodou-hakuya.png,width=100,height=100)</v>
      </c>
      <c r="W47" s="23" t="str">
        <f>"|MIDDLE:​"&amp;テーブル1[[#This Row],[名前]]</f>
        <v>|MIDDLE:​鼓童拍也</v>
      </c>
      <c r="X47" s="23" t="str">
        <f>"|MIDDLE:​"&amp;テーブル1[[#This Row],[なまえ]]</f>
        <v>|MIDDLE:​こどう はくや</v>
      </c>
      <c r="Y47" s="23" t="str">
        <f>"|MIDDLE:​"&amp;テーブル1[[#This Row],[Name]]</f>
        <v>|MIDDLE:​Kodou Hakuya</v>
      </c>
      <c r="Z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6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530</v>
      </c>
      <c r="D48" s="23" t="s">
        <v>169</v>
      </c>
      <c r="E48" s="23" t="s">
        <v>170</v>
      </c>
      <c r="F48" s="2" t="s">
        <v>167</v>
      </c>
      <c r="G48" s="23" t="s">
        <v>168</v>
      </c>
      <c r="H48" s="23" t="s">
        <v>660</v>
      </c>
      <c r="I48" s="23" t="s">
        <v>706</v>
      </c>
      <c r="M48" s="23" t="s">
        <v>1177</v>
      </c>
      <c r="N48" s="23" t="s">
        <v>1300</v>
      </c>
      <c r="O48" s="1" t="s">
        <v>631</v>
      </c>
      <c r="P48" s="1" t="s">
        <v>549</v>
      </c>
      <c r="Q48" s="24" t="str">
        <f>テーブル1[[#This Row],[リンク]]&amp;テーブル1[[#This Row],[描画状況]]</f>
        <v>https://nichikuniku1129063.wixsite.com/website-3済</v>
      </c>
      <c r="R48" s="17">
        <f>1-(COUNTIF(Q:Q,_xlfn.TEXTJOIN(",",TRUE,テーブル1[[#This Row],[リンク]],テーブル1[[#This Row],[描画状況]]))/COUNTIF(F:F,テーブル1[[#This Row],[リンク]]))</f>
        <v>1</v>
      </c>
      <c r="S48" s="16" t="str">
        <f ca="1">IFERROR(IF(テーブル1[[#This Row],[描画状況]]="",RAND()+(テーブル1[[#This Row],[列2]]*100),""),RAND())</f>
        <v/>
      </c>
      <c r="T48" s="1" t="s">
        <v>12</v>
      </c>
      <c r="U48" s="24" t="str">
        <f ca="1">IF(AND(テーブル1[[#This Row],[描画状況]]="済",テーブル1[[#This Row],[投稿状況]]=""),RAND(),"")</f>
        <v/>
      </c>
      <c r="V48" s="23" t="str">
        <f>"|&amp;image("&amp;テーブル1[[#This Row],[画像]]&amp;".png,width=100,height=100)"</f>
        <v>|&amp;image(saika.png,width=100,height=100)</v>
      </c>
      <c r="W48" s="23" t="str">
        <f>"|MIDDLE:​"&amp;テーブル1[[#This Row],[名前]]</f>
        <v>|MIDDLE:​サイカ</v>
      </c>
      <c r="X48" s="23" t="str">
        <f>"|MIDDLE:​"&amp;テーブル1[[#This Row],[なまえ]]</f>
        <v>|MIDDLE:​さいか</v>
      </c>
      <c r="Y48" s="23" t="str">
        <f>"|MIDDLE:​"&amp;テーブル1[[#This Row],[Name]]</f>
        <v>|MIDDLE:​Saika</v>
      </c>
      <c r="Z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6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531</v>
      </c>
      <c r="D49" s="23" t="s">
        <v>163</v>
      </c>
      <c r="E49" s="23" t="s">
        <v>164</v>
      </c>
      <c r="F49" s="2" t="s">
        <v>165</v>
      </c>
      <c r="G49" s="23" t="s">
        <v>166</v>
      </c>
      <c r="P49" s="1" t="s">
        <v>549</v>
      </c>
      <c r="Q49" s="24" t="str">
        <f>テーブル1[[#This Row],[リンク]]&amp;テーブル1[[#This Row],[描画状況]]</f>
        <v>https://ne510channel.wixsite.com/website済</v>
      </c>
      <c r="R49" s="17">
        <f>1-(COUNTIF(Q:Q,_xlfn.TEXTJOIN(",",TRUE,テーブル1[[#This Row],[リンク]],テーブル1[[#This Row],[描画状況]]))/COUNTIF(F:F,テーブル1[[#This Row],[リンク]]))</f>
        <v>1</v>
      </c>
      <c r="S49" s="16" t="str">
        <f ca="1">IFERROR(IF(テーブル1[[#This Row],[描画状況]]="",RAND()+(テーブル1[[#This Row],[列2]]*100),""),RAND())</f>
        <v/>
      </c>
      <c r="T49" s="1" t="s">
        <v>12</v>
      </c>
      <c r="U49" s="24" t="str">
        <f ca="1">IF(AND(テーブル1[[#This Row],[描画状況]]="済",テーブル1[[#This Row],[投稿状況]]=""),RAND(),"")</f>
        <v/>
      </c>
      <c r="V49" s="23" t="str">
        <f>"|&amp;image("&amp;テーブル1[[#This Row],[画像]]&amp;".png,width=100,height=100)"</f>
        <v>|&amp;image(savul.png,width=100,height=100)</v>
      </c>
      <c r="W49" s="23" t="str">
        <f>"|MIDDLE:​"&amp;テーブル1[[#This Row],[名前]]</f>
        <v>|MIDDLE:​サヴル</v>
      </c>
      <c r="X49" s="23" t="str">
        <f>"|MIDDLE:​"&amp;テーブル1[[#This Row],[なまえ]]</f>
        <v>|MIDDLE:​さゔる</v>
      </c>
      <c r="Y49" s="23" t="str">
        <f>"|MIDDLE:​"&amp;テーブル1[[#This Row],[Name]]</f>
        <v>|MIDDLE:​Savul</v>
      </c>
      <c r="Z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6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131</v>
      </c>
      <c r="D50" s="23" t="s">
        <v>131</v>
      </c>
      <c r="E50" s="23" t="s">
        <v>132</v>
      </c>
      <c r="F50" s="2" t="s">
        <v>129</v>
      </c>
      <c r="G50" s="23" t="s">
        <v>133</v>
      </c>
      <c r="P50" s="1" t="s">
        <v>549</v>
      </c>
      <c r="Q50" s="24" t="str">
        <f>テーブル1[[#This Row],[リンク]]&amp;テーブル1[[#This Row],[描画状況]]</f>
        <v>https://lit.link/sereinrain済</v>
      </c>
      <c r="R50" s="17">
        <f>1-(COUNTIF(Q:Q,_xlfn.TEXTJOIN(",",TRUE,テーブル1[[#This Row],[リンク]],テーブル1[[#This Row],[描画状況]]))/COUNTIF(F:F,テーブル1[[#This Row],[リンク]]))</f>
        <v>1</v>
      </c>
      <c r="S50" s="16" t="str">
        <f ca="1">IFERROR(IF(テーブル1[[#This Row],[描画状況]]="",RAND()+(テーブル1[[#This Row],[列2]]*100),""),RAND())</f>
        <v/>
      </c>
      <c r="T50" s="1" t="s">
        <v>12</v>
      </c>
      <c r="U50" s="24" t="str">
        <f ca="1">IF(AND(テーブル1[[#This Row],[描画状況]]="済",テーブル1[[#This Row],[投稿状況]]=""),RAND(),"")</f>
        <v/>
      </c>
      <c r="V50" s="23" t="str">
        <f>"|&amp;image("&amp;テーブル1[[#This Row],[画像]]&amp;".png,width=100,height=100)"</f>
        <v>|&amp;image(satene.png,width=100,height=100)</v>
      </c>
      <c r="W50" s="23" t="str">
        <f>"|MIDDLE:​"&amp;テーブル1[[#This Row],[名前]]</f>
        <v>|MIDDLE:​さてね</v>
      </c>
      <c r="X50" s="23" t="str">
        <f>"|MIDDLE:​"&amp;テーブル1[[#This Row],[なまえ]]</f>
        <v>|MIDDLE:​さてね</v>
      </c>
      <c r="Y50" s="23" t="str">
        <f>"|MIDDLE:​"&amp;テーブル1[[#This Row],[Name]]</f>
        <v>|MIDDLE:​Satene</v>
      </c>
      <c r="Z50" s="23" t="str">
        <f>"|MIDDLE:​&amp;link(配布所はこちら){​"&amp;テーブル1[[#This Row],[リンク]]&amp;"}|"</f>
        <v>|MIDDLE:​&amp;link(配布所はこちら){​https://lit.link/sereinrain}|</v>
      </c>
    </row>
    <row r="51" spans="1:26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532</v>
      </c>
      <c r="D51" s="23" t="s">
        <v>805</v>
      </c>
      <c r="E51" s="23" t="s">
        <v>974</v>
      </c>
      <c r="F51" s="2" t="s">
        <v>262</v>
      </c>
      <c r="G51" s="23" t="s">
        <v>263</v>
      </c>
      <c r="P51" s="1" t="s">
        <v>549</v>
      </c>
      <c r="Q51" s="24" t="str">
        <f>テーブル1[[#This Row],[リンク]]&amp;テーブル1[[#This Row],[描画状況]]</f>
        <v>https://witchdoll.jimdofree.com済</v>
      </c>
      <c r="R51" s="17">
        <f>1-(COUNTIF(Q:Q,_xlfn.TEXTJOIN(",",TRUE,テーブル1[[#This Row],[リンク]],テーブル1[[#This Row],[描画状況]]))/COUNTIF(F:F,テーブル1[[#This Row],[リンク]]))</f>
        <v>1</v>
      </c>
      <c r="S51" s="16" t="str">
        <f ca="1">IFERROR(IF(テーブル1[[#This Row],[描画状況]]="",RAND()+(テーブル1[[#This Row],[列2]]*100),""),RAND())</f>
        <v/>
      </c>
      <c r="T51" s="1" t="s">
        <v>12</v>
      </c>
      <c r="U51" s="24" t="str">
        <f ca="1">IF(AND(テーブル1[[#This Row],[描画状況]]="済",テーブル1[[#This Row],[投稿状況]]=""),RAND(),"")</f>
        <v/>
      </c>
      <c r="V51" s="23" t="str">
        <f>"|&amp;image("&amp;テーブル1[[#This Row],[画像]]&amp;".png,width=100,height=100)"</f>
        <v>|&amp;image(sabane-kan.png,width=100,height=100)</v>
      </c>
      <c r="W51" s="23" t="str">
        <f>"|MIDDLE:​"&amp;テーブル1[[#This Row],[名前]]</f>
        <v>|MIDDLE:​鯖音カン</v>
      </c>
      <c r="X51" s="23" t="str">
        <f>"|MIDDLE:​"&amp;テーブル1[[#This Row],[なまえ]]</f>
        <v>|MIDDLE:​さばね かん</v>
      </c>
      <c r="Y51" s="23" t="str">
        <f>"|MIDDLE:​"&amp;テーブル1[[#This Row],[Name]]</f>
        <v>|MIDDLE:​Sabane Kan</v>
      </c>
      <c r="Z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6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533</v>
      </c>
      <c r="D52" s="23" t="s">
        <v>806</v>
      </c>
      <c r="E52" s="23" t="s">
        <v>975</v>
      </c>
      <c r="F52" s="2" t="s">
        <v>238</v>
      </c>
      <c r="G52" s="23" t="s">
        <v>239</v>
      </c>
      <c r="P52" s="1" t="s">
        <v>549</v>
      </c>
      <c r="Q52" s="24" t="str">
        <f>テーブル1[[#This Row],[リンク]]&amp;テーブル1[[#This Row],[描画状況]]</f>
        <v>https://tsukimiya0728.wixsite.com/silverbullet済</v>
      </c>
      <c r="R52" s="17">
        <f>1-(COUNTIF(Q:Q,_xlfn.TEXTJOIN(",",TRUE,テーブル1[[#This Row],[リンク]],テーブル1[[#This Row],[描画状況]]))/COUNTIF(F:F,テーブル1[[#This Row],[リンク]]))</f>
        <v>1</v>
      </c>
      <c r="S52" s="16" t="str">
        <f ca="1">IFERROR(IF(テーブル1[[#This Row],[描画状況]]="",RAND()+(テーブル1[[#This Row],[列2]]*100),""),RAND())</f>
        <v/>
      </c>
      <c r="T52" s="1" t="s">
        <v>12</v>
      </c>
      <c r="U52" s="24" t="str">
        <f ca="1">IF(AND(テーブル1[[#This Row],[描画状況]]="済",テーブル1[[#This Row],[投稿状況]]=""),RAND(),"")</f>
        <v/>
      </c>
      <c r="V52" s="23" t="str">
        <f>"|&amp;image("&amp;テーブル1[[#This Row],[画像]]&amp;".png,width=100,height=100)"</f>
        <v>|&amp;image(jiura-kazagiri.png,width=100,height=100)</v>
      </c>
      <c r="W52" s="23" t="str">
        <f>"|MIDDLE:​"&amp;テーブル1[[#This Row],[名前]]</f>
        <v>|MIDDLE:​ジウラ・カザギリ</v>
      </c>
      <c r="X52" s="23" t="str">
        <f>"|MIDDLE:​"&amp;テーブル1[[#This Row],[なまえ]]</f>
        <v>|MIDDLE:​じうら かざぎり</v>
      </c>
      <c r="Y52" s="23" t="str">
        <f>"|MIDDLE:​"&amp;テーブル1[[#This Row],[Name]]</f>
        <v>|MIDDLE:​Jiura Kazagiri</v>
      </c>
      <c r="Z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6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534</v>
      </c>
      <c r="D53" s="23" t="s">
        <v>171</v>
      </c>
      <c r="E53" s="23" t="s">
        <v>172</v>
      </c>
      <c r="F53" s="2" t="s">
        <v>167</v>
      </c>
      <c r="G53" s="23" t="s">
        <v>168</v>
      </c>
      <c r="H53" s="23" t="s">
        <v>661</v>
      </c>
      <c r="I53" s="23" t="s">
        <v>670</v>
      </c>
      <c r="L53" s="23" t="s">
        <v>1218</v>
      </c>
      <c r="O53" s="1" t="s">
        <v>631</v>
      </c>
      <c r="P53" s="1" t="s">
        <v>549</v>
      </c>
      <c r="Q53" s="24" t="str">
        <f>テーブル1[[#This Row],[リンク]]&amp;テーブル1[[#This Row],[描画状況]]</f>
        <v>https://nichikuniku1129063.wixsite.com/website-3済</v>
      </c>
      <c r="R53" s="17">
        <f>1-(COUNTIF(Q:Q,_xlfn.TEXTJOIN(",",TRUE,テーブル1[[#This Row],[リンク]],テーブル1[[#This Row],[描画状況]]))/COUNTIF(F:F,テーブル1[[#This Row],[リンク]]))</f>
        <v>1</v>
      </c>
      <c r="S53" s="16" t="str">
        <f ca="1">IFERROR(IF(テーブル1[[#This Row],[描画状況]]="",RAND()+(テーブル1[[#This Row],[列2]]*100),""),RAND())</f>
        <v/>
      </c>
      <c r="T53" s="1" t="s">
        <v>12</v>
      </c>
      <c r="U53" s="24" t="str">
        <f ca="1">IF(AND(テーブル1[[#This Row],[描画状況]]="済",テーブル1[[#This Row],[投稿状況]]=""),RAND(),"")</f>
        <v/>
      </c>
      <c r="V53" s="23" t="str">
        <f>"|&amp;image("&amp;テーブル1[[#This Row],[画像]]&amp;".png,width=100,height=100)"</f>
        <v>|&amp;image(shion.png,width=100,height=100)</v>
      </c>
      <c r="W53" s="23" t="str">
        <f>"|MIDDLE:​"&amp;テーブル1[[#This Row],[名前]]</f>
        <v>|MIDDLE:​シオン</v>
      </c>
      <c r="X53" s="23" t="str">
        <f>"|MIDDLE:​"&amp;テーブル1[[#This Row],[なまえ]]</f>
        <v>|MIDDLE:​しおん</v>
      </c>
      <c r="Y53" s="23" t="str">
        <f>"|MIDDLE:​"&amp;テーブル1[[#This Row],[Name]]</f>
        <v>|MIDDLE:​Shion</v>
      </c>
      <c r="Z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6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535</v>
      </c>
      <c r="D54" s="23" t="s">
        <v>807</v>
      </c>
      <c r="E54" s="23" t="s">
        <v>976</v>
      </c>
      <c r="F54" s="15" t="s">
        <v>662</v>
      </c>
      <c r="G54" s="23" t="s">
        <v>53</v>
      </c>
      <c r="O54" s="1" t="s">
        <v>595</v>
      </c>
      <c r="P54" s="1" t="s">
        <v>549</v>
      </c>
      <c r="Q54" s="24" t="str">
        <f>テーブル1[[#This Row],[リンク]]&amp;テーブル1[[#This Row],[描画状況]]</f>
        <v>https://utau.kurotsuka.xyz済</v>
      </c>
      <c r="R54" s="17">
        <f>1-(COUNTIF(Q:Q,_xlfn.TEXTJOIN(",",TRUE,テーブル1[[#This Row],[リンク]],テーブル1[[#This Row],[描画状況]]))/COUNTIF(F:F,テーブル1[[#This Row],[リンク]]))</f>
        <v>1</v>
      </c>
      <c r="S54" s="16" t="str">
        <f ca="1">IFERROR(IF(テーブル1[[#This Row],[描画状況]]="",RAND()+(テーブル1[[#This Row],[列2]]*100),""),RAND())</f>
        <v/>
      </c>
      <c r="T54" s="1" t="s">
        <v>12</v>
      </c>
      <c r="U54" s="24" t="str">
        <f ca="1">IF(AND(テーブル1[[#This Row],[描画状況]]="済",テーブル1[[#This Row],[投稿状況]]=""),RAND(),"")</f>
        <v/>
      </c>
      <c r="V54" s="23" t="str">
        <f>"|&amp;image("&amp;テーブル1[[#This Row],[画像]]&amp;".png,width=100,height=100)"</f>
        <v>|&amp;image(shion-miyo.png,width=100,height=100)</v>
      </c>
      <c r="W54" s="23" t="str">
        <f>"|MIDDLE:​"&amp;テーブル1[[#This Row],[名前]]</f>
        <v>|MIDDLE:​偲音ミヨ</v>
      </c>
      <c r="X54" s="23" t="str">
        <f>"|MIDDLE:​"&amp;テーブル1[[#This Row],[なまえ]]</f>
        <v>|MIDDLE:​しおん みよ</v>
      </c>
      <c r="Y54" s="23" t="str">
        <f>"|MIDDLE:​"&amp;テーブル1[[#This Row],[Name]]</f>
        <v>|MIDDLE:​Shion Miyo</v>
      </c>
      <c r="Z54" s="23" t="str">
        <f>"|MIDDLE:​&amp;link(配布所はこちら){​"&amp;テーブル1[[#This Row],[リンク]]&amp;"}|"</f>
        <v>|MIDDLE:​&amp;link(配布所はこちら){​https://utau.kurotsuka.xyz}|</v>
      </c>
    </row>
    <row r="55" spans="1:26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536</v>
      </c>
      <c r="D55" s="23" t="s">
        <v>97</v>
      </c>
      <c r="E55" s="23" t="s">
        <v>98</v>
      </c>
      <c r="F55" s="2" t="s">
        <v>95</v>
      </c>
      <c r="G55" s="28" t="s">
        <v>96</v>
      </c>
      <c r="H55" s="28" t="s">
        <v>660</v>
      </c>
      <c r="I55" s="28" t="s">
        <v>667</v>
      </c>
      <c r="J55" s="28"/>
      <c r="K55" s="28"/>
      <c r="L55" s="28"/>
      <c r="M55" s="28"/>
      <c r="N55" s="28" t="s">
        <v>1292</v>
      </c>
      <c r="O55" s="1" t="s">
        <v>631</v>
      </c>
      <c r="P55" s="1" t="s">
        <v>549</v>
      </c>
      <c r="Q55" s="24" t="str">
        <f>テーブル1[[#This Row],[リンク]]&amp;テーブル1[[#This Row],[描画状況]]</f>
        <v>https://kakokyu102krbs.wixsite.com/greenmilky済</v>
      </c>
      <c r="R55" s="17">
        <f>1-(COUNTIF(Q:Q,_xlfn.TEXTJOIN(",",TRUE,テーブル1[[#This Row],[リンク]],テーブル1[[#This Row],[描画状況]]))/COUNTIF(F:F,テーブル1[[#This Row],[リンク]]))</f>
        <v>1</v>
      </c>
      <c r="S55" s="16" t="str">
        <f ca="1">IFERROR(IF(テーブル1[[#This Row],[描画状況]]="",RAND()+(テーブル1[[#This Row],[列2]]*100),""),RAND())</f>
        <v/>
      </c>
      <c r="T55" s="1" t="s">
        <v>12</v>
      </c>
      <c r="U55" s="24" t="str">
        <f ca="1">IF(AND(テーブル1[[#This Row],[描画状況]]="済",テーブル1[[#This Row],[投稿状況]]=""),RAND(),"")</f>
        <v/>
      </c>
      <c r="V55" s="23" t="str">
        <f>"|&amp;image("&amp;テーブル1[[#This Row],[画像]]&amp;".png,width=100,height=100)"</f>
        <v>|&amp;image(shidei.png,width=100,height=100)</v>
      </c>
      <c r="W55" s="23" t="str">
        <f>"|MIDDLE:​"&amp;テーブル1[[#This Row],[名前]]</f>
        <v>|MIDDLE:​屍泥飴</v>
      </c>
      <c r="X55" s="23" t="str">
        <f>"|MIDDLE:​"&amp;テーブル1[[#This Row],[なまえ]]</f>
        <v>|MIDDLE:​しでい</v>
      </c>
      <c r="Y55" s="23" t="str">
        <f>"|MIDDLE:​"&amp;テーブル1[[#This Row],[Name]]</f>
        <v>|MIDDLE:​Shidei</v>
      </c>
      <c r="Z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6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537</v>
      </c>
      <c r="D56" s="23" t="s">
        <v>210</v>
      </c>
      <c r="E56" s="23" t="s">
        <v>211</v>
      </c>
      <c r="F56" s="2" t="s">
        <v>212</v>
      </c>
      <c r="G56" s="23" t="s">
        <v>213</v>
      </c>
      <c r="P56" s="1" t="s">
        <v>549</v>
      </c>
      <c r="Q56" s="24" t="str">
        <f>テーブル1[[#This Row],[リンク]]&amp;テーブル1[[#This Row],[描画状況]]</f>
        <v>https://shinri517.wixsite.com/shinri0517済</v>
      </c>
      <c r="R56" s="17">
        <f>1-(COUNTIF(Q:Q,_xlfn.TEXTJOIN(",",TRUE,テーブル1[[#This Row],[リンク]],テーブル1[[#This Row],[描画状況]]))/COUNTIF(F:F,テーブル1[[#This Row],[リンク]]))</f>
        <v>1</v>
      </c>
      <c r="S56" s="16" t="str">
        <f ca="1">IFERROR(IF(テーブル1[[#This Row],[描画状況]]="",RAND()+(テーブル1[[#This Row],[列2]]*100),""),RAND())</f>
        <v/>
      </c>
      <c r="T56" s="1" t="s">
        <v>12</v>
      </c>
      <c r="U56" s="24" t="str">
        <f ca="1">IF(AND(テーブル1[[#This Row],[描画状況]]="済",テーブル1[[#This Row],[投稿状況]]=""),RAND(),"")</f>
        <v/>
      </c>
      <c r="V56" s="23" t="str">
        <f>"|&amp;image("&amp;テーブル1[[#This Row],[画像]]&amp;".png,width=100,height=100)"</f>
        <v>|&amp;image(shinri.png,width=100,height=100)</v>
      </c>
      <c r="W56" s="23" t="str">
        <f>"|MIDDLE:​"&amp;テーブル1[[#This Row],[名前]]</f>
        <v>|MIDDLE:​心理</v>
      </c>
      <c r="X56" s="23" t="str">
        <f>"|MIDDLE:​"&amp;テーブル1[[#This Row],[なまえ]]</f>
        <v>|MIDDLE:​しんり</v>
      </c>
      <c r="Y56" s="23" t="str">
        <f>"|MIDDLE:​"&amp;テーブル1[[#This Row],[Name]]</f>
        <v>|MIDDLE:​Shinri</v>
      </c>
      <c r="Z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6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145</v>
      </c>
      <c r="D57" s="23" t="s">
        <v>145</v>
      </c>
      <c r="E57" s="23" t="s">
        <v>146</v>
      </c>
      <c r="F57" s="2" t="s">
        <v>147</v>
      </c>
      <c r="G57" s="23" t="s">
        <v>148</v>
      </c>
      <c r="P57" s="1" t="s">
        <v>549</v>
      </c>
      <c r="Q57" s="24" t="str">
        <f>テーブル1[[#This Row],[リンク]]&amp;テーブル1[[#This Row],[描画状況]]</f>
        <v>https://minazukiringo.wixsite.com/amatsubu済</v>
      </c>
      <c r="R57" s="17">
        <f>1-(COUNTIF(Q:Q,_xlfn.TEXTJOIN(",",TRUE,テーブル1[[#This Row],[リンク]],テーブル1[[#This Row],[描画状況]]))/COUNTIF(F:F,テーブル1[[#This Row],[リンク]]))</f>
        <v>1</v>
      </c>
      <c r="S57" s="16" t="str">
        <f ca="1">IFERROR(IF(テーブル1[[#This Row],[描画状況]]="",RAND()+(テーブル1[[#This Row],[列2]]*100),""),RAND())</f>
        <v/>
      </c>
      <c r="T57" s="1" t="s">
        <v>12</v>
      </c>
      <c r="U57" s="24" t="str">
        <f ca="1">IF(AND(テーブル1[[#This Row],[描画状況]]="済",テーブル1[[#This Row],[投稿状況]]=""),RAND(),"")</f>
        <v/>
      </c>
      <c r="V57" s="23" t="str">
        <f>"|&amp;image("&amp;テーブル1[[#This Row],[画像]]&amp;".png,width=100,height=100)"</f>
        <v>|&amp;image(sui.png,width=100,height=100)</v>
      </c>
      <c r="W57" s="23" t="str">
        <f>"|MIDDLE:​"&amp;テーブル1[[#This Row],[名前]]</f>
        <v>|MIDDLE:​すい</v>
      </c>
      <c r="X57" s="23" t="str">
        <f>"|MIDDLE:​"&amp;テーブル1[[#This Row],[なまえ]]</f>
        <v>|MIDDLE:​すい</v>
      </c>
      <c r="Y57" s="23" t="str">
        <f>"|MIDDLE:​"&amp;テーブル1[[#This Row],[Name]]</f>
        <v>|MIDDLE:​Sui</v>
      </c>
      <c r="Z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6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538</v>
      </c>
      <c r="D58" s="23" t="s">
        <v>808</v>
      </c>
      <c r="E58" s="23" t="s">
        <v>977</v>
      </c>
      <c r="F58" s="2" t="s">
        <v>43</v>
      </c>
      <c r="G58" s="23" t="s">
        <v>44</v>
      </c>
      <c r="O58" s="1" t="s">
        <v>595</v>
      </c>
      <c r="P58" s="1" t="s">
        <v>549</v>
      </c>
      <c r="Q58" s="24" t="str">
        <f>テーブル1[[#This Row],[リンク]]&amp;テーブル1[[#This Row],[描画状況]]</f>
        <v>https://bellsworks.wixsite.com/bellsworks済</v>
      </c>
      <c r="R58" s="17">
        <f>1-(COUNTIF(Q:Q,_xlfn.TEXTJOIN(",",TRUE,テーブル1[[#This Row],[リンク]],テーブル1[[#This Row],[描画状況]]))/COUNTIF(F:F,テーブル1[[#This Row],[リンク]]))</f>
        <v>1</v>
      </c>
      <c r="S58" s="16" t="str">
        <f ca="1">IFERROR(IF(テーブル1[[#This Row],[描画状況]]="",RAND()+(テーブル1[[#This Row],[列2]]*100),""),RAND())</f>
        <v/>
      </c>
      <c r="T58" s="1" t="s">
        <v>12</v>
      </c>
      <c r="U58" s="24" t="str">
        <f ca="1">IF(AND(テーブル1[[#This Row],[描画状況]]="済",テーブル1[[#This Row],[投稿状況]]=""),RAND(),"")</f>
        <v/>
      </c>
      <c r="V58" s="23" t="str">
        <f>"|&amp;image("&amp;テーブル1[[#This Row],[画像]]&amp;".png,width=100,height=100)"</f>
        <v>|&amp;image(suzuno-suzu.png,width=100,height=100)</v>
      </c>
      <c r="W58" s="23" t="str">
        <f>"|MIDDLE:​"&amp;テーブル1[[#This Row],[名前]]</f>
        <v>|MIDDLE:​鈴音スズ</v>
      </c>
      <c r="X58" s="23" t="str">
        <f>"|MIDDLE:​"&amp;テーブル1[[#This Row],[なまえ]]</f>
        <v>|MIDDLE:​すずの すず</v>
      </c>
      <c r="Y58" s="23" t="str">
        <f>"|MIDDLE:​"&amp;テーブル1[[#This Row],[Name]]</f>
        <v>|MIDDLE:​Suzuno Suzu</v>
      </c>
      <c r="Z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6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539</v>
      </c>
      <c r="D59" s="23" t="s">
        <v>809</v>
      </c>
      <c r="E59" s="23" t="s">
        <v>978</v>
      </c>
      <c r="F59" s="2" t="s">
        <v>43</v>
      </c>
      <c r="G59" s="23" t="s">
        <v>44</v>
      </c>
      <c r="O59" s="1" t="s">
        <v>595</v>
      </c>
      <c r="P59" s="1" t="s">
        <v>549</v>
      </c>
      <c r="Q59" s="24" t="str">
        <f>テーブル1[[#This Row],[リンク]]&amp;テーブル1[[#This Row],[描画状況]]</f>
        <v>https://bellsworks.wixsite.com/bellsworks済</v>
      </c>
      <c r="R59" s="17">
        <f>1-(COUNTIF(Q:Q,_xlfn.TEXTJOIN(",",TRUE,テーブル1[[#This Row],[リンク]],テーブル1[[#This Row],[描画状況]]))/COUNTIF(F:F,テーブル1[[#This Row],[リンク]]))</f>
        <v>1</v>
      </c>
      <c r="S59" s="16" t="str">
        <f ca="1">IFERROR(IF(テーブル1[[#This Row],[描画状況]]="",RAND()+(テーブル1[[#This Row],[列2]]*100),""),RAND())</f>
        <v/>
      </c>
      <c r="T59" s="1" t="s">
        <v>12</v>
      </c>
      <c r="U59" s="24" t="str">
        <f ca="1">IF(AND(テーブル1[[#This Row],[描画状況]]="済",テーブル1[[#This Row],[投稿状況]]=""),RAND(),"")</f>
        <v/>
      </c>
      <c r="V59" s="23" t="str">
        <f>"|&amp;image("&amp;テーブル1[[#This Row],[画像]]&amp;".png,width=100,height=100)"</f>
        <v>|&amp;image(suzuno-mion.png,width=100,height=100)</v>
      </c>
      <c r="W59" s="23" t="str">
        <f>"|MIDDLE:​"&amp;テーブル1[[#This Row],[名前]]</f>
        <v>|MIDDLE:​鈴音ミオン</v>
      </c>
      <c r="X59" s="23" t="str">
        <f>"|MIDDLE:​"&amp;テーブル1[[#This Row],[なまえ]]</f>
        <v>|MIDDLE:​すずの みおん</v>
      </c>
      <c r="Y59" s="23" t="str">
        <f>"|MIDDLE:​"&amp;テーブル1[[#This Row],[Name]]</f>
        <v>|MIDDLE:​Suzuno Mion</v>
      </c>
      <c r="Z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6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188</v>
      </c>
      <c r="D60" s="23" t="s">
        <v>810</v>
      </c>
      <c r="E60" s="23" t="s">
        <v>979</v>
      </c>
      <c r="F60" s="2" t="s">
        <v>189</v>
      </c>
      <c r="G60" s="23" t="s">
        <v>190</v>
      </c>
      <c r="P60" s="1" t="s">
        <v>549</v>
      </c>
      <c r="Q60" s="24" t="str">
        <f>テーブル1[[#This Row],[リンク]]&amp;テーブル1[[#This Row],[描画状況]]</f>
        <v>https://offlamingo21.wixsite.com/amato-seiun済</v>
      </c>
      <c r="R60" s="17">
        <f>1-(COUNTIF(Q:Q,_xlfn.TEXTJOIN(",",TRUE,テーブル1[[#This Row],[リンク]],テーブル1[[#This Row],[描画状況]]))/COUNTIF(F:F,テーブル1[[#This Row],[リンク]]))</f>
        <v>1</v>
      </c>
      <c r="S60" s="16" t="str">
        <f ca="1">IFERROR(IF(テーブル1[[#This Row],[描画状況]]="",RAND()+(テーブル1[[#This Row],[列2]]*100),""),RAND())</f>
        <v/>
      </c>
      <c r="T60" s="1" t="s">
        <v>12</v>
      </c>
      <c r="U60" s="24" t="str">
        <f ca="1">IF(AND(テーブル1[[#This Row],[描画状況]]="済",テーブル1[[#This Row],[投稿状況]]=""),RAND(),"")</f>
        <v/>
      </c>
      <c r="V60" s="23" t="str">
        <f>"|&amp;image("&amp;テーブル1[[#This Row],[画像]]&amp;".png,width=100,height=100)"</f>
        <v>|&amp;image(seiun-amato.png,width=100,height=100)</v>
      </c>
      <c r="W60" s="23" t="str">
        <f>"|MIDDLE:​"&amp;テーブル1[[#This Row],[名前]]</f>
        <v>|MIDDLE:​星雲アマト</v>
      </c>
      <c r="X60" s="23" t="str">
        <f>"|MIDDLE:​"&amp;テーブル1[[#This Row],[なまえ]]</f>
        <v>|MIDDLE:​せいうん あまと</v>
      </c>
      <c r="Y60" s="23" t="str">
        <f>"|MIDDLE:​"&amp;テーブル1[[#This Row],[Name]]</f>
        <v>|MIDDLE:​Seiun Amato</v>
      </c>
      <c r="Z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6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811</v>
      </c>
      <c r="E61" s="23" t="s">
        <v>980</v>
      </c>
      <c r="F61" s="2" t="s">
        <v>20</v>
      </c>
      <c r="G61" s="23" t="s">
        <v>23</v>
      </c>
      <c r="H61" s="23" t="s">
        <v>661</v>
      </c>
      <c r="I61" s="23" t="s">
        <v>707</v>
      </c>
      <c r="J61" s="23" t="s">
        <v>1190</v>
      </c>
      <c r="O61" s="1" t="s">
        <v>595</v>
      </c>
      <c r="P61" s="1" t="s">
        <v>549</v>
      </c>
      <c r="Q61" s="24" t="str">
        <f>テーブル1[[#This Row],[リンク]]&amp;テーブル1[[#This Row],[描画状況]]</f>
        <v>http://park2.wakwak.com/~mbox/vo/hk/hkfre.htm済</v>
      </c>
      <c r="R61" s="17">
        <f>1-(COUNTIF(Q:Q,_xlfn.TEXTJOIN(",",TRUE,テーブル1[[#This Row],[リンク]],テーブル1[[#This Row],[描画状況]]))/COUNTIF(F:F,テーブル1[[#This Row],[リンク]]))</f>
        <v>1</v>
      </c>
      <c r="S61" s="16" t="str">
        <f ca="1">IFERROR(IF(テーブル1[[#This Row],[描画状況]]="",RAND()+(テーブル1[[#This Row],[列2]]*100),""),RAND())</f>
        <v/>
      </c>
      <c r="T61" s="1" t="s">
        <v>12</v>
      </c>
      <c r="U61" s="24" t="str">
        <f ca="1">IF(AND(テーブル1[[#This Row],[描画状況]]="済",テーブル1[[#This Row],[投稿状況]]=""),RAND(),"")</f>
        <v/>
      </c>
      <c r="V61" s="23" t="str">
        <f>"|&amp;image("&amp;テーブル1[[#This Row],[画像]]&amp;".png,width=100,height=100)"</f>
        <v>|&amp;image(sennomiya-sirou.png,width=100,height=100)</v>
      </c>
      <c r="W61" s="23" t="str">
        <f>"|MIDDLE:​"&amp;テーブル1[[#This Row],[名前]]</f>
        <v>|MIDDLE:​仟乃宮紫狼</v>
      </c>
      <c r="X61" s="23" t="str">
        <f>"|MIDDLE:​"&amp;テーブル1[[#This Row],[なまえ]]</f>
        <v>|MIDDLE:​せんのみや しろう</v>
      </c>
      <c r="Y61" s="23" t="str">
        <f>"|MIDDLE:​"&amp;テーブル1[[#This Row],[Name]]</f>
        <v>|MIDDLE:​Sennomiya Sirou</v>
      </c>
      <c r="Z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6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563</v>
      </c>
      <c r="D62" s="23" t="s">
        <v>812</v>
      </c>
      <c r="E62" s="23" t="s">
        <v>981</v>
      </c>
      <c r="F62" s="2" t="s">
        <v>191</v>
      </c>
      <c r="G62" s="23" t="s">
        <v>192</v>
      </c>
      <c r="P62" s="1" t="s">
        <v>549</v>
      </c>
      <c r="Q62" s="24" t="str">
        <f>テーブル1[[#This Row],[リンク]]&amp;テーブル1[[#This Row],[描画状況]]</f>
        <v>https://rinnneuta.wixsite.com/my-site-2?s=09済</v>
      </c>
      <c r="R62" s="17">
        <f>1-(COUNTIF(Q:Q,_xlfn.TEXTJOIN(",",TRUE,テーブル1[[#This Row],[リンク]],テーブル1[[#This Row],[描画状況]]))/COUNTIF(F:F,テーブル1[[#This Row],[リンク]]))</f>
        <v>1</v>
      </c>
      <c r="S62" s="16" t="str">
        <f ca="1">IFERROR(IF(テーブル1[[#This Row],[描画状況]]="",RAND()+(テーブル1[[#This Row],[列2]]*100),""),RAND())</f>
        <v/>
      </c>
      <c r="T62" s="1" t="s">
        <v>12</v>
      </c>
      <c r="U62" s="24" t="str">
        <f ca="1">IF(AND(テーブル1[[#This Row],[描画状況]]="済",テーブル1[[#This Row],[投稿状況]]=""),RAND(),"")</f>
        <v/>
      </c>
      <c r="V62" s="23" t="str">
        <f>"|&amp;image("&amp;テーブル1[[#This Row],[画像]]&amp;".png,width=100,height=100)"</f>
        <v>|&amp;image(sorane-nanashi.png,width=100,height=100)</v>
      </c>
      <c r="W62" s="23" t="str">
        <f>"|MIDDLE:​"&amp;テーブル1[[#This Row],[名前]]</f>
        <v>|MIDDLE:​​星音ななし</v>
      </c>
      <c r="X62" s="23" t="str">
        <f>"|MIDDLE:​"&amp;テーブル1[[#This Row],[なまえ]]</f>
        <v>|MIDDLE:​そらね ななし</v>
      </c>
      <c r="Y62" s="23" t="str">
        <f>"|MIDDLE:​"&amp;テーブル1[[#This Row],[Name]]</f>
        <v>|MIDDLE:​Sorane Nanashi</v>
      </c>
      <c r="Z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6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470</v>
      </c>
      <c r="D63" s="23" t="s">
        <v>813</v>
      </c>
      <c r="E63" s="23" t="s">
        <v>982</v>
      </c>
      <c r="F63" s="15" t="s">
        <v>122</v>
      </c>
      <c r="G63" s="24" t="s">
        <v>710</v>
      </c>
      <c r="H63" s="23" t="s">
        <v>661</v>
      </c>
      <c r="I63" s="23" t="s">
        <v>733</v>
      </c>
      <c r="J63" s="23" t="s">
        <v>1220</v>
      </c>
      <c r="L63" s="23" t="s">
        <v>1219</v>
      </c>
      <c r="M63" s="24" t="s">
        <v>1181</v>
      </c>
      <c r="N63" s="23" t="s">
        <v>1297</v>
      </c>
      <c r="O63" s="1" t="s">
        <v>631</v>
      </c>
      <c r="P63" s="1" t="s">
        <v>549</v>
      </c>
      <c r="Q63" s="24" t="str">
        <f>テーブル1[[#This Row],[リンク]]&amp;テーブル1[[#This Row],[描画状況]]</f>
        <v>https://lenskkpb.wixsite.com/len-sakaki-official済</v>
      </c>
      <c r="R63" s="17">
        <f>1-(COUNTIF(Q:Q,_xlfn.TEXTJOIN(",",TRUE,テーブル1[[#This Row],[リンク]],テーブル1[[#This Row],[描画状況]]))/COUNTIF(F:F,テーブル1[[#This Row],[リンク]]))</f>
        <v>1</v>
      </c>
      <c r="S63" s="16" t="str">
        <f ca="1">IFERROR(IF(テーブル1[[#This Row],[描画状況]]="",RAND()+(テーブル1[[#This Row],[列2]]*100),""),RAND())</f>
        <v/>
      </c>
      <c r="T63" s="1" t="s">
        <v>12</v>
      </c>
      <c r="U63" s="24" t="str">
        <f ca="1">IF(AND(テーブル1[[#This Row],[描画状況]]="済",テーブル1[[#This Row],[投稿状況]]=""),RAND(),"")</f>
        <v/>
      </c>
      <c r="V63" s="23" t="str">
        <f>"|&amp;image("&amp;テーブル1[[#This Row],[画像]]&amp;".png,width=100,height=100)"</f>
        <v>|&amp;image(chimori-hakaze.png,width=100,height=100)</v>
      </c>
      <c r="W63" s="23" t="str">
        <f>"|MIDDLE:​"&amp;テーブル1[[#This Row],[名前]]</f>
        <v>|MIDDLE:​​地守葉風</v>
      </c>
      <c r="X63" s="23" t="str">
        <f>"|MIDDLE:​"&amp;テーブル1[[#This Row],[なまえ]]</f>
        <v>|MIDDLE:​ちもり はかぜ</v>
      </c>
      <c r="Y63" s="23" t="str">
        <f>"|MIDDLE:​"&amp;テーブル1[[#This Row],[Name]]</f>
        <v>|MIDDLE:​Chimori Hakaze</v>
      </c>
      <c r="Z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6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564</v>
      </c>
      <c r="D64" s="23" t="s">
        <v>814</v>
      </c>
      <c r="E64" s="23" t="s">
        <v>983</v>
      </c>
      <c r="F64" s="26" t="s">
        <v>55</v>
      </c>
      <c r="G64" s="23" t="s">
        <v>56</v>
      </c>
      <c r="O64" s="1" t="s">
        <v>594</v>
      </c>
      <c r="P64" s="1" t="s">
        <v>549</v>
      </c>
      <c r="Q64" s="24" t="str">
        <f>テーブル1[[#This Row],[リンク]]&amp;テーブル1[[#This Row],[描画状況]]</f>
        <v>https://chaka000.wixsite.com/chaka済</v>
      </c>
      <c r="R64" s="17">
        <f>1-(COUNTIF(Q:Q,_xlfn.TEXTJOIN(",",TRUE,テーブル1[[#This Row],[リンク]],テーブル1[[#This Row],[描画状況]]))/COUNTIF(F:F,テーブル1[[#This Row],[リンク]]))</f>
        <v>1</v>
      </c>
      <c r="S64" s="16" t="str">
        <f ca="1">IFERROR(IF(テーブル1[[#This Row],[描画状況]]="",RAND()+(テーブル1[[#This Row],[列2]]*100),""),RAND())</f>
        <v/>
      </c>
      <c r="T64" s="1" t="s">
        <v>12</v>
      </c>
      <c r="U64" s="24" t="str">
        <f ca="1">IF(AND(テーブル1[[#This Row],[描画状況]]="済",テーブル1[[#This Row],[投稿状況]]=""),RAND(),"")</f>
        <v/>
      </c>
      <c r="V64" s="23" t="str">
        <f>"|&amp;image("&amp;テーブル1[[#This Row],[画像]]&amp;".png,width=100,height=100)"</f>
        <v>|&amp;image(chaka-nari.png,width=100,height=100)</v>
      </c>
      <c r="W64" s="23" t="str">
        <f>"|MIDDLE:​"&amp;テーブル1[[#This Row],[名前]]</f>
        <v>|MIDDLE:​茶歌成</v>
      </c>
      <c r="X64" s="23" t="str">
        <f>"|MIDDLE:​"&amp;テーブル1[[#This Row],[なまえ]]</f>
        <v>|MIDDLE:​ちゃか なり</v>
      </c>
      <c r="Y64" s="23" t="str">
        <f>"|MIDDLE:​"&amp;テーブル1[[#This Row],[Name]]</f>
        <v>|MIDDLE:​Chaka Nari</v>
      </c>
      <c r="Z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6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565</v>
      </c>
      <c r="D65" s="23" t="s">
        <v>78</v>
      </c>
      <c r="E65" s="23" t="s">
        <v>79</v>
      </c>
      <c r="F65" s="2" t="s">
        <v>76</v>
      </c>
      <c r="G65" s="23" t="s">
        <v>77</v>
      </c>
      <c r="H65" s="23" t="s">
        <v>661</v>
      </c>
      <c r="I65" s="23" t="s">
        <v>670</v>
      </c>
      <c r="M65" s="23" t="s">
        <v>1181</v>
      </c>
      <c r="O65" s="1" t="s">
        <v>594</v>
      </c>
      <c r="P65" s="1" t="s">
        <v>549</v>
      </c>
      <c r="Q65" s="24" t="str">
        <f>テーブル1[[#This Row],[リンク]]&amp;テーブル1[[#This Row],[描画状況]]</f>
        <v>https://ichistart.wixsite.com/official/respiaker済</v>
      </c>
      <c r="R65" s="17">
        <f>1-(COUNTIF(Q:Q,_xlfn.TEXTJOIN(",",TRUE,テーブル1[[#This Row],[リンク]],テーブル1[[#This Row],[描画状況]]))/COUNTIF(F:F,テーブル1[[#This Row],[リンク]]))</f>
        <v>1</v>
      </c>
      <c r="S65" s="16" t="str">
        <f ca="1">IFERROR(IF(テーブル1[[#This Row],[描画状況]]="",RAND()+(テーブル1[[#This Row],[列2]]*100),""),RAND())</f>
        <v/>
      </c>
      <c r="T65" s="1" t="s">
        <v>12</v>
      </c>
      <c r="U65" s="24" t="str">
        <f ca="1">IF(AND(テーブル1[[#This Row],[描画状況]]="済",テーブル1[[#This Row],[投稿状況]]=""),RAND(),"")</f>
        <v/>
      </c>
      <c r="V65" s="23" t="str">
        <f>"|&amp;image("&amp;テーブル1[[#This Row],[画像]]&amp;".png,width=100,height=100)"</f>
        <v>|&amp;image(chankonabe.png,width=100,height=100)</v>
      </c>
      <c r="W65" s="23" t="str">
        <f>"|MIDDLE:​"&amp;テーブル1[[#This Row],[名前]]</f>
        <v>|MIDDLE:​ちゃんこ鍋</v>
      </c>
      <c r="X65" s="23" t="str">
        <f>"|MIDDLE:​"&amp;テーブル1[[#This Row],[なまえ]]</f>
        <v>|MIDDLE:​ちゃんこなべ</v>
      </c>
      <c r="Y65" s="23" t="str">
        <f>"|MIDDLE:​"&amp;テーブル1[[#This Row],[Name]]</f>
        <v>|MIDDLE:​Chankonabe</v>
      </c>
      <c r="Z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6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566</v>
      </c>
      <c r="D66" s="23" t="s">
        <v>815</v>
      </c>
      <c r="E66" s="23" t="s">
        <v>984</v>
      </c>
      <c r="F66" s="27" t="s">
        <v>57</v>
      </c>
      <c r="G66" s="23" t="s">
        <v>58</v>
      </c>
      <c r="H66" s="23" t="s">
        <v>660</v>
      </c>
      <c r="I66" s="23" t="s">
        <v>675</v>
      </c>
      <c r="N66" s="23" t="s">
        <v>1301</v>
      </c>
      <c r="O66" s="1" t="s">
        <v>595</v>
      </c>
      <c r="P66" s="1" t="s">
        <v>549</v>
      </c>
      <c r="Q66" s="24" t="str">
        <f>テーブル1[[#This Row],[リンク]]&amp;テーブル1[[#This Row],[描画状況]]</f>
        <v>https://chunyinhui021.wixsite.com/mutyuusaisei済</v>
      </c>
      <c r="R66" s="17">
        <f>1-(COUNTIF(Q:Q,_xlfn.TEXTJOIN(",",TRUE,テーブル1[[#This Row],[リンク]],テーブル1[[#This Row],[描画状況]]))/COUNTIF(F:F,テーブル1[[#This Row],[リンク]]))</f>
        <v>1</v>
      </c>
      <c r="S66" s="16" t="str">
        <f ca="1">IFERROR(IF(テーブル1[[#This Row],[描画状況]]="",RAND()+(テーブル1[[#This Row],[列2]]*100),""),RAND())</f>
        <v/>
      </c>
      <c r="T66" s="1" t="s">
        <v>12</v>
      </c>
      <c r="U66" s="24" t="str">
        <f ca="1">IF(AND(テーブル1[[#This Row],[描画状況]]="済",テーブル1[[#This Row],[投稿状況]]=""),RAND(),"")</f>
        <v/>
      </c>
      <c r="V66" s="23" t="str">
        <f>"|&amp;image("&amp;テーブル1[[#This Row],[画像]]&amp;".png,width=100,height=100)"</f>
        <v>|&amp;image(chunne-haiki.png,width=100,height=100)</v>
      </c>
      <c r="W66" s="23" t="str">
        <f>"|MIDDLE:​"&amp;テーブル1[[#This Row],[名前]]</f>
        <v>|MIDDLE:​椿音灰鬼</v>
      </c>
      <c r="X66" s="23" t="str">
        <f>"|MIDDLE:​"&amp;テーブル1[[#This Row],[なまえ]]</f>
        <v>|MIDDLE:​ちゅんね はいき</v>
      </c>
      <c r="Y66" s="23" t="str">
        <f>"|MIDDLE:​"&amp;テーブル1[[#This Row],[Name]]</f>
        <v>|MIDDLE:​Chunne Haiki</v>
      </c>
      <c r="Z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6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567</v>
      </c>
      <c r="D67" s="23" t="s">
        <v>816</v>
      </c>
      <c r="E67" s="23" t="s">
        <v>985</v>
      </c>
      <c r="F67" s="2" t="s">
        <v>272</v>
      </c>
      <c r="G67" s="23" t="s">
        <v>273</v>
      </c>
      <c r="P67" s="1" t="s">
        <v>549</v>
      </c>
      <c r="Q67" s="24" t="str">
        <f>テーブル1[[#This Row],[リンク]]&amp;テーブル1[[#This Row],[描画状況]]</f>
        <v>https://yukiichik.wixsite.com/kokofool/utau済</v>
      </c>
      <c r="R67" s="17">
        <f>1-(COUNTIF(Q:Q,_xlfn.TEXTJOIN(",",TRUE,テーブル1[[#This Row],[リンク]],テーブル1[[#This Row],[描画状況]]))/COUNTIF(F:F,テーブル1[[#This Row],[リンク]]))</f>
        <v>1</v>
      </c>
      <c r="S67" s="16" t="str">
        <f ca="1">IFERROR(IF(テーブル1[[#This Row],[描画状況]]="",RAND()+(テーブル1[[#This Row],[列2]]*100),""),RAND())</f>
        <v/>
      </c>
      <c r="T67" s="1" t="s">
        <v>12</v>
      </c>
      <c r="U67" s="24" t="str">
        <f ca="1">IF(AND(テーブル1[[#This Row],[描画状況]]="済",テーブル1[[#This Row],[投稿状況]]=""),RAND(),"")</f>
        <v/>
      </c>
      <c r="V67" s="23" t="str">
        <f>"|&amp;image("&amp;テーブル1[[#This Row],[画像]]&amp;".png,width=100,height=100)"</f>
        <v>|&amp;image(tsukumo-ichioto.png,width=100,height=100)</v>
      </c>
      <c r="W67" s="23" t="str">
        <f>"|MIDDLE:​"&amp;テーブル1[[#This Row],[名前]]</f>
        <v>|MIDDLE:​九十九一音​</v>
      </c>
      <c r="X67" s="23" t="str">
        <f>"|MIDDLE:​"&amp;テーブル1[[#This Row],[なまえ]]</f>
        <v>|MIDDLE:​つくも いちおと</v>
      </c>
      <c r="Y67" s="23" t="str">
        <f>"|MIDDLE:​"&amp;テーブル1[[#This Row],[Name]]</f>
        <v>|MIDDLE:​Tsukumo Ichioto</v>
      </c>
      <c r="Z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6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568</v>
      </c>
      <c r="D68" s="23" t="s">
        <v>817</v>
      </c>
      <c r="E68" s="23" t="s">
        <v>986</v>
      </c>
      <c r="F68" s="2" t="s">
        <v>158</v>
      </c>
      <c r="G68" s="23" t="s">
        <v>159</v>
      </c>
      <c r="P68" s="1" t="s">
        <v>549</v>
      </c>
      <c r="Q68" s="24" t="str">
        <f>テーブル1[[#This Row],[リンク]]&amp;テーブル1[[#This Row],[描画状況]]</f>
        <v>https://nananasyrup.wixsite.com/13kka済</v>
      </c>
      <c r="R68" s="17">
        <f>1-(COUNTIF(Q:Q,_xlfn.TEXTJOIN(",",TRUE,テーブル1[[#This Row],[リンク]],テーブル1[[#This Row],[描画状況]]))/COUNTIF(F:F,テーブル1[[#This Row],[リンク]]))</f>
        <v>1</v>
      </c>
      <c r="S68" s="16" t="str">
        <f ca="1">IFERROR(IF(テーブル1[[#This Row],[描画状況]]="",RAND()+(テーブル1[[#This Row],[列2]]*100),""),RAND())</f>
        <v/>
      </c>
      <c r="T68" s="1" t="s">
        <v>12</v>
      </c>
      <c r="U68" s="24" t="str">
        <f ca="1">IF(AND(テーブル1[[#This Row],[描画状況]]="済",テーブル1[[#This Row],[投稿状況]]=""),RAND(),"")</f>
        <v/>
      </c>
      <c r="V68" s="23" t="str">
        <f>"|&amp;image("&amp;テーブル1[[#This Row],[画像]]&amp;".png,width=100,height=100)"</f>
        <v>|&amp;image(tsukurine-mika.png,width=100,height=100)</v>
      </c>
      <c r="W68" s="23" t="str">
        <f>"|MIDDLE:​"&amp;テーブル1[[#This Row],[名前]]</f>
        <v>|MIDDLE:​創音みか</v>
      </c>
      <c r="X68" s="23" t="str">
        <f>"|MIDDLE:​"&amp;テーブル1[[#This Row],[なまえ]]</f>
        <v>|MIDDLE:​つくりね みか</v>
      </c>
      <c r="Y68" s="23" t="str">
        <f>"|MIDDLE:​"&amp;テーブル1[[#This Row],[Name]]</f>
        <v>|MIDDLE:​Tsukurine Mika</v>
      </c>
      <c r="Z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6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45</v>
      </c>
      <c r="D69" s="23" t="s">
        <v>818</v>
      </c>
      <c r="E69" s="23" t="s">
        <v>987</v>
      </c>
      <c r="F69" s="2" t="s">
        <v>43</v>
      </c>
      <c r="G69" s="23" t="s">
        <v>44</v>
      </c>
      <c r="O69" s="1" t="s">
        <v>595</v>
      </c>
      <c r="P69" s="1" t="s">
        <v>549</v>
      </c>
      <c r="Q69" s="24" t="str">
        <f>テーブル1[[#This Row],[リンク]]&amp;テーブル1[[#This Row],[描画状況]]</f>
        <v>https://bellsworks.wixsite.com/bellsworks済</v>
      </c>
      <c r="R69" s="17">
        <f>1-(COUNTIF(Q:Q,_xlfn.TEXTJOIN(",",TRUE,テーブル1[[#This Row],[リンク]],テーブル1[[#This Row],[描画状況]]))/COUNTIF(F:F,テーブル1[[#This Row],[リンク]]))</f>
        <v>1</v>
      </c>
      <c r="S69" s="16" t="str">
        <f ca="1">IFERROR(IF(テーブル1[[#This Row],[描画状況]]="",RAND()+(テーブル1[[#This Row],[列2]]*100),""),RAND())</f>
        <v/>
      </c>
      <c r="T69" s="1" t="s">
        <v>12</v>
      </c>
      <c r="U69" s="24" t="str">
        <f ca="1">IF(AND(テーブル1[[#This Row],[描画状況]]="済",テーブル1[[#This Row],[投稿状況]]=""),RAND(),"")</f>
        <v/>
      </c>
      <c r="V69" s="23" t="str">
        <f>"|&amp;image("&amp;テーブル1[[#This Row],[画像]]&amp;".png,width=100,height=100)"</f>
        <v>|&amp;image(tsurune-sutera.png,width=100,height=100)</v>
      </c>
      <c r="W69" s="23" t="str">
        <f>"|MIDDLE:​"&amp;テーブル1[[#This Row],[名前]]</f>
        <v>|MIDDLE:​​弦音ステラ</v>
      </c>
      <c r="X69" s="23" t="str">
        <f>"|MIDDLE:​"&amp;テーブル1[[#This Row],[なまえ]]</f>
        <v>|MIDDLE:​つるね すてら</v>
      </c>
      <c r="Y69" s="23" t="str">
        <f>"|MIDDLE:​"&amp;テーブル1[[#This Row],[Name]]</f>
        <v>|MIDDLE:​Tsurune Sutera</v>
      </c>
      <c r="Z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6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569</v>
      </c>
      <c r="D70" s="23" t="s">
        <v>819</v>
      </c>
      <c r="E70" s="23" t="s">
        <v>988</v>
      </c>
      <c r="F70" s="2" t="s">
        <v>262</v>
      </c>
      <c r="G70" s="23" t="s">
        <v>263</v>
      </c>
      <c r="P70" s="1" t="s">
        <v>549</v>
      </c>
      <c r="Q70" s="24" t="str">
        <f>テーブル1[[#This Row],[リンク]]&amp;テーブル1[[#This Row],[描画状況]]</f>
        <v>https://witchdoll.jimdofree.com済</v>
      </c>
      <c r="R70" s="17">
        <f>1-(COUNTIF(Q:Q,_xlfn.TEXTJOIN(",",TRUE,テーブル1[[#This Row],[リンク]],テーブル1[[#This Row],[描画状況]]))/COUNTIF(F:F,テーブル1[[#This Row],[リンク]]))</f>
        <v>1</v>
      </c>
      <c r="S70" s="16" t="str">
        <f ca="1">IFERROR(IF(テーブル1[[#This Row],[描画状況]]="",RAND()+(テーブル1[[#This Row],[列2]]*100),""),RAND())</f>
        <v/>
      </c>
      <c r="T70" s="1" t="s">
        <v>12</v>
      </c>
      <c r="U70" s="24" t="str">
        <f ca="1">IF(AND(テーブル1[[#This Row],[描画状況]]="済",テーブル1[[#This Row],[投稿状況]]=""),RAND(),"")</f>
        <v/>
      </c>
      <c r="V70" s="23" t="str">
        <f>"|&amp;image("&amp;テーブル1[[#This Row],[画像]]&amp;".png,width=100,height=100)"</f>
        <v>|&amp;image(terado-rabu.png,width=100,height=100)</v>
      </c>
      <c r="W70" s="23" t="str">
        <f>"|MIDDLE:​"&amp;テーブル1[[#This Row],[名前]]</f>
        <v>|MIDDLE:​寺戸ラヴ</v>
      </c>
      <c r="X70" s="23" t="str">
        <f>"|MIDDLE:​"&amp;テーブル1[[#This Row],[なまえ]]</f>
        <v>|MIDDLE:​てらど らぶ</v>
      </c>
      <c r="Y70" s="23" t="str">
        <f>"|MIDDLE:​"&amp;テーブル1[[#This Row],[Name]]</f>
        <v>|MIDDLE:​Terado Rabu</v>
      </c>
      <c r="Z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6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570</v>
      </c>
      <c r="D71" s="23" t="s">
        <v>820</v>
      </c>
      <c r="E71" s="23" t="s">
        <v>989</v>
      </c>
      <c r="F71" s="2" t="s">
        <v>272</v>
      </c>
      <c r="G71" s="23" t="s">
        <v>273</v>
      </c>
      <c r="P71" s="1" t="s">
        <v>549</v>
      </c>
      <c r="Q71" s="24" t="str">
        <f>テーブル1[[#This Row],[リンク]]&amp;テーブル1[[#This Row],[描画状況]]</f>
        <v>https://yukiichik.wixsite.com/kokofool/utau済</v>
      </c>
      <c r="R71" s="17">
        <f>1-(COUNTIF(Q:Q,_xlfn.TEXTJOIN(",",TRUE,テーブル1[[#This Row],[リンク]],テーブル1[[#This Row],[描画状況]]))/COUNTIF(F:F,テーブル1[[#This Row],[リンク]]))</f>
        <v>1</v>
      </c>
      <c r="S71" s="16" t="str">
        <f ca="1">IFERROR(IF(テーブル1[[#This Row],[描画状況]]="",RAND()+(テーブル1[[#This Row],[列2]]*100),""),RAND())</f>
        <v/>
      </c>
      <c r="T71" s="1" t="s">
        <v>12</v>
      </c>
      <c r="U71" s="24" t="str">
        <f ca="1">IF(AND(テーブル1[[#This Row],[描画状況]]="済",テーブル1[[#This Row],[投稿状況]]=""),RAND(),"")</f>
        <v/>
      </c>
      <c r="V71" s="23" t="str">
        <f>"|&amp;image("&amp;テーブル1[[#This Row],[画像]]&amp;".png,width=100,height=100)"</f>
        <v>|&amp;image(teranaga-toichi.png,width=100,height=100)</v>
      </c>
      <c r="W71" s="23" t="str">
        <f>"|MIDDLE:​"&amp;テーブル1[[#This Row],[名前]]</f>
        <v>|MIDDLE:​寺永十逸</v>
      </c>
      <c r="X71" s="23" t="str">
        <f>"|MIDDLE:​"&amp;テーブル1[[#This Row],[なまえ]]</f>
        <v>|MIDDLE:​てらなが とおいち</v>
      </c>
      <c r="Y71" s="23" t="str">
        <f>"|MIDDLE:​"&amp;テーブル1[[#This Row],[Name]]</f>
        <v>|MIDDLE:​Teranaga Toichi</v>
      </c>
      <c r="Z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6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571</v>
      </c>
      <c r="D72" s="23" t="s">
        <v>821</v>
      </c>
      <c r="E72" s="23" t="s">
        <v>990</v>
      </c>
      <c r="F72" s="2" t="s">
        <v>224</v>
      </c>
      <c r="G72" s="23" t="s">
        <v>225</v>
      </c>
      <c r="P72" s="1" t="s">
        <v>549</v>
      </c>
      <c r="Q72" s="24" t="str">
        <f>テーブル1[[#This Row],[リンク]]&amp;テーブル1[[#This Row],[描画状況]]</f>
        <v>https://suihankinonaka.wixsite.com/my-site-1済</v>
      </c>
      <c r="R72" s="17">
        <f>1-(COUNTIF(Q:Q,_xlfn.TEXTJOIN(",",TRUE,テーブル1[[#This Row],[リンク]],テーブル1[[#This Row],[描画状況]]))/COUNTIF(F:F,テーブル1[[#This Row],[リンク]]))</f>
        <v>1</v>
      </c>
      <c r="S72" s="16" t="str">
        <f ca="1">IFERROR(IF(テーブル1[[#This Row],[描画状況]]="",RAND()+(テーブル1[[#This Row],[列2]]*100),""),RAND())</f>
        <v/>
      </c>
      <c r="T72" s="1" t="s">
        <v>12</v>
      </c>
      <c r="U72" s="24" t="str">
        <f ca="1">IF(AND(テーブル1[[#This Row],[描画状況]]="済",テーブル1[[#This Row],[投稿状況]]=""),RAND(),"")</f>
        <v/>
      </c>
      <c r="V72" s="23" t="str">
        <f>"|&amp;image("&amp;テーブル1[[#This Row],[画像]]&amp;".png,width=100,height=100)"</f>
        <v>|&amp;image(tota-hisame.png,width=100,height=100)</v>
      </c>
      <c r="W72" s="23" t="str">
        <f>"|MIDDLE:​"&amp;テーブル1[[#This Row],[名前]]</f>
        <v>|MIDDLE:​透唄氷雨</v>
      </c>
      <c r="X72" s="23" t="str">
        <f>"|MIDDLE:​"&amp;テーブル1[[#This Row],[なまえ]]</f>
        <v>|MIDDLE:​とうた ひさめ</v>
      </c>
      <c r="Y72" s="23" t="str">
        <f>"|MIDDLE:​"&amp;テーブル1[[#This Row],[Name]]</f>
        <v>|MIDDLE:​Tota Hisame</v>
      </c>
      <c r="Z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6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572</v>
      </c>
      <c r="D73" s="23" t="s">
        <v>822</v>
      </c>
      <c r="E73" s="23" t="s">
        <v>991</v>
      </c>
      <c r="F73" s="2" t="s">
        <v>224</v>
      </c>
      <c r="G73" s="23" t="s">
        <v>225</v>
      </c>
      <c r="P73" s="1" t="s">
        <v>549</v>
      </c>
      <c r="Q73" s="24" t="str">
        <f>テーブル1[[#This Row],[リンク]]&amp;テーブル1[[#This Row],[描画状況]]</f>
        <v>https://suihankinonaka.wixsite.com/my-site-1済</v>
      </c>
      <c r="R73" s="17">
        <f>1-(COUNTIF(Q:Q,_xlfn.TEXTJOIN(",",TRUE,テーブル1[[#This Row],[リンク]],テーブル1[[#This Row],[描画状況]]))/COUNTIF(F:F,テーブル1[[#This Row],[リンク]]))</f>
        <v>1</v>
      </c>
      <c r="S73" s="16" t="str">
        <f ca="1">IFERROR(IF(テーブル1[[#This Row],[描画状況]]="",RAND()+(テーブル1[[#This Row],[列2]]*100),""),RAND())</f>
        <v/>
      </c>
      <c r="T73" s="1" t="s">
        <v>12</v>
      </c>
      <c r="U73" s="24" t="str">
        <f ca="1">IF(AND(テーブル1[[#This Row],[描画状況]]="済",テーブル1[[#This Row],[投稿状況]]=""),RAND(),"")</f>
        <v/>
      </c>
      <c r="V73" s="23" t="str">
        <f>"|&amp;image("&amp;テーブル1[[#This Row],[画像]]&amp;".png,width=100,height=100)"</f>
        <v>|&amp;image(todoroki-madara.png,width=100,height=100)</v>
      </c>
      <c r="W73" s="23" t="str">
        <f>"|MIDDLE:​"&amp;テーブル1[[#This Row],[名前]]</f>
        <v>|MIDDLE:​轟まだら</v>
      </c>
      <c r="X73" s="23" t="str">
        <f>"|MIDDLE:​"&amp;テーブル1[[#This Row],[なまえ]]</f>
        <v>|MIDDLE:​とどろき まだら</v>
      </c>
      <c r="Y73" s="23" t="str">
        <f>"|MIDDLE:​"&amp;テーブル1[[#This Row],[Name]]</f>
        <v>|MIDDLE:​Todoroki Madara</v>
      </c>
      <c r="Z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6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573</v>
      </c>
      <c r="D74" s="23" t="s">
        <v>823</v>
      </c>
      <c r="E74" s="23" t="s">
        <v>992</v>
      </c>
      <c r="F74" s="2" t="s">
        <v>123</v>
      </c>
      <c r="G74" s="23" t="s">
        <v>124</v>
      </c>
      <c r="P74" s="1" t="s">
        <v>549</v>
      </c>
      <c r="Q74" s="24" t="str">
        <f>テーブル1[[#This Row],[リンク]]&amp;テーブル1[[#This Row],[描画状況]]</f>
        <v>https://lit.link/nemukoneko済</v>
      </c>
      <c r="R74" s="17">
        <f>1-(COUNTIF(Q:Q,_xlfn.TEXTJOIN(",",TRUE,テーブル1[[#This Row],[リンク]],テーブル1[[#This Row],[描画状況]]))/COUNTIF(F:F,テーブル1[[#This Row],[リンク]]))</f>
        <v>1</v>
      </c>
      <c r="S74" s="16" t="str">
        <f ca="1">IFERROR(IF(テーブル1[[#This Row],[描画状況]]="",RAND()+(テーブル1[[#This Row],[列2]]*100),""),RAND())</f>
        <v/>
      </c>
      <c r="T74" s="1" t="s">
        <v>12</v>
      </c>
      <c r="U74" s="24" t="str">
        <f ca="1">IF(AND(テーブル1[[#This Row],[描画状況]]="済",テーブル1[[#This Row],[投稿状況]]=""),RAND(),"")</f>
        <v/>
      </c>
      <c r="V74" s="23" t="str">
        <f>"|&amp;image("&amp;テーブル1[[#This Row],[画像]]&amp;".png,width=100,height=100)"</f>
        <v>|&amp;image(doba-juga.png,width=100,height=100)</v>
      </c>
      <c r="W74" s="23" t="str">
        <f>"|MIDDLE:​"&amp;テーブル1[[#This Row],[名前]]</f>
        <v>|MIDDLE:​駑馬十駕</v>
      </c>
      <c r="X74" s="23" t="str">
        <f>"|MIDDLE:​"&amp;テーブル1[[#This Row],[なまえ]]</f>
        <v>|MIDDLE:​どば じゅうが</v>
      </c>
      <c r="Y74" s="23" t="str">
        <f>"|MIDDLE:​"&amp;テーブル1[[#This Row],[Name]]</f>
        <v>|MIDDLE:​Doba Juga</v>
      </c>
      <c r="Z74" s="23" t="str">
        <f>"|MIDDLE:​&amp;link(配布所はこちら){​"&amp;テーブル1[[#This Row],[リンク]]&amp;"}|"</f>
        <v>|MIDDLE:​&amp;link(配布所はこちら){​https://lit.link/nemukoneko}|</v>
      </c>
    </row>
    <row r="75" spans="1:26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40</v>
      </c>
      <c r="D75" s="23" t="s">
        <v>824</v>
      </c>
      <c r="E75" s="23" t="s">
        <v>993</v>
      </c>
      <c r="F75" s="2" t="s">
        <v>41</v>
      </c>
      <c r="G75" s="23" t="s">
        <v>42</v>
      </c>
      <c r="O75" s="1" t="s">
        <v>594</v>
      </c>
      <c r="P75" s="1" t="s">
        <v>549</v>
      </c>
      <c r="Q75" s="24" t="str">
        <f>テーブル1[[#This Row],[リンク]]&amp;テーブル1[[#This Row],[描画状況]]</f>
        <v>https://amiseniamnu.wixsite.com/amisenia済</v>
      </c>
      <c r="R75" s="17">
        <f>1-(COUNTIF(Q:Q,_xlfn.TEXTJOIN(",",TRUE,テーブル1[[#This Row],[リンク]],テーブル1[[#This Row],[描画状況]]))/COUNTIF(F:F,テーブル1[[#This Row],[リンク]]))</f>
        <v>1</v>
      </c>
      <c r="S75" s="16" t="str">
        <f ca="1">IFERROR(IF(テーブル1[[#This Row],[描画状況]]="",RAND()+(テーブル1[[#This Row],[列2]]*100),""),RAND())</f>
        <v/>
      </c>
      <c r="T75" s="1" t="s">
        <v>12</v>
      </c>
      <c r="U75" s="24" t="str">
        <f ca="1">IF(AND(テーブル1[[#This Row],[描画状況]]="済",テーブル1[[#This Row],[投稿状況]]=""),RAND(),"")</f>
        <v/>
      </c>
      <c r="V75" s="23" t="str">
        <f>"|&amp;image("&amp;テーブル1[[#This Row],[画像]]&amp;".png,width=100,height=100)"</f>
        <v>|&amp;image(torune-tea.png,width=100,height=100)</v>
      </c>
      <c r="W75" s="23" t="str">
        <f>"|MIDDLE:​"&amp;テーブル1[[#This Row],[名前]]</f>
        <v>|MIDDLE:​取音テア</v>
      </c>
      <c r="X75" s="23" t="str">
        <f>"|MIDDLE:​"&amp;テーブル1[[#This Row],[なまえ]]</f>
        <v>|MIDDLE:​とるね てあ</v>
      </c>
      <c r="Y75" s="23" t="str">
        <f>"|MIDDLE:​"&amp;テーブル1[[#This Row],[Name]]</f>
        <v>|MIDDLE:​Torune Tea</v>
      </c>
      <c r="Z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6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574</v>
      </c>
      <c r="D76" s="23" t="s">
        <v>202</v>
      </c>
      <c r="E76" s="23" t="s">
        <v>203</v>
      </c>
      <c r="F76" s="2" t="s">
        <v>198</v>
      </c>
      <c r="G76" s="23" t="s">
        <v>199</v>
      </c>
      <c r="H76" s="23" t="s">
        <v>660</v>
      </c>
      <c r="I76" s="23" t="s">
        <v>674</v>
      </c>
      <c r="M76" s="23" t="s">
        <v>1285</v>
      </c>
      <c r="O76" s="1" t="s">
        <v>594</v>
      </c>
      <c r="P76" s="1" t="s">
        <v>549</v>
      </c>
      <c r="Q76" s="24" t="str">
        <f>テーブル1[[#This Row],[リンク]]&amp;テーブル1[[#This Row],[描画状況]]</f>
        <v>https://seirentoybox.jimdofree.com済</v>
      </c>
      <c r="R76" s="17">
        <f>1-(COUNTIF(Q:Q,_xlfn.TEXTJOIN(",",TRUE,テーブル1[[#This Row],[リンク]],テーブル1[[#This Row],[描画状況]]))/COUNTIF(F:F,テーブル1[[#This Row],[リンク]]))</f>
        <v>1</v>
      </c>
      <c r="S76" s="16" t="str">
        <f ca="1">IFERROR(IF(テーブル1[[#This Row],[描画状況]]="",RAND()+(テーブル1[[#This Row],[列2]]*100),""),RAND())</f>
        <v/>
      </c>
      <c r="T76" s="1" t="s">
        <v>12</v>
      </c>
      <c r="U76" s="24" t="str">
        <f ca="1">IF(AND(テーブル1[[#This Row],[描画状況]]="済",テーブル1[[#This Row],[投稿状況]]=""),RAND(),"")</f>
        <v/>
      </c>
      <c r="V76" s="23" t="str">
        <f>"|&amp;image("&amp;テーブル1[[#This Row],[画像]]&amp;".png,width=100,height=100)"</f>
        <v>|&amp;image(dolln.png,width=100,height=100)</v>
      </c>
      <c r="W76" s="23" t="str">
        <f>"|MIDDLE:​"&amp;テーブル1[[#This Row],[名前]]</f>
        <v>|MIDDLE:​ドルン</v>
      </c>
      <c r="X76" s="23" t="str">
        <f>"|MIDDLE:​"&amp;テーブル1[[#This Row],[なまえ]]</f>
        <v>|MIDDLE:​どるん</v>
      </c>
      <c r="Y76" s="23" t="str">
        <f>"|MIDDLE:​"&amp;テーブル1[[#This Row],[Name]]</f>
        <v>|MIDDLE:​Dolln</v>
      </c>
      <c r="Z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6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264</v>
      </c>
      <c r="D77" s="23" t="s">
        <v>265</v>
      </c>
      <c r="E77" s="23" t="s">
        <v>266</v>
      </c>
      <c r="F77" s="2" t="s">
        <v>267</v>
      </c>
      <c r="G77" s="23" t="s">
        <v>268</v>
      </c>
      <c r="P77" s="1" t="s">
        <v>549</v>
      </c>
      <c r="Q77" s="24" t="str">
        <f>テーブル1[[#This Row],[リンク]]&amp;テーブル1[[#This Row],[描画状況]]</f>
        <v>https://www.krnr.top済</v>
      </c>
      <c r="R77" s="17">
        <f>1-(COUNTIF(Q:Q,_xlfn.TEXTJOIN(",",TRUE,テーブル1[[#This Row],[リンク]],テーブル1[[#This Row],[描画状況]]))/COUNTIF(F:F,テーブル1[[#This Row],[リンク]]))</f>
        <v>1</v>
      </c>
      <c r="S77" s="16" t="str">
        <f ca="1">IFERROR(IF(テーブル1[[#This Row],[描画状況]]="",RAND()+(テーブル1[[#This Row],[列2]]*100),""),RAND())</f>
        <v/>
      </c>
      <c r="T77" s="1" t="s">
        <v>12</v>
      </c>
      <c r="U77" s="24" t="str">
        <f ca="1">IF(AND(テーブル1[[#This Row],[描画状況]]="済",テーブル1[[#This Row],[投稿状況]]=""),RAND(),"")</f>
        <v/>
      </c>
      <c r="V77" s="23" t="str">
        <f>"|&amp;image("&amp;テーブル1[[#This Row],[画像]]&amp;".png,width=100,height=100)"</f>
        <v>|&amp;image(nurserobot-typet.png,width=100,height=100)</v>
      </c>
      <c r="W77" s="23" t="str">
        <f>"|MIDDLE:​"&amp;テーブル1[[#This Row],[名前]]</f>
        <v>|MIDDLE:​ナースロボ_タイプT</v>
      </c>
      <c r="X77" s="23" t="str">
        <f>"|MIDDLE:​"&amp;テーブル1[[#This Row],[なまえ]]</f>
        <v>|MIDDLE:​なーすろぼ_たいぷてぃ</v>
      </c>
      <c r="Y77" s="23" t="str">
        <f>"|MIDDLE:​"&amp;テーブル1[[#This Row],[Name]]</f>
        <v>|MIDDLE:​NurseRobot_TypeT</v>
      </c>
      <c r="Z77" s="23" t="str">
        <f>"|MIDDLE:​&amp;link(配布所はこちら){​"&amp;テーブル1[[#This Row],[リンク]]&amp;"}|"</f>
        <v>|MIDDLE:​&amp;link(配布所はこちら){​https://www.krnr.top}|</v>
      </c>
    </row>
    <row r="78" spans="1:26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29</v>
      </c>
      <c r="D78" s="23" t="s">
        <v>825</v>
      </c>
      <c r="E78" s="23" t="s">
        <v>994</v>
      </c>
      <c r="F78" s="2" t="s">
        <v>30</v>
      </c>
      <c r="G78" s="23" t="s">
        <v>31</v>
      </c>
      <c r="O78" s="1" t="s">
        <v>594</v>
      </c>
      <c r="P78" s="1" t="s">
        <v>549</v>
      </c>
      <c r="Q78" s="24" t="str">
        <f>テーブル1[[#This Row],[リンク]]&amp;テーブル1[[#This Row],[描画状況]]</f>
        <v>https://666not.wixsite.com/partition-voyage済</v>
      </c>
      <c r="R78" s="17">
        <f>1-(COUNTIF(Q:Q,_xlfn.TEXTJOIN(",",TRUE,テーブル1[[#This Row],[リンク]],テーブル1[[#This Row],[描画状況]]))/COUNTIF(F:F,テーブル1[[#This Row],[リンク]]))</f>
        <v>1</v>
      </c>
      <c r="S78" s="16" t="str">
        <f ca="1">IFERROR(IF(テーブル1[[#This Row],[描画状況]]="",RAND()+(テーブル1[[#This Row],[列2]]*100),""),RAND())</f>
        <v/>
      </c>
      <c r="T78" s="1" t="s">
        <v>12</v>
      </c>
      <c r="U78" s="24" t="str">
        <f ca="1">IF(AND(テーブル1[[#This Row],[描画状況]]="済",テーブル1[[#This Row],[投稿状況]]=""),RAND(),"")</f>
        <v/>
      </c>
      <c r="V78" s="23" t="str">
        <f>"|&amp;image("&amp;テーブル1[[#This Row],[画像]]&amp;".png,width=100,height=100)"</f>
        <v>|&amp;image(nagakura-miji.png,width=100,height=100)</v>
      </c>
      <c r="W78" s="23" t="str">
        <f>"|MIDDLE:​"&amp;テーブル1[[#This Row],[名前]]</f>
        <v>|MIDDLE:​詠冥ミジ</v>
      </c>
      <c r="X78" s="23" t="str">
        <f>"|MIDDLE:​"&amp;テーブル1[[#This Row],[なまえ]]</f>
        <v>|MIDDLE:​ながくら みじ</v>
      </c>
      <c r="Y78" s="23" t="str">
        <f>"|MIDDLE:​"&amp;テーブル1[[#This Row],[Name]]</f>
        <v>|MIDDLE:​Nagakura Miji</v>
      </c>
      <c r="Z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6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193</v>
      </c>
      <c r="D79" s="23" t="s">
        <v>826</v>
      </c>
      <c r="E79" s="23" t="s">
        <v>995</v>
      </c>
      <c r="F79" s="2" t="s">
        <v>191</v>
      </c>
      <c r="G79" s="23" t="s">
        <v>192</v>
      </c>
      <c r="P79" s="1" t="s">
        <v>549</v>
      </c>
      <c r="Q79" s="24" t="str">
        <f>テーブル1[[#This Row],[リンク]]&amp;テーブル1[[#This Row],[描画状況]]</f>
        <v>https://rinnneuta.wixsite.com/my-site-2?s=09済</v>
      </c>
      <c r="R79" s="17">
        <f>1-(COUNTIF(Q:Q,_xlfn.TEXTJOIN(",",TRUE,テーブル1[[#This Row],[リンク]],テーブル1[[#This Row],[描画状況]]))/COUNTIF(F:F,テーブル1[[#This Row],[リンク]]))</f>
        <v>1</v>
      </c>
      <c r="S79" s="16" t="str">
        <f ca="1">IFERROR(IF(テーブル1[[#This Row],[描画状況]]="",RAND()+(テーブル1[[#This Row],[列2]]*100),""),RAND())</f>
        <v/>
      </c>
      <c r="T79" s="1" t="s">
        <v>12</v>
      </c>
      <c r="U79" s="24" t="str">
        <f ca="1">IF(AND(テーブル1[[#This Row],[描画状況]]="済",テーブル1[[#This Row],[投稿状況]]=""),RAND(),"")</f>
        <v/>
      </c>
      <c r="V79" s="23" t="str">
        <f>"|&amp;image("&amp;テーブル1[[#This Row],[画像]]&amp;".png,width=100,height=100)"</f>
        <v>|&amp;image(nagarene-nanashi.png,width=100,height=100)</v>
      </c>
      <c r="W79" s="23" t="str">
        <f>"|MIDDLE:​"&amp;テーブル1[[#This Row],[名前]]</f>
        <v>|MIDDLE:​流音ナナシ</v>
      </c>
      <c r="X79" s="23" t="str">
        <f>"|MIDDLE:​"&amp;テーブル1[[#This Row],[なまえ]]</f>
        <v>|MIDDLE:​ながれね ななし</v>
      </c>
      <c r="Y79" s="23" t="str">
        <f>"|MIDDLE:​"&amp;テーブル1[[#This Row],[Name]]</f>
        <v>|MIDDLE:​Nagarene Nanashi</v>
      </c>
      <c r="Z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6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24</v>
      </c>
      <c r="D80" s="23" t="s">
        <v>827</v>
      </c>
      <c r="E80" s="23" t="s">
        <v>996</v>
      </c>
      <c r="F80" s="2" t="s">
        <v>20</v>
      </c>
      <c r="G80" s="23" t="s">
        <v>25</v>
      </c>
      <c r="H80" s="23" t="s">
        <v>660</v>
      </c>
      <c r="I80" s="23" t="s">
        <v>1125</v>
      </c>
      <c r="J80" s="23" t="s">
        <v>1190</v>
      </c>
      <c r="M80" s="23" t="s">
        <v>1285</v>
      </c>
      <c r="N80" s="23" t="s">
        <v>1237</v>
      </c>
      <c r="O80" s="1" t="s">
        <v>595</v>
      </c>
      <c r="P80" s="1" t="s">
        <v>549</v>
      </c>
      <c r="Q80" s="24" t="str">
        <f>テーブル1[[#This Row],[リンク]]&amp;テーブル1[[#This Row],[描画状況]]</f>
        <v>http://park2.wakwak.com/~mbox/vo/hk/hkfre.htm済</v>
      </c>
      <c r="R80" s="17">
        <f>1-(COUNTIF(Q:Q,_xlfn.TEXTJOIN(",",TRUE,テーブル1[[#This Row],[リンク]],テーブル1[[#This Row],[描画状況]]))/COUNTIF(F:F,テーブル1[[#This Row],[リンク]]))</f>
        <v>1</v>
      </c>
      <c r="S80" s="16" t="str">
        <f ca="1">IFERROR(IF(テーブル1[[#This Row],[描画状況]]="",RAND()+(テーブル1[[#This Row],[列2]]*100),""),RAND())</f>
        <v/>
      </c>
      <c r="T80" s="1" t="s">
        <v>12</v>
      </c>
      <c r="U80" s="24" t="str">
        <f ca="1">IF(AND(テーブル1[[#This Row],[描画状況]]="済",テーブル1[[#This Row],[投稿状況]]=""),RAND(),"")</f>
        <v/>
      </c>
      <c r="V80" s="23" t="str">
        <f>"|&amp;image("&amp;テーブル1[[#This Row],[画像]]&amp;".png,width=100,height=100)"</f>
        <v>|&amp;image(nakogaki-itsuki.png,width=100,height=100)</v>
      </c>
      <c r="W80" s="23" t="str">
        <f>"|MIDDLE:​"&amp;テーブル1[[#This Row],[名前]]</f>
        <v>|MIDDLE:​猫垣一姫</v>
      </c>
      <c r="X80" s="23" t="str">
        <f>"|MIDDLE:​"&amp;テーブル1[[#This Row],[なまえ]]</f>
        <v>|MIDDLE:​なこがき いつき</v>
      </c>
      <c r="Y80" s="23" t="str">
        <f>"|MIDDLE:​"&amp;テーブル1[[#This Row],[Name]]</f>
        <v>|MIDDLE:​Nakogaki Itsuki</v>
      </c>
      <c r="Z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6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134</v>
      </c>
      <c r="D81" s="23" t="s">
        <v>828</v>
      </c>
      <c r="E81" s="23" t="s">
        <v>997</v>
      </c>
      <c r="F81" s="2" t="s">
        <v>135</v>
      </c>
      <c r="G81" s="23" t="s">
        <v>136</v>
      </c>
      <c r="P81" s="1" t="s">
        <v>549</v>
      </c>
      <c r="Q81" s="24" t="str">
        <f>テーブル1[[#This Row],[リンク]]&amp;テーブル1[[#This Row],[描画状況]]</f>
        <v>https://lonelyapple011.wixsite.com/nadenade済</v>
      </c>
      <c r="R81" s="17">
        <f>1-(COUNTIF(Q:Q,_xlfn.TEXTJOIN(",",TRUE,テーブル1[[#This Row],[リンク]],テーブル1[[#This Row],[描画状況]]))/COUNTIF(F:F,テーブル1[[#This Row],[リンク]]))</f>
        <v>1</v>
      </c>
      <c r="S81" s="16" t="str">
        <f ca="1">IFERROR(IF(テーブル1[[#This Row],[描画状況]]="",RAND()+(テーブル1[[#This Row],[列2]]*100),""),RAND())</f>
        <v/>
      </c>
      <c r="T81" s="1" t="s">
        <v>12</v>
      </c>
      <c r="U81" s="24" t="str">
        <f ca="1">IF(AND(テーブル1[[#This Row],[描画状況]]="済",テーブル1[[#This Row],[投稿状況]]=""),RAND(),"")</f>
        <v/>
      </c>
      <c r="V81" s="23" t="str">
        <f>"|&amp;image("&amp;テーブル1[[#This Row],[画像]]&amp;".png,width=100,height=100)"</f>
        <v>|&amp;image(nadene-komari.png,width=100,height=100)</v>
      </c>
      <c r="W81" s="23" t="str">
        <f>"|MIDDLE:​"&amp;テーブル1[[#This Row],[名前]]</f>
        <v>|MIDDLE:​撫音小鞠</v>
      </c>
      <c r="X81" s="23" t="str">
        <f>"|MIDDLE:​"&amp;テーブル1[[#This Row],[なまえ]]</f>
        <v>|MIDDLE:​なでね こまり</v>
      </c>
      <c r="Y81" s="23" t="str">
        <f>"|MIDDLE:​"&amp;テーブル1[[#This Row],[Name]]</f>
        <v>|MIDDLE:​Nadene Komari</v>
      </c>
      <c r="Z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6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180</v>
      </c>
      <c r="D82" s="23" t="s">
        <v>181</v>
      </c>
      <c r="E82" s="23" t="s">
        <v>182</v>
      </c>
      <c r="F82" s="2" t="s">
        <v>176</v>
      </c>
      <c r="G82" s="23" t="s">
        <v>183</v>
      </c>
      <c r="H82" s="23" t="s">
        <v>673</v>
      </c>
      <c r="I82" s="23" t="s">
        <v>704</v>
      </c>
      <c r="J82" s="23" t="s">
        <v>1238</v>
      </c>
      <c r="N82" s="23" t="s">
        <v>1239</v>
      </c>
      <c r="O82" s="1" t="s">
        <v>631</v>
      </c>
      <c r="P82" s="1" t="s">
        <v>549</v>
      </c>
      <c r="Q82" s="24" t="str">
        <f>テーブル1[[#This Row],[リンク]]&amp;テーブル1[[#This Row],[描画状況]]</f>
        <v>https://nyaruru.wixsite.com/s-p-w済</v>
      </c>
      <c r="R82" s="17">
        <f>1-(COUNTIF(Q:Q,_xlfn.TEXTJOIN(",",TRUE,テーブル1[[#This Row],[リンク]],テーブル1[[#This Row],[描画状況]]))/COUNTIF(F:F,テーブル1[[#This Row],[リンク]]))</f>
        <v>1</v>
      </c>
      <c r="S82" s="16" t="str">
        <f ca="1">IFERROR(IF(テーブル1[[#This Row],[描画状況]]="",RAND()+(テーブル1[[#This Row],[列2]]*100),""),RAND())</f>
        <v/>
      </c>
      <c r="T82" s="1" t="s">
        <v>12</v>
      </c>
      <c r="U82" s="24" t="str">
        <f ca="1">IF(AND(テーブル1[[#This Row],[描画状況]]="済",テーブル1[[#This Row],[投稿状況]]=""),RAND(),"")</f>
        <v/>
      </c>
      <c r="V82" s="23" t="str">
        <f>"|&amp;image("&amp;テーブル1[[#This Row],[画像]]&amp;".png,width=100,height=100)"</f>
        <v>|&amp;image(nekomimiuchufuku.png,width=100,height=100)</v>
      </c>
      <c r="W82" s="23" t="str">
        <f>"|MIDDLE:​"&amp;テーブル1[[#This Row],[名前]]</f>
        <v>|MIDDLE:​猫耳宇宙服</v>
      </c>
      <c r="X82" s="23" t="str">
        <f>"|MIDDLE:​"&amp;テーブル1[[#This Row],[なまえ]]</f>
        <v>|MIDDLE:​ねこみみうちゅうふく</v>
      </c>
      <c r="Y82" s="23" t="str">
        <f>"|MIDDLE:​"&amp;テーブル1[[#This Row],[Name]]</f>
        <v>|MIDDLE:​Nekomimiuchufuku</v>
      </c>
      <c r="Z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6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226</v>
      </c>
      <c r="D83" s="23" t="s">
        <v>829</v>
      </c>
      <c r="E83" s="23" t="s">
        <v>998</v>
      </c>
      <c r="F83" s="2" t="s">
        <v>227</v>
      </c>
      <c r="G83" s="23" t="s">
        <v>228</v>
      </c>
      <c r="P83" s="1" t="s">
        <v>549</v>
      </c>
      <c r="Q83" s="24" t="str">
        <f>テーブル1[[#This Row],[リンク]]&amp;テーブル1[[#This Row],[描画状況]]</f>
        <v>https://sysynmnm.wixsite.com/oyasumi-zzz済</v>
      </c>
      <c r="R83" s="17">
        <f>1-(COUNTIF(Q:Q,_xlfn.TEXTJOIN(",",TRUE,テーブル1[[#This Row],[リンク]],テーブル1[[#This Row],[描画状況]]))/COUNTIF(F:F,テーブル1[[#This Row],[リンク]]))</f>
        <v>1</v>
      </c>
      <c r="S83" s="16" t="str">
        <f ca="1">IFERROR(IF(テーブル1[[#This Row],[描画状況]]="",RAND()+(テーブル1[[#This Row],[列2]]*100),""),RAND())</f>
        <v/>
      </c>
      <c r="T83" s="1" t="s">
        <v>12</v>
      </c>
      <c r="U83" s="24" t="str">
        <f ca="1">IF(AND(テーブル1[[#This Row],[描画状況]]="済",テーブル1[[#This Row],[投稿状況]]=""),RAND(),"")</f>
        <v/>
      </c>
      <c r="V83" s="23" t="str">
        <f>"|&amp;image("&amp;テーブル1[[#This Row],[画像]]&amp;".png,width=100,height=100)"</f>
        <v>|&amp;image(nemui-you.png,width=100,height=100)</v>
      </c>
      <c r="W83" s="23" t="str">
        <f>"|MIDDLE:​"&amp;テーブル1[[#This Row],[名前]]</f>
        <v>|MIDDLE:​眠井ヨウ</v>
      </c>
      <c r="X83" s="23" t="str">
        <f>"|MIDDLE:​"&amp;テーブル1[[#This Row],[なまえ]]</f>
        <v>|MIDDLE:​ねむい よう</v>
      </c>
      <c r="Y83" s="23" t="str">
        <f>"|MIDDLE:​"&amp;テーブル1[[#This Row],[Name]]</f>
        <v>|MIDDLE:​Nemui You</v>
      </c>
      <c r="Z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6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229</v>
      </c>
      <c r="D84" s="23" t="s">
        <v>830</v>
      </c>
      <c r="E84" s="23" t="s">
        <v>999</v>
      </c>
      <c r="F84" s="2" t="s">
        <v>227</v>
      </c>
      <c r="G84" s="23" t="s">
        <v>228</v>
      </c>
      <c r="P84" s="1" t="s">
        <v>549</v>
      </c>
      <c r="Q84" s="24" t="str">
        <f>テーブル1[[#This Row],[リンク]]&amp;テーブル1[[#This Row],[描画状況]]</f>
        <v>https://sysynmnm.wixsite.com/oyasumi-zzz済</v>
      </c>
      <c r="R84" s="17">
        <f>1-(COUNTIF(Q:Q,_xlfn.TEXTJOIN(",",TRUE,テーブル1[[#This Row],[リンク]],テーブル1[[#This Row],[描画状況]]))/COUNTIF(F:F,テーブル1[[#This Row],[リンク]]))</f>
        <v>1</v>
      </c>
      <c r="S84" s="16" t="str">
        <f ca="1">IFERROR(IF(テーブル1[[#This Row],[描画状況]]="",RAND()+(テーブル1[[#This Row],[列2]]*100),""),RAND())</f>
        <v/>
      </c>
      <c r="T84" s="1" t="s">
        <v>12</v>
      </c>
      <c r="U84" s="24" t="str">
        <f ca="1">IF(AND(テーブル1[[#This Row],[描画状況]]="済",テーブル1[[#This Row],[投稿状況]]=""),RAND(),"")</f>
        <v/>
      </c>
      <c r="V84" s="23" t="str">
        <f>"|&amp;image("&amp;テーブル1[[#This Row],[画像]]&amp;".png,width=100,height=100)"</f>
        <v>|&amp;image(nemura-nai.png,width=100,height=100)</v>
      </c>
      <c r="W84" s="23" t="str">
        <f>"|MIDDLE:​"&amp;テーブル1[[#This Row],[名前]]</f>
        <v>|MIDDLE:​寝村ナイ</v>
      </c>
      <c r="X84" s="23" t="str">
        <f>"|MIDDLE:​"&amp;テーブル1[[#This Row],[なまえ]]</f>
        <v>|MIDDLE:​ねむら ない</v>
      </c>
      <c r="Y84" s="23" t="str">
        <f>"|MIDDLE:​"&amp;テーブル1[[#This Row],[Name]]</f>
        <v>|MIDDLE:​Nemura Nai</v>
      </c>
      <c r="Z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6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125</v>
      </c>
      <c r="D85" s="23" t="s">
        <v>126</v>
      </c>
      <c r="E85" s="23" t="s">
        <v>127</v>
      </c>
      <c r="F85" s="2" t="s">
        <v>123</v>
      </c>
      <c r="G85" s="23" t="s">
        <v>128</v>
      </c>
      <c r="P85" s="1" t="s">
        <v>549</v>
      </c>
      <c r="Q85" s="24" t="str">
        <f>テーブル1[[#This Row],[リンク]]&amp;テーブル1[[#This Row],[描画状況]]</f>
        <v>https://lit.link/nemukoneko済</v>
      </c>
      <c r="R85" s="17">
        <f>1-(COUNTIF(Q:Q,_xlfn.TEXTJOIN(",",TRUE,テーブル1[[#This Row],[リンク]],テーブル1[[#This Row],[描画状況]]))/COUNTIF(F:F,テーブル1[[#This Row],[リンク]]))</f>
        <v>1</v>
      </c>
      <c r="S85" s="16" t="str">
        <f ca="1">IFERROR(IF(テーブル1[[#This Row],[描画状況]]="",RAND()+(テーブル1[[#This Row],[列2]]*100),""),RAND())</f>
        <v/>
      </c>
      <c r="T85" s="1" t="s">
        <v>12</v>
      </c>
      <c r="U85" s="24" t="str">
        <f ca="1">IF(AND(テーブル1[[#This Row],[描画状況]]="済",テーブル1[[#This Row],[投稿状況]]=""),RAND(),"")</f>
        <v/>
      </c>
      <c r="V85" s="23" t="str">
        <f>"|&amp;image("&amp;テーブル1[[#This Row],[画像]]&amp;".png,width=100,height=100)"</f>
        <v>|&amp;image(nenneko.png,width=100,height=100)</v>
      </c>
      <c r="W85" s="23" t="str">
        <f>"|MIDDLE:​"&amp;テーブル1[[#This Row],[名前]]</f>
        <v>|MIDDLE:​ねんねこ</v>
      </c>
      <c r="X85" s="23" t="str">
        <f>"|MIDDLE:​"&amp;テーブル1[[#This Row],[なまえ]]</f>
        <v>|MIDDLE:​ねんねこ</v>
      </c>
      <c r="Y85" s="23" t="str">
        <f>"|MIDDLE:​"&amp;テーブル1[[#This Row],[Name]]</f>
        <v>|MIDDLE:​Nenneko</v>
      </c>
      <c r="Z85" s="23" t="str">
        <f>"|MIDDLE:​&amp;link(配布所はこちら){​"&amp;テーブル1[[#This Row],[リンク]]&amp;"}|"</f>
        <v>|MIDDLE:​&amp;link(配布所はこちら){​https://lit.link/nemukoneko}|</v>
      </c>
    </row>
    <row r="86" spans="1:26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278</v>
      </c>
      <c r="D86" s="23" t="s">
        <v>831</v>
      </c>
      <c r="E86" s="23" t="s">
        <v>1000</v>
      </c>
      <c r="F86" s="23" t="s">
        <v>279</v>
      </c>
      <c r="G86" s="23" t="str">
        <f>テーブル1[[#This Row],[名前]]&amp;"(UTAU)"</f>
        <v>覗キ視炉(UTAU)</v>
      </c>
      <c r="O86" s="1" t="s">
        <v>594</v>
      </c>
      <c r="P86" s="1" t="s">
        <v>549</v>
      </c>
      <c r="Q86" s="24" t="str">
        <f>テーブル1[[#This Row],[リンク]]&amp;テーブル1[[#This Row],[描画状況]]</f>
        <v>-済</v>
      </c>
      <c r="R86" s="17">
        <f>1-(COUNTIF(Q:Q,_xlfn.TEXTJOIN(",",TRUE,テーブル1[[#This Row],[リンク]],テーブル1[[#This Row],[描画状況]]))/COUNTIF(F:F,テーブル1[[#This Row],[リンク]]))</f>
        <v>1</v>
      </c>
      <c r="S86" s="16" t="str">
        <f ca="1">IFERROR(IF(テーブル1[[#This Row],[描画状況]]="",RAND()+(テーブル1[[#This Row],[列2]]*100),""),RAND())</f>
        <v/>
      </c>
      <c r="T86" s="1" t="s">
        <v>12</v>
      </c>
      <c r="U86" s="24" t="str">
        <f ca="1">IF(AND(テーブル1[[#This Row],[描画状況]]="済",テーブル1[[#This Row],[投稿状況]]=""),RAND(),"")</f>
        <v/>
      </c>
      <c r="V86" s="23" t="str">
        <f>"|&amp;image("&amp;テーブル1[[#This Row],[画像]]&amp;".png,width=100,height=100)"</f>
        <v>|&amp;image(nozoki-miro.png,width=100,height=100)</v>
      </c>
      <c r="W86" s="23" t="str">
        <f>"|MIDDLE:​"&amp;テーブル1[[#This Row],[名前]]</f>
        <v>|MIDDLE:​覗キ視炉</v>
      </c>
      <c r="X86" s="23" t="str">
        <f>"|MIDDLE:​"&amp;テーブル1[[#This Row],[なまえ]]</f>
        <v>|MIDDLE:​のぞき みろ</v>
      </c>
      <c r="Y86" s="23" t="str">
        <f>"|MIDDLE:​"&amp;テーブル1[[#This Row],[Name]]</f>
        <v>|MIDDLE:​Nozoki Miro</v>
      </c>
      <c r="Z86" s="23" t="str">
        <f>"|MIDDLE:​&amp;link(配布所はこちら){​"&amp;テーブル1[[#This Row],[リンク]]&amp;"}|"</f>
        <v>|MIDDLE:​&amp;link(配布所はこちら){​-}|</v>
      </c>
    </row>
    <row r="87" spans="1:26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204</v>
      </c>
      <c r="D87" s="23" t="s">
        <v>205</v>
      </c>
      <c r="E87" s="23" t="s">
        <v>1001</v>
      </c>
      <c r="F87" s="2" t="s">
        <v>198</v>
      </c>
      <c r="G87" s="23" t="s">
        <v>199</v>
      </c>
      <c r="H87" s="23" t="s">
        <v>661</v>
      </c>
      <c r="I87" s="23" t="s">
        <v>717</v>
      </c>
      <c r="L87" s="23" t="s">
        <v>1206</v>
      </c>
      <c r="M87" s="23" t="s">
        <v>1285</v>
      </c>
      <c r="N87" s="23" t="s">
        <v>1215</v>
      </c>
      <c r="O87" s="1" t="s">
        <v>594</v>
      </c>
      <c r="P87" s="1" t="s">
        <v>549</v>
      </c>
      <c r="Q87" s="24" t="str">
        <f>テーブル1[[#This Row],[リンク]]&amp;テーブル1[[#This Row],[描画状況]]</f>
        <v>https://seirentoybox.jimdofree.com済</v>
      </c>
      <c r="R87" s="17">
        <f>1-(COUNTIF(Q:Q,_xlfn.TEXTJOIN(",",TRUE,テーブル1[[#This Row],[リンク]],テーブル1[[#This Row],[描画状況]]))/COUNTIF(F:F,テーブル1[[#This Row],[リンク]]))</f>
        <v>1</v>
      </c>
      <c r="S87" s="16" t="str">
        <f ca="1">IFERROR(IF(テーブル1[[#This Row],[描画状況]]="",RAND()+(テーブル1[[#This Row],[列2]]*100),""),RAND())</f>
        <v/>
      </c>
      <c r="T87" s="1" t="s">
        <v>12</v>
      </c>
      <c r="U87" s="24" t="str">
        <f ca="1">IF(AND(テーブル1[[#This Row],[描画状況]]="済",テーブル1[[#This Row],[投稿状況]]=""),RAND(),"")</f>
        <v/>
      </c>
      <c r="V87" s="23" t="str">
        <f>"|&amp;image("&amp;テーブル1[[#This Row],[画像]]&amp;".png,width=100,height=100)"</f>
        <v>|&amp;image(higeki-muripo.png,width=100,height=100)</v>
      </c>
      <c r="W87" s="23" t="str">
        <f>"|MIDDLE:​"&amp;テーブル1[[#This Row],[名前]]</f>
        <v>|MIDDLE:​悲檄むりぽ</v>
      </c>
      <c r="X87" s="23" t="str">
        <f>"|MIDDLE:​"&amp;テーブル1[[#This Row],[なまえ]]</f>
        <v>|MIDDLE:​ひげき むりぽ</v>
      </c>
      <c r="Y87" s="23" t="str">
        <f>"|MIDDLE:​"&amp;テーブル1[[#This Row],[Name]]</f>
        <v>|MIDDLE:​Higeki Muripo</v>
      </c>
      <c r="Z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6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206</v>
      </c>
      <c r="D88" s="23" t="s">
        <v>207</v>
      </c>
      <c r="E88" s="23" t="s">
        <v>208</v>
      </c>
      <c r="F88" s="2" t="s">
        <v>198</v>
      </c>
      <c r="G88" s="23" t="s">
        <v>199</v>
      </c>
      <c r="H88" s="23" t="s">
        <v>661</v>
      </c>
      <c r="I88" s="23" t="s">
        <v>667</v>
      </c>
      <c r="M88" s="23" t="s">
        <v>1178</v>
      </c>
      <c r="N88" s="23" t="s">
        <v>1207</v>
      </c>
      <c r="O88" s="1" t="s">
        <v>594</v>
      </c>
      <c r="P88" s="1" t="s">
        <v>549</v>
      </c>
      <c r="Q88" s="24" t="str">
        <f>テーブル1[[#This Row],[リンク]]&amp;テーブル1[[#This Row],[描画状況]]</f>
        <v>https://seirentoybox.jimdofree.com済</v>
      </c>
      <c r="R88" s="17">
        <f>1-(COUNTIF(Q:Q,_xlfn.TEXTJOIN(",",TRUE,テーブル1[[#This Row],[リンク]],テーブル1[[#This Row],[描画状況]]))/COUNTIF(F:F,テーブル1[[#This Row],[リンク]]))</f>
        <v>1</v>
      </c>
      <c r="S88" s="16" t="str">
        <f ca="1">IFERROR(IF(テーブル1[[#This Row],[描画状況]]="",RAND()+(テーブル1[[#This Row],[列2]]*100),""),RAND())</f>
        <v/>
      </c>
      <c r="T88" s="1" t="s">
        <v>12</v>
      </c>
      <c r="U88" s="24" t="str">
        <f ca="1">IF(AND(テーブル1[[#This Row],[描画状況]]="済",テーブル1[[#This Row],[投稿状況]]=""),RAND(),"")</f>
        <v/>
      </c>
      <c r="V88" s="23" t="str">
        <f>"|&amp;image("&amp;テーブル1[[#This Row],[画像]]&amp;".png,width=100,height=100)"</f>
        <v>|&amp;image(fis.png,width=100,height=100)</v>
      </c>
      <c r="W88" s="23" t="str">
        <f>"|MIDDLE:​"&amp;テーブル1[[#This Row],[名前]]</f>
        <v>|MIDDLE:​フィス</v>
      </c>
      <c r="X88" s="23" t="str">
        <f>"|MIDDLE:​"&amp;テーブル1[[#This Row],[なまえ]]</f>
        <v>|MIDDLE:​ふぃす</v>
      </c>
      <c r="Y88" s="23" t="str">
        <f>"|MIDDLE:​"&amp;テーブル1[[#This Row],[Name]]</f>
        <v>|MIDDLE:​Fis</v>
      </c>
      <c r="Z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6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32</v>
      </c>
      <c r="D89" s="23" t="s">
        <v>33</v>
      </c>
      <c r="E89" s="23" t="s">
        <v>34</v>
      </c>
      <c r="F89" s="2" t="s">
        <v>35</v>
      </c>
      <c r="G89" s="23" t="s">
        <v>36</v>
      </c>
      <c r="O89" s="1" t="s">
        <v>594</v>
      </c>
      <c r="P89" s="1" t="s">
        <v>549</v>
      </c>
      <c r="Q89" s="24" t="str">
        <f>テーブル1[[#This Row],[リンク]]&amp;テーブル1[[#This Row],[描画状況]]</f>
        <v>https://abschandayo.wixsite.com/abschan済</v>
      </c>
      <c r="R89" s="17">
        <f>1-(COUNTIF(Q:Q,_xlfn.TEXTJOIN(",",TRUE,テーブル1[[#This Row],[リンク]],テーブル1[[#This Row],[描画状況]]))/COUNTIF(F:F,テーブル1[[#This Row],[リンク]]))</f>
        <v>1</v>
      </c>
      <c r="S89" s="16" t="str">
        <f ca="1">IFERROR(IF(テーブル1[[#This Row],[描画状況]]="",RAND()+(テーブル1[[#This Row],[列2]]*100),""),RAND())</f>
        <v/>
      </c>
      <c r="T89" s="1" t="s">
        <v>12</v>
      </c>
      <c r="U89" s="24" t="str">
        <f ca="1">IF(AND(テーブル1[[#This Row],[描画状況]]="済",テーブル1[[#This Row],[投稿状況]]=""),RAND(),"")</f>
        <v/>
      </c>
      <c r="V89" s="23" t="str">
        <f>"|&amp;image("&amp;テーブル1[[#This Row],[画像]]&amp;".png,width=100,height=100)"</f>
        <v>|&amp;image(abschan.png,width=100,height=100)</v>
      </c>
      <c r="W89" s="23" t="str">
        <f>"|MIDDLE:​"&amp;テーブル1[[#This Row],[名前]]</f>
        <v>|MIDDLE:​ふっきんちゃん</v>
      </c>
      <c r="X89" s="23" t="str">
        <f>"|MIDDLE:​"&amp;テーブル1[[#This Row],[なまえ]]</f>
        <v>|MIDDLE:​ふっきんちゃん</v>
      </c>
      <c r="Y89" s="23" t="str">
        <f>"|MIDDLE:​"&amp;テーブル1[[#This Row],[Name]]</f>
        <v>|MIDDLE:​Abschan</v>
      </c>
      <c r="Z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6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241</v>
      </c>
      <c r="D90" s="23" t="s">
        <v>832</v>
      </c>
      <c r="E90" s="23" t="s">
        <v>1002</v>
      </c>
      <c r="F90" s="2" t="s">
        <v>242</v>
      </c>
      <c r="G90" s="23" t="s">
        <v>243</v>
      </c>
      <c r="P90" s="1" t="s">
        <v>549</v>
      </c>
      <c r="Q90" s="24" t="str">
        <f>テーブル1[[#This Row],[リンク]]&amp;テーブル1[[#This Row],[描画状況]]</f>
        <v>https://uta-tsunagi.jimdofree.com済</v>
      </c>
      <c r="R90" s="17">
        <f>1-(COUNTIF(Q:Q,_xlfn.TEXTJOIN(",",TRUE,テーブル1[[#This Row],[リンク]],テーブル1[[#This Row],[描画状況]]))/COUNTIF(F:F,テーブル1[[#This Row],[リンク]]))</f>
        <v>1</v>
      </c>
      <c r="S90" s="16" t="str">
        <f ca="1">IFERROR(IF(テーブル1[[#This Row],[描画状況]]="",RAND()+(テーブル1[[#This Row],[列2]]*100),""),RAND())</f>
        <v/>
      </c>
      <c r="T90" s="1" t="s">
        <v>12</v>
      </c>
      <c r="U90" s="24" t="str">
        <f ca="1">IF(AND(テーブル1[[#This Row],[描画状況]]="済",テーブル1[[#This Row],[投稿状況]]=""),RAND(),"")</f>
        <v/>
      </c>
      <c r="V90" s="23" t="str">
        <f>"|&amp;image("&amp;テーブル1[[#This Row],[画像]]&amp;".png,width=100,height=100)"</f>
        <v>|&amp;image(hoga-not.png,width=100,height=100)</v>
      </c>
      <c r="W90" s="23" t="str">
        <f>"|MIDDLE:​"&amp;テーブル1[[#This Row],[名前]]</f>
        <v>|MIDDLE:​芳歌ノト</v>
      </c>
      <c r="X90" s="23" t="str">
        <f>"|MIDDLE:​"&amp;テーブル1[[#This Row],[なまえ]]</f>
        <v>|MIDDLE:​ほうが のと</v>
      </c>
      <c r="Y90" s="23" t="str">
        <f>"|MIDDLE:​"&amp;テーブル1[[#This Row],[Name]]</f>
        <v>|MIDDLE:​Hoga Not</v>
      </c>
      <c r="Z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6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184</v>
      </c>
      <c r="D91" s="23" t="s">
        <v>833</v>
      </c>
      <c r="E91" s="23" t="s">
        <v>1003</v>
      </c>
      <c r="F91" s="2" t="s">
        <v>176</v>
      </c>
      <c r="G91" s="23" t="s">
        <v>185</v>
      </c>
      <c r="H91" s="23" t="s">
        <v>660</v>
      </c>
      <c r="I91" s="23" t="s">
        <v>704</v>
      </c>
      <c r="L91" s="23" t="s">
        <v>1219</v>
      </c>
      <c r="M91" s="23" t="s">
        <v>1177</v>
      </c>
      <c r="O91" s="1" t="s">
        <v>631</v>
      </c>
      <c r="P91" s="1" t="s">
        <v>549</v>
      </c>
      <c r="Q91" s="24" t="str">
        <f>テーブル1[[#This Row],[リンク]]&amp;テーブル1[[#This Row],[描画状況]]</f>
        <v>https://nyaruru.wixsite.com/s-p-w済</v>
      </c>
      <c r="R91" s="17">
        <f>1-(COUNTIF(Q:Q,_xlfn.TEXTJOIN(",",TRUE,テーブル1[[#This Row],[リンク]],テーブル1[[#This Row],[描画状況]]))/COUNTIF(F:F,テーブル1[[#This Row],[リンク]]))</f>
        <v>1</v>
      </c>
      <c r="S91" s="16" t="str">
        <f ca="1">IFERROR(IF(テーブル1[[#This Row],[描画状況]]="",RAND()+(テーブル1[[#This Row],[列2]]*100),""),RAND())</f>
        <v/>
      </c>
      <c r="T91" s="1" t="s">
        <v>12</v>
      </c>
      <c r="U91" s="24" t="str">
        <f ca="1">IF(AND(テーブル1[[#This Row],[描画状況]]="済",テーブル1[[#This Row],[投稿状況]]=""),RAND(),"")</f>
        <v/>
      </c>
      <c r="V91" s="23" t="str">
        <f>"|&amp;image("&amp;テーブル1[[#This Row],[画像]]&amp;".png,width=100,height=100)"</f>
        <v>|&amp;image(hoshikawa-tia.png,width=100,height=100)</v>
      </c>
      <c r="W91" s="23" t="str">
        <f>"|MIDDLE:​"&amp;テーブル1[[#This Row],[名前]]</f>
        <v>|MIDDLE:​星河ティア</v>
      </c>
      <c r="X91" s="23" t="str">
        <f>"|MIDDLE:​"&amp;テーブル1[[#This Row],[なまえ]]</f>
        <v>|MIDDLE:​ほしかわ てぃあ</v>
      </c>
      <c r="Y91" s="23" t="str">
        <f>"|MIDDLE:​"&amp;テーブル1[[#This Row],[Name]]</f>
        <v>|MIDDLE:​Hoshikawa Tia</v>
      </c>
      <c r="Z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6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186</v>
      </c>
      <c r="D92" s="23" t="s">
        <v>834</v>
      </c>
      <c r="E92" s="23" t="s">
        <v>1004</v>
      </c>
      <c r="F92" s="2" t="s">
        <v>176</v>
      </c>
      <c r="G92" s="23" t="s">
        <v>187</v>
      </c>
      <c r="H92" s="23" t="s">
        <v>660</v>
      </c>
      <c r="I92" s="23" t="s">
        <v>704</v>
      </c>
      <c r="L92" s="23" t="s">
        <v>1221</v>
      </c>
      <c r="M92" s="23" t="s">
        <v>1177</v>
      </c>
      <c r="O92" s="1" t="s">
        <v>631</v>
      </c>
      <c r="P92" s="1" t="s">
        <v>549</v>
      </c>
      <c r="Q92" s="24" t="str">
        <f>テーブル1[[#This Row],[リンク]]&amp;テーブル1[[#This Row],[描画状況]]</f>
        <v>https://nyaruru.wixsite.com/s-p-w済</v>
      </c>
      <c r="R92" s="17">
        <f>1-(COUNTIF(Q:Q,_xlfn.TEXTJOIN(",",TRUE,テーブル1[[#This Row],[リンク]],テーブル1[[#This Row],[描画状況]]))/COUNTIF(F:F,テーブル1[[#This Row],[リンク]]))</f>
        <v>1</v>
      </c>
      <c r="S92" s="16" t="str">
        <f ca="1">IFERROR(IF(テーブル1[[#This Row],[描画状況]]="",RAND()+(テーブル1[[#This Row],[列2]]*100),""),RAND())</f>
        <v/>
      </c>
      <c r="T92" s="1" t="s">
        <v>12</v>
      </c>
      <c r="U92" s="24" t="str">
        <f ca="1">IF(AND(テーブル1[[#This Row],[描画状況]]="済",テーブル1[[#This Row],[投稿状況]]=""),RAND(),"")</f>
        <v/>
      </c>
      <c r="V92" s="23" t="str">
        <f>"|&amp;image("&amp;テーブル1[[#This Row],[画像]]&amp;".png,width=100,height=100)"</f>
        <v>|&amp;image(hoshikawa-furea.png,width=100,height=100)</v>
      </c>
      <c r="W92" s="23" t="str">
        <f>"|MIDDLE:​"&amp;テーブル1[[#This Row],[名前]]</f>
        <v>|MIDDLE:​星河フレア</v>
      </c>
      <c r="X92" s="23" t="str">
        <f>"|MIDDLE:​"&amp;テーブル1[[#This Row],[なまえ]]</f>
        <v>|MIDDLE:​ほしかわ ふれあ</v>
      </c>
      <c r="Y92" s="23" t="str">
        <f>"|MIDDLE:​"&amp;テーブル1[[#This Row],[Name]]</f>
        <v>|MIDDLE:​Hoshikawa Furea</v>
      </c>
      <c r="Z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6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68</v>
      </c>
      <c r="D93" s="23" t="s">
        <v>835</v>
      </c>
      <c r="E93" s="23" t="s">
        <v>1005</v>
      </c>
      <c r="F93" s="2" t="s">
        <v>69</v>
      </c>
      <c r="G93" s="23" t="s">
        <v>70</v>
      </c>
      <c r="O93" s="1" t="s">
        <v>594</v>
      </c>
      <c r="P93" s="1" t="s">
        <v>549</v>
      </c>
      <c r="Q93" s="24" t="str">
        <f>テーブル1[[#This Row],[リンク]]&amp;テーブル1[[#This Row],[描画状況]]</f>
        <v>https://hosiyomi.jimdofree.com済</v>
      </c>
      <c r="R93" s="17">
        <f>1-(COUNTIF(Q:Q,_xlfn.TEXTJOIN(",",TRUE,テーブル1[[#This Row],[リンク]],テーブル1[[#This Row],[描画状況]]))/COUNTIF(F:F,テーブル1[[#This Row],[リンク]]))</f>
        <v>1</v>
      </c>
      <c r="S93" s="16" t="str">
        <f ca="1">IFERROR(IF(テーブル1[[#This Row],[描画状況]]="",RAND()+(テーブル1[[#This Row],[列2]]*100),""),RAND())</f>
        <v/>
      </c>
      <c r="T93" s="1" t="s">
        <v>12</v>
      </c>
      <c r="U93" s="24" t="str">
        <f ca="1">IF(AND(テーブル1[[#This Row],[描画状況]]="済",テーブル1[[#This Row],[投稿状況]]=""),RAND(),"")</f>
        <v/>
      </c>
      <c r="V93" s="23" t="str">
        <f>"|&amp;image("&amp;テーブル1[[#This Row],[画像]]&amp;".png,width=100,height=100)"</f>
        <v>|&amp;image(hosiyomi-yume.png,width=100,height=100)</v>
      </c>
      <c r="W93" s="23" t="str">
        <f>"|MIDDLE:​"&amp;テーブル1[[#This Row],[名前]]</f>
        <v>|MIDDLE:​星詠ゆめ</v>
      </c>
      <c r="X93" s="23" t="str">
        <f>"|MIDDLE:​"&amp;テーブル1[[#This Row],[なまえ]]</f>
        <v>|MIDDLE:​ほしよみ ゆめ</v>
      </c>
      <c r="Y93" s="23" t="str">
        <f>"|MIDDLE:​"&amp;テーブル1[[#This Row],[Name]]</f>
        <v>|MIDDLE:​Hosiyomi Yume</v>
      </c>
      <c r="Z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6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26</v>
      </c>
      <c r="D94" s="23" t="s">
        <v>27</v>
      </c>
      <c r="E94" s="23" t="s">
        <v>28</v>
      </c>
      <c r="F94" s="2" t="s">
        <v>20</v>
      </c>
      <c r="G94" s="23" t="s">
        <v>21</v>
      </c>
      <c r="H94" s="23" t="s">
        <v>660</v>
      </c>
      <c r="I94" s="23" t="s">
        <v>667</v>
      </c>
      <c r="L94" s="23" t="s">
        <v>1219</v>
      </c>
      <c r="O94" s="1" t="s">
        <v>595</v>
      </c>
      <c r="P94" s="1" t="s">
        <v>549</v>
      </c>
      <c r="Q94" s="24" t="str">
        <f>テーブル1[[#This Row],[リンク]]&amp;テーブル1[[#This Row],[描画状況]]</f>
        <v>http://park2.wakwak.com/~mbox/vo/hk/hkfre.htm済</v>
      </c>
      <c r="R94" s="17">
        <f>1-(COUNTIF(Q:Q,_xlfn.TEXTJOIN(",",TRUE,テーブル1[[#This Row],[リンク]],テーブル1[[#This Row],[描画状況]]))/COUNTIF(F:F,テーブル1[[#This Row],[リンク]]))</f>
        <v>1</v>
      </c>
      <c r="S94" s="16" t="str">
        <f ca="1">IFERROR(IF(テーブル1[[#This Row],[描画状況]]="",RAND()+(テーブル1[[#This Row],[列2]]*100),""),RAND())</f>
        <v/>
      </c>
      <c r="T94" s="1" t="s">
        <v>12</v>
      </c>
      <c r="U94" s="24" t="str">
        <f ca="1">IF(AND(テーブル1[[#This Row],[描画状況]]="済",テーブル1[[#This Row],[投稿状況]]=""),RAND(),"")</f>
        <v/>
      </c>
      <c r="V94" s="23" t="str">
        <f>"|&amp;image("&amp;テーブル1[[#This Row],[画像]]&amp;".png,width=100,height=100)"</f>
        <v>|&amp;image(hotaru.png,width=100,height=100)</v>
      </c>
      <c r="W94" s="23" t="str">
        <f>"|MIDDLE:​"&amp;テーブル1[[#This Row],[名前]]</f>
        <v>|MIDDLE:​蛍(ほたる)</v>
      </c>
      <c r="X94" s="23" t="str">
        <f>"|MIDDLE:​"&amp;テーブル1[[#This Row],[なまえ]]</f>
        <v>|MIDDLE:​ほたる</v>
      </c>
      <c r="Y94" s="23" t="str">
        <f>"|MIDDLE:​"&amp;テーブル1[[#This Row],[Name]]</f>
        <v>|MIDDLE:​Hotaru</v>
      </c>
      <c r="Z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6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O95" s="1" t="s">
        <v>594</v>
      </c>
      <c r="P95" s="1" t="s">
        <v>549</v>
      </c>
      <c r="Q95" s="24" t="str">
        <f>テーブル1[[#This Row],[リンク]]&amp;テーブル1[[#This Row],[描画状況]]</f>
        <v>http://lllll17.web.fc2.com/index.html済</v>
      </c>
      <c r="R95" s="17">
        <f>1-(COUNTIF(Q:Q,_xlfn.TEXTJOIN(",",TRUE,テーブル1[[#This Row],[リンク]],テーブル1[[#This Row],[描画状況]]))/COUNTIF(F:F,テーブル1[[#This Row],[リンク]]))</f>
        <v>1</v>
      </c>
      <c r="S95" s="16" t="str">
        <f ca="1">IFERROR(IF(テーブル1[[#This Row],[描画状況]]="",RAND()+(テーブル1[[#This Row],[列2]]*100),""),RAND())</f>
        <v/>
      </c>
      <c r="T95" s="1" t="s">
        <v>12</v>
      </c>
      <c r="U95" s="24" t="str">
        <f ca="1">IF(AND(テーブル1[[#This Row],[描画状況]]="済",テーブル1[[#This Row],[投稿状況]]=""),RAND(),"")</f>
        <v/>
      </c>
      <c r="V95" s="23" t="str">
        <f>"|&amp;image("&amp;テーブル1[[#This Row],[画像]]&amp;".png,width=100,height=100)"</f>
        <v>|&amp;image(matsudappoine.png,width=100,height=100)</v>
      </c>
      <c r="W95" s="23" t="str">
        <f>"|MIDDLE:​"&amp;テーブル1[[#This Row],[名前]]</f>
        <v>|MIDDLE:​松田っぽいね</v>
      </c>
      <c r="X95" s="23" t="str">
        <f>"|MIDDLE:​"&amp;テーブル1[[#This Row],[なまえ]]</f>
        <v>|MIDDLE:​まつだっぽいね</v>
      </c>
      <c r="Y95" s="23" t="str">
        <f>"|MIDDLE:​"&amp;テーブル1[[#This Row],[Name]]</f>
        <v>|MIDDLE:​Matsudappoine</v>
      </c>
      <c r="Z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6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O96" s="1" t="s">
        <v>594</v>
      </c>
      <c r="P96" s="1" t="s">
        <v>549</v>
      </c>
      <c r="Q96" s="24" t="str">
        <f>テーブル1[[#This Row],[リンク]]&amp;テーブル1[[#This Row],[描画状況]]</f>
        <v>http://lllll17.web.fc2.com/index.html済</v>
      </c>
      <c r="R96" s="17">
        <f>1-(COUNTIF(Q:Q,_xlfn.TEXTJOIN(",",TRUE,テーブル1[[#This Row],[リンク]],テーブル1[[#This Row],[描画状況]]))/COUNTIF(F:F,テーブル1[[#This Row],[リンク]]))</f>
        <v>1</v>
      </c>
      <c r="S96" s="16" t="str">
        <f ca="1">IFERROR(IF(テーブル1[[#This Row],[描画状況]]="",RAND()+(テーブル1[[#This Row],[列2]]*100),""),RAND())</f>
        <v/>
      </c>
      <c r="T96" s="1" t="s">
        <v>12</v>
      </c>
      <c r="U96" s="24" t="str">
        <f ca="1">IF(AND(テーブル1[[#This Row],[描画状況]]="済",テーブル1[[#This Row],[投稿状況]]=""),RAND(),"")</f>
        <v/>
      </c>
      <c r="V96" s="23" t="str">
        <f>"|&amp;image("&amp;テーブル1[[#This Row],[画像]]&amp;".png,width=100,height=100)"</f>
        <v>|&amp;image(matsudappoiyo.png,width=100,height=100)</v>
      </c>
      <c r="W96" s="23" t="str">
        <f>"|MIDDLE:​"&amp;テーブル1[[#This Row],[名前]]</f>
        <v>|MIDDLE:​松田っぽいよ</v>
      </c>
      <c r="X96" s="23" t="str">
        <f>"|MIDDLE:​"&amp;テーブル1[[#This Row],[なまえ]]</f>
        <v>|MIDDLE:​まつだっぽいよ</v>
      </c>
      <c r="Y96" s="23" t="str">
        <f>"|MIDDLE:​"&amp;テーブル1[[#This Row],[Name]]</f>
        <v>|MIDDLE:​Matsudappoiyo</v>
      </c>
      <c r="Z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6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173</v>
      </c>
      <c r="D97" s="23" t="s">
        <v>836</v>
      </c>
      <c r="E97" s="23" t="s">
        <v>1006</v>
      </c>
      <c r="F97" s="2" t="s">
        <v>167</v>
      </c>
      <c r="G97" s="23" t="s">
        <v>168</v>
      </c>
      <c r="H97" s="23" t="s">
        <v>660</v>
      </c>
      <c r="I97" s="23" t="s">
        <v>667</v>
      </c>
      <c r="L97" s="23" t="s">
        <v>1216</v>
      </c>
      <c r="N97" s="23" t="s">
        <v>1240</v>
      </c>
      <c r="O97" s="1" t="s">
        <v>631</v>
      </c>
      <c r="P97" s="1" t="s">
        <v>549</v>
      </c>
      <c r="Q97" s="24" t="str">
        <f>テーブル1[[#This Row],[リンク]]&amp;テーブル1[[#This Row],[描画状況]]</f>
        <v>https://nichikuniku1129063.wixsite.com/website-3済</v>
      </c>
      <c r="R97" s="17">
        <f>1-(COUNTIF(Q:Q,_xlfn.TEXTJOIN(",",TRUE,テーブル1[[#This Row],[リンク]],テーブル1[[#This Row],[描画状況]]))/COUNTIF(F:F,テーブル1[[#This Row],[リンク]]))</f>
        <v>1</v>
      </c>
      <c r="S97" s="16" t="str">
        <f ca="1">IFERROR(IF(テーブル1[[#This Row],[描画状況]]="",RAND()+(テーブル1[[#This Row],[列2]]*100),""),RAND())</f>
        <v/>
      </c>
      <c r="T97" s="1" t="s">
        <v>12</v>
      </c>
      <c r="U97" s="24" t="str">
        <f ca="1">IF(AND(テーブル1[[#This Row],[描画状況]]="済",テーブル1[[#This Row],[投稿状況]]=""),RAND(),"")</f>
        <v/>
      </c>
      <c r="V97" s="23" t="str">
        <f>"|&amp;image("&amp;テーブル1[[#This Row],[画像]]&amp;".png,width=100,height=100)"</f>
        <v>|&amp;image(matsuyuki-chitose.png,width=100,height=100)</v>
      </c>
      <c r="W97" s="23" t="str">
        <f>"|MIDDLE:​"&amp;テーブル1[[#This Row],[名前]]</f>
        <v>|MIDDLE:​​沫幸チトセ</v>
      </c>
      <c r="X97" s="23" t="str">
        <f>"|MIDDLE:​"&amp;テーブル1[[#This Row],[なまえ]]</f>
        <v>|MIDDLE:​まつゆき ちとせ</v>
      </c>
      <c r="Y97" s="23" t="str">
        <f>"|MIDDLE:​"&amp;テーブル1[[#This Row],[Name]]</f>
        <v>|MIDDLE:​Matsuyuki Chitose</v>
      </c>
      <c r="Z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6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269</v>
      </c>
      <c r="D98" s="23" t="s">
        <v>837</v>
      </c>
      <c r="E98" s="23" t="s">
        <v>1007</v>
      </c>
      <c r="F98" s="2" t="s">
        <v>270</v>
      </c>
      <c r="G98" s="23" t="s">
        <v>271</v>
      </c>
      <c r="P98" s="1" t="s">
        <v>549</v>
      </c>
      <c r="Q98" s="24" t="str">
        <f>テーブル1[[#This Row],[リンク]]&amp;テーブル1[[#This Row],[描画状況]]</f>
        <v>https://www.postype.com/@utau-deepvocal-dalso済</v>
      </c>
      <c r="R98" s="17">
        <f>1-(COUNTIF(Q:Q,_xlfn.TEXTJOIN(",",TRUE,テーブル1[[#This Row],[リンク]],テーブル1[[#This Row],[描画状況]]))/COUNTIF(F:F,テーブル1[[#This Row],[リンク]]))</f>
        <v>1</v>
      </c>
      <c r="S98" s="16" t="str">
        <f ca="1">IFERROR(IF(テーブル1[[#This Row],[描画状況]]="",RAND()+(テーブル1[[#This Row],[列2]]*100),""),RAND())</f>
        <v/>
      </c>
      <c r="T98" s="1" t="s">
        <v>12</v>
      </c>
      <c r="U98" s="24" t="str">
        <f ca="1">IF(AND(テーブル1[[#This Row],[描画状況]]="済",テーブル1[[#This Row],[投稿状況]]=""),RAND(),"")</f>
        <v/>
      </c>
      <c r="V98" s="23" t="str">
        <f>"|&amp;image("&amp;テーブル1[[#This Row],[画像]]&amp;".png,width=100,height=100)"</f>
        <v>|&amp;image(marune-shunichi.png,width=100,height=100)</v>
      </c>
      <c r="W98" s="23" t="str">
        <f>"|MIDDLE:​"&amp;テーブル1[[#This Row],[名前]]</f>
        <v>|MIDDLE:​円音春二ノ前</v>
      </c>
      <c r="X98" s="23" t="str">
        <f>"|MIDDLE:​"&amp;テーブル1[[#This Row],[なまえ]]</f>
        <v>|MIDDLE:​まるね しゅんいち</v>
      </c>
      <c r="Y98" s="23" t="str">
        <f>"|MIDDLE:​"&amp;テーブル1[[#This Row],[Name]]</f>
        <v>|MIDDLE:​Marune Shunichi</v>
      </c>
      <c r="Z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6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257</v>
      </c>
      <c r="D99" s="23" t="s">
        <v>258</v>
      </c>
      <c r="E99" s="23" t="s">
        <v>259</v>
      </c>
      <c r="F99" s="2" t="s">
        <v>255</v>
      </c>
      <c r="G99" s="23" t="s">
        <v>256</v>
      </c>
      <c r="H99" s="23" t="s">
        <v>661</v>
      </c>
      <c r="I99" s="23" t="s">
        <v>667</v>
      </c>
      <c r="N99" s="23" t="s">
        <v>1203</v>
      </c>
      <c r="P99" s="1" t="s">
        <v>549</v>
      </c>
      <c r="Q99" s="24" t="str">
        <f>テーブル1[[#This Row],[リンク]]&amp;テーブル1[[#This Row],[描画状況]]</f>
        <v>https://utauudon.wixsite.com/origamisyokudou済</v>
      </c>
      <c r="R99" s="17">
        <f>1-(COUNTIF(Q:Q,_xlfn.TEXTJOIN(",",TRUE,テーブル1[[#This Row],[リンク]],テーブル1[[#This Row],[描画状況]]))/COUNTIF(F:F,テーブル1[[#This Row],[リンク]]))</f>
        <v>1</v>
      </c>
      <c r="S99" s="16" t="str">
        <f ca="1">IFERROR(IF(テーブル1[[#This Row],[描画状況]]="",RAND()+(テーブル1[[#This Row],[列2]]*100),""),RAND())</f>
        <v/>
      </c>
      <c r="T99" s="1" t="s">
        <v>12</v>
      </c>
      <c r="U99" s="24" t="str">
        <f ca="1">IF(AND(テーブル1[[#This Row],[描画状況]]="済",テーブル1[[#This Row],[投稿状況]]=""),RAND(),"")</f>
        <v/>
      </c>
      <c r="V99" s="23" t="str">
        <f>"|&amp;image("&amp;テーブル1[[#This Row],[画像]]&amp;".png,width=100,height=100)"</f>
        <v>|&amp;image(mikuji.png,width=100,height=100)</v>
      </c>
      <c r="W99" s="23" t="str">
        <f>"|MIDDLE:​"&amp;テーブル1[[#This Row],[名前]]</f>
        <v>|MIDDLE:​​みくじ</v>
      </c>
      <c r="X99" s="23" t="str">
        <f>"|MIDDLE:​"&amp;テーブル1[[#This Row],[なまえ]]</f>
        <v>|MIDDLE:​みくじ</v>
      </c>
      <c r="Y99" s="23" t="str">
        <f>"|MIDDLE:​"&amp;テーブル1[[#This Row],[Name]]</f>
        <v>|MIDDLE:​mikuji</v>
      </c>
      <c r="Z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6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260</v>
      </c>
      <c r="D100" s="23" t="s">
        <v>838</v>
      </c>
      <c r="E100" s="23" t="s">
        <v>261</v>
      </c>
      <c r="F100" s="2" t="s">
        <v>255</v>
      </c>
      <c r="G100" s="23" t="s">
        <v>256</v>
      </c>
      <c r="H100" s="23" t="s">
        <v>673</v>
      </c>
      <c r="I100" s="23" t="s">
        <v>719</v>
      </c>
      <c r="L100" s="23" t="s">
        <v>1241</v>
      </c>
      <c r="P100" s="1" t="s">
        <v>549</v>
      </c>
      <c r="Q100" s="24" t="str">
        <f>テーブル1[[#This Row],[リンク]]&amp;テーブル1[[#This Row],[描画状況]]</f>
        <v>https://utauudon.wixsite.com/origamisyokudou済</v>
      </c>
      <c r="R100" s="17">
        <f>1-(COUNTIF(Q:Q,_xlfn.TEXTJOIN(",",TRUE,テーブル1[[#This Row],[リンク]],テーブル1[[#This Row],[描画状況]]))/COUNTIF(F:F,テーブル1[[#This Row],[リンク]]))</f>
        <v>1</v>
      </c>
      <c r="S100" s="16" t="str">
        <f ca="1">IFERROR(IF(テーブル1[[#This Row],[描画状況]]="",RAND()+(テーブル1[[#This Row],[列2]]*100),""),RAND())</f>
        <v/>
      </c>
      <c r="T100" s="1" t="s">
        <v>12</v>
      </c>
      <c r="U100" s="24" t="str">
        <f ca="1">IF(AND(テーブル1[[#This Row],[描画状況]]="済",テーブル1[[#This Row],[投稿状況]]=""),RAND(),"")</f>
        <v/>
      </c>
      <c r="V100" s="23" t="str">
        <f>"|&amp;image("&amp;テーブル1[[#This Row],[画像]]&amp;".png,width=100,height=100)"</f>
        <v>|&amp;image(mx-dream.png,width=100,height=100)</v>
      </c>
      <c r="W100" s="23" t="str">
        <f>"|MIDDLE:​"&amp;テーブル1[[#This Row],[名前]]</f>
        <v>|MIDDLE:​Mx.ドリーム</v>
      </c>
      <c r="X100" s="23" t="str">
        <f>"|MIDDLE:​"&amp;テーブル1[[#This Row],[なまえ]]</f>
        <v>|MIDDLE:​みくす どりーむ</v>
      </c>
      <c r="Y100" s="23" t="str">
        <f>"|MIDDLE:​"&amp;テーブル1[[#This Row],[Name]]</f>
        <v>|MIDDLE:​Mx.Dream</v>
      </c>
      <c r="Z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6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251</v>
      </c>
      <c r="D101" s="23" t="s">
        <v>839</v>
      </c>
      <c r="E101" s="23" t="s">
        <v>1008</v>
      </c>
      <c r="F101" s="2" t="s">
        <v>249</v>
      </c>
      <c r="G101" s="23" t="s">
        <v>252</v>
      </c>
      <c r="H101" s="23" t="s">
        <v>660</v>
      </c>
      <c r="I101" s="23" t="s">
        <v>675</v>
      </c>
      <c r="J101" s="23" t="s">
        <v>1194</v>
      </c>
      <c r="L101" s="23" t="s">
        <v>1210</v>
      </c>
      <c r="M101" s="23" t="s">
        <v>1177</v>
      </c>
      <c r="P101" s="1" t="s">
        <v>549</v>
      </c>
      <c r="Q101" s="24" t="str">
        <f>テーブル1[[#This Row],[リンク]]&amp;テーブル1[[#This Row],[描画状況]]</f>
        <v>https://utausuzuminnya.jimdofree.com済</v>
      </c>
      <c r="R101" s="17">
        <f>1-(COUNTIF(Q:Q,_xlfn.TEXTJOIN(",",TRUE,テーブル1[[#This Row],[リンク]],テーブル1[[#This Row],[描画状況]]))/COUNTIF(F:F,テーブル1[[#This Row],[リンク]]))</f>
        <v>1</v>
      </c>
      <c r="S101" s="16" t="str">
        <f ca="1">IFERROR(IF(テーブル1[[#This Row],[描画状況]]="",RAND()+(テーブル1[[#This Row],[列2]]*100),""),RAND())</f>
        <v/>
      </c>
      <c r="T101" s="1" t="s">
        <v>12</v>
      </c>
      <c r="U101" s="24" t="str">
        <f ca="1">IF(AND(テーブル1[[#This Row],[描画状況]]="済",テーブル1[[#This Row],[投稿状況]]=""),RAND(),"")</f>
        <v/>
      </c>
      <c r="V101" s="23" t="str">
        <f>"|&amp;image("&amp;テーブル1[[#This Row],[画像]]&amp;".png,width=100,height=100)"</f>
        <v>|&amp;image(melua-miumiu.png,width=100,height=100)</v>
      </c>
      <c r="W101" s="23" t="str">
        <f>"|MIDDLE:​"&amp;テーブル1[[#This Row],[名前]]</f>
        <v>|MIDDLE:​苺愛みゅみゅ</v>
      </c>
      <c r="X101" s="23" t="str">
        <f>"|MIDDLE:​"&amp;テーブル1[[#This Row],[なまえ]]</f>
        <v>|MIDDLE:​めるあ みゅみゅ</v>
      </c>
      <c r="Y101" s="23" t="str">
        <f>"|MIDDLE:​"&amp;テーブル1[[#This Row],[Name]]</f>
        <v>|MIDDLE:​Melua Miumiu</v>
      </c>
      <c r="Z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6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155</v>
      </c>
      <c r="D102" s="23" t="s">
        <v>156</v>
      </c>
      <c r="E102" s="23" t="s">
        <v>157</v>
      </c>
      <c r="F102" s="2" t="s">
        <v>153</v>
      </c>
      <c r="G102" s="23" t="s">
        <v>154</v>
      </c>
      <c r="H102" s="23" t="s">
        <v>661</v>
      </c>
      <c r="I102" s="23" t="s">
        <v>670</v>
      </c>
      <c r="M102" s="23" t="s">
        <v>1178</v>
      </c>
      <c r="N102" s="23" t="s">
        <v>1207</v>
      </c>
      <c r="O102" s="1" t="s">
        <v>631</v>
      </c>
      <c r="P102" s="1" t="s">
        <v>549</v>
      </c>
      <c r="Q102" s="24" t="str">
        <f>テーブル1[[#This Row],[リンク]]&amp;テーブル1[[#This Row],[描画状況]]</f>
        <v>https://moqujc.wixsite.com/mqtop済</v>
      </c>
      <c r="R102" s="17">
        <f>1-(COUNTIF(Q:Q,_xlfn.TEXTJOIN(",",TRUE,テーブル1[[#This Row],[リンク]],テーブル1[[#This Row],[描画状況]]))/COUNTIF(F:F,テーブル1[[#This Row],[リンク]]))</f>
        <v>1</v>
      </c>
      <c r="S102" s="16" t="str">
        <f ca="1">IFERROR(IF(テーブル1[[#This Row],[描画状況]]="",RAND()+(テーブル1[[#This Row],[列2]]*100),""),RAND())</f>
        <v/>
      </c>
      <c r="T102" s="1" t="s">
        <v>12</v>
      </c>
      <c r="U102" s="24" t="str">
        <f ca="1">IF(AND(テーブル1[[#This Row],[描画状況]]="済",テーブル1[[#This Row],[投稿状況]]=""),RAND(),"")</f>
        <v/>
      </c>
      <c r="V102" s="23" t="str">
        <f>"|&amp;image("&amp;テーブル1[[#This Row],[画像]]&amp;".png,width=100,height=100)"</f>
        <v>|&amp;image(yakazuroid.png,width=100,height=100)</v>
      </c>
      <c r="W102" s="23" t="str">
        <f>"|MIDDLE:​"&amp;テーブル1[[#This Row],[名前]]</f>
        <v>|MIDDLE:​ykzroid-5000 HSC TG</v>
      </c>
      <c r="X102" s="23" t="str">
        <f>"|MIDDLE:​"&amp;テーブル1[[#This Row],[なまえ]]</f>
        <v>|MIDDLE:​やかずろいど</v>
      </c>
      <c r="Y102" s="23" t="str">
        <f>"|MIDDLE:​"&amp;テーブル1[[#This Row],[Name]]</f>
        <v>|MIDDLE:​Yakazuroid</v>
      </c>
      <c r="Z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6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54</v>
      </c>
      <c r="D103" s="23" t="s">
        <v>840</v>
      </c>
      <c r="E103" s="23" t="s">
        <v>1009</v>
      </c>
      <c r="F103" s="27" t="s">
        <v>662</v>
      </c>
      <c r="G103" s="23" t="s">
        <v>53</v>
      </c>
      <c r="O103" s="1" t="s">
        <v>595</v>
      </c>
      <c r="P103" s="1" t="s">
        <v>549</v>
      </c>
      <c r="Q103" s="24" t="str">
        <f>テーブル1[[#This Row],[リンク]]&amp;テーブル1[[#This Row],[描画状況]]</f>
        <v>https://utau.kurotsuka.xyz済</v>
      </c>
      <c r="R103" s="17">
        <f>1-(COUNTIF(Q:Q,_xlfn.TEXTJOIN(",",TRUE,テーブル1[[#This Row],[リンク]],テーブル1[[#This Row],[描画状況]]))/COUNTIF(F:F,テーブル1[[#This Row],[リンク]]))</f>
        <v>1</v>
      </c>
      <c r="S103" s="16" t="str">
        <f ca="1">IFERROR(IF(テーブル1[[#This Row],[描画状況]]="",RAND()+(テーブル1[[#This Row],[列2]]*100),""),RAND())</f>
        <v/>
      </c>
      <c r="T103" s="1" t="s">
        <v>12</v>
      </c>
      <c r="U103" s="24" t="str">
        <f ca="1">IF(AND(テーブル1[[#This Row],[描画状況]]="済",テーブル1[[#This Row],[投稿状況]]=""),RAND(),"")</f>
        <v/>
      </c>
      <c r="V103" s="23" t="str">
        <f>"|&amp;image("&amp;テーブル1[[#This Row],[画像]]&amp;".png,width=100,height=100)"</f>
        <v>|&amp;image(yamitsuka-kuroitsu.png,width=100,height=100)</v>
      </c>
      <c r="W103" s="23" t="str">
        <f>"|MIDDLE:​"&amp;テーブル1[[#This Row],[名前]]</f>
        <v>|MIDDLE:​闇塚黒逸</v>
      </c>
      <c r="X103" s="23" t="str">
        <f>"|MIDDLE:​"&amp;テーブル1[[#This Row],[なまえ]]</f>
        <v>|MIDDLE:​やみつか くろいつ</v>
      </c>
      <c r="Y103" s="23" t="str">
        <f>"|MIDDLE:​"&amp;テーブル1[[#This Row],[Name]]</f>
        <v>|MIDDLE:​Yamitsuka Kuroitsu</v>
      </c>
      <c r="Z103" s="23" t="str">
        <f>"|MIDDLE:​&amp;link(配布所はこちら){​"&amp;テーブル1[[#This Row],[リンク]]&amp;"}|"</f>
        <v>|MIDDLE:​&amp;link(配布所はこちら){​https://utau.kurotsuka.xyz}|</v>
      </c>
    </row>
    <row r="104" spans="1:26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237</v>
      </c>
      <c r="D104" s="23" t="s">
        <v>841</v>
      </c>
      <c r="E104" s="23" t="s">
        <v>1010</v>
      </c>
      <c r="F104" s="2" t="s">
        <v>235</v>
      </c>
      <c r="G104" s="23" t="s">
        <v>236</v>
      </c>
      <c r="H104" s="23" t="s">
        <v>661</v>
      </c>
      <c r="I104" s="23" t="s">
        <v>667</v>
      </c>
      <c r="L104" s="23" t="s">
        <v>1204</v>
      </c>
      <c r="M104" s="23" t="s">
        <v>1178</v>
      </c>
      <c r="O104" s="1" t="s">
        <v>631</v>
      </c>
      <c r="P104" s="1" t="s">
        <v>549</v>
      </c>
      <c r="Q104" s="24" t="str">
        <f>テーブル1[[#This Row],[リンク]]&amp;テーブル1[[#This Row],[描画状況]]</f>
        <v>https://tourist100f.wixsite.com/utakata-kosyo済</v>
      </c>
      <c r="R104" s="17">
        <f>1-(COUNTIF(Q:Q,_xlfn.TEXTJOIN(",",TRUE,テーブル1[[#This Row],[リンク]],テーブル1[[#This Row],[描画状況]]))/COUNTIF(F:F,テーブル1[[#This Row],[リンク]]))</f>
        <v>1</v>
      </c>
      <c r="S104" s="16" t="str">
        <f ca="1">IFERROR(IF(テーブル1[[#This Row],[描画状況]]="",RAND()+(テーブル1[[#This Row],[列2]]*100),""),RAND())</f>
        <v/>
      </c>
      <c r="T104" s="1" t="s">
        <v>12</v>
      </c>
      <c r="U104" s="24" t="str">
        <f ca="1">IF(AND(テーブル1[[#This Row],[描画状況]]="済",テーブル1[[#This Row],[投稿状況]]=""),RAND(),"")</f>
        <v/>
      </c>
      <c r="V104" s="23" t="str">
        <f>"|&amp;image("&amp;テーブル1[[#This Row],[画像]]&amp;".png,width=100,height=100)"</f>
        <v>|&amp;image(yumeji-katari.png,width=100,height=100)</v>
      </c>
      <c r="W104" s="23" t="str">
        <f>"|MIDDLE:​"&amp;テーブル1[[#This Row],[名前]]</f>
        <v>|MIDDLE:​夢路語</v>
      </c>
      <c r="X104" s="23" t="str">
        <f>"|MIDDLE:​"&amp;テーブル1[[#This Row],[なまえ]]</f>
        <v>|MIDDLE:​ゆめじ かたり</v>
      </c>
      <c r="Y104" s="23" t="str">
        <f>"|MIDDLE:​"&amp;テーブル1[[#This Row],[Name]]</f>
        <v>|MIDDLE:​Yumeji Katari</v>
      </c>
      <c r="Z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6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160</v>
      </c>
      <c r="D105" s="23" t="s">
        <v>842</v>
      </c>
      <c r="E105" s="23" t="s">
        <v>1011</v>
      </c>
      <c r="F105" s="2" t="s">
        <v>161</v>
      </c>
      <c r="G105" s="23" t="s">
        <v>162</v>
      </c>
      <c r="P105" s="1" t="s">
        <v>549</v>
      </c>
      <c r="Q105" s="24" t="str">
        <f>テーブル1[[#This Row],[リンク]]&amp;テーブル1[[#This Row],[描画状況]]</f>
        <v>https://nanyuanxiaojieji.wixsite.com/yuragine-kannsokujo済</v>
      </c>
      <c r="R105" s="17">
        <f>1-(COUNTIF(Q:Q,_xlfn.TEXTJOIN(",",TRUE,テーブル1[[#This Row],[リンク]],テーブル1[[#This Row],[描画状況]]))/COUNTIF(F:F,テーブル1[[#This Row],[リンク]]))</f>
        <v>1</v>
      </c>
      <c r="S105" s="16" t="str">
        <f ca="1">IFERROR(IF(テーブル1[[#This Row],[描画状況]]="",RAND()+(テーブル1[[#This Row],[列2]]*100),""),RAND())</f>
        <v/>
      </c>
      <c r="T105" s="1" t="s">
        <v>12</v>
      </c>
      <c r="U105" s="24" t="str">
        <f ca="1">IF(AND(テーブル1[[#This Row],[描画状況]]="済",テーブル1[[#This Row],[投稿状況]]=""),RAND(),"")</f>
        <v/>
      </c>
      <c r="V105" s="23" t="str">
        <f>"|&amp;image("&amp;テーブル1[[#This Row],[画像]]&amp;".png,width=100,height=100)"</f>
        <v>|&amp;image(yuragine-rio.png,width=100,height=100)</v>
      </c>
      <c r="W105" s="23" t="str">
        <f>"|MIDDLE:​"&amp;テーブル1[[#This Row],[名前]]</f>
        <v>|MIDDLE:​揺音リオ</v>
      </c>
      <c r="X105" s="23" t="str">
        <f>"|MIDDLE:​"&amp;テーブル1[[#This Row],[なまえ]]</f>
        <v>|MIDDLE:​ゆらぎね りお</v>
      </c>
      <c r="Y105" s="23" t="str">
        <f>"|MIDDLE:​"&amp;テーブル1[[#This Row],[Name]]</f>
        <v>|MIDDLE:​Yuragine Rio</v>
      </c>
      <c r="Z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6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280</v>
      </c>
      <c r="D106" s="23" t="s">
        <v>843</v>
      </c>
      <c r="E106" s="23" t="s">
        <v>1012</v>
      </c>
      <c r="F106" s="15" t="s">
        <v>516</v>
      </c>
      <c r="G106" s="23" t="s">
        <v>281</v>
      </c>
      <c r="P106" s="1" t="s">
        <v>549</v>
      </c>
      <c r="Q106" s="24" t="str">
        <f>テーブル1[[#This Row],[リンク]]&amp;テーブル1[[#This Row],[描画状況]]</f>
        <v>https://long-sleeper.net済</v>
      </c>
      <c r="R106" s="17">
        <f>1-(COUNTIF(Q:Q,_xlfn.TEXTJOIN(",",TRUE,テーブル1[[#This Row],[リンク]],テーブル1[[#This Row],[描画状況]]))/COUNTIF(F:F,テーブル1[[#This Row],[リンク]]))</f>
        <v>1</v>
      </c>
      <c r="S106" s="16" t="str">
        <f ca="1">IFERROR(IF(テーブル1[[#This Row],[描画状況]]="",RAND()+(テーブル1[[#This Row],[列2]]*100),""),RAND())</f>
        <v/>
      </c>
      <c r="T106" s="1" t="s">
        <v>12</v>
      </c>
      <c r="U106" s="24" t="str">
        <f ca="1">IF(AND(テーブル1[[#This Row],[描画状況]]="済",テーブル1[[#This Row],[投稿状況]]=""),RAND(),"")</f>
        <v/>
      </c>
      <c r="V106" s="23" t="str">
        <f>"|&amp;image("&amp;テーブル1[[#This Row],[画像]]&amp;".png,width=100,height=100)"</f>
        <v>|&amp;image(yokune-ruko.png,width=100,height=100)</v>
      </c>
      <c r="W106" s="23" t="str">
        <f>"|MIDDLE:​"&amp;テーブル1[[#This Row],[名前]]</f>
        <v>|MIDDLE:​欲音ルコ</v>
      </c>
      <c r="X106" s="23" t="str">
        <f>"|MIDDLE:​"&amp;テーブル1[[#This Row],[なまえ]]</f>
        <v>|MIDDLE:​よくね るこ</v>
      </c>
      <c r="Y106" s="23" t="str">
        <f>"|MIDDLE:​"&amp;テーブル1[[#This Row],[Name]]</f>
        <v>|MIDDLE:​Yokune Ruko</v>
      </c>
      <c r="Z106" s="23" t="str">
        <f>"|MIDDLE:​&amp;link(配布所はこちら){​"&amp;テーブル1[[#This Row],[リンク]]&amp;"}|"</f>
        <v>|MIDDLE:​&amp;link(配布所はこちら){​https://long-sleeper.net}|</v>
      </c>
    </row>
    <row r="107" spans="1:26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174</v>
      </c>
      <c r="D107" s="23" t="s">
        <v>844</v>
      </c>
      <c r="E107" s="23" t="s">
        <v>1013</v>
      </c>
      <c r="F107" s="2" t="s">
        <v>167</v>
      </c>
      <c r="G107" s="23" t="s">
        <v>168</v>
      </c>
      <c r="H107" s="23" t="s">
        <v>660</v>
      </c>
      <c r="I107" s="23" t="s">
        <v>720</v>
      </c>
      <c r="L107" s="23" t="s">
        <v>1218</v>
      </c>
      <c r="M107" s="23" t="s">
        <v>1231</v>
      </c>
      <c r="N107" s="23" t="s">
        <v>1297</v>
      </c>
      <c r="O107" s="1" t="s">
        <v>631</v>
      </c>
      <c r="P107" s="1" t="s">
        <v>549</v>
      </c>
      <c r="Q107" s="24" t="str">
        <f>テーブル1[[#This Row],[リンク]]&amp;テーブル1[[#This Row],[描画状況]]</f>
        <v>https://nichikuniku1129063.wixsite.com/website-3済</v>
      </c>
      <c r="R107" s="17">
        <f>1-(COUNTIF(Q:Q,_xlfn.TEXTJOIN(",",TRUE,テーブル1[[#This Row],[リンク]],テーブル1[[#This Row],[描画状況]]))/COUNTIF(F:F,テーブル1[[#This Row],[リンク]]))</f>
        <v>1</v>
      </c>
      <c r="S107" s="16" t="str">
        <f ca="1">IFERROR(IF(テーブル1[[#This Row],[描画状況]]="",RAND()+(テーブル1[[#This Row],[列2]]*100),""),RAND())</f>
        <v/>
      </c>
      <c r="T107" s="1" t="s">
        <v>12</v>
      </c>
      <c r="U107" s="24" t="str">
        <f ca="1">IF(AND(テーブル1[[#This Row],[描画状況]]="済",テーブル1[[#This Row],[投稿状況]]=""),RAND(),"")</f>
        <v/>
      </c>
      <c r="V107" s="23" t="str">
        <f>"|&amp;image("&amp;テーブル1[[#This Row],[画像]]&amp;".png,width=100,height=100)"</f>
        <v>|&amp;image(yomotsu-nichi.png,width=100,height=100)</v>
      </c>
      <c r="W107" s="23" t="str">
        <f>"|MIDDLE:​"&amp;テーブル1[[#This Row],[名前]]</f>
        <v>|MIDDLE:​​四方通ニチ</v>
      </c>
      <c r="X107" s="23" t="str">
        <f>"|MIDDLE:​"&amp;テーブル1[[#This Row],[なまえ]]</f>
        <v>|MIDDLE:​よもつ にち</v>
      </c>
      <c r="Y107" s="23" t="str">
        <f>"|MIDDLE:​"&amp;テーブル1[[#This Row],[Name]]</f>
        <v>|MIDDLE:​Yomotsu Nichi</v>
      </c>
      <c r="Z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6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137</v>
      </c>
      <c r="D108" s="23" t="s">
        <v>138</v>
      </c>
      <c r="E108" s="23" t="s">
        <v>139</v>
      </c>
      <c r="F108" s="2" t="s">
        <v>140</v>
      </c>
      <c r="G108" s="23" t="s">
        <v>141</v>
      </c>
      <c r="P108" s="1" t="s">
        <v>549</v>
      </c>
      <c r="Q108" s="24" t="str">
        <f>テーブル1[[#This Row],[リンク]]&amp;テーブル1[[#This Row],[描画状況]]</f>
        <v>https://mareffys.wixsite.com/lalo済</v>
      </c>
      <c r="R108" s="17">
        <f>1-(COUNTIF(Q:Q,_xlfn.TEXTJOIN(",",TRUE,テーブル1[[#This Row],[リンク]],テーブル1[[#This Row],[描画状況]]))/COUNTIF(F:F,テーブル1[[#This Row],[リンク]]))</f>
        <v>1</v>
      </c>
      <c r="S108" s="16" t="str">
        <f ca="1">IFERROR(IF(テーブル1[[#This Row],[描画状況]]="",RAND()+(テーブル1[[#This Row],[列2]]*100),""),RAND())</f>
        <v/>
      </c>
      <c r="T108" s="1" t="s">
        <v>12</v>
      </c>
      <c r="U108" s="24" t="str">
        <f ca="1">IF(AND(テーブル1[[#This Row],[描画状況]]="済",テーブル1[[#This Row],[投稿状況]]=""),RAND(),"")</f>
        <v/>
      </c>
      <c r="V108" s="23" t="str">
        <f>"|&amp;image("&amp;テーブル1[[#This Row],[画像]]&amp;".png,width=100,height=100)"</f>
        <v>|&amp;image(laro.png,width=100,height=100)</v>
      </c>
      <c r="W108" s="23" t="str">
        <f>"|MIDDLE:​"&amp;テーブル1[[#This Row],[名前]]</f>
        <v>|MIDDLE:​ラロ</v>
      </c>
      <c r="X108" s="23" t="str">
        <f>"|MIDDLE:​"&amp;テーブル1[[#This Row],[なまえ]]</f>
        <v>|MIDDLE:​らろ</v>
      </c>
      <c r="Y108" s="23" t="str">
        <f>"|MIDDLE:​"&amp;テーブル1[[#This Row],[Name]]</f>
        <v>|MIDDLE:​Laro</v>
      </c>
      <c r="Z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6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209</v>
      </c>
      <c r="D109" s="23" t="s">
        <v>845</v>
      </c>
      <c r="E109" s="23" t="s">
        <v>1014</v>
      </c>
      <c r="F109" s="2" t="s">
        <v>198</v>
      </c>
      <c r="G109" s="23" t="s">
        <v>199</v>
      </c>
      <c r="H109" s="23" t="s">
        <v>661</v>
      </c>
      <c r="I109" s="23" t="s">
        <v>670</v>
      </c>
      <c r="L109" s="23" t="s">
        <v>1222</v>
      </c>
      <c r="N109" s="23" t="s">
        <v>1203</v>
      </c>
      <c r="O109" s="1" t="s">
        <v>594</v>
      </c>
      <c r="P109" s="1" t="s">
        <v>549</v>
      </c>
      <c r="Q109" s="24" t="str">
        <f>テーブル1[[#This Row],[リンク]]&amp;テーブル1[[#This Row],[描画状況]]</f>
        <v>https://seirentoybox.jimdofree.com済</v>
      </c>
      <c r="R109" s="17">
        <f>1-(COUNTIF(Q:Q,_xlfn.TEXTJOIN(",",TRUE,テーブル1[[#This Row],[リンク]],テーブル1[[#This Row],[描画状況]]))/COUNTIF(F:F,テーブル1[[#This Row],[リンク]]))</f>
        <v>1</v>
      </c>
      <c r="S109" s="16" t="str">
        <f ca="1">IFERROR(IF(テーブル1[[#This Row],[描画状況]]="",RAND()+(テーブル1[[#This Row],[列2]]*100),""),RAND())</f>
        <v/>
      </c>
      <c r="T109" s="1" t="s">
        <v>12</v>
      </c>
      <c r="U109" s="24" t="str">
        <f ca="1">IF(AND(テーブル1[[#This Row],[描画状況]]="済",テーブル1[[#This Row],[投稿状況]]=""),RAND(),"")</f>
        <v/>
      </c>
      <c r="V109" s="23" t="str">
        <f>"|&amp;image("&amp;テーブル1[[#This Row],[画像]]&amp;".png,width=100,height=100)"</f>
        <v>|&amp;image(rivi-revace.png,width=100,height=100)</v>
      </c>
      <c r="W109" s="23" t="str">
        <f>"|MIDDLE:​"&amp;テーブル1[[#This Row],[名前]]</f>
        <v>|MIDDLE:​リヴィ・リヴァーチェ</v>
      </c>
      <c r="X109" s="23" t="str">
        <f>"|MIDDLE:​"&amp;テーブル1[[#This Row],[なまえ]]</f>
        <v>|MIDDLE:​りゔぃ りゔぁーちぇ</v>
      </c>
      <c r="Y109" s="23" t="str">
        <f>"|MIDDLE:​"&amp;テーブル1[[#This Row],[Name]]</f>
        <v>|MIDDLE:​Rivi Revace</v>
      </c>
      <c r="Z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6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99</v>
      </c>
      <c r="D110" s="23" t="s">
        <v>100</v>
      </c>
      <c r="E110" s="23" t="s">
        <v>101</v>
      </c>
      <c r="F110" s="2" t="s">
        <v>95</v>
      </c>
      <c r="G110" s="23" t="s">
        <v>96</v>
      </c>
      <c r="H110" s="23" t="s">
        <v>661</v>
      </c>
      <c r="N110" s="23" t="s">
        <v>1212</v>
      </c>
      <c r="O110" s="1" t="s">
        <v>631</v>
      </c>
      <c r="P110" s="1" t="s">
        <v>549</v>
      </c>
      <c r="Q110" s="24" t="str">
        <f>テーブル1[[#This Row],[リンク]]&amp;テーブル1[[#This Row],[描画状況]]</f>
        <v>https://kakokyu102krbs.wixsite.com/greenmilky済</v>
      </c>
      <c r="R110" s="17">
        <f>1-(COUNTIF(Q:Q,_xlfn.TEXTJOIN(",",TRUE,テーブル1[[#This Row],[リンク]],テーブル1[[#This Row],[描画状況]]))/COUNTIF(F:F,テーブル1[[#This Row],[リンク]]))</f>
        <v>1</v>
      </c>
      <c r="S110" s="16" t="str">
        <f ca="1">IFERROR(IF(テーブル1[[#This Row],[描画状況]]="",RAND()+(テーブル1[[#This Row],[列2]]*100),""),RAND())</f>
        <v/>
      </c>
      <c r="T110" s="1" t="s">
        <v>12</v>
      </c>
      <c r="U110" s="24" t="str">
        <f ca="1">IF(AND(テーブル1[[#This Row],[描画状況]]="済",テーブル1[[#This Row],[投稿状況]]=""),RAND(),"")</f>
        <v/>
      </c>
      <c r="V110" s="23" t="str">
        <f>"|&amp;image("&amp;テーブル1[[#This Row],[画像]]&amp;".png,width=100,height=100)"</f>
        <v>|&amp;image(rie.png,width=100,height=100)</v>
      </c>
      <c r="W110" s="23" t="str">
        <f>"|MIDDLE:​"&amp;テーブル1[[#This Row],[名前]]</f>
        <v>|MIDDLE:​緑恵</v>
      </c>
      <c r="X110" s="23" t="str">
        <f>"|MIDDLE:​"&amp;テーブル1[[#This Row],[なまえ]]</f>
        <v>|MIDDLE:​りえ</v>
      </c>
      <c r="Y110" s="23" t="str">
        <f>"|MIDDLE:​"&amp;テーブル1[[#This Row],[Name]]</f>
        <v>|MIDDLE:​Rie</v>
      </c>
      <c r="Z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6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240</v>
      </c>
      <c r="D111" s="23" t="s">
        <v>846</v>
      </c>
      <c r="E111" s="23" t="s">
        <v>1015</v>
      </c>
      <c r="F111" s="2" t="s">
        <v>238</v>
      </c>
      <c r="G111" s="23" t="s">
        <v>239</v>
      </c>
      <c r="P111" s="1" t="s">
        <v>549</v>
      </c>
      <c r="Q111" s="24" t="str">
        <f>テーブル1[[#This Row],[リンク]]&amp;テーブル1[[#This Row],[描画状況]]</f>
        <v>https://tsukimiya0728.wixsite.com/silverbullet済</v>
      </c>
      <c r="R111" s="17">
        <f>1-(COUNTIF(Q:Q,_xlfn.TEXTJOIN(",",TRUE,テーブル1[[#This Row],[リンク]],テーブル1[[#This Row],[描画状況]]))/COUNTIF(F:F,テーブル1[[#This Row],[リンク]]))</f>
        <v>1</v>
      </c>
      <c r="S111" s="16" t="str">
        <f ca="1">IFERROR(IF(テーブル1[[#This Row],[描画状況]]="",RAND()+(テーブル1[[#This Row],[列2]]*100),""),RAND())</f>
        <v/>
      </c>
      <c r="T111" s="1" t="s">
        <v>12</v>
      </c>
      <c r="U111" s="24" t="str">
        <f ca="1">IF(AND(テーブル1[[#This Row],[描画状況]]="済",テーブル1[[#This Row],[投稿状況]]=""),RAND(),"")</f>
        <v/>
      </c>
      <c r="V111" s="23" t="str">
        <f>"|&amp;image("&amp;テーブル1[[#This Row],[画像]]&amp;".png,width=100,height=100)"</f>
        <v>|&amp;image(rinyou-fuomi.png,width=100,height=100)</v>
      </c>
      <c r="W111" s="23" t="str">
        <f>"|MIDDLE:​"&amp;テーブル1[[#This Row],[名前]]</f>
        <v>|MIDDLE:​燐葉フォミ</v>
      </c>
      <c r="X111" s="23" t="str">
        <f>"|MIDDLE:​"&amp;テーブル1[[#This Row],[なまえ]]</f>
        <v>|MIDDLE:​りんよう ふぉみ</v>
      </c>
      <c r="Y111" s="23" t="str">
        <f>"|MIDDLE:​"&amp;テーブル1[[#This Row],[Name]]</f>
        <v>|MIDDLE:​Rinyou Fuomi</v>
      </c>
      <c r="Z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6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50</v>
      </c>
      <c r="D112" s="23" t="s">
        <v>51</v>
      </c>
      <c r="E112" s="23" t="s">
        <v>52</v>
      </c>
      <c r="F112" s="2" t="s">
        <v>329</v>
      </c>
      <c r="G112" s="23" t="s">
        <v>49</v>
      </c>
      <c r="H112" s="23" t="s">
        <v>661</v>
      </c>
      <c r="I112" s="23" t="s">
        <v>670</v>
      </c>
      <c r="L112" s="23" t="s">
        <v>1219</v>
      </c>
      <c r="M112" s="23" t="s">
        <v>1178</v>
      </c>
      <c r="N112" s="23" t="s">
        <v>1207</v>
      </c>
      <c r="O112" s="1" t="s">
        <v>594</v>
      </c>
      <c r="P112" s="1" t="s">
        <v>549</v>
      </c>
      <c r="Q112" s="24" t="str">
        <f>テーブル1[[#This Row],[リンク]]&amp;テーブル1[[#This Row],[描画状況]]</f>
        <v>https://bowlroll.net/user/980255済</v>
      </c>
      <c r="R112" s="17">
        <f>1-(COUNTIF(Q:Q,_xlfn.TEXTJOIN(",",TRUE,テーブル1[[#This Row],[リンク]],テーブル1[[#This Row],[描画状況]]))/COUNTIF(F:F,テーブル1[[#This Row],[リンク]]))</f>
        <v>1</v>
      </c>
      <c r="S112" s="16" t="str">
        <f ca="1">IFERROR(IF(テーブル1[[#This Row],[描画状況]]="",RAND()+(テーブル1[[#This Row],[列2]]*100),""),RAND())</f>
        <v/>
      </c>
      <c r="T112" s="1" t="s">
        <v>12</v>
      </c>
      <c r="U112" s="24" t="str">
        <f ca="1">IF(AND(テーブル1[[#This Row],[描画状況]]="済",テーブル1[[#This Row],[投稿状況]]=""),RAND(),"")</f>
        <v/>
      </c>
      <c r="V112" s="23" t="str">
        <f>"|&amp;image("&amp;テーブル1[[#This Row],[画像]]&amp;".png,width=100,height=100)"</f>
        <v>|&amp;image(reinrekodo.png,width=100,height=100)</v>
      </c>
      <c r="W112" s="23" t="str">
        <f>"|MIDDLE:​"&amp;テーブル1[[#This Row],[名前]]</f>
        <v>|MIDDLE:​レインレコード</v>
      </c>
      <c r="X112" s="23" t="str">
        <f>"|MIDDLE:​"&amp;テーブル1[[#This Row],[なまえ]]</f>
        <v>|MIDDLE:​れいんれこーど</v>
      </c>
      <c r="Y112" s="23" t="str">
        <f>"|MIDDLE:​"&amp;テーブル1[[#This Row],[Name]]</f>
        <v>|MIDDLE:​Reinrekodo</v>
      </c>
      <c r="Z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6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63</v>
      </c>
      <c r="D113" s="23" t="s">
        <v>64</v>
      </c>
      <c r="E113" s="23" t="s">
        <v>65</v>
      </c>
      <c r="F113" s="2" t="s">
        <v>61</v>
      </c>
      <c r="G113" s="23" t="s">
        <v>62</v>
      </c>
      <c r="H113" s="23" t="s">
        <v>660</v>
      </c>
      <c r="I113" s="23" t="s">
        <v>667</v>
      </c>
      <c r="L113" s="23" t="s">
        <v>1288</v>
      </c>
      <c r="M113" s="23" t="s">
        <v>1184</v>
      </c>
      <c r="N113" s="23" t="s">
        <v>1242</v>
      </c>
      <c r="O113" s="1" t="s">
        <v>595</v>
      </c>
      <c r="P113" s="1" t="s">
        <v>549</v>
      </c>
      <c r="Q113" s="24" t="str">
        <f>テーブル1[[#This Row],[リンク]]&amp;テーブル1[[#This Row],[描画状況]]</f>
        <v>https://cloudcatch1224.wixsite.com/godsfoot済</v>
      </c>
      <c r="R113" s="17">
        <f>1-(COUNTIF(Q:Q,_xlfn.TEXTJOIN(",",TRUE,テーブル1[[#This Row],[リンク]],テーブル1[[#This Row],[描画状況]]))/COUNTIF(F:F,テーブル1[[#This Row],[リンク]]))</f>
        <v>1</v>
      </c>
      <c r="S113" s="16" t="str">
        <f ca="1">IFERROR(IF(テーブル1[[#This Row],[描画状況]]="",RAND()+(テーブル1[[#This Row],[列2]]*100),""),RAND())</f>
        <v/>
      </c>
      <c r="T113" s="1" t="s">
        <v>12</v>
      </c>
      <c r="U113" s="24" t="str">
        <f ca="1">IF(AND(テーブル1[[#This Row],[描画状況]]="済",テーブル1[[#This Row],[投稿状況]]=""),RAND(),"")</f>
        <v/>
      </c>
      <c r="V113" s="23" t="str">
        <f>"|&amp;image("&amp;テーブル1[[#This Row],[画像]]&amp;".png,width=100,height=100)"</f>
        <v>|&amp;image(rayon.png,width=100,height=100)</v>
      </c>
      <c r="W113" s="23" t="str">
        <f>"|MIDDLE:​"&amp;テーブル1[[#This Row],[名前]]</f>
        <v>|MIDDLE:​レーヨン</v>
      </c>
      <c r="X113" s="23" t="str">
        <f>"|MIDDLE:​"&amp;テーブル1[[#This Row],[なまえ]]</f>
        <v>|MIDDLE:​れーよん</v>
      </c>
      <c r="Y113" s="23" t="str">
        <f>"|MIDDLE:​"&amp;テーブル1[[#This Row],[Name]]</f>
        <v>|MIDDLE:​Rayon</v>
      </c>
      <c r="Z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6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580</v>
      </c>
      <c r="D114" s="23" t="s">
        <v>847</v>
      </c>
      <c r="E114" s="23" t="s">
        <v>1016</v>
      </c>
      <c r="F114" s="2" t="s">
        <v>43</v>
      </c>
      <c r="G114" s="23" t="s">
        <v>44</v>
      </c>
      <c r="O114" s="1" t="s">
        <v>595</v>
      </c>
      <c r="P114" s="1" t="s">
        <v>549</v>
      </c>
      <c r="Q114" s="24" t="str">
        <f>テーブル1[[#This Row],[リンク]]&amp;テーブル1[[#This Row],[描画状況]]</f>
        <v>https://bellsworks.wixsite.com/bellsworks済</v>
      </c>
      <c r="R114" s="17">
        <f>1-(COUNTIF(Q:Q,_xlfn.TEXTJOIN(",",TRUE,テーブル1[[#This Row],[リンク]],テーブル1[[#This Row],[描画状況]]))/COUNTIF(F:F,テーブル1[[#This Row],[リンク]]))</f>
        <v>1</v>
      </c>
      <c r="S114" s="16" t="str">
        <f ca="1">IFERROR(IF(テーブル1[[#This Row],[描画状況]]="",RAND()+(テーブル1[[#This Row],[列2]]*100),""),RAND())</f>
        <v/>
      </c>
      <c r="T114" s="1" t="s">
        <v>428</v>
      </c>
      <c r="U114" s="24" t="str">
        <f ca="1">IF(AND(テーブル1[[#This Row],[描画状況]]="済",テーブル1[[#This Row],[投稿状況]]=""),RAND(),"")</f>
        <v/>
      </c>
      <c r="V114" s="23" t="str">
        <f>"|&amp;image("&amp;テーブル1[[#This Row],[画像]]&amp;".png,width=100,height=100)"</f>
        <v>|&amp;image(kotone-setsuri.png,width=100,height=100)</v>
      </c>
      <c r="W114" s="23" t="str">
        <f>"|MIDDLE:​"&amp;テーブル1[[#This Row],[名前]]</f>
        <v>|MIDDLE:​琴音セツリ</v>
      </c>
      <c r="X114" s="23" t="str">
        <f>"|MIDDLE:​"&amp;テーブル1[[#This Row],[なまえ]]</f>
        <v>|MIDDLE:​ことね せつり</v>
      </c>
      <c r="Y114" s="23" t="str">
        <f>"|MIDDLE:​"&amp;テーブル1[[#This Row],[Name]]</f>
        <v>|MIDDLE:​Kotone Setsuri</v>
      </c>
      <c r="Z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6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418</v>
      </c>
      <c r="D115" s="23" t="s">
        <v>848</v>
      </c>
      <c r="E115" s="23" t="s">
        <v>1017</v>
      </c>
      <c r="F115" s="15" t="s">
        <v>419</v>
      </c>
      <c r="G115" s="23" t="str">
        <f>テーブル1[[#This Row],[名前]]&amp;"(UTAU)"</f>
        <v>飯音モグ(UTAU)</v>
      </c>
      <c r="O115" s="1" t="s">
        <v>594</v>
      </c>
      <c r="P115" s="1" t="s">
        <v>549</v>
      </c>
      <c r="Q115" s="24" t="str">
        <f>テーブル1[[#This Row],[リンク]]&amp;テーブル1[[#This Row],[描画状況]]</f>
        <v>https://bowlroll.net/file/333777済</v>
      </c>
      <c r="R115" s="17">
        <f>1-(COUNTIF(Q:Q,_xlfn.TEXTJOIN(",",TRUE,テーブル1[[#This Row],[リンク]],テーブル1[[#This Row],[描画状況]]))/COUNTIF(F:F,テーブル1[[#This Row],[リンク]]))</f>
        <v>1</v>
      </c>
      <c r="S115" s="16" t="str">
        <f ca="1">IFERROR(IF(テーブル1[[#This Row],[描画状況]]="",RAND()+(テーブル1[[#This Row],[列2]]*100),""),RAND())</f>
        <v/>
      </c>
      <c r="T115" s="1" t="s">
        <v>428</v>
      </c>
      <c r="U115" s="24" t="str">
        <f ca="1">IF(AND(テーブル1[[#This Row],[描画状況]]="済",テーブル1[[#This Row],[投稿状況]]=""),RAND(),"")</f>
        <v/>
      </c>
      <c r="V115" s="23" t="str">
        <f>"|&amp;image("&amp;テーブル1[[#This Row],[画像]]&amp;".png,width=100,height=100)"</f>
        <v>|&amp;image(ine-mogu.png,width=100,height=100)</v>
      </c>
      <c r="W115" s="23" t="str">
        <f>"|MIDDLE:​"&amp;テーブル1[[#This Row],[名前]]</f>
        <v>|MIDDLE:​飯音モグ</v>
      </c>
      <c r="X115" s="23" t="str">
        <f>"|MIDDLE:​"&amp;テーブル1[[#This Row],[なまえ]]</f>
        <v>|MIDDLE:​いいね もぐ</v>
      </c>
      <c r="Y115" s="23" t="str">
        <f>"|MIDDLE:​"&amp;テーブル1[[#This Row],[Name]]</f>
        <v>|MIDDLE:​Ine Mogu</v>
      </c>
      <c r="Z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6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334</v>
      </c>
      <c r="D116" s="23" t="s">
        <v>849</v>
      </c>
      <c r="E116" s="23" t="s">
        <v>1018</v>
      </c>
      <c r="F116" s="2" t="s">
        <v>165</v>
      </c>
      <c r="G116" s="23" t="s">
        <v>1114</v>
      </c>
      <c r="P116" s="1" t="s">
        <v>549</v>
      </c>
      <c r="Q116" s="24" t="str">
        <f>テーブル1[[#This Row],[リンク]]&amp;テーブル1[[#This Row],[描画状況]]</f>
        <v>https://ne510channel.wixsite.com/website済</v>
      </c>
      <c r="R116" s="17">
        <f>1-(COUNTIF(Q:Q,_xlfn.TEXTJOIN(",",TRUE,テーブル1[[#This Row],[リンク]],テーブル1[[#This Row],[描画状況]]))/COUNTIF(F:F,テーブル1[[#This Row],[リンク]]))</f>
        <v>1</v>
      </c>
      <c r="S116" s="16" t="str">
        <f ca="1">IFERROR(IF(テーブル1[[#This Row],[描画状況]]="",RAND()+(テーブル1[[#This Row],[列2]]*100),""),RAND())</f>
        <v/>
      </c>
      <c r="T116" s="1" t="s">
        <v>428</v>
      </c>
      <c r="U116" s="24" t="str">
        <f ca="1">IF(AND(テーブル1[[#This Row],[描画状況]]="済",テーブル1[[#This Row],[投稿状況]]=""),RAND(),"")</f>
        <v/>
      </c>
      <c r="V116" s="23" t="str">
        <f>"|&amp;image("&amp;テーブル1[[#This Row],[画像]]&amp;".png,width=100,height=100)"</f>
        <v>|&amp;image(toranokoku-ame.png,width=100,height=100)</v>
      </c>
      <c r="W116" s="23" t="str">
        <f>"|MIDDLE:​"&amp;テーブル1[[#This Row],[名前]]</f>
        <v>|MIDDLE:​寅ノ刻遭愛</v>
      </c>
      <c r="X116" s="23" t="str">
        <f>"|MIDDLE:​"&amp;テーブル1[[#This Row],[なまえ]]</f>
        <v>|MIDDLE:​とらのこく あめ</v>
      </c>
      <c r="Y116" s="23" t="str">
        <f>"|MIDDLE:​"&amp;テーブル1[[#This Row],[Name]]</f>
        <v>|MIDDLE:​Toranokoku Ame</v>
      </c>
      <c r="Z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6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340</v>
      </c>
      <c r="D117" s="23" t="s">
        <v>341</v>
      </c>
      <c r="E117" s="23" t="s">
        <v>342</v>
      </c>
      <c r="F117" s="2" t="s">
        <v>61</v>
      </c>
      <c r="G117" s="23" t="s">
        <v>62</v>
      </c>
      <c r="H117" s="23" t="s">
        <v>661</v>
      </c>
      <c r="I117" s="23" t="s">
        <v>711</v>
      </c>
      <c r="J117" s="23" t="s">
        <v>1197</v>
      </c>
      <c r="L117" s="23" t="s">
        <v>1200</v>
      </c>
      <c r="M117" s="23" t="s">
        <v>1181</v>
      </c>
      <c r="N117" s="23" t="s">
        <v>1302</v>
      </c>
      <c r="O117" s="1" t="s">
        <v>595</v>
      </c>
      <c r="P117" s="1" t="s">
        <v>549</v>
      </c>
      <c r="Q117" s="24" t="str">
        <f>テーブル1[[#This Row],[リンク]]&amp;テーブル1[[#This Row],[描画状況]]</f>
        <v>https://cloudcatch1224.wixsite.com/godsfoot済</v>
      </c>
      <c r="R117" s="17">
        <f>1-(COUNTIF(Q:Q,_xlfn.TEXTJOIN(",",TRUE,テーブル1[[#This Row],[リンク]],テーブル1[[#This Row],[描画状況]]))/COUNTIF(F:F,テーブル1[[#This Row],[リンク]]))</f>
        <v>1</v>
      </c>
      <c r="S117" s="16" t="str">
        <f ca="1">IFERROR(IF(テーブル1[[#This Row],[描画状況]]="",RAND()+(テーブル1[[#This Row],[列2]]*100),""),RAND())</f>
        <v/>
      </c>
      <c r="T117" s="1" t="s">
        <v>428</v>
      </c>
      <c r="U117" s="24" t="str">
        <f ca="1">IF(AND(テーブル1[[#This Row],[描画状況]]="済",テーブル1[[#This Row],[投稿状況]]=""),RAND(),"")</f>
        <v/>
      </c>
      <c r="V117" s="23" t="str">
        <f>"|&amp;image("&amp;テーブル1[[#This Row],[画像]]&amp;".png,width=100,height=100)"</f>
        <v>|&amp;image(cotaro.png,width=100,height=100)</v>
      </c>
      <c r="W117" s="23" t="str">
        <f>"|MIDDLE:​"&amp;テーブル1[[#This Row],[名前]]</f>
        <v>|MIDDLE:​コタロー</v>
      </c>
      <c r="X117" s="23" t="str">
        <f>"|MIDDLE:​"&amp;テーブル1[[#This Row],[なまえ]]</f>
        <v>|MIDDLE:​こたろー</v>
      </c>
      <c r="Y117" s="23" t="str">
        <f>"|MIDDLE:​"&amp;テーブル1[[#This Row],[Name]]</f>
        <v>|MIDDLE:​Cotaro</v>
      </c>
      <c r="Z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6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287</v>
      </c>
      <c r="D118" s="23" t="s">
        <v>288</v>
      </c>
      <c r="E118" s="23" t="s">
        <v>289</v>
      </c>
      <c r="F118" s="2" t="s">
        <v>43</v>
      </c>
      <c r="G118" s="23" t="s">
        <v>44</v>
      </c>
      <c r="O118" s="1" t="s">
        <v>595</v>
      </c>
      <c r="P118" s="1" t="s">
        <v>549</v>
      </c>
      <c r="Q118" s="24" t="str">
        <f>テーブル1[[#This Row],[リンク]]&amp;テーブル1[[#This Row],[描画状況]]</f>
        <v>https://bellsworks.wixsite.com/bellsworks済</v>
      </c>
      <c r="R118" s="17">
        <f>1-(COUNTIF(Q:Q,_xlfn.TEXTJOIN(",",TRUE,テーブル1[[#This Row],[リンク]],テーブル1[[#This Row],[描画状況]]))/COUNTIF(F:F,テーブル1[[#This Row],[リンク]]))</f>
        <v>1</v>
      </c>
      <c r="S118" s="16" t="str">
        <f ca="1">IFERROR(IF(テーブル1[[#This Row],[描画状況]]="",RAND()+(テーブル1[[#This Row],[列2]]*100),""),RAND())</f>
        <v/>
      </c>
      <c r="T118" s="1" t="s">
        <v>428</v>
      </c>
      <c r="U118" s="24" t="str">
        <f ca="1">IF(AND(テーブル1[[#This Row],[描画状況]]="済",テーブル1[[#This Row],[投稿状況]]=""),RAND(),"")</f>
        <v/>
      </c>
      <c r="V118" s="23" t="str">
        <f>"|&amp;image("&amp;テーブル1[[#This Row],[画像]]&amp;".png,width=100,height=100)"</f>
        <v>|&amp;image(ruteni.png,width=100,height=100)</v>
      </c>
      <c r="W118" s="23" t="str">
        <f>"|MIDDLE:​"&amp;テーブル1[[#This Row],[名前]]</f>
        <v>|MIDDLE:​ルテニ</v>
      </c>
      <c r="X118" s="23" t="str">
        <f>"|MIDDLE:​"&amp;テーブル1[[#This Row],[なまえ]]</f>
        <v>|MIDDLE:​るてに</v>
      </c>
      <c r="Y118" s="23" t="str">
        <f>"|MIDDLE:​"&amp;テーブル1[[#This Row],[Name]]</f>
        <v>|MIDDLE:​Ruteni</v>
      </c>
      <c r="Z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6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385</v>
      </c>
      <c r="D119" s="23" t="s">
        <v>850</v>
      </c>
      <c r="E119" s="23" t="s">
        <v>1019</v>
      </c>
      <c r="F119" s="15" t="s">
        <v>386</v>
      </c>
      <c r="G119" s="23" t="s">
        <v>387</v>
      </c>
      <c r="O119" s="1" t="s">
        <v>594</v>
      </c>
      <c r="P119" s="1" t="s">
        <v>549</v>
      </c>
      <c r="Q119" s="24" t="str">
        <f>テーブル1[[#This Row],[リンク]]&amp;テーブル1[[#This Row],[描画状況]]</f>
        <v>https://flowerrocklove.wixsite.com/twilight-crisis済</v>
      </c>
      <c r="R119" s="17">
        <f>1-(COUNTIF(Q:Q,_xlfn.TEXTJOIN(",",TRUE,テーブル1[[#This Row],[リンク]],テーブル1[[#This Row],[描画状況]]))/COUNTIF(F:F,テーブル1[[#This Row],[リンク]]))</f>
        <v>1</v>
      </c>
      <c r="S119" s="16" t="str">
        <f ca="1">IFERROR(IF(テーブル1[[#This Row],[描画状況]]="",RAND()+(テーブル1[[#This Row],[列2]]*100),""),RAND())</f>
        <v/>
      </c>
      <c r="T119" s="1" t="s">
        <v>428</v>
      </c>
      <c r="U119" s="24" t="str">
        <f ca="1">IF(AND(テーブル1[[#This Row],[描画状況]]="済",テーブル1[[#This Row],[投稿状況]]=""),RAND(),"")</f>
        <v/>
      </c>
      <c r="V119" s="23" t="str">
        <f>"|&amp;image("&amp;テーブル1[[#This Row],[画像]]&amp;".png,width=100,height=100)"</f>
        <v>|&amp;image(jigokudani-thoma.png,width=100,height=100)</v>
      </c>
      <c r="W119" s="23" t="str">
        <f>"|MIDDLE:​"&amp;テーブル1[[#This Row],[名前]]</f>
        <v>|MIDDLE:​地獄谷透馬</v>
      </c>
      <c r="X119" s="23" t="str">
        <f>"|MIDDLE:​"&amp;テーブル1[[#This Row],[なまえ]]</f>
        <v>|MIDDLE:​じごくだに とうま</v>
      </c>
      <c r="Y119" s="23" t="str">
        <f>"|MIDDLE:​"&amp;テーブル1[[#This Row],[Name]]</f>
        <v>|MIDDLE:​Jigokudani Thoma</v>
      </c>
      <c r="Z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6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581</v>
      </c>
      <c r="D120" s="23" t="s">
        <v>851</v>
      </c>
      <c r="E120" s="23" t="s">
        <v>1020</v>
      </c>
      <c r="F120" s="2" t="s">
        <v>43</v>
      </c>
      <c r="G120" s="23" t="s">
        <v>44</v>
      </c>
      <c r="O120" s="1" t="s">
        <v>595</v>
      </c>
      <c r="P120" s="1" t="s">
        <v>549</v>
      </c>
      <c r="Q120" s="24" t="str">
        <f>テーブル1[[#This Row],[リンク]]&amp;テーブル1[[#This Row],[描画状況]]</f>
        <v>https://bellsworks.wixsite.com/bellsworks済</v>
      </c>
      <c r="R120" s="17">
        <f>1-(COUNTIF(Q:Q,_xlfn.TEXTJOIN(",",TRUE,テーブル1[[#This Row],[リンク]],テーブル1[[#This Row],[描画状況]]))/COUNTIF(F:F,テーブル1[[#This Row],[リンク]]))</f>
        <v>1</v>
      </c>
      <c r="S120" s="16" t="str">
        <f ca="1">IFERROR(IF(テーブル1[[#This Row],[描画状況]]="",RAND()+(テーブル1[[#This Row],[列2]]*100),""),RAND())</f>
        <v/>
      </c>
      <c r="T120" s="1" t="s">
        <v>428</v>
      </c>
      <c r="U120" s="24" t="str">
        <f ca="1">IF(AND(テーブル1[[#This Row],[描画状況]]="済",テーブル1[[#This Row],[投稿状況]]=""),RAND(),"")</f>
        <v/>
      </c>
      <c r="V120" s="23" t="str">
        <f>"|&amp;image("&amp;テーブル1[[#This Row],[画像]]&amp;".png,width=100,height=100)"</f>
        <v>|&amp;image(fuene-fue.png,width=100,height=100)</v>
      </c>
      <c r="W120" s="23" t="str">
        <f>"|MIDDLE:​"&amp;テーブル1[[#This Row],[名前]]</f>
        <v>|MIDDLE:​笛音フエ</v>
      </c>
      <c r="X120" s="23" t="str">
        <f>"|MIDDLE:​"&amp;テーブル1[[#This Row],[なまえ]]</f>
        <v>|MIDDLE:​ふえね ふえ</v>
      </c>
      <c r="Y120" s="23" t="str">
        <f>"|MIDDLE:​"&amp;テーブル1[[#This Row],[Name]]</f>
        <v>|MIDDLE:​Fuene Fue</v>
      </c>
      <c r="Z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6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374</v>
      </c>
      <c r="D121" s="23" t="s">
        <v>375</v>
      </c>
      <c r="E121" s="23" t="s">
        <v>376</v>
      </c>
      <c r="F121" s="2" t="s">
        <v>371</v>
      </c>
      <c r="G121" s="23" t="s">
        <v>373</v>
      </c>
      <c r="P121" s="1" t="s">
        <v>549</v>
      </c>
      <c r="Q121" s="24" t="str">
        <f>テーブル1[[#This Row],[リンク]]&amp;テーブル1[[#This Row],[描画状況]]</f>
        <v>https://mebisnori.wixsite.com/nori-mebis済</v>
      </c>
      <c r="R121" s="17">
        <f>1-(COUNTIF(Q:Q,_xlfn.TEXTJOIN(",",TRUE,テーブル1[[#This Row],[リンク]],テーブル1[[#This Row],[描画状況]]))/COUNTIF(F:F,テーブル1[[#This Row],[リンク]]))</f>
        <v>1</v>
      </c>
      <c r="S121" s="16" t="str">
        <f ca="1">IFERROR(IF(テーブル1[[#This Row],[描画状況]]="",RAND()+(テーブル1[[#This Row],[列2]]*100),""),RAND())</f>
        <v/>
      </c>
      <c r="T121" s="1" t="s">
        <v>428</v>
      </c>
      <c r="U121" s="24" t="str">
        <f ca="1">IF(AND(テーブル1[[#This Row],[描画状況]]="済",テーブル1[[#This Row],[投稿状況]]=""),RAND(),"")</f>
        <v/>
      </c>
      <c r="V121" s="23" t="str">
        <f>"|&amp;image("&amp;テーブル1[[#This Row],[画像]]&amp;".png,width=100,height=100)"</f>
        <v>|&amp;image(pechka.png,width=100,height=100)</v>
      </c>
      <c r="W121" s="23" t="str">
        <f>"|MIDDLE:​"&amp;テーブル1[[#This Row],[名前]]</f>
        <v>|MIDDLE:​ペチカ</v>
      </c>
      <c r="X121" s="23" t="str">
        <f>"|MIDDLE:​"&amp;テーブル1[[#This Row],[なまえ]]</f>
        <v>|MIDDLE:​ぺちか</v>
      </c>
      <c r="Y121" s="23" t="str">
        <f>"|MIDDLE:​"&amp;テーブル1[[#This Row],[Name]]</f>
        <v>|MIDDLE:​Pechka</v>
      </c>
      <c r="Z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6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399</v>
      </c>
      <c r="D122" s="23" t="s">
        <v>852</v>
      </c>
      <c r="E122" s="23" t="s">
        <v>1021</v>
      </c>
      <c r="F122" s="2" t="s">
        <v>397</v>
      </c>
      <c r="G122" s="23" t="s">
        <v>398</v>
      </c>
      <c r="P122" s="1" t="s">
        <v>549</v>
      </c>
      <c r="Q122" s="24" t="str">
        <f>テーブル1[[#This Row],[リンク]]&amp;テーブル1[[#This Row],[描画状況]]</f>
        <v>https://zakrotsukumo.wixsite.com/utau-zerozero済</v>
      </c>
      <c r="R122" s="17">
        <f>1-(COUNTIF(Q:Q,_xlfn.TEXTJOIN(",",TRUE,テーブル1[[#This Row],[リンク]],テーブル1[[#This Row],[描画状況]]))/COUNTIF(F:F,テーブル1[[#This Row],[リンク]]))</f>
        <v>1</v>
      </c>
      <c r="S122" s="16" t="str">
        <f ca="1">IFERROR(IF(テーブル1[[#This Row],[描画状況]]="",RAND()+(テーブル1[[#This Row],[列2]]*100),""),RAND())</f>
        <v/>
      </c>
      <c r="T122" s="1" t="s">
        <v>428</v>
      </c>
      <c r="U122" s="24" t="str">
        <f ca="1">IF(AND(テーブル1[[#This Row],[描画状況]]="済",テーブル1[[#This Row],[投稿状況]]=""),RAND(),"")</f>
        <v/>
      </c>
      <c r="V122" s="23" t="str">
        <f>"|&amp;image("&amp;テーブル1[[#This Row],[画像]]&amp;".png,width=100,height=100)"</f>
        <v>|&amp;image(kurui-noise.png,width=100,height=100)</v>
      </c>
      <c r="W122" s="23" t="str">
        <f>"|MIDDLE:​"&amp;テーブル1[[#This Row],[名前]]</f>
        <v>|MIDDLE:​狂威ノイズ</v>
      </c>
      <c r="X122" s="23" t="str">
        <f>"|MIDDLE:​"&amp;テーブル1[[#This Row],[なまえ]]</f>
        <v>|MIDDLE:​くるい のいず</v>
      </c>
      <c r="Y122" s="23" t="str">
        <f>"|MIDDLE:​"&amp;テーブル1[[#This Row],[Name]]</f>
        <v>|MIDDLE:​Kurui Noise</v>
      </c>
      <c r="Z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6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582</v>
      </c>
      <c r="D123" s="23" t="s">
        <v>853</v>
      </c>
      <c r="E123" s="23" t="s">
        <v>1022</v>
      </c>
      <c r="F123" s="2" t="s">
        <v>43</v>
      </c>
      <c r="G123" s="23" t="s">
        <v>44</v>
      </c>
      <c r="O123" s="1" t="s">
        <v>595</v>
      </c>
      <c r="P123" s="1" t="s">
        <v>549</v>
      </c>
      <c r="Q123" s="24" t="str">
        <f>テーブル1[[#This Row],[リンク]]&amp;テーブル1[[#This Row],[描画状況]]</f>
        <v>https://bellsworks.wixsite.com/bellsworks済</v>
      </c>
      <c r="R123" s="17">
        <f>1-(COUNTIF(Q:Q,_xlfn.TEXTJOIN(",",TRUE,テーブル1[[#This Row],[リンク]],テーブル1[[#This Row],[描画状況]]))/COUNTIF(F:F,テーブル1[[#This Row],[リンク]]))</f>
        <v>1</v>
      </c>
      <c r="S123" s="16" t="str">
        <f ca="1">IFERROR(IF(テーブル1[[#This Row],[描画状況]]="",RAND()+(テーブル1[[#This Row],[列2]]*100),""),RAND())</f>
        <v/>
      </c>
      <c r="T123" s="1" t="s">
        <v>428</v>
      </c>
      <c r="U123" s="24" t="str">
        <f ca="1">IF(AND(テーブル1[[#This Row],[描画状況]]="済",テーブル1[[#This Row],[投稿状況]]=""),RAND(),"")</f>
        <v/>
      </c>
      <c r="V123" s="23" t="str">
        <f>"|&amp;image("&amp;テーブル1[[#This Row],[画像]]&amp;".png,width=100,height=100)"</f>
        <v>|&amp;image(tsuzune-tsuzu.png,width=100,height=100)</v>
      </c>
      <c r="W123" s="23" t="str">
        <f>"|MIDDLE:​"&amp;テーブル1[[#This Row],[名前]]</f>
        <v>|MIDDLE:​鼓音ツヅ</v>
      </c>
      <c r="X123" s="23" t="str">
        <f>"|MIDDLE:​"&amp;テーブル1[[#This Row],[なまえ]]</f>
        <v>|MIDDLE:​つづね つづ</v>
      </c>
      <c r="Y123" s="23" t="str">
        <f>"|MIDDLE:​"&amp;テーブル1[[#This Row],[Name]]</f>
        <v>|MIDDLE:​Tsuzune Tsuzu</v>
      </c>
      <c r="Z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6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302</v>
      </c>
      <c r="D124" s="23" t="s">
        <v>854</v>
      </c>
      <c r="E124" s="23" t="s">
        <v>1023</v>
      </c>
      <c r="F124" s="15" t="s">
        <v>161</v>
      </c>
      <c r="G124" s="23" t="s">
        <v>162</v>
      </c>
      <c r="P124" s="1" t="s">
        <v>549</v>
      </c>
      <c r="Q124" s="24" t="str">
        <f>テーブル1[[#This Row],[リンク]]&amp;テーブル1[[#This Row],[描画状況]]</f>
        <v>https://nanyuanxiaojieji.wixsite.com/yuragine-kannsokujo済</v>
      </c>
      <c r="R124" s="17">
        <f>1-(COUNTIF(Q:Q,_xlfn.TEXTJOIN(",",TRUE,テーブル1[[#This Row],[リンク]],テーブル1[[#This Row],[描画状況]]))/COUNTIF(F:F,テーブル1[[#This Row],[リンク]]))</f>
        <v>1</v>
      </c>
      <c r="S124" s="16" t="str">
        <f ca="1">IFERROR(IF(テーブル1[[#This Row],[描画状況]]="",RAND()+(テーブル1[[#This Row],[列2]]*100),""),RAND())</f>
        <v/>
      </c>
      <c r="T124" s="1" t="s">
        <v>428</v>
      </c>
      <c r="U124" s="24" t="str">
        <f ca="1">IF(AND(テーブル1[[#This Row],[描画状況]]="済",テーブル1[[#This Row],[投稿状況]]=""),RAND(),"")</f>
        <v/>
      </c>
      <c r="V124" s="23" t="str">
        <f>"|&amp;image("&amp;テーブル1[[#This Row],[画像]]&amp;".png,width=100,height=100)"</f>
        <v>|&amp;image(naruse-mio.png,width=100,height=100)</v>
      </c>
      <c r="W124" s="23" t="str">
        <f>"|MIDDLE:​"&amp;テーブル1[[#This Row],[名前]]</f>
        <v>|MIDDLE:​​成瀬ミオ</v>
      </c>
      <c r="X124" s="23" t="str">
        <f>"|MIDDLE:​"&amp;テーブル1[[#This Row],[なまえ]]</f>
        <v>|MIDDLE:​なるせ みお</v>
      </c>
      <c r="Y124" s="23" t="str">
        <f>"|MIDDLE:​"&amp;テーブル1[[#This Row],[Name]]</f>
        <v>|MIDDLE:​Naruse Mio</v>
      </c>
      <c r="Z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6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359</v>
      </c>
      <c r="D125" s="23" t="s">
        <v>360</v>
      </c>
      <c r="E125" s="23" t="s">
        <v>361</v>
      </c>
      <c r="F125" s="2" t="s">
        <v>140</v>
      </c>
      <c r="G125" s="23" t="s">
        <v>141</v>
      </c>
      <c r="P125" s="1" t="s">
        <v>549</v>
      </c>
      <c r="Q125" s="24" t="str">
        <f>テーブル1[[#This Row],[リンク]]&amp;テーブル1[[#This Row],[描画状況]]</f>
        <v>https://mareffys.wixsite.com/lalo済</v>
      </c>
      <c r="R125" s="17">
        <f>1-(COUNTIF(Q:Q,_xlfn.TEXTJOIN(",",TRUE,テーブル1[[#This Row],[リンク]],テーブル1[[#This Row],[描画状況]]))/COUNTIF(F:F,テーブル1[[#This Row],[リンク]]))</f>
        <v>1</v>
      </c>
      <c r="S125" s="16" t="str">
        <f ca="1">IFERROR(IF(テーブル1[[#This Row],[描画状況]]="",RAND()+(テーブル1[[#This Row],[列2]]*100),""),RAND())</f>
        <v/>
      </c>
      <c r="T125" s="1" t="s">
        <v>428</v>
      </c>
      <c r="U125" s="24" t="str">
        <f ca="1">IF(AND(テーブル1[[#This Row],[描画状況]]="済",テーブル1[[#This Row],[投稿状況]]=""),RAND(),"")</f>
        <v/>
      </c>
      <c r="V125" s="23" t="str">
        <f>"|&amp;image("&amp;テーブル1[[#This Row],[画像]]&amp;".png,width=100,height=100)"</f>
        <v>|&amp;image(reiichiro.png,width=100,height=100)</v>
      </c>
      <c r="W125" s="23" t="str">
        <f>"|MIDDLE:​"&amp;テーブル1[[#This Row],[名前]]</f>
        <v>|MIDDLE:​レイイチロウ</v>
      </c>
      <c r="X125" s="23" t="str">
        <f>"|MIDDLE:​"&amp;テーブル1[[#This Row],[なまえ]]</f>
        <v>|MIDDLE:​れいいちろう</v>
      </c>
      <c r="Y125" s="23" t="str">
        <f>"|MIDDLE:​"&amp;テーブル1[[#This Row],[Name]]</f>
        <v>|MIDDLE:​Reiichiro</v>
      </c>
      <c r="Z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6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583</v>
      </c>
      <c r="D126" s="23" t="s">
        <v>414</v>
      </c>
      <c r="E126" s="23" t="s">
        <v>415</v>
      </c>
      <c r="F126" s="2" t="s">
        <v>417</v>
      </c>
      <c r="G126" s="23" t="s">
        <v>416</v>
      </c>
      <c r="P126" s="1" t="s">
        <v>549</v>
      </c>
      <c r="Q126" s="24" t="str">
        <f>テーブル1[[#This Row],[リンク]]&amp;テーブル1[[#This Row],[描画状況]]</f>
        <v>https://shiromeneko162.wixsite.com/shiromean-official済</v>
      </c>
      <c r="R126" s="17">
        <f>1-(COUNTIF(Q:Q,_xlfn.TEXTJOIN(",",TRUE,テーブル1[[#This Row],[リンク]],テーブル1[[#This Row],[描画状況]]))/COUNTIF(F:F,テーブル1[[#This Row],[リンク]]))</f>
        <v>1</v>
      </c>
      <c r="S126" s="16" t="str">
        <f ca="1">IFERROR(IF(テーブル1[[#This Row],[描画状況]]="",RAND()+(テーブル1[[#This Row],[列2]]*100),""),RAND())</f>
        <v/>
      </c>
      <c r="T126" s="1" t="s">
        <v>428</v>
      </c>
      <c r="U126" s="24" t="str">
        <f ca="1">IF(AND(テーブル1[[#This Row],[描画状況]]="済",テーブル1[[#This Row],[投稿状況]]=""),RAND(),"")</f>
        <v/>
      </c>
      <c r="V126" s="23" t="str">
        <f>"|&amp;image("&amp;テーブル1[[#This Row],[画像]]&amp;".png,width=100,height=100)"</f>
        <v>|&amp;image(gaku.png,width=100,height=100)</v>
      </c>
      <c r="W126" s="23" t="str">
        <f>"|MIDDLE:​"&amp;テーブル1[[#This Row],[名前]]</f>
        <v>|MIDDLE:​​諤</v>
      </c>
      <c r="X126" s="23" t="str">
        <f>"|MIDDLE:​"&amp;テーブル1[[#This Row],[なまえ]]</f>
        <v>|MIDDLE:​がく</v>
      </c>
      <c r="Y126" s="23" t="str">
        <f>"|MIDDLE:​"&amp;テーブル1[[#This Row],[Name]]</f>
        <v>|MIDDLE:​Gaku</v>
      </c>
      <c r="Z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6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380</v>
      </c>
      <c r="D127" s="23" t="s">
        <v>381</v>
      </c>
      <c r="E127" s="23" t="s">
        <v>382</v>
      </c>
      <c r="F127" s="2" t="s">
        <v>383</v>
      </c>
      <c r="G127" s="23" t="s">
        <v>384</v>
      </c>
      <c r="P127" s="1" t="s">
        <v>549</v>
      </c>
      <c r="Q127" s="24" t="str">
        <f>テーブル1[[#This Row],[リンク]]&amp;テーブル1[[#This Row],[描画状況]]</f>
        <v>https://mikawayanerutoko.jimdofree.com済</v>
      </c>
      <c r="R127" s="17">
        <f>1-(COUNTIF(Q:Q,_xlfn.TEXTJOIN(",",TRUE,テーブル1[[#This Row],[リンク]],テーブル1[[#This Row],[描画状況]]))/COUNTIF(F:F,テーブル1[[#This Row],[リンク]]))</f>
        <v>1</v>
      </c>
      <c r="S127" s="16" t="str">
        <f ca="1">IFERROR(IF(テーブル1[[#This Row],[描画状況]]="",RAND()+(テーブル1[[#This Row],[列2]]*100),""),RAND())</f>
        <v/>
      </c>
      <c r="T127" s="1" t="s">
        <v>428</v>
      </c>
      <c r="U127" s="24" t="str">
        <f ca="1">IF(AND(テーブル1[[#This Row],[描画状況]]="済",テーブル1[[#This Row],[投稿状況]]=""),RAND(),"")</f>
        <v/>
      </c>
      <c r="V127" s="23" t="str">
        <f>"|&amp;image("&amp;テーブル1[[#This Row],[画像]]&amp;".png,width=100,height=100)"</f>
        <v>|&amp;image(mikawaya.png,width=100,height=100)</v>
      </c>
      <c r="W127" s="23" t="str">
        <f>"|MIDDLE:​"&amp;テーブル1[[#This Row],[名前]]</f>
        <v>|MIDDLE:​ミカワヤ</v>
      </c>
      <c r="X127" s="23" t="str">
        <f>"|MIDDLE:​"&amp;テーブル1[[#This Row],[なまえ]]</f>
        <v>|MIDDLE:​みかわや</v>
      </c>
      <c r="Y127" s="23" t="str">
        <f>"|MIDDLE:​"&amp;テーブル1[[#This Row],[Name]]</f>
        <v>|MIDDLE:​Mikawaya</v>
      </c>
      <c r="Z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6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290</v>
      </c>
      <c r="D128" s="23" t="s">
        <v>291</v>
      </c>
      <c r="E128" s="23" t="s">
        <v>292</v>
      </c>
      <c r="F128" s="2" t="s">
        <v>43</v>
      </c>
      <c r="G128" s="23" t="s">
        <v>44</v>
      </c>
      <c r="O128" s="1" t="s">
        <v>595</v>
      </c>
      <c r="P128" s="1" t="s">
        <v>549</v>
      </c>
      <c r="Q128" s="24" t="str">
        <f>テーブル1[[#This Row],[リンク]]&amp;テーブル1[[#This Row],[描画状況]]</f>
        <v>https://bellsworks.wixsite.com/bellsworks済</v>
      </c>
      <c r="R128" s="17">
        <f>1-(COUNTIF(Q:Q,_xlfn.TEXTJOIN(",",TRUE,テーブル1[[#This Row],[リンク]],テーブル1[[#This Row],[描画状況]]))/COUNTIF(F:F,テーブル1[[#This Row],[リンク]]))</f>
        <v>1</v>
      </c>
      <c r="S128" s="16" t="str">
        <f ca="1">IFERROR(IF(テーブル1[[#This Row],[描画状況]]="",RAND()+(テーブル1[[#This Row],[列2]]*100),""),RAND())</f>
        <v/>
      </c>
      <c r="T128" s="1" t="s">
        <v>428</v>
      </c>
      <c r="U128" s="24" t="str">
        <f ca="1">IF(AND(テーブル1[[#This Row],[描画状況]]="済",テーブル1[[#This Row],[投稿状況]]=""),RAND(),"")</f>
        <v/>
      </c>
      <c r="V128" s="23" t="str">
        <f>"|&amp;image("&amp;テーブル1[[#This Row],[画像]]&amp;".png,width=100,height=100)"</f>
        <v>|&amp;image(koharu.png,width=100,height=100)</v>
      </c>
      <c r="W128" s="23" t="str">
        <f>"|MIDDLE:​"&amp;テーブル1[[#This Row],[名前]]</f>
        <v>|MIDDLE:​コハル</v>
      </c>
      <c r="X128" s="23" t="str">
        <f>"|MIDDLE:​"&amp;テーブル1[[#This Row],[なまえ]]</f>
        <v>|MIDDLE:​こはる</v>
      </c>
      <c r="Y128" s="23" t="str">
        <f>"|MIDDLE:​"&amp;テーブル1[[#This Row],[Name]]</f>
        <v>|MIDDLE:​Koharu</v>
      </c>
      <c r="Z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6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584</v>
      </c>
      <c r="D129" s="23" t="s">
        <v>855</v>
      </c>
      <c r="E129" s="23" t="s">
        <v>1024</v>
      </c>
      <c r="F129" s="2" t="s">
        <v>43</v>
      </c>
      <c r="G129" s="23" t="s">
        <v>44</v>
      </c>
      <c r="O129" s="1" t="s">
        <v>595</v>
      </c>
      <c r="P129" s="1" t="s">
        <v>549</v>
      </c>
      <c r="Q129" s="24" t="str">
        <f>テーブル1[[#This Row],[リンク]]&amp;テーブル1[[#This Row],[描画状況]]</f>
        <v>https://bellsworks.wixsite.com/bellsworks済</v>
      </c>
      <c r="R129" s="17">
        <f>1-(COUNTIF(Q:Q,_xlfn.TEXTJOIN(",",TRUE,テーブル1[[#This Row],[リンク]],テーブル1[[#This Row],[描画状況]]))/COUNTIF(F:F,テーブル1[[#This Row],[リンク]]))</f>
        <v>1</v>
      </c>
      <c r="S129" s="16" t="str">
        <f ca="1">IFERROR(IF(テーブル1[[#This Row],[描画状況]]="",RAND()+(テーブル1[[#This Row],[列2]]*100),""),RAND())</f>
        <v/>
      </c>
      <c r="T129" s="1" t="s">
        <v>428</v>
      </c>
      <c r="U129" s="24" t="str">
        <f ca="1">IF(AND(テーブル1[[#This Row],[描画状況]]="済",テーブル1[[#This Row],[投稿状況]]=""),RAND(),"")</f>
        <v/>
      </c>
      <c r="V129" s="23" t="str">
        <f>"|&amp;image("&amp;テーブル1[[#This Row],[画像]]&amp;".png,width=100,height=100)"</f>
        <v>|&amp;image(kurohane-misora.png,width=100,height=100)</v>
      </c>
      <c r="W129" s="23" t="str">
        <f>"|MIDDLE:​"&amp;テーブル1[[#This Row],[名前]]</f>
        <v>|MIDDLE:​黒羽みそら</v>
      </c>
      <c r="X129" s="23" t="str">
        <f>"|MIDDLE:​"&amp;テーブル1[[#This Row],[なまえ]]</f>
        <v>|MIDDLE:​くろはね みそら</v>
      </c>
      <c r="Y129" s="23" t="str">
        <f>"|MIDDLE:​"&amp;テーブル1[[#This Row],[Name]]</f>
        <v>|MIDDLE:​Kurohane Misora</v>
      </c>
      <c r="Z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6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322</v>
      </c>
      <c r="D130" s="23" t="s">
        <v>856</v>
      </c>
      <c r="E130" s="23" t="s">
        <v>1025</v>
      </c>
      <c r="F130" s="2" t="s">
        <v>90</v>
      </c>
      <c r="G130" s="23" t="s">
        <v>91</v>
      </c>
      <c r="H130" s="23" t="s">
        <v>661</v>
      </c>
      <c r="I130" s="23" t="s">
        <v>667</v>
      </c>
      <c r="M130" s="23" t="s">
        <v>1187</v>
      </c>
      <c r="P130" s="1" t="s">
        <v>549</v>
      </c>
      <c r="Q130" s="24" t="str">
        <f>テーブル1[[#This Row],[リンク]]&amp;テーブル1[[#This Row],[描画状況]]</f>
        <v>https://kaitoramma.chu.jp済</v>
      </c>
      <c r="R130" s="17">
        <f>1-(COUNTIF(Q:Q,_xlfn.TEXTJOIN(",",TRUE,テーブル1[[#This Row],[リンク]],テーブル1[[#This Row],[描画状況]]))/COUNTIF(F:F,テーブル1[[#This Row],[リンク]]))</f>
        <v>1</v>
      </c>
      <c r="S130" s="16" t="str">
        <f ca="1">IFERROR(IF(テーブル1[[#This Row],[描画状況]]="",RAND()+(テーブル1[[#This Row],[列2]]*100),""),RAND())</f>
        <v/>
      </c>
      <c r="T130" s="1" t="s">
        <v>428</v>
      </c>
      <c r="U130" s="24" t="str">
        <f ca="1">IF(AND(テーブル1[[#This Row],[描画状況]]="済",テーブル1[[#This Row],[投稿状況]]=""),RAND(),"")</f>
        <v/>
      </c>
      <c r="V130" s="23" t="str">
        <f>"|&amp;image("&amp;テーブル1[[#This Row],[画像]]&amp;".png,width=100,height=100)"</f>
        <v>|&amp;image(karane-hibiku.png,width=100,height=100)</v>
      </c>
      <c r="W130" s="23" t="str">
        <f>"|MIDDLE:​"&amp;テーブル1[[#This Row],[名前]]</f>
        <v>|MIDDLE:​空音響</v>
      </c>
      <c r="X130" s="23" t="str">
        <f>"|MIDDLE:​"&amp;テーブル1[[#This Row],[なまえ]]</f>
        <v>|MIDDLE:​からね ひびく</v>
      </c>
      <c r="Y130" s="23" t="str">
        <f>"|MIDDLE:​"&amp;テーブル1[[#This Row],[Name]]</f>
        <v>|MIDDLE:​Karane Hibiku</v>
      </c>
      <c r="Z130" s="23" t="str">
        <f>"|MIDDLE:​&amp;link(配布所はこちら){​"&amp;テーブル1[[#This Row],[リンク]]&amp;"}|"</f>
        <v>|MIDDLE:​&amp;link(配布所はこちら){​https://kaitoramma.chu.jp}|</v>
      </c>
    </row>
    <row r="131" spans="1:26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362</v>
      </c>
      <c r="D131" s="23" t="s">
        <v>363</v>
      </c>
      <c r="E131" s="24" t="s">
        <v>362</v>
      </c>
      <c r="F131" s="2" t="s">
        <v>112</v>
      </c>
      <c r="G131" s="23" t="s">
        <v>113</v>
      </c>
      <c r="H131" s="23" t="s">
        <v>661</v>
      </c>
      <c r="I131" s="23" t="s">
        <v>667</v>
      </c>
      <c r="P131" s="1" t="s">
        <v>549</v>
      </c>
      <c r="Q131" s="24" t="str">
        <f>テーブル1[[#This Row],[リンク]]&amp;テーブル1[[#This Row],[描画状況]]</f>
        <v>https://kuroi9603.wixsite.com/delu-lab-south済</v>
      </c>
      <c r="R131" s="17">
        <f>1-(COUNTIF(Q:Q,_xlfn.TEXTJOIN(",",TRUE,テーブル1[[#This Row],[リンク]],テーブル1[[#This Row],[描画状況]]))/COUNTIF(F:F,テーブル1[[#This Row],[リンク]]))</f>
        <v>1</v>
      </c>
      <c r="S131" s="16" t="str">
        <f ca="1">IFERROR(IF(テーブル1[[#This Row],[描画状況]]="",RAND()+(テーブル1[[#This Row],[列2]]*100),""),RAND())</f>
        <v/>
      </c>
      <c r="T131" s="1" t="s">
        <v>428</v>
      </c>
      <c r="U131" s="24" t="str">
        <f ca="1">IF(AND(テーブル1[[#This Row],[描画状況]]="済",テーブル1[[#This Row],[投稿状況]]=""),RAND(),"")</f>
        <v/>
      </c>
      <c r="V131" s="23" t="str">
        <f>"|&amp;image("&amp;テーブル1[[#This Row],[画像]]&amp;".png,width=100,height=100)"</f>
        <v>|&amp;image(wilbur.png,width=100,height=100)</v>
      </c>
      <c r="W131" s="23" t="str">
        <f>"|MIDDLE:​"&amp;テーブル1[[#This Row],[名前]]</f>
        <v>|MIDDLE:​Wilbur</v>
      </c>
      <c r="X131" s="23" t="str">
        <f>"|MIDDLE:​"&amp;テーブル1[[#This Row],[なまえ]]</f>
        <v>|MIDDLE:​うぃるばー</v>
      </c>
      <c r="Y131" s="23" t="str">
        <f>"|MIDDLE:​"&amp;テーブル1[[#This Row],[Name]]</f>
        <v>|MIDDLE:​Wilbur</v>
      </c>
      <c r="Z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6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394</v>
      </c>
      <c r="D132" s="23" t="s">
        <v>857</v>
      </c>
      <c r="E132" s="23" t="s">
        <v>1026</v>
      </c>
      <c r="F132" s="2" t="s">
        <v>393</v>
      </c>
      <c r="G132" s="23" t="s">
        <v>395</v>
      </c>
      <c r="P132" s="1" t="s">
        <v>549</v>
      </c>
      <c r="Q132" s="24" t="str">
        <f>テーブル1[[#This Row],[リンク]]&amp;テーブル1[[#This Row],[描画状況]]</f>
        <v>https://okome32500.wixsite.com/onekomochi済</v>
      </c>
      <c r="R132" s="17">
        <f>1-(COUNTIF(Q:Q,_xlfn.TEXTJOIN(",",TRUE,テーブル1[[#This Row],[リンク]],テーブル1[[#This Row],[描画状況]]))/COUNTIF(F:F,テーブル1[[#This Row],[リンク]]))</f>
        <v>1</v>
      </c>
      <c r="S132" s="16" t="str">
        <f ca="1">IFERROR(IF(テーブル1[[#This Row],[描画状況]]="",RAND()+(テーブル1[[#This Row],[列2]]*100),""),RAND())</f>
        <v/>
      </c>
      <c r="T132" s="1" t="s">
        <v>428</v>
      </c>
      <c r="U132" s="24" t="str">
        <f ca="1">IF(AND(テーブル1[[#This Row],[描画状況]]="済",テーブル1[[#This Row],[投稿状況]]=""),RAND(),"")</f>
        <v/>
      </c>
      <c r="V132" s="23" t="str">
        <f>"|&amp;image("&amp;テーブル1[[#This Row],[画像]]&amp;".png,width=100,height=100)"</f>
        <v>|&amp;image(minaawa-uyu.png,width=100,height=100)</v>
      </c>
      <c r="W132" s="23" t="str">
        <f>"|MIDDLE:​"&amp;テーブル1[[#This Row],[名前]]</f>
        <v>|MIDDLE:​水沫烏有</v>
      </c>
      <c r="X132" s="23" t="str">
        <f>"|MIDDLE:​"&amp;テーブル1[[#This Row],[なまえ]]</f>
        <v>|MIDDLE:​みなあわ うゆう</v>
      </c>
      <c r="Y132" s="23" t="str">
        <f>"|MIDDLE:​"&amp;テーブル1[[#This Row],[Name]]</f>
        <v>|MIDDLE:​Minaawa Uyu</v>
      </c>
      <c r="Z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6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326</v>
      </c>
      <c r="D133" s="23" t="s">
        <v>858</v>
      </c>
      <c r="E133" s="23" t="s">
        <v>1027</v>
      </c>
      <c r="F133" s="2" t="s">
        <v>224</v>
      </c>
      <c r="G133" s="23" t="s">
        <v>225</v>
      </c>
      <c r="P133" s="1" t="s">
        <v>549</v>
      </c>
      <c r="Q133" s="24" t="str">
        <f>テーブル1[[#This Row],[リンク]]&amp;テーブル1[[#This Row],[描画状況]]</f>
        <v>https://suihankinonaka.wixsite.com/my-site-1済</v>
      </c>
      <c r="R133" s="17">
        <f>1-(COUNTIF(Q:Q,_xlfn.TEXTJOIN(",",TRUE,テーブル1[[#This Row],[リンク]],テーブル1[[#This Row],[描画状況]]))/COUNTIF(F:F,テーブル1[[#This Row],[リンク]]))</f>
        <v>1</v>
      </c>
      <c r="S133" s="16" t="str">
        <f ca="1">IFERROR(IF(テーブル1[[#This Row],[描画状況]]="",RAND()+(テーブル1[[#This Row],[列2]]*100),""),RAND())</f>
        <v/>
      </c>
      <c r="T133" s="1" t="s">
        <v>428</v>
      </c>
      <c r="U133" s="24" t="str">
        <f ca="1">IF(AND(テーブル1[[#This Row],[描画状況]]="済",テーブル1[[#This Row],[投稿状況]]=""),RAND(),"")</f>
        <v/>
      </c>
      <c r="V133" s="23" t="str">
        <f>"|&amp;image("&amp;テーブル1[[#This Row],[画像]]&amp;".png,width=100,height=100)"</f>
        <v>|&amp;image(komoriji-kyo.png,width=100,height=100)</v>
      </c>
      <c r="W133" s="23" t="str">
        <f>"|MIDDLE:​"&amp;テーブル1[[#This Row],[名前]]</f>
        <v>|MIDDLE:​籠詞鮫</v>
      </c>
      <c r="X133" s="23" t="str">
        <f>"|MIDDLE:​"&amp;テーブル1[[#This Row],[なまえ]]</f>
        <v>|MIDDLE:​こもりじ きょう</v>
      </c>
      <c r="Y133" s="23" t="str">
        <f>"|MIDDLE:​"&amp;テーブル1[[#This Row],[Name]]</f>
        <v>|MIDDLE:​Komoriji Kyo</v>
      </c>
      <c r="Z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6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301</v>
      </c>
      <c r="D134" s="23" t="s">
        <v>859</v>
      </c>
      <c r="E134" s="23" t="s">
        <v>1028</v>
      </c>
      <c r="F134" s="2" t="s">
        <v>161</v>
      </c>
      <c r="G134" s="23" t="s">
        <v>162</v>
      </c>
      <c r="P134" s="1" t="s">
        <v>549</v>
      </c>
      <c r="Q134" s="24" t="str">
        <f>テーブル1[[#This Row],[リンク]]&amp;テーブル1[[#This Row],[描画状況]]</f>
        <v>https://nanyuanxiaojieji.wixsite.com/yuragine-kannsokujo済</v>
      </c>
      <c r="R134" s="17">
        <f>1-(COUNTIF(Q:Q,_xlfn.TEXTJOIN(",",TRUE,テーブル1[[#This Row],[リンク]],テーブル1[[#This Row],[描画状況]]))/COUNTIF(F:F,テーブル1[[#This Row],[リンク]]))</f>
        <v>1</v>
      </c>
      <c r="S134" s="16" t="str">
        <f ca="1">IFERROR(IF(テーブル1[[#This Row],[描画状況]]="",RAND()+(テーブル1[[#This Row],[列2]]*100),""),RAND())</f>
        <v/>
      </c>
      <c r="T134" s="1" t="s">
        <v>428</v>
      </c>
      <c r="U134" s="24" t="str">
        <f ca="1">IF(AND(テーブル1[[#This Row],[描画状況]]="済",テーブル1[[#This Row],[投稿状況]]=""),RAND(),"")</f>
        <v/>
      </c>
      <c r="V134" s="23" t="str">
        <f>"|&amp;image("&amp;テーブル1[[#This Row],[画像]]&amp;".png,width=100,height=100)"</f>
        <v>|&amp;image(yuragine-yui.png,width=100,height=100)</v>
      </c>
      <c r="W134" s="23" t="str">
        <f>"|MIDDLE:​"&amp;テーブル1[[#This Row],[名前]]</f>
        <v>|MIDDLE:​揺音ユイ</v>
      </c>
      <c r="X134" s="23" t="str">
        <f>"|MIDDLE:​"&amp;テーブル1[[#This Row],[なまえ]]</f>
        <v>|MIDDLE:​ゆらぎね ゆい</v>
      </c>
      <c r="Y134" s="23" t="str">
        <f>"|MIDDLE:​"&amp;テーブル1[[#This Row],[Name]]</f>
        <v>|MIDDLE:​Yuragine Yui</v>
      </c>
      <c r="Z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6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457</v>
      </c>
      <c r="D135" s="23" t="s">
        <v>860</v>
      </c>
      <c r="E135" s="23" t="s">
        <v>1029</v>
      </c>
      <c r="F135" s="2" t="s">
        <v>456</v>
      </c>
      <c r="G135" s="23" t="s">
        <v>458</v>
      </c>
      <c r="P135" s="1" t="s">
        <v>549</v>
      </c>
      <c r="Q135" s="24" t="str">
        <f>テーブル1[[#This Row],[リンク]]&amp;テーブル1[[#This Row],[描画状況]]</f>
        <v>https://osomatsu-poid.wixsite.com/konari-san-chi済</v>
      </c>
      <c r="R135" s="17">
        <f>1-(COUNTIF(Q:Q,_xlfn.TEXTJOIN(",",TRUE,テーブル1[[#This Row],[リンク]],テーブル1[[#This Row],[描画状況]]))/COUNTIF(F:F,テーブル1[[#This Row],[リンク]]))</f>
        <v>1</v>
      </c>
      <c r="S135" s="16" t="str">
        <f ca="1">IFERROR(IF(テーブル1[[#This Row],[描画状況]]="",RAND()+(テーブル1[[#This Row],[列2]]*100),""),RAND())</f>
        <v/>
      </c>
      <c r="T135" s="1" t="s">
        <v>459</v>
      </c>
      <c r="U135" s="24" t="str">
        <f ca="1">IF(AND(テーブル1[[#This Row],[描画状況]]="済",テーブル1[[#This Row],[投稿状況]]=""),RAND(),"")</f>
        <v/>
      </c>
      <c r="V135" s="23" t="str">
        <f>"|&amp;image("&amp;テーブル1[[#This Row],[画像]]&amp;".png,width=100,height=100)"</f>
        <v>|&amp;image(konari-koharu.png,width=100,height=100)</v>
      </c>
      <c r="W135" s="23" t="str">
        <f>"|MIDDLE:​"&amp;テーブル1[[#This Row],[名前]]</f>
        <v>|MIDDLE:​狐鳴琴陽</v>
      </c>
      <c r="X135" s="23" t="str">
        <f>"|MIDDLE:​"&amp;テーブル1[[#This Row],[なまえ]]</f>
        <v>|MIDDLE:​こなり こはる</v>
      </c>
      <c r="Y135" s="23" t="str">
        <f>"|MIDDLE:​"&amp;テーブル1[[#This Row],[Name]]</f>
        <v>|MIDDLE:​Konari Koharu</v>
      </c>
      <c r="Z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6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313</v>
      </c>
      <c r="D136" s="23" t="s">
        <v>861</v>
      </c>
      <c r="E136" s="23" t="s">
        <v>1030</v>
      </c>
      <c r="F136" s="2" t="s">
        <v>314</v>
      </c>
      <c r="G136" s="23" t="s">
        <v>315</v>
      </c>
      <c r="P136" s="1" t="s">
        <v>549</v>
      </c>
      <c r="Q136" s="24" t="str">
        <f>テーブル1[[#This Row],[リンク]]&amp;テーブル1[[#This Row],[描画状況]]</f>
        <v>https://sites.google.com/view/fukuma-utau/top済</v>
      </c>
      <c r="R136" s="17">
        <f>1-(COUNTIF(Q:Q,_xlfn.TEXTJOIN(",",TRUE,テーブル1[[#This Row],[リンク]],テーブル1[[#This Row],[描画状況]]))/COUNTIF(F:F,テーブル1[[#This Row],[リンク]]))</f>
        <v>1</v>
      </c>
      <c r="S136" s="16" t="str">
        <f ca="1">IFERROR(IF(テーブル1[[#This Row],[描画状況]]="",RAND()+(テーブル1[[#This Row],[列2]]*100),""),RAND())</f>
        <v/>
      </c>
      <c r="T136" s="1" t="s">
        <v>459</v>
      </c>
      <c r="U136" s="24" t="str">
        <f ca="1">IF(AND(テーブル1[[#This Row],[描画状況]]="済",テーブル1[[#This Row],[投稿状況]]=""),RAND(),"")</f>
        <v/>
      </c>
      <c r="V136" s="23" t="str">
        <f>"|&amp;image("&amp;テーブル1[[#This Row],[画像]]&amp;".png,width=100,height=100)"</f>
        <v>|&amp;image(kazukamachi-mera.png,width=100,height=100)</v>
      </c>
      <c r="W136" s="23" t="str">
        <f>"|MIDDLE:​"&amp;テーブル1[[#This Row],[名前]]</f>
        <v>|MIDDLE:​花束町めら</v>
      </c>
      <c r="X136" s="23" t="str">
        <f>"|MIDDLE:​"&amp;テーブル1[[#This Row],[なまえ]]</f>
        <v>|MIDDLE:​かづかまち めら</v>
      </c>
      <c r="Y136" s="23" t="str">
        <f>"|MIDDLE:​"&amp;テーブル1[[#This Row],[Name]]</f>
        <v>|MIDDLE:​kazukamachi Mera</v>
      </c>
      <c r="Z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6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327</v>
      </c>
      <c r="D137" s="23" t="s">
        <v>862</v>
      </c>
      <c r="E137" s="23" t="s">
        <v>1031</v>
      </c>
      <c r="F137" s="2" t="s">
        <v>224</v>
      </c>
      <c r="G137" s="23" t="s">
        <v>225</v>
      </c>
      <c r="P137" s="1" t="s">
        <v>549</v>
      </c>
      <c r="Q137" s="24" t="str">
        <f>テーブル1[[#This Row],[リンク]]&amp;テーブル1[[#This Row],[描画状況]]</f>
        <v>https://suihankinonaka.wixsite.com/my-site-1済</v>
      </c>
      <c r="R137" s="17">
        <f>1-(COUNTIF(Q:Q,_xlfn.TEXTJOIN(",",TRUE,テーブル1[[#This Row],[リンク]],テーブル1[[#This Row],[描画状況]]))/COUNTIF(F:F,テーブル1[[#This Row],[リンク]]))</f>
        <v>1</v>
      </c>
      <c r="S137" s="16" t="str">
        <f ca="1">IFERROR(IF(テーブル1[[#This Row],[描画状況]]="",RAND()+(テーブル1[[#This Row],[列2]]*100),""),RAND())</f>
        <v/>
      </c>
      <c r="T137" s="1" t="s">
        <v>459</v>
      </c>
      <c r="U137" s="24" t="str">
        <f ca="1">IF(AND(テーブル1[[#This Row],[描画状況]]="済",テーブル1[[#This Row],[投稿状況]]=""),RAND(),"")</f>
        <v/>
      </c>
      <c r="V137" s="23" t="str">
        <f>"|&amp;image("&amp;テーブル1[[#This Row],[画像]]&amp;".png,width=100,height=100)"</f>
        <v>|&amp;image(aimai-merori.png,width=100,height=100)</v>
      </c>
      <c r="W137" s="23" t="str">
        <f>"|MIDDLE:​"&amp;テーブル1[[#This Row],[名前]]</f>
        <v>|MIDDLE:​曖米めろり</v>
      </c>
      <c r="X137" s="23" t="str">
        <f>"|MIDDLE:​"&amp;テーブル1[[#This Row],[なまえ]]</f>
        <v>|MIDDLE:​あいまい めろり</v>
      </c>
      <c r="Y137" s="23" t="str">
        <f>"|MIDDLE:​"&amp;テーブル1[[#This Row],[Name]]</f>
        <v>|MIDDLE:​Aimai Merori</v>
      </c>
      <c r="Z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6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350</v>
      </c>
      <c r="D138" s="23" t="s">
        <v>863</v>
      </c>
      <c r="E138" s="23" t="s">
        <v>1032</v>
      </c>
      <c r="F138" s="2" t="s">
        <v>83</v>
      </c>
      <c r="G138" s="23" t="s">
        <v>84</v>
      </c>
      <c r="H138" s="23" t="s">
        <v>660</v>
      </c>
      <c r="I138" s="23" t="s">
        <v>721</v>
      </c>
      <c r="M138" s="23" t="s">
        <v>1178</v>
      </c>
      <c r="N138" s="23" t="s">
        <v>1297</v>
      </c>
      <c r="P138" s="1" t="s">
        <v>549</v>
      </c>
      <c r="Q138" s="24" t="str">
        <f>テーブル1[[#This Row],[リンク]]&amp;テーブル1[[#This Row],[描画状況]]</f>
        <v>https://inudanuki.wixsite.com/gottaniomotyabako済</v>
      </c>
      <c r="R138" s="17">
        <f>1-(COUNTIF(Q:Q,_xlfn.TEXTJOIN(",",TRUE,テーブル1[[#This Row],[リンク]],テーブル1[[#This Row],[描画状況]]))/COUNTIF(F:F,テーブル1[[#This Row],[リンク]]))</f>
        <v>1</v>
      </c>
      <c r="S138" s="16" t="str">
        <f ca="1">IFERROR(IF(テーブル1[[#This Row],[描画状況]]="",RAND()+(テーブル1[[#This Row],[列2]]*100),""),RAND())</f>
        <v/>
      </c>
      <c r="T138" s="1" t="s">
        <v>459</v>
      </c>
      <c r="U138" s="24" t="str">
        <f ca="1">IF(AND(テーブル1[[#This Row],[描画状況]]="済",テーブル1[[#This Row],[投稿状況]]=""),RAND(),"")</f>
        <v/>
      </c>
      <c r="V138" s="23" t="str">
        <f>"|&amp;image("&amp;テーブル1[[#This Row],[画像]]&amp;".png,width=100,height=100)"</f>
        <v>|&amp;image(katanashi-zu.png,width=100,height=100)</v>
      </c>
      <c r="W138" s="23" t="str">
        <f>"|MIDDLE:​"&amp;テーブル1[[#This Row],[名前]]</f>
        <v>|MIDDLE:​形亡ズゥ</v>
      </c>
      <c r="X138" s="23" t="str">
        <f>"|MIDDLE:​"&amp;テーブル1[[#This Row],[なまえ]]</f>
        <v>|MIDDLE:​かたなし ずぅ</v>
      </c>
      <c r="Y138" s="23" t="str">
        <f>"|MIDDLE:​"&amp;テーブル1[[#This Row],[Name]]</f>
        <v>|MIDDLE:​Katanashi zu</v>
      </c>
      <c r="Z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6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445</v>
      </c>
      <c r="D139" s="23" t="s">
        <v>864</v>
      </c>
      <c r="E139" s="23" t="s">
        <v>1033</v>
      </c>
      <c r="F139" s="2" t="s">
        <v>389</v>
      </c>
      <c r="G139" s="23" t="s">
        <v>390</v>
      </c>
      <c r="O139" s="1" t="s">
        <v>594</v>
      </c>
      <c r="P139" s="1" t="s">
        <v>549</v>
      </c>
      <c r="Q139" s="24" t="str">
        <f>テーブル1[[#This Row],[リンク]]&amp;テーブル1[[#This Row],[描画状況]]</f>
        <v>https://ametro.jimdofree.com済</v>
      </c>
      <c r="R139" s="17">
        <f>1-(COUNTIF(Q:Q,_xlfn.TEXTJOIN(",",TRUE,テーブル1[[#This Row],[リンク]],テーブル1[[#This Row],[描画状況]]))/COUNTIF(F:F,テーブル1[[#This Row],[リンク]]))</f>
        <v>1</v>
      </c>
      <c r="S139" s="16" t="str">
        <f ca="1">IFERROR(IF(テーブル1[[#This Row],[描画状況]]="",RAND()+(テーブル1[[#This Row],[列2]]*100),""),RAND())</f>
        <v/>
      </c>
      <c r="T139" s="1" t="s">
        <v>459</v>
      </c>
      <c r="U139" s="24" t="str">
        <f ca="1">IF(AND(テーブル1[[#This Row],[描画状況]]="済",テーブル1[[#This Row],[投稿状況]]=""),RAND(),"")</f>
        <v/>
      </c>
      <c r="V139" s="23" t="str">
        <f>"|&amp;image("&amp;テーブル1[[#This Row],[画像]]&amp;".png,width=100,height=100)"</f>
        <v>|&amp;image(ameuta-nimu.png,width=100,height=100)</v>
      </c>
      <c r="W139" s="23" t="str">
        <f>"|MIDDLE:​"&amp;テーブル1[[#This Row],[名前]]</f>
        <v>|MIDDLE:​飴唄ニム</v>
      </c>
      <c r="X139" s="23" t="str">
        <f>"|MIDDLE:​"&amp;テーブル1[[#This Row],[なまえ]]</f>
        <v>|MIDDLE:​あめうた にむ</v>
      </c>
      <c r="Y139" s="25" t="str">
        <f>"|MIDDLE:​"&amp;テーブル1[[#This Row],[Name]]</f>
        <v>|MIDDLE:​Ameuta Nimu</v>
      </c>
      <c r="Z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6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283</v>
      </c>
      <c r="D140" s="23" t="s">
        <v>865</v>
      </c>
      <c r="E140" s="23" t="s">
        <v>1034</v>
      </c>
      <c r="F140" s="2" t="s">
        <v>43</v>
      </c>
      <c r="G140" s="23" t="s">
        <v>44</v>
      </c>
      <c r="O140" s="1" t="s">
        <v>595</v>
      </c>
      <c r="P140" s="1" t="s">
        <v>549</v>
      </c>
      <c r="Q140" s="24" t="str">
        <f>テーブル1[[#This Row],[リンク]]&amp;テーブル1[[#This Row],[描画状況]]</f>
        <v>https://bellsworks.wixsite.com/bellsworks済</v>
      </c>
      <c r="R140" s="17">
        <f>1-(COUNTIF(Q:Q,_xlfn.TEXTJOIN(",",TRUE,テーブル1[[#This Row],[リンク]],テーブル1[[#This Row],[描画状況]]))/COUNTIF(F:F,テーブル1[[#This Row],[リンク]]))</f>
        <v>1</v>
      </c>
      <c r="S140" s="16" t="str">
        <f ca="1">IFERROR(IF(テーブル1[[#This Row],[描画状況]]="",RAND()+(テーブル1[[#This Row],[列2]]*100),""),RAND())</f>
        <v/>
      </c>
      <c r="T140" s="1" t="s">
        <v>459</v>
      </c>
      <c r="U140" s="24" t="str">
        <f ca="1">IF(AND(テーブル1[[#This Row],[描画状況]]="済",テーブル1[[#This Row],[投稿状況]]=""),RAND(),"")</f>
        <v/>
      </c>
      <c r="V140" s="23" t="str">
        <f>"|&amp;image("&amp;テーブル1[[#This Row],[画像]]&amp;".png,width=100,height=100)"</f>
        <v>|&amp;image(suzuno-shion.png,width=100,height=100)</v>
      </c>
      <c r="W140" s="23" t="str">
        <f>"|MIDDLE:​"&amp;テーブル1[[#This Row],[名前]]</f>
        <v>|MIDDLE:​鈴音シオン</v>
      </c>
      <c r="X140" s="23" t="str">
        <f>"|MIDDLE:​"&amp;テーブル1[[#This Row],[なまえ]]</f>
        <v>|MIDDLE:​すずの しおん</v>
      </c>
      <c r="Y140" s="23" t="str">
        <f>"|MIDDLE:​"&amp;テーブル1[[#This Row],[Name]]</f>
        <v>|MIDDLE:​Suzuno Shion</v>
      </c>
      <c r="Z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6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335</v>
      </c>
      <c r="D141" s="23" t="s">
        <v>866</v>
      </c>
      <c r="E141" s="23" t="s">
        <v>1035</v>
      </c>
      <c r="F141" s="2" t="s">
        <v>336</v>
      </c>
      <c r="G141" s="23" t="s">
        <v>337</v>
      </c>
      <c r="O141" s="1" t="s">
        <v>594</v>
      </c>
      <c r="P141" s="1" t="s">
        <v>549</v>
      </c>
      <c r="Q141" s="24" t="str">
        <f>テーブル1[[#This Row],[リンク]]&amp;テーブル1[[#This Row],[描画状況]]</f>
        <v>https://bowlroll.net/file/336695済</v>
      </c>
      <c r="R141" s="17">
        <f>1-(COUNTIF(Q:Q,_xlfn.TEXTJOIN(",",TRUE,テーブル1[[#This Row],[リンク]],テーブル1[[#This Row],[描画状況]]))/COUNTIF(F:F,テーブル1[[#This Row],[リンク]]))</f>
        <v>1</v>
      </c>
      <c r="S141" s="16" t="str">
        <f ca="1">IFERROR(IF(テーブル1[[#This Row],[描画状況]]="",RAND()+(テーブル1[[#This Row],[列2]]*100),""),RAND())</f>
        <v/>
      </c>
      <c r="T141" s="1" t="s">
        <v>459</v>
      </c>
      <c r="U141" s="24" t="str">
        <f ca="1">IF(AND(テーブル1[[#This Row],[描画状況]]="済",テーブル1[[#This Row],[投稿状況]]=""),RAND(),"")</f>
        <v/>
      </c>
      <c r="V141" s="23" t="str">
        <f>"|&amp;image("&amp;テーブル1[[#This Row],[画像]]&amp;".png,width=100,height=100)"</f>
        <v>|&amp;image(gakusei-sho.png,width=100,height=100)</v>
      </c>
      <c r="W141" s="23" t="str">
        <f>"|MIDDLE:​"&amp;テーブル1[[#This Row],[名前]]</f>
        <v>|MIDDLE:​学静ショウ</v>
      </c>
      <c r="X141" s="23" t="str">
        <f>"|MIDDLE:​"&amp;テーブル1[[#This Row],[なまえ]]</f>
        <v>|MIDDLE:​がくせい しょう</v>
      </c>
      <c r="Y141" s="23" t="str">
        <f>"|MIDDLE:​"&amp;テーブル1[[#This Row],[Name]]</f>
        <v>|MIDDLE:​Gakusei Sho</v>
      </c>
      <c r="Z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6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367</v>
      </c>
      <c r="D142" s="23" t="s">
        <v>867</v>
      </c>
      <c r="E142" s="23" t="s">
        <v>1036</v>
      </c>
      <c r="F142" s="2" t="s">
        <v>365</v>
      </c>
      <c r="G142" s="23" t="s">
        <v>372</v>
      </c>
      <c r="P142" s="1" t="s">
        <v>549</v>
      </c>
      <c r="Q142" s="24" t="str">
        <f>テーブル1[[#This Row],[リンク]]&amp;テーブル1[[#This Row],[描画状況]]</f>
        <v>https://sites.google.com/view/qsuke-garden/home済</v>
      </c>
      <c r="R142" s="17">
        <f>1-(COUNTIF(Q:Q,_xlfn.TEXTJOIN(",",TRUE,テーブル1[[#This Row],[リンク]],テーブル1[[#This Row],[描画状況]]))/COUNTIF(F:F,テーブル1[[#This Row],[リンク]]))</f>
        <v>1</v>
      </c>
      <c r="S142" s="16" t="str">
        <f ca="1">IFERROR(IF(テーブル1[[#This Row],[描画状況]]="",RAND()+(テーブル1[[#This Row],[列2]]*100),""),RAND())</f>
        <v/>
      </c>
      <c r="T142" s="1" t="s">
        <v>459</v>
      </c>
      <c r="U142" s="24" t="str">
        <f ca="1">IF(AND(テーブル1[[#This Row],[描画状況]]="済",テーブル1[[#This Row],[投稿状況]]=""),RAND(),"")</f>
        <v/>
      </c>
      <c r="V142" s="23" t="str">
        <f>"|&amp;image("&amp;テーブル1[[#This Row],[画像]]&amp;".png,width=100,height=100)"</f>
        <v>|&amp;image(mutsumi-q.png,width=100,height=100)</v>
      </c>
      <c r="W142" s="23" t="str">
        <f>"|MIDDLE:​"&amp;テーブル1[[#This Row],[名前]]</f>
        <v>|MIDDLE:​六見：Ｑ</v>
      </c>
      <c r="X142" s="23" t="str">
        <f>"|MIDDLE:​"&amp;テーブル1[[#This Row],[なまえ]]</f>
        <v>|MIDDLE:​むつみ きゅう</v>
      </c>
      <c r="Y142" s="23" t="str">
        <f>"|MIDDLE:​"&amp;テーブル1[[#This Row],[Name]]</f>
        <v>|MIDDLE:​Mutsumi Q</v>
      </c>
      <c r="Z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6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339</v>
      </c>
      <c r="D143" s="23" t="s">
        <v>868</v>
      </c>
      <c r="E143" s="23" t="s">
        <v>1037</v>
      </c>
      <c r="F143" s="2" t="s">
        <v>338</v>
      </c>
      <c r="G143" s="23" t="str">
        <f>テーブル1[[#This Row],[名前]]&amp;"(UTAU)"</f>
        <v>悪戯清子(UTAU)</v>
      </c>
      <c r="O143" s="1" t="s">
        <v>594</v>
      </c>
      <c r="P143" s="1" t="s">
        <v>549</v>
      </c>
      <c r="Q143" s="24" t="str">
        <f>テーブル1[[#This Row],[リンク]]&amp;テーブル1[[#This Row],[描画状況]]</f>
        <v>https://bowlroll.net/user/700434済</v>
      </c>
      <c r="R143" s="17">
        <f>1-(COUNTIF(Q:Q,_xlfn.TEXTJOIN(",",TRUE,テーブル1[[#This Row],[リンク]],テーブル1[[#This Row],[描画状況]]))/COUNTIF(F:F,テーブル1[[#This Row],[リンク]]))</f>
        <v>1</v>
      </c>
      <c r="S143" s="16" t="str">
        <f ca="1">IFERROR(IF(テーブル1[[#This Row],[描画状況]]="",RAND()+(テーブル1[[#This Row],[列2]]*100),""),RAND())</f>
        <v/>
      </c>
      <c r="T143" s="1" t="s">
        <v>459</v>
      </c>
      <c r="U143" s="24" t="str">
        <f ca="1">IF(AND(テーブル1[[#This Row],[描画状況]]="済",テーブル1[[#This Row],[投稿状況]]=""),RAND(),"")</f>
        <v/>
      </c>
      <c r="V143" s="23" t="str">
        <f>"|&amp;image("&amp;テーブル1[[#This Row],[画像]]&amp;".png,width=100,height=100)"</f>
        <v>|&amp;image(itazura-seiko.png,width=100,height=100)</v>
      </c>
      <c r="W143" s="23" t="str">
        <f>"|MIDDLE:​"&amp;テーブル1[[#This Row],[名前]]</f>
        <v>|MIDDLE:​悪戯清子</v>
      </c>
      <c r="X143" s="23" t="str">
        <f>"|MIDDLE:​"&amp;テーブル1[[#This Row],[なまえ]]</f>
        <v>|MIDDLE:​いたずら せいこ</v>
      </c>
      <c r="Y143" s="23" t="str">
        <f>"|MIDDLE:​"&amp;テーブル1[[#This Row],[Name]]</f>
        <v>|MIDDLE:​Itazura Seiko</v>
      </c>
      <c r="Z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6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447</v>
      </c>
      <c r="D144" s="23" t="s">
        <v>869</v>
      </c>
      <c r="E144" s="23" t="s">
        <v>1038</v>
      </c>
      <c r="F144" s="2" t="s">
        <v>705</v>
      </c>
      <c r="G144" s="23" t="s">
        <v>47</v>
      </c>
      <c r="H144" s="23" t="s">
        <v>660</v>
      </c>
      <c r="I144" s="23" t="s">
        <v>722</v>
      </c>
      <c r="L144" s="23" t="s">
        <v>1210</v>
      </c>
      <c r="M144" s="23" t="s">
        <v>1187</v>
      </c>
      <c r="O144" s="1" t="s">
        <v>594</v>
      </c>
      <c r="P144" s="1" t="s">
        <v>549</v>
      </c>
      <c r="Q144" s="24" t="str">
        <f>テーブル1[[#This Row],[リンク]]&amp;テーブル1[[#This Row],[描画状況]]</f>
        <v>https://kinomihautaimas.wixsite.com/dongurihiroba済</v>
      </c>
      <c r="R144" s="17">
        <f>1-(COUNTIF(Q:Q,_xlfn.TEXTJOIN(",",TRUE,テーブル1[[#This Row],[リンク]],テーブル1[[#This Row],[描画状況]]))/COUNTIF(F:F,テーブル1[[#This Row],[リンク]]))</f>
        <v>1</v>
      </c>
      <c r="S144" s="16" t="str">
        <f ca="1">IFERROR(IF(テーブル1[[#This Row],[描画状況]]="",RAND()+(テーブル1[[#This Row],[列2]]*100),""),RAND())</f>
        <v/>
      </c>
      <c r="T144" s="1" t="s">
        <v>459</v>
      </c>
      <c r="U144" s="24" t="str">
        <f ca="1">IF(AND(テーブル1[[#This Row],[描画状況]]="済",テーブル1[[#This Row],[投稿状況]]=""),RAND(),"")</f>
        <v/>
      </c>
      <c r="V144" s="23" t="str">
        <f>"|&amp;image("&amp;テーブル1[[#This Row],[画像]]&amp;".png,width=100,height=100)"</f>
        <v>|&amp;image(ufuro-johomau-shifusyo.png,width=100,height=100)</v>
      </c>
      <c r="W144" s="23" t="str">
        <f>"|MIDDLE:​"&amp;テーブル1[[#This Row],[名前]]</f>
        <v>|MIDDLE:​ウフーロ・ジョホマウ・シフショ</v>
      </c>
      <c r="X144" s="23" t="str">
        <f>"|MIDDLE:​"&amp;テーブル1[[#This Row],[なまえ]]</f>
        <v>|MIDDLE:​うふーろ じょほまう しふしょ</v>
      </c>
      <c r="Y144" s="23" t="str">
        <f>"|MIDDLE:​"&amp;テーブル1[[#This Row],[Name]]</f>
        <v>|MIDDLE:​Ufuro Johomau Shifusyo</v>
      </c>
      <c r="Z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6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585</v>
      </c>
      <c r="D145" s="23" t="s">
        <v>870</v>
      </c>
      <c r="E145" s="23" t="s">
        <v>1039</v>
      </c>
      <c r="F145" s="2" t="s">
        <v>43</v>
      </c>
      <c r="G145" s="23" t="s">
        <v>44</v>
      </c>
      <c r="O145" s="1" t="s">
        <v>595</v>
      </c>
      <c r="P145" s="1" t="s">
        <v>549</v>
      </c>
      <c r="Q145" s="24" t="str">
        <f>テーブル1[[#This Row],[リンク]]&amp;テーブル1[[#This Row],[描画状況]]</f>
        <v>https://bellsworks.wixsite.com/bellsworks済</v>
      </c>
      <c r="R145" s="17">
        <f>1-(COUNTIF(Q:Q,_xlfn.TEXTJOIN(",",TRUE,テーブル1[[#This Row],[リンク]],テーブル1[[#This Row],[描画状況]]))/COUNTIF(F:F,テーブル1[[#This Row],[リンク]]))</f>
        <v>1</v>
      </c>
      <c r="S145" s="16" t="str">
        <f ca="1">IFERROR(IF(テーブル1[[#This Row],[描画状況]]="",RAND()+(テーブル1[[#This Row],[列2]]*100),""),RAND())</f>
        <v/>
      </c>
      <c r="T145" s="1" t="s">
        <v>459</v>
      </c>
      <c r="U145" s="24" t="str">
        <f ca="1">IF(AND(テーブル1[[#This Row],[描画状況]]="済",テーブル1[[#This Row],[投稿状況]]=""),RAND(),"")</f>
        <v/>
      </c>
      <c r="V145" s="23" t="str">
        <f>"|&amp;image("&amp;テーブル1[[#This Row],[画像]]&amp;".png,width=100,height=100)"</f>
        <v>|&amp;image(suzuno-ruon.png,width=100,height=100)</v>
      </c>
      <c r="W145" s="23" t="str">
        <f>"|MIDDLE:​"&amp;テーブル1[[#This Row],[名前]]</f>
        <v>|MIDDLE:​鈴音ルオン</v>
      </c>
      <c r="X145" s="23" t="str">
        <f>"|MIDDLE:​"&amp;テーブル1[[#This Row],[なまえ]]</f>
        <v>|MIDDLE:​すずの るおん</v>
      </c>
      <c r="Y145" s="23" t="str">
        <f>"|MIDDLE:​"&amp;テーブル1[[#This Row],[Name]]</f>
        <v>|MIDDLE:​Suzuno Ruon</v>
      </c>
      <c r="Z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6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358</v>
      </c>
      <c r="D146" s="23" t="s">
        <v>871</v>
      </c>
      <c r="E146" s="23" t="s">
        <v>1040</v>
      </c>
      <c r="F146" s="2" t="s">
        <v>356</v>
      </c>
      <c r="G146" s="23" t="s">
        <v>357</v>
      </c>
      <c r="P146" s="1" t="s">
        <v>549</v>
      </c>
      <c r="Q146" s="24" t="str">
        <f>テーブル1[[#This Row],[リンク]]&amp;テーブル1[[#This Row],[描画状況]]</f>
        <v>https://kairi0utau.wixsite.com/arugamamanouta済</v>
      </c>
      <c r="R146" s="17">
        <f>1-(COUNTIF(Q:Q,_xlfn.TEXTJOIN(",",TRUE,テーブル1[[#This Row],[リンク]],テーブル1[[#This Row],[描画状況]]))/COUNTIF(F:F,テーブル1[[#This Row],[リンク]]))</f>
        <v>1</v>
      </c>
      <c r="S146" s="16" t="str">
        <f ca="1">IFERROR(IF(テーブル1[[#This Row],[描画状況]]="",RAND()+(テーブル1[[#This Row],[列2]]*100),""),RAND())</f>
        <v/>
      </c>
      <c r="T146" s="1" t="s">
        <v>459</v>
      </c>
      <c r="U146" s="24" t="str">
        <f ca="1">IF(AND(テーブル1[[#This Row],[描画状況]]="済",テーブル1[[#This Row],[投稿状況]]=""),RAND(),"")</f>
        <v/>
      </c>
      <c r="V146" s="23" t="str">
        <f>"|&amp;image("&amp;テーブル1[[#This Row],[画像]]&amp;".png,width=100,height=100)"</f>
        <v>|&amp;image(utsumi-akuru.png,width=100,height=100)</v>
      </c>
      <c r="W146" s="23" t="str">
        <f>"|MIDDLE:​"&amp;テーブル1[[#This Row],[名前]]</f>
        <v>|MIDDLE:​空深あくる</v>
      </c>
      <c r="X146" s="23" t="str">
        <f>"|MIDDLE:​"&amp;テーブル1[[#This Row],[なまえ]]</f>
        <v>|MIDDLE:​うつみ あくる</v>
      </c>
      <c r="Y146" s="23" t="str">
        <f>"|MIDDLE:​"&amp;テーブル1[[#This Row],[Name]]</f>
        <v>|MIDDLE:​Utsumi Akuru</v>
      </c>
      <c r="Z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6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388</v>
      </c>
      <c r="D147" s="23" t="s">
        <v>872</v>
      </c>
      <c r="E147" s="23" t="s">
        <v>1041</v>
      </c>
      <c r="F147" s="2" t="s">
        <v>389</v>
      </c>
      <c r="G147" s="23" t="s">
        <v>390</v>
      </c>
      <c r="O147" s="1" t="s">
        <v>594</v>
      </c>
      <c r="P147" s="1" t="s">
        <v>549</v>
      </c>
      <c r="Q147" s="24" t="str">
        <f>テーブル1[[#This Row],[リンク]]&amp;テーブル1[[#This Row],[描画状況]]</f>
        <v>https://ametro.jimdofree.com済</v>
      </c>
      <c r="R147" s="17">
        <f>1-(COUNTIF(Q:Q,_xlfn.TEXTJOIN(",",TRUE,テーブル1[[#This Row],[リンク]],テーブル1[[#This Row],[描画状況]]))/COUNTIF(F:F,テーブル1[[#This Row],[リンク]]))</f>
        <v>1</v>
      </c>
      <c r="S147" s="16" t="str">
        <f ca="1">IFERROR(IF(テーブル1[[#This Row],[描画状況]]="",RAND()+(テーブル1[[#This Row],[列2]]*100),""),RAND())</f>
        <v/>
      </c>
      <c r="T147" s="1" t="s">
        <v>459</v>
      </c>
      <c r="U147" s="24" t="str">
        <f ca="1">IF(AND(テーブル1[[#This Row],[描画状況]]="済",テーブル1[[#This Row],[投稿状況]]=""),RAND(),"")</f>
        <v/>
      </c>
      <c r="V147" s="23" t="str">
        <f>"|&amp;image("&amp;テーブル1[[#This Row],[画像]]&amp;".png,width=100,height=100)"</f>
        <v>|&amp;image(ameuta-nito.png,width=100,height=100)</v>
      </c>
      <c r="W147" s="23" t="str">
        <f>"|MIDDLE:​"&amp;テーブル1[[#This Row],[名前]]</f>
        <v>|MIDDLE:​飴唄ニト</v>
      </c>
      <c r="X147" s="23" t="str">
        <f>"|MIDDLE:​"&amp;テーブル1[[#This Row],[なまえ]]</f>
        <v>|MIDDLE:​あめうた にと</v>
      </c>
      <c r="Y147" s="23" t="str">
        <f>"|MIDDLE:​"&amp;テーブル1[[#This Row],[Name]]</f>
        <v>|MIDDLE:​Ameuta Nito</v>
      </c>
      <c r="Z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6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349</v>
      </c>
      <c r="D148" s="23" t="s">
        <v>873</v>
      </c>
      <c r="E148" s="23" t="s">
        <v>1042</v>
      </c>
      <c r="F148" s="2" t="s">
        <v>83</v>
      </c>
      <c r="G148" s="23" t="s">
        <v>84</v>
      </c>
      <c r="H148" s="23" t="s">
        <v>660</v>
      </c>
      <c r="I148" s="23" t="s">
        <v>667</v>
      </c>
      <c r="J148" s="23" t="s">
        <v>1190</v>
      </c>
      <c r="N148" s="23" t="s">
        <v>1298</v>
      </c>
      <c r="P148" s="1" t="s">
        <v>549</v>
      </c>
      <c r="Q148" s="24" t="str">
        <f>テーブル1[[#This Row],[リンク]]&amp;テーブル1[[#This Row],[描画状況]]</f>
        <v>https://inudanuki.wixsite.com/gottaniomotyabako済</v>
      </c>
      <c r="R148" s="17">
        <f>1-(COUNTIF(Q:Q,_xlfn.TEXTJOIN(",",TRUE,テーブル1[[#This Row],[リンク]],テーブル1[[#This Row],[描画状況]]))/COUNTIF(F:F,テーブル1[[#This Row],[リンク]]))</f>
        <v>1</v>
      </c>
      <c r="S148" s="16" t="str">
        <f ca="1">IFERROR(IF(テーブル1[[#This Row],[描画状況]]="",RAND()+(テーブル1[[#This Row],[列2]]*100),""),RAND())</f>
        <v/>
      </c>
      <c r="T148" s="1" t="s">
        <v>459</v>
      </c>
      <c r="U148" s="24" t="str">
        <f ca="1">IF(AND(テーブル1[[#This Row],[描画状況]]="済",テーブル1[[#This Row],[投稿状況]]=""),RAND(),"")</f>
        <v/>
      </c>
      <c r="V148" s="23" t="str">
        <f>"|&amp;image("&amp;テーブル1[[#This Row],[画像]]&amp;".png,width=100,height=100)"</f>
        <v>|&amp;image(ameiro-nerune.png,width=100,height=100)</v>
      </c>
      <c r="W148" s="23" t="str">
        <f>"|MIDDLE:​"&amp;テーブル1[[#This Row],[名前]]</f>
        <v>|MIDDLE:​飴彩ねるね</v>
      </c>
      <c r="X148" s="23" t="str">
        <f>"|MIDDLE:​"&amp;テーブル1[[#This Row],[なまえ]]</f>
        <v>|MIDDLE:​あめいろ ねるね</v>
      </c>
      <c r="Y148" s="23" t="str">
        <f>"|MIDDLE:​"&amp;テーブル1[[#This Row],[Name]]</f>
        <v>|MIDDLE:​Ameiro Nerune</v>
      </c>
      <c r="Z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6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430</v>
      </c>
      <c r="D149" s="23" t="s">
        <v>431</v>
      </c>
      <c r="E149" s="23" t="s">
        <v>432</v>
      </c>
      <c r="F149" s="15" t="s">
        <v>429</v>
      </c>
      <c r="G149" s="23" t="str">
        <f>テーブル1[[#This Row],[名前]]&amp;"(UTAU)"</f>
        <v>クリノクロア(UTAU)</v>
      </c>
      <c r="O149" s="1" t="s">
        <v>594</v>
      </c>
      <c r="P149" s="1" t="s">
        <v>549</v>
      </c>
      <c r="Q149" s="24" t="str">
        <f>テーブル1[[#This Row],[リンク]]&amp;テーブル1[[#This Row],[描画状況]]</f>
        <v>https://cmamizki.wixsite.com/edelstein済</v>
      </c>
      <c r="R149" s="17">
        <f>1-(COUNTIF(Q:Q,_xlfn.TEXTJOIN(",",TRUE,テーブル1[[#This Row],[リンク]],テーブル1[[#This Row],[描画状況]]))/COUNTIF(F:F,テーブル1[[#This Row],[リンク]]))</f>
        <v>1</v>
      </c>
      <c r="S149" s="16" t="str">
        <f ca="1">IFERROR(IF(テーブル1[[#This Row],[描画状況]]="",RAND()+(テーブル1[[#This Row],[列2]]*100),""),RAND())</f>
        <v/>
      </c>
      <c r="T149" s="1" t="s">
        <v>459</v>
      </c>
      <c r="U149" s="24" t="str">
        <f ca="1">IF(AND(テーブル1[[#This Row],[描画状況]]="済",テーブル1[[#This Row],[投稿状況]]=""),RAND(),"")</f>
        <v/>
      </c>
      <c r="V149" s="23" t="str">
        <f>"|&amp;image("&amp;テーブル1[[#This Row],[画像]]&amp;".png,width=100,height=100)"</f>
        <v>|&amp;image(clinochlore.png,width=100,height=100)</v>
      </c>
      <c r="W149" s="23" t="str">
        <f>"|MIDDLE:​"&amp;テーブル1[[#This Row],[名前]]</f>
        <v>|MIDDLE:​クリノクロア</v>
      </c>
      <c r="X149" s="23" t="str">
        <f>"|MIDDLE:​"&amp;テーブル1[[#This Row],[なまえ]]</f>
        <v>|MIDDLE:​くりのくろあ</v>
      </c>
      <c r="Y149" s="23" t="str">
        <f>"|MIDDLE:​"&amp;テーブル1[[#This Row],[Name]]</f>
        <v>|MIDDLE:​Clinochlore</v>
      </c>
      <c r="Z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6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508</v>
      </c>
      <c r="D150" s="23" t="s">
        <v>874</v>
      </c>
      <c r="E150" s="23" t="s">
        <v>1043</v>
      </c>
      <c r="F150" s="15" t="s">
        <v>509</v>
      </c>
      <c r="G150" s="23" t="s">
        <v>510</v>
      </c>
      <c r="O150" s="1" t="s">
        <v>594</v>
      </c>
      <c r="P150" s="1" t="s">
        <v>549</v>
      </c>
      <c r="Q150" s="24" t="str">
        <f>テーブル1[[#This Row],[リンク]]&amp;テーブル1[[#This Row],[描画状況]]</f>
        <v>https://hinoyuzirenraku.wixsite.com/mu-neneo済</v>
      </c>
      <c r="R150" s="17">
        <f>1-(COUNTIF(Q:Q,_xlfn.TEXTJOIN(",",TRUE,テーブル1[[#This Row],[リンク]],テーブル1[[#This Row],[描画状況]]))/COUNTIF(F:F,テーブル1[[#This Row],[リンク]]))</f>
        <v>1</v>
      </c>
      <c r="S150" s="16" t="str">
        <f ca="1">IFERROR(IF(テーブル1[[#This Row],[描画状況]]="",RAND()+(テーブル1[[#This Row],[列2]]*100),""),RAND())</f>
        <v/>
      </c>
      <c r="T150" s="1" t="s">
        <v>459</v>
      </c>
      <c r="U150" s="24" t="str">
        <f ca="1">IF(AND(テーブル1[[#This Row],[描画状況]]="済",テーブル1[[#This Row],[投稿状況]]=""),RAND(),"")</f>
        <v/>
      </c>
      <c r="V150" s="23" t="str">
        <f>"|&amp;image("&amp;テーブル1[[#This Row],[画像]]&amp;".png,width=100,height=100)"</f>
        <v>|&amp;image(neneo-mu.png,width=100,height=100)</v>
      </c>
      <c r="W150" s="23" t="str">
        <f>"|MIDDLE:​"&amp;テーブル1[[#This Row],[名前]]</f>
        <v>|MIDDLE:​音々尾ミュー</v>
      </c>
      <c r="X150" s="23" t="str">
        <f>"|MIDDLE:​"&amp;テーブル1[[#This Row],[なまえ]]</f>
        <v>|MIDDLE:​ねねお みゅー</v>
      </c>
      <c r="Y150" s="23" t="str">
        <f>"|MIDDLE:​"&amp;テーブル1[[#This Row],[Name]]</f>
        <v>|MIDDLE:​Neneo mu</v>
      </c>
      <c r="Z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6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396</v>
      </c>
      <c r="D151" s="23" t="s">
        <v>875</v>
      </c>
      <c r="E151" s="23" t="s">
        <v>1044</v>
      </c>
      <c r="F151" s="2" t="s">
        <v>397</v>
      </c>
      <c r="G151" s="23" t="s">
        <v>398</v>
      </c>
      <c r="P151" s="1" t="s">
        <v>549</v>
      </c>
      <c r="Q151" s="24" t="str">
        <f>テーブル1[[#This Row],[リンク]]&amp;テーブル1[[#This Row],[描画状況]]</f>
        <v>https://zakrotsukumo.wixsite.com/utau-zerozero済</v>
      </c>
      <c r="R151" s="17">
        <f>1-(COUNTIF(Q:Q,_xlfn.TEXTJOIN(",",TRUE,テーブル1[[#This Row],[リンク]],テーブル1[[#This Row],[描画状況]]))/COUNTIF(F:F,テーブル1[[#This Row],[リンク]]))</f>
        <v>1</v>
      </c>
      <c r="S151" s="16" t="str">
        <f ca="1">IFERROR(IF(テーブル1[[#This Row],[描画状況]]="",RAND()+(テーブル1[[#This Row],[列2]]*100),""),RAND())</f>
        <v/>
      </c>
      <c r="T151" s="1" t="s">
        <v>459</v>
      </c>
      <c r="U151" s="24" t="str">
        <f ca="1">IF(AND(テーブル1[[#This Row],[描画状況]]="済",テーブル1[[#This Row],[投稿状況]]=""),RAND(),"")</f>
        <v/>
      </c>
      <c r="V151" s="23" t="str">
        <f>"|&amp;image("&amp;テーブル1[[#This Row],[画像]]&amp;".png,width=100,height=100)"</f>
        <v>|&amp;image(kurui-neiro.png,width=100,height=100)</v>
      </c>
      <c r="W151" s="23" t="str">
        <f>"|MIDDLE:​"&amp;テーブル1[[#This Row],[名前]]</f>
        <v>|MIDDLE:​狂威ネイロ</v>
      </c>
      <c r="X151" s="23" t="str">
        <f>"|MIDDLE:​"&amp;テーブル1[[#This Row],[なまえ]]</f>
        <v>|MIDDLE:​くるい ねいろ</v>
      </c>
      <c r="Y151" s="23" t="str">
        <f>"|MIDDLE:​"&amp;テーブル1[[#This Row],[Name]]</f>
        <v>|MIDDLE:​Kurui Neiro</v>
      </c>
      <c r="Z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6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586</v>
      </c>
      <c r="D152" s="23" t="s">
        <v>876</v>
      </c>
      <c r="E152" s="23" t="s">
        <v>1045</v>
      </c>
      <c r="F152" s="2" t="s">
        <v>43</v>
      </c>
      <c r="G152" s="23" t="s">
        <v>44</v>
      </c>
      <c r="O152" s="1" t="s">
        <v>595</v>
      </c>
      <c r="P152" s="1" t="s">
        <v>549</v>
      </c>
      <c r="Q152" s="24" t="str">
        <f>テーブル1[[#This Row],[リンク]]&amp;テーブル1[[#This Row],[描画状況]]</f>
        <v>https://bellsworks.wixsite.com/bellsworks済</v>
      </c>
      <c r="R152" s="17">
        <f>1-(COUNTIF(Q:Q,_xlfn.TEXTJOIN(",",TRUE,テーブル1[[#This Row],[リンク]],テーブル1[[#This Row],[描画状況]]))/COUNTIF(F:F,テーブル1[[#This Row],[リンク]]))</f>
        <v>1</v>
      </c>
      <c r="S152" s="16" t="str">
        <f ca="1">IFERROR(IF(テーブル1[[#This Row],[描画状況]]="",RAND()+(テーブル1[[#This Row],[列2]]*100),""),RAND())</f>
        <v/>
      </c>
      <c r="T152" s="1" t="s">
        <v>459</v>
      </c>
      <c r="U152" s="24" t="str">
        <f ca="1">IF(AND(テーブル1[[#This Row],[描画状況]]="済",テーブル1[[#This Row],[投稿状況]]=""),RAND(),"")</f>
        <v/>
      </c>
      <c r="V152" s="23" t="str">
        <f>"|&amp;image("&amp;テーブル1[[#This Row],[画像]]&amp;".png,width=100,height=100)"</f>
        <v>|&amp;image(tsurune-reya.png,width=100,height=100)</v>
      </c>
      <c r="W152" s="23" t="str">
        <f>"|MIDDLE:​"&amp;テーブル1[[#This Row],[名前]]</f>
        <v>|MIDDLE:​弦音レーヤ</v>
      </c>
      <c r="X152" s="23" t="str">
        <f>"|MIDDLE:​"&amp;テーブル1[[#This Row],[なまえ]]</f>
        <v>|MIDDLE:​つるね れーや</v>
      </c>
      <c r="Y152" s="23" t="str">
        <f>"|MIDDLE:​"&amp;テーブル1[[#This Row],[Name]]</f>
        <v>|MIDDLE:​Tsurune Reya</v>
      </c>
      <c r="Z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6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354</v>
      </c>
      <c r="D153" s="23" t="s">
        <v>355</v>
      </c>
      <c r="E153" s="23" t="s">
        <v>354</v>
      </c>
      <c r="F153" s="2" t="s">
        <v>356</v>
      </c>
      <c r="G153" s="23" t="s">
        <v>357</v>
      </c>
      <c r="P153" s="1" t="s">
        <v>549</v>
      </c>
      <c r="Q153" s="24" t="str">
        <f>テーブル1[[#This Row],[リンク]]&amp;テーブル1[[#This Row],[描画状況]]</f>
        <v>https://kairi0utau.wixsite.com/arugamamanouta済</v>
      </c>
      <c r="R153" s="17">
        <f>1-(COUNTIF(Q:Q,_xlfn.TEXTJOIN(",",TRUE,テーブル1[[#This Row],[リンク]],テーブル1[[#This Row],[描画状況]]))/COUNTIF(F:F,テーブル1[[#This Row],[リンク]]))</f>
        <v>1</v>
      </c>
      <c r="S153" s="16" t="str">
        <f ca="1">IFERROR(IF(テーブル1[[#This Row],[描画状況]]="",RAND()+(テーブル1[[#This Row],[列2]]*100),""),RAND())</f>
        <v/>
      </c>
      <c r="T153" s="1" t="s">
        <v>459</v>
      </c>
      <c r="U153" s="24" t="str">
        <f ca="1">IF(AND(テーブル1[[#This Row],[描画状況]]="済",テーブル1[[#This Row],[投稿状況]]=""),RAND(),"")</f>
        <v/>
      </c>
      <c r="V153" s="23" t="str">
        <f>"|&amp;image("&amp;テーブル1[[#This Row],[画像]]&amp;".png,width=100,height=100)"</f>
        <v>|&amp;image(alma.png,width=100,height=100)</v>
      </c>
      <c r="W153" s="23" t="str">
        <f>"|MIDDLE:​"&amp;テーブル1[[#This Row],[名前]]</f>
        <v>|MIDDLE:​Alma</v>
      </c>
      <c r="X153" s="23" t="str">
        <f>"|MIDDLE:​"&amp;テーブル1[[#This Row],[なまえ]]</f>
        <v>|MIDDLE:​あるま</v>
      </c>
      <c r="Y153" s="23" t="str">
        <f>"|MIDDLE:​"&amp;テーブル1[[#This Row],[Name]]</f>
        <v>|MIDDLE:​Alma</v>
      </c>
      <c r="Z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6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436</v>
      </c>
      <c r="D154" s="23" t="s">
        <v>877</v>
      </c>
      <c r="E154" s="23" t="s">
        <v>1046</v>
      </c>
      <c r="F154" s="2" t="s">
        <v>434</v>
      </c>
      <c r="G154" s="23" t="s">
        <v>435</v>
      </c>
      <c r="P154" s="1" t="s">
        <v>549</v>
      </c>
      <c r="Q154" s="24" t="str">
        <f>テーブル1[[#This Row],[リンク]]&amp;テーブル1[[#This Row],[描画状況]]</f>
        <v>https://makurakue.wixsite.com/kemononokemono済</v>
      </c>
      <c r="R154" s="17">
        <f>1-(COUNTIF(Q:Q,_xlfn.TEXTJOIN(",",TRUE,テーブル1[[#This Row],[リンク]],テーブル1[[#This Row],[描画状況]]))/COUNTIF(F:F,テーブル1[[#This Row],[リンク]]))</f>
        <v>1</v>
      </c>
      <c r="S154" s="16" t="str">
        <f ca="1">IFERROR(IF(テーブル1[[#This Row],[描画状況]]="",RAND()+(テーブル1[[#This Row],[列2]]*100),""),RAND())</f>
        <v/>
      </c>
      <c r="T154" s="1" t="s">
        <v>459</v>
      </c>
      <c r="U154" s="24" t="str">
        <f ca="1">IF(AND(テーブル1[[#This Row],[描画状況]]="済",テーブル1[[#This Row],[投稿状況]]=""),RAND(),"")</f>
        <v/>
      </c>
      <c r="V154" s="23" t="str">
        <f>"|&amp;image("&amp;テーブル1[[#This Row],[画像]]&amp;".png,width=100,height=100)"</f>
        <v>|&amp;image(shirazu-hana.png,width=100,height=100)</v>
      </c>
      <c r="W154" s="23" t="str">
        <f>"|MIDDLE:​"&amp;テーブル1[[#This Row],[名前]]</f>
        <v>|MIDDLE:​不知英</v>
      </c>
      <c r="X154" s="23" t="str">
        <f>"|MIDDLE:​"&amp;テーブル1[[#This Row],[なまえ]]</f>
        <v>|MIDDLE:​しらず はな</v>
      </c>
      <c r="Y154" s="23" t="str">
        <f>"|MIDDLE:​"&amp;テーブル1[[#This Row],[Name]]</f>
        <v>|MIDDLE:​Shirazu Hana</v>
      </c>
      <c r="Z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6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348</v>
      </c>
      <c r="D155" s="23" t="s">
        <v>878</v>
      </c>
      <c r="E155" s="23" t="s">
        <v>1047</v>
      </c>
      <c r="F155" s="2" t="s">
        <v>346</v>
      </c>
      <c r="G155" s="23" t="s">
        <v>347</v>
      </c>
      <c r="O155" s="1" t="s">
        <v>594</v>
      </c>
      <c r="P155" s="1" t="s">
        <v>549</v>
      </c>
      <c r="Q155" s="24" t="str">
        <f>テーブル1[[#This Row],[リンク]]&amp;テーブル1[[#This Row],[描画状況]]</f>
        <v>https://askdance.wixsite.com/monitor-room/monitor-room済</v>
      </c>
      <c r="R155" s="17">
        <f>1-(COUNTIF(Q:Q,_xlfn.TEXTJOIN(",",TRUE,テーブル1[[#This Row],[リンク]],テーブル1[[#This Row],[描画状況]]))/COUNTIF(F:F,テーブル1[[#This Row],[リンク]]))</f>
        <v>1</v>
      </c>
      <c r="S155" s="16" t="str">
        <f ca="1">IFERROR(IF(テーブル1[[#This Row],[描画状況]]="",RAND()+(テーブル1[[#This Row],[列2]]*100),""),RAND())</f>
        <v/>
      </c>
      <c r="T155" s="1" t="s">
        <v>459</v>
      </c>
      <c r="U155" s="24" t="str">
        <f ca="1">IF(AND(テーブル1[[#This Row],[描画状況]]="済",テーブル1[[#This Row],[投稿状況]]=""),RAND(),"")</f>
        <v/>
      </c>
      <c r="V155" s="23" t="str">
        <f>"|&amp;image("&amp;テーブル1[[#This Row],[画像]]&amp;".png,width=100,height=100)"</f>
        <v>|&amp;image(adagoto-kai.png,width=100,height=100)</v>
      </c>
      <c r="W155" s="23" t="str">
        <f>"|MIDDLE:​"&amp;テーブル1[[#This Row],[名前]]</f>
        <v>|MIDDLE:​徒事解</v>
      </c>
      <c r="X155" s="23" t="str">
        <f>"|MIDDLE:​"&amp;テーブル1[[#This Row],[なまえ]]</f>
        <v>|MIDDLE:​あだごと かい</v>
      </c>
      <c r="Y155" s="23" t="str">
        <f>"|MIDDLE:​"&amp;テーブル1[[#This Row],[Name]]</f>
        <v>|MIDDLE:​Adagoto Kai</v>
      </c>
      <c r="Z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6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321</v>
      </c>
      <c r="D156" s="23" t="s">
        <v>879</v>
      </c>
      <c r="E156" s="23" t="s">
        <v>1048</v>
      </c>
      <c r="F156" s="2" t="s">
        <v>90</v>
      </c>
      <c r="G156" s="23" t="s">
        <v>91</v>
      </c>
      <c r="H156" s="23" t="s">
        <v>660</v>
      </c>
      <c r="I156" s="23" t="s">
        <v>719</v>
      </c>
      <c r="P156" s="1" t="s">
        <v>549</v>
      </c>
      <c r="Q156" s="24" t="str">
        <f>テーブル1[[#This Row],[リンク]]&amp;テーブル1[[#This Row],[描画状況]]</f>
        <v>https://kaitoramma.chu.jp済</v>
      </c>
      <c r="R156" s="17">
        <f>1-(COUNTIF(Q:Q,_xlfn.TEXTJOIN(",",TRUE,テーブル1[[#This Row],[リンク]],テーブル1[[#This Row],[描画状況]]))/COUNTIF(F:F,テーブル1[[#This Row],[リンク]]))</f>
        <v>1</v>
      </c>
      <c r="S156" s="16" t="str">
        <f ca="1">IFERROR(IF(テーブル1[[#This Row],[描画状況]]="",RAND()+(テーブル1[[#This Row],[列2]]*100),""),RAND())</f>
        <v/>
      </c>
      <c r="T156" s="1" t="s">
        <v>459</v>
      </c>
      <c r="U156" s="24" t="str">
        <f ca="1">IF(AND(テーブル1[[#This Row],[描画状況]]="済",テーブル1[[#This Row],[投稿状況]]=""),RAND(),"")</f>
        <v/>
      </c>
      <c r="V156" s="23" t="str">
        <f>"|&amp;image("&amp;テーブル1[[#This Row],[画像]]&amp;".png,width=100,height=100)"</f>
        <v>|&amp;image(karane-kodama.png,width=100,height=100)</v>
      </c>
      <c r="W156" s="23" t="str">
        <f>"|MIDDLE:​"&amp;テーブル1[[#This Row],[名前]]</f>
        <v>|MIDDLE:​空音こだま</v>
      </c>
      <c r="X156" s="23" t="str">
        <f>"|MIDDLE:​"&amp;テーブル1[[#This Row],[なまえ]]</f>
        <v>|MIDDLE:​からね こだま</v>
      </c>
      <c r="Y156" s="23" t="str">
        <f>"|MIDDLE:​"&amp;テーブル1[[#This Row],[Name]]</f>
        <v>|MIDDLE:​Karane Kodama</v>
      </c>
      <c r="Z156" s="23" t="str">
        <f>"|MIDDLE:​&amp;link(配布所はこちら){​"&amp;テーブル1[[#This Row],[リンク]]&amp;"}|"</f>
        <v>|MIDDLE:​&amp;link(配布所はこちら){​https://kaitoramma.chu.jp}|</v>
      </c>
    </row>
    <row r="157" spans="1:26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319</v>
      </c>
      <c r="D157" s="23" t="s">
        <v>880</v>
      </c>
      <c r="E157" s="23" t="s">
        <v>1049</v>
      </c>
      <c r="F157" s="2" t="s">
        <v>317</v>
      </c>
      <c r="G157" s="23" t="s">
        <v>320</v>
      </c>
      <c r="O157" s="1" t="s">
        <v>594</v>
      </c>
      <c r="P157" s="1" t="s">
        <v>549</v>
      </c>
      <c r="Q157" s="24" t="str">
        <f>テーブル1[[#This Row],[リンク]]&amp;テーブル1[[#This Row],[描画状況]]</f>
        <v>https://bowlroll.net/user/973681済</v>
      </c>
      <c r="R157" s="17">
        <f>1-(COUNTIF(Q:Q,_xlfn.TEXTJOIN(",",TRUE,テーブル1[[#This Row],[リンク]],テーブル1[[#This Row],[描画状況]]))/COUNTIF(F:F,テーブル1[[#This Row],[リンク]]))</f>
        <v>1</v>
      </c>
      <c r="S157" s="16" t="str">
        <f ca="1">IFERROR(IF(テーブル1[[#This Row],[描画状況]]="",RAND()+(テーブル1[[#This Row],[列2]]*100),""),RAND())</f>
        <v/>
      </c>
      <c r="T157" s="1" t="s">
        <v>459</v>
      </c>
      <c r="U157" s="24" t="str">
        <f ca="1">IF(AND(テーブル1[[#This Row],[描画状況]]="済",テーブル1[[#This Row],[投稿状況]]=""),RAND(),"")</f>
        <v/>
      </c>
      <c r="V157" s="23" t="str">
        <f>"|&amp;image("&amp;テーブル1[[#This Row],[画像]]&amp;".png,width=100,height=100)"</f>
        <v>|&amp;image(shinresu-kishiru.png,width=100,height=100)</v>
      </c>
      <c r="W157" s="23" t="str">
        <f>"|MIDDLE:​"&amp;テーブル1[[#This Row],[名前]]</f>
        <v>|MIDDLE:​芯零須キシル</v>
      </c>
      <c r="X157" s="23" t="str">
        <f>"|MIDDLE:​"&amp;テーブル1[[#This Row],[なまえ]]</f>
        <v>|MIDDLE:​しんれす きしる</v>
      </c>
      <c r="Y157" s="23" t="str">
        <f>"|MIDDLE:​"&amp;テーブル1[[#This Row],[Name]]</f>
        <v>|MIDDLE:​Shinresu Kishiru</v>
      </c>
      <c r="Z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6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404</v>
      </c>
      <c r="D158" s="23" t="s">
        <v>403</v>
      </c>
      <c r="E158" s="23" t="s">
        <v>404</v>
      </c>
      <c r="F158" s="2" t="s">
        <v>176</v>
      </c>
      <c r="G158" s="23" t="s">
        <v>405</v>
      </c>
      <c r="H158" s="23" t="s">
        <v>673</v>
      </c>
      <c r="I158" s="23" t="s">
        <v>670</v>
      </c>
      <c r="J158" s="23" t="s">
        <v>1197</v>
      </c>
      <c r="L158" s="23" t="s">
        <v>1218</v>
      </c>
      <c r="N158" s="23" t="s">
        <v>1205</v>
      </c>
      <c r="O158" s="1" t="s">
        <v>631</v>
      </c>
      <c r="P158" s="1" t="s">
        <v>549</v>
      </c>
      <c r="Q158" s="24" t="str">
        <f>テーブル1[[#This Row],[リンク]]&amp;テーブル1[[#This Row],[描画状況]]</f>
        <v>https://nyaruru.wixsite.com/s-p-w済</v>
      </c>
      <c r="R158" s="17">
        <f>1-(COUNTIF(Q:Q,_xlfn.TEXTJOIN(",",TRUE,テーブル1[[#This Row],[リンク]],テーブル1[[#This Row],[描画状況]]))/COUNTIF(F:F,テーブル1[[#This Row],[リンク]]))</f>
        <v>1</v>
      </c>
      <c r="S158" s="16" t="str">
        <f ca="1">IFERROR(IF(テーブル1[[#This Row],[描画状況]]="",RAND()+(テーブル1[[#This Row],[列2]]*100),""),RAND())</f>
        <v/>
      </c>
      <c r="T158" s="1" t="s">
        <v>459</v>
      </c>
      <c r="U158" s="24" t="str">
        <f ca="1">IF(AND(テーブル1[[#This Row],[描画状況]]="済",テーブル1[[#This Row],[投稿状況]]=""),RAND(),"")</f>
        <v/>
      </c>
      <c r="V158" s="23" t="str">
        <f>"|&amp;image("&amp;テーブル1[[#This Row],[画像]]&amp;".png,width=100,height=100)"</f>
        <v>|&amp;image(key-flow.png,width=100,height=100)</v>
      </c>
      <c r="W158" s="23" t="str">
        <f>"|MIDDLE:​"&amp;テーブル1[[#This Row],[名前]]</f>
        <v>|MIDDLE:​Key.Flow</v>
      </c>
      <c r="X158" s="23" t="str">
        <f>"|MIDDLE:​"&amp;テーブル1[[#This Row],[なまえ]]</f>
        <v>|MIDDLE:​きーふろー</v>
      </c>
      <c r="Y158" s="23" t="str">
        <f>"|MIDDLE:​"&amp;テーブル1[[#This Row],[Name]]</f>
        <v>|MIDDLE:​Key.Flow</v>
      </c>
      <c r="Z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6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448</v>
      </c>
      <c r="D159" s="23" t="s">
        <v>881</v>
      </c>
      <c r="E159" s="24" t="s">
        <v>1050</v>
      </c>
      <c r="F159" s="15" t="s">
        <v>386</v>
      </c>
      <c r="G159" s="23" t="s">
        <v>387</v>
      </c>
      <c r="O159" s="1" t="s">
        <v>594</v>
      </c>
      <c r="P159" s="1" t="s">
        <v>549</v>
      </c>
      <c r="Q159" s="24" t="str">
        <f>テーブル1[[#This Row],[リンク]]&amp;テーブル1[[#This Row],[描画状況]]</f>
        <v>https://flowerrocklove.wixsite.com/twilight-crisis済</v>
      </c>
      <c r="R159" s="17">
        <f>1-(COUNTIF(Q:Q,_xlfn.TEXTJOIN(",",TRUE,テーブル1[[#This Row],[リンク]],テーブル1[[#This Row],[描画状況]]))/COUNTIF(F:F,テーブル1[[#This Row],[リンク]]))</f>
        <v>1</v>
      </c>
      <c r="S159" s="16" t="str">
        <f ca="1">IFERROR(IF(テーブル1[[#This Row],[描画状況]]="",RAND()+(テーブル1[[#This Row],[列2]]*100),""),RAND())</f>
        <v/>
      </c>
      <c r="T159" s="1" t="s">
        <v>459</v>
      </c>
      <c r="U159" s="24" t="str">
        <f ca="1">IF(AND(テーブル1[[#This Row],[描画状況]]="済",テーブル1[[#This Row],[投稿状況]]=""),RAND(),"")</f>
        <v/>
      </c>
      <c r="V159" s="23" t="str">
        <f>"|&amp;image("&amp;テーブル1[[#This Row],[画像]]&amp;".png,width=100,height=100)"</f>
        <v>|&amp;image(silver-destrudo.png,width=100,height=100)</v>
      </c>
      <c r="W159" s="23" t="str">
        <f>"|MIDDLE:​"&amp;テーブル1[[#This Row],[名前]]</f>
        <v>|MIDDLE:​Silver Destrudo</v>
      </c>
      <c r="X159" s="23" t="str">
        <f>"|MIDDLE:​"&amp;テーブル1[[#This Row],[なまえ]]</f>
        <v>|MIDDLE:​しるばー ですとりゅーどー</v>
      </c>
      <c r="Y159" s="23" t="str">
        <f>"|MIDDLE:​"&amp;テーブル1[[#This Row],[Name]]</f>
        <v>|MIDDLE:​Silver Destrudo</v>
      </c>
      <c r="Z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6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400</v>
      </c>
      <c r="D160" s="23" t="s">
        <v>882</v>
      </c>
      <c r="E160" s="23" t="s">
        <v>1051</v>
      </c>
      <c r="F160" s="2" t="s">
        <v>401</v>
      </c>
      <c r="G160" s="23" t="str">
        <f>テーブル1[[#This Row],[名前]]&amp;"(UTAU)"</f>
        <v>マック音サイ(UTAU)</v>
      </c>
      <c r="P160" s="1" t="s">
        <v>549</v>
      </c>
      <c r="Q160" s="24" t="str">
        <f>テーブル1[[#This Row],[リンク]]&amp;テーブル1[[#This Row],[描画状況]]</f>
        <v>https://www.mackhouse-soft.com済</v>
      </c>
      <c r="R160" s="17">
        <f>1-(COUNTIF(Q:Q,_xlfn.TEXTJOIN(",",TRUE,テーブル1[[#This Row],[リンク]],テーブル1[[#This Row],[描画状況]]))/COUNTIF(F:F,テーブル1[[#This Row],[リンク]]))</f>
        <v>1</v>
      </c>
      <c r="S160" s="16" t="str">
        <f ca="1">IFERROR(IF(テーブル1[[#This Row],[描画状況]]="",RAND()+(テーブル1[[#This Row],[列2]]*100),""),RAND())</f>
        <v/>
      </c>
      <c r="T160" s="1" t="s">
        <v>459</v>
      </c>
      <c r="U160" s="24" t="str">
        <f ca="1">IF(AND(テーブル1[[#This Row],[描画状況]]="済",テーブル1[[#This Row],[投稿状況]]=""),RAND(),"")</f>
        <v/>
      </c>
      <c r="V160" s="23" t="str">
        <f>"|&amp;image("&amp;テーブル1[[#This Row],[画像]]&amp;".png,width=100,height=100)"</f>
        <v>|&amp;image(mackne-sai.png,width=100,height=100)</v>
      </c>
      <c r="W160" s="23" t="str">
        <f>"|MIDDLE:​"&amp;テーブル1[[#This Row],[名前]]</f>
        <v>|MIDDLE:​マック音サイ</v>
      </c>
      <c r="X160" s="23" t="str">
        <f>"|MIDDLE:​"&amp;テーブル1[[#This Row],[なまえ]]</f>
        <v>|MIDDLE:​まっくね さい</v>
      </c>
      <c r="Y160" s="23" t="str">
        <f>"|MIDDLE:​"&amp;テーブル1[[#This Row],[Name]]</f>
        <v>|MIDDLE:​Mackne Sai</v>
      </c>
      <c r="Z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6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284</v>
      </c>
      <c r="D161" s="23" t="s">
        <v>883</v>
      </c>
      <c r="E161" s="23" t="s">
        <v>1052</v>
      </c>
      <c r="F161" s="2" t="s">
        <v>43</v>
      </c>
      <c r="G161" s="23" t="s">
        <v>44</v>
      </c>
      <c r="O161" s="1" t="s">
        <v>595</v>
      </c>
      <c r="P161" s="1" t="s">
        <v>549</v>
      </c>
      <c r="Q161" s="24" t="str">
        <f>テーブル1[[#This Row],[リンク]]&amp;テーブル1[[#This Row],[描画状況]]</f>
        <v>https://bellsworks.wixsite.com/bellsworks済</v>
      </c>
      <c r="R161" s="17">
        <f>1-(COUNTIF(Q:Q,_xlfn.TEXTJOIN(",",TRUE,テーブル1[[#This Row],[リンク]],テーブル1[[#This Row],[描画状況]]))/COUNTIF(F:F,テーブル1[[#This Row],[リンク]]))</f>
        <v>1</v>
      </c>
      <c r="S161" s="16" t="str">
        <f ca="1">IFERROR(IF(テーブル1[[#This Row],[描画状況]]="",RAND()+(テーブル1[[#This Row],[列2]]*100),""),RAND())</f>
        <v/>
      </c>
      <c r="T161" s="1" t="s">
        <v>459</v>
      </c>
      <c r="U161" s="24" t="str">
        <f ca="1">IF(AND(テーブル1[[#This Row],[描画状況]]="済",テーブル1[[#This Row],[投稿状況]]=""),RAND(),"")</f>
        <v/>
      </c>
      <c r="V161" s="23" t="str">
        <f>"|&amp;image("&amp;テーブル1[[#This Row],[画像]]&amp;".png,width=100,height=100)"</f>
        <v>|&amp;image(suzuno-yuon.png,width=100,height=100)</v>
      </c>
      <c r="W161" s="23" t="str">
        <f>"|MIDDLE:​"&amp;テーブル1[[#This Row],[名前]]</f>
        <v>|MIDDLE:​鈴音ユオン</v>
      </c>
      <c r="X161" s="23" t="str">
        <f>"|MIDDLE:​"&amp;テーブル1[[#This Row],[なまえ]]</f>
        <v>|MIDDLE:​すずの ゆおん</v>
      </c>
      <c r="Y161" s="23" t="str">
        <f>"|MIDDLE:​"&amp;テーブル1[[#This Row],[Name]]</f>
        <v>|MIDDLE:​Suzuno Yuon</v>
      </c>
      <c r="Z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6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391</v>
      </c>
      <c r="D162" s="23" t="s">
        <v>884</v>
      </c>
      <c r="E162" s="23" t="s">
        <v>1053</v>
      </c>
      <c r="F162" s="2" t="s">
        <v>392</v>
      </c>
      <c r="G162" s="23" t="str">
        <f>テーブル1[[#This Row],[名前]]&amp;"(UTAU)"</f>
        <v>澳音ぱす(UTAU)</v>
      </c>
      <c r="P162" s="1" t="s">
        <v>549</v>
      </c>
      <c r="Q162" s="24" t="str">
        <f>テーブル1[[#This Row],[リンク]]&amp;テーブル1[[#This Row],[描画状況]]</f>
        <v>https://teapartyandmugshelf.wixsite.com/my-site-1済</v>
      </c>
      <c r="R162" s="17">
        <f>1-(COUNTIF(Q:Q,_xlfn.TEXTJOIN(",",TRUE,テーブル1[[#This Row],[リンク]],テーブル1[[#This Row],[描画状況]]))/COUNTIF(F:F,テーブル1[[#This Row],[リンク]]))</f>
        <v>1</v>
      </c>
      <c r="S162" s="16" t="str">
        <f ca="1">IFERROR(IF(テーブル1[[#This Row],[描画状況]]="",RAND()+(テーブル1[[#This Row],[列2]]*100),""),RAND())</f>
        <v/>
      </c>
      <c r="T162" s="1" t="s">
        <v>459</v>
      </c>
      <c r="U162" s="24" t="str">
        <f ca="1">IF(AND(テーブル1[[#This Row],[描画状況]]="済",テーブル1[[#This Row],[投稿状況]]=""),RAND(),"")</f>
        <v/>
      </c>
      <c r="V162" s="23" t="str">
        <f>"|&amp;image("&amp;テーブル1[[#This Row],[画像]]&amp;".png,width=100,height=100)"</f>
        <v>|&amp;image(okuto-pasu.png,width=100,height=100)</v>
      </c>
      <c r="W162" s="23" t="str">
        <f>"|MIDDLE:​"&amp;テーブル1[[#This Row],[名前]]</f>
        <v>|MIDDLE:​澳音ぱす</v>
      </c>
      <c r="X162" s="23" t="str">
        <f>"|MIDDLE:​"&amp;テーブル1[[#This Row],[なまえ]]</f>
        <v>|MIDDLE:​おくと ぱす</v>
      </c>
      <c r="Y162" s="23" t="str">
        <f>"|MIDDLE:​"&amp;テーブル1[[#This Row],[Name]]</f>
        <v>|MIDDLE:​Okuto Pasu</v>
      </c>
      <c r="Z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6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331</v>
      </c>
      <c r="D163" s="23" t="s">
        <v>332</v>
      </c>
      <c r="E163" s="23" t="s">
        <v>333</v>
      </c>
      <c r="F163" s="2" t="s">
        <v>165</v>
      </c>
      <c r="G163" s="23" t="s">
        <v>166</v>
      </c>
      <c r="P163" s="1" t="s">
        <v>549</v>
      </c>
      <c r="Q163" s="24" t="str">
        <f>テーブル1[[#This Row],[リンク]]&amp;テーブル1[[#This Row],[描画状況]]</f>
        <v>https://ne510channel.wixsite.com/website済</v>
      </c>
      <c r="R163" s="17">
        <f>1-(COUNTIF(Q:Q,_xlfn.TEXTJOIN(",",TRUE,テーブル1[[#This Row],[リンク]],テーブル1[[#This Row],[描画状況]]))/COUNTIF(F:F,テーブル1[[#This Row],[リンク]]))</f>
        <v>1</v>
      </c>
      <c r="S163" s="16" t="str">
        <f ca="1">IFERROR(IF(テーブル1[[#This Row],[描画状況]]="",RAND()+(テーブル1[[#This Row],[列2]]*100),""),RAND())</f>
        <v/>
      </c>
      <c r="T163" s="1" t="s">
        <v>459</v>
      </c>
      <c r="U163" s="24" t="str">
        <f ca="1">IF(AND(テーブル1[[#This Row],[描画状況]]="済",テーブル1[[#This Row],[投稿状況]]=""),RAND(),"")</f>
        <v/>
      </c>
      <c r="V163" s="23" t="str">
        <f>"|&amp;image("&amp;テーブル1[[#This Row],[画像]]&amp;".png,width=100,height=100)"</f>
        <v>|&amp;image(pelum.png,width=100,height=100)</v>
      </c>
      <c r="W163" s="23" t="str">
        <f>"|MIDDLE:​"&amp;テーブル1[[#This Row],[名前]]</f>
        <v>|MIDDLE:​ペルム</v>
      </c>
      <c r="X163" s="23" t="str">
        <f>"|MIDDLE:​"&amp;テーブル1[[#This Row],[なまえ]]</f>
        <v>|MIDDLE:​ぺるむ</v>
      </c>
      <c r="Y163" s="23" t="str">
        <f>"|MIDDLE:​"&amp;テーブル1[[#This Row],[Name]]</f>
        <v>|MIDDLE:​Pelum</v>
      </c>
      <c r="Z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6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515</v>
      </c>
      <c r="D164" s="23" t="s">
        <v>885</v>
      </c>
      <c r="E164" s="23" t="s">
        <v>1054</v>
      </c>
      <c r="F164" s="15" t="s">
        <v>481</v>
      </c>
      <c r="G164" s="23" t="s">
        <v>482</v>
      </c>
      <c r="P164" s="1" t="s">
        <v>549</v>
      </c>
      <c r="Q164" s="24" t="str">
        <f>テーブル1[[#This Row],[リンク]]&amp;テーブル1[[#This Row],[描画状況]]</f>
        <v>https://inumokoco.wixsite.com/sleep-church済</v>
      </c>
      <c r="R164" s="17">
        <f>1-(COUNTIF(Q:Q,_xlfn.TEXTJOIN(",",TRUE,テーブル1[[#This Row],[リンク]],テーブル1[[#This Row],[描画状況]]))/COUNTIF(F:F,テーブル1[[#This Row],[リンク]]))</f>
        <v>1</v>
      </c>
      <c r="S164" s="16" t="str">
        <f ca="1">IFERROR(IF(テーブル1[[#This Row],[描画状況]]="",RAND()+(テーブル1[[#This Row],[列2]]*100),""),RAND())</f>
        <v/>
      </c>
      <c r="T164" s="1" t="s">
        <v>459</v>
      </c>
      <c r="U164" s="24" t="str">
        <f ca="1">IF(AND(テーブル1[[#This Row],[描画状況]]="済",テーブル1[[#This Row],[投稿状況]]=""),RAND(),"")</f>
        <v/>
      </c>
      <c r="V164" s="23" t="str">
        <f>"|&amp;image("&amp;テーブル1[[#This Row],[画像]]&amp;".png,width=100,height=100)"</f>
        <v>|&amp;image(kani-haku.png,width=100,height=100)</v>
      </c>
      <c r="W164" s="23" t="str">
        <f>"|MIDDLE:​"&amp;テーブル1[[#This Row],[名前]]</f>
        <v>|MIDDLE:​​棺依ハク</v>
      </c>
      <c r="X164" s="23" t="str">
        <f>"|MIDDLE:​"&amp;テーブル1[[#This Row],[なまえ]]</f>
        <v>|MIDDLE:​かんい はく</v>
      </c>
      <c r="Y164" s="23" t="str">
        <f>"|MIDDLE:​"&amp;テーブル1[[#This Row],[Name]]</f>
        <v>|MIDDLE:​Kani Haku</v>
      </c>
      <c r="Z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6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511</v>
      </c>
      <c r="D165" s="23" t="s">
        <v>886</v>
      </c>
      <c r="E165" s="23" t="s">
        <v>1055</v>
      </c>
      <c r="F165" s="2" t="s">
        <v>512</v>
      </c>
      <c r="G165" s="23" t="s">
        <v>513</v>
      </c>
      <c r="P165" s="1" t="s">
        <v>549</v>
      </c>
      <c r="Q165" s="24" t="str">
        <f>テーブル1[[#This Row],[リンク]]&amp;テーブル1[[#This Row],[描画状況]]</f>
        <v>https://zaregotohitori.wixsite.com/ritsudokishidoku済</v>
      </c>
      <c r="R165" s="17">
        <f>1-(COUNTIF(Q:Q,_xlfn.TEXTJOIN(",",TRUE,テーブル1[[#This Row],[リンク]],テーブル1[[#This Row],[描画状況]]))/COUNTIF(F:F,テーブル1[[#This Row],[リンク]]))</f>
        <v>1</v>
      </c>
      <c r="S165" s="16" t="str">
        <f ca="1">IFERROR(IF(テーブル1[[#This Row],[描画状況]]="",RAND()+(テーブル1[[#This Row],[列2]]*100),""),RAND())</f>
        <v/>
      </c>
      <c r="T165" s="1" t="s">
        <v>459</v>
      </c>
      <c r="U165" s="24" t="str">
        <f ca="1">IF(AND(テーブル1[[#This Row],[描画状況]]="済",テーブル1[[#This Row],[投稿状況]]=""),RAND(),"")</f>
        <v/>
      </c>
      <c r="V165" s="23" t="str">
        <f>"|&amp;image("&amp;テーブル1[[#This Row],[画像]]&amp;".png,width=100,height=100)"</f>
        <v>|&amp;image(	​ritsudoki-shidoku.png,width=100,height=100)</v>
      </c>
      <c r="W165" s="23" t="str">
        <f>"|MIDDLE:​"&amp;テーブル1[[#This Row],[名前]]</f>
        <v>|MIDDLE:​律時シドク</v>
      </c>
      <c r="X165" s="23" t="str">
        <f>"|MIDDLE:​"&amp;テーブル1[[#This Row],[なまえ]]</f>
        <v>|MIDDLE:​りつどき しどく</v>
      </c>
      <c r="Y165" s="23" t="str">
        <f>"|MIDDLE:​"&amp;テーブル1[[#This Row],[Name]]</f>
        <v>|MIDDLE:​	​Ritsudoki Shidoku</v>
      </c>
      <c r="Z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6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452</v>
      </c>
      <c r="D166" s="23" t="s">
        <v>454</v>
      </c>
      <c r="E166" s="23" t="s">
        <v>453</v>
      </c>
      <c r="F166" s="15" t="s">
        <v>455</v>
      </c>
      <c r="G166" s="23" t="str">
        <f>テーブル1[[#This Row],[名前]]&amp;"(UTAU)"</f>
        <v>吟児(UTAU)</v>
      </c>
      <c r="P166" s="1" t="s">
        <v>549</v>
      </c>
      <c r="Q166" s="24" t="str">
        <f>テーブル1[[#This Row],[リンク]]&amp;テーブル1[[#This Row],[描画状況]]</f>
        <v>https://yautau.wixsite.com/0909済</v>
      </c>
      <c r="R166" s="17">
        <f>1-(COUNTIF(Q:Q,_xlfn.TEXTJOIN(",",TRUE,テーブル1[[#This Row],[リンク]],テーブル1[[#This Row],[描画状況]]))/COUNTIF(F:F,テーブル1[[#This Row],[リンク]]))</f>
        <v>1</v>
      </c>
      <c r="S166" s="16" t="str">
        <f ca="1">IFERROR(IF(テーブル1[[#This Row],[描画状況]]="",RAND()+(テーブル1[[#This Row],[列2]]*100),""),RAND())</f>
        <v/>
      </c>
      <c r="T166" s="1" t="s">
        <v>459</v>
      </c>
      <c r="U166" s="24" t="str">
        <f ca="1">IF(AND(テーブル1[[#This Row],[描画状況]]="済",テーブル1[[#This Row],[投稿状況]]=""),RAND(),"")</f>
        <v/>
      </c>
      <c r="V166" s="23" t="str">
        <f>"|&amp;image("&amp;テーブル1[[#This Row],[画像]]&amp;".png,width=100,height=100)"</f>
        <v>|&amp;image(ginji.png,width=100,height=100)</v>
      </c>
      <c r="W166" s="23" t="str">
        <f>"|MIDDLE:​"&amp;テーブル1[[#This Row],[名前]]</f>
        <v>|MIDDLE:​吟児</v>
      </c>
      <c r="X166" s="23" t="str">
        <f>"|MIDDLE:​"&amp;テーブル1[[#This Row],[なまえ]]</f>
        <v>|MIDDLE:​ぎんじ</v>
      </c>
      <c r="Y166" s="23" t="str">
        <f>"|MIDDLE:​"&amp;テーブル1[[#This Row],[Name]]</f>
        <v>|MIDDLE:​Ginji</v>
      </c>
      <c r="Z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6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587</v>
      </c>
      <c r="D167" s="23" t="s">
        <v>351</v>
      </c>
      <c r="E167" s="23" t="s">
        <v>352</v>
      </c>
      <c r="F167" s="2" t="s">
        <v>410</v>
      </c>
      <c r="G167" s="23" t="s">
        <v>353</v>
      </c>
      <c r="P167" s="1" t="s">
        <v>549</v>
      </c>
      <c r="Q167" s="24" t="str">
        <f>テーブル1[[#This Row],[リンク]]&amp;テーブル1[[#This Row],[描画状況]]</f>
        <v>https://piku.page/@toitoitoi23済</v>
      </c>
      <c r="R167" s="17">
        <f>1-(COUNTIF(Q:Q,_xlfn.TEXTJOIN(",",TRUE,テーブル1[[#This Row],[リンク]],テーブル1[[#This Row],[描画状況]]))/COUNTIF(F:F,テーブル1[[#This Row],[リンク]]))</f>
        <v>1</v>
      </c>
      <c r="S167" s="16" t="str">
        <f ca="1">IFERROR(IF(テーブル1[[#This Row],[描画状況]]="",RAND()+(テーブル1[[#This Row],[列2]]*100),""),RAND())</f>
        <v/>
      </c>
      <c r="T167" s="1" t="s">
        <v>459</v>
      </c>
      <c r="U167" s="24" t="str">
        <f ca="1">IF(AND(テーブル1[[#This Row],[描画状況]]="済",テーブル1[[#This Row],[投稿状況]]=""),RAND(),"")</f>
        <v/>
      </c>
      <c r="V167" s="23" t="str">
        <f>"|&amp;image("&amp;テーブル1[[#This Row],[画像]]&amp;".png,width=100,height=100)"</f>
        <v>|&amp;image(tamura-shun.png,width=100,height=100)</v>
      </c>
      <c r="W167" s="23" t="str">
        <f>"|MIDDLE:​"&amp;テーブル1[[#This Row],[名前]]</f>
        <v>|MIDDLE:​田村春</v>
      </c>
      <c r="X167" s="23" t="str">
        <f>"|MIDDLE:​"&amp;テーブル1[[#This Row],[なまえ]]</f>
        <v>|MIDDLE:​たむら しゅん</v>
      </c>
      <c r="Y167" s="23" t="str">
        <f>"|MIDDLE:​"&amp;テーブル1[[#This Row],[Name]]</f>
        <v>|MIDDLE:​Tamura Shun</v>
      </c>
      <c r="Z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6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433</v>
      </c>
      <c r="D168" s="23" t="s">
        <v>887</v>
      </c>
      <c r="E168" s="23" t="s">
        <v>1056</v>
      </c>
      <c r="F168" s="2" t="s">
        <v>434</v>
      </c>
      <c r="G168" s="23" t="s">
        <v>435</v>
      </c>
      <c r="P168" s="1" t="s">
        <v>549</v>
      </c>
      <c r="Q168" s="24" t="str">
        <f>テーブル1[[#This Row],[リンク]]&amp;テーブル1[[#This Row],[描画状況]]</f>
        <v>https://makurakue.wixsite.com/kemononokemono済</v>
      </c>
      <c r="R168" s="17">
        <f>1-(COUNTIF(Q:Q,_xlfn.TEXTJOIN(",",TRUE,テーブル1[[#This Row],[リンク]],テーブル1[[#This Row],[描画状況]]))/COUNTIF(F:F,テーブル1[[#This Row],[リンク]]))</f>
        <v>1</v>
      </c>
      <c r="S168" s="16" t="str">
        <f ca="1">IFERROR(IF(テーブル1[[#This Row],[描画状況]]="",RAND()+(テーブル1[[#This Row],[列2]]*100),""),RAND())</f>
        <v/>
      </c>
      <c r="T168" s="1" t="s">
        <v>459</v>
      </c>
      <c r="U168" s="24" t="str">
        <f ca="1">IF(AND(テーブル1[[#This Row],[描画状況]]="済",テーブル1[[#This Row],[投稿状況]]=""),RAND(),"")</f>
        <v/>
      </c>
      <c r="V168" s="23" t="str">
        <f>"|&amp;image("&amp;テーブル1[[#This Row],[画像]]&amp;".png,width=100,height=100)"</f>
        <v>|&amp;image(yakumo-shio.png,width=100,height=100)</v>
      </c>
      <c r="W168" s="23" t="str">
        <f>"|MIDDLE:​"&amp;テーブル1[[#This Row],[名前]]</f>
        <v>|MIDDLE:​八雲しお</v>
      </c>
      <c r="X168" s="23" t="str">
        <f>"|MIDDLE:​"&amp;テーブル1[[#This Row],[なまえ]]</f>
        <v>|MIDDLE:​やくも しお</v>
      </c>
      <c r="Y168" s="23" t="str">
        <f>"|MIDDLE:​"&amp;テーブル1[[#This Row],[Name]]</f>
        <v>|MIDDLE:​Yakumo Shio</v>
      </c>
      <c r="Z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6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306</v>
      </c>
      <c r="E169" s="23" t="s">
        <v>307</v>
      </c>
      <c r="F169" s="2" t="s">
        <v>308</v>
      </c>
      <c r="G169" s="23" t="s">
        <v>309</v>
      </c>
      <c r="P169" s="1" t="s">
        <v>549</v>
      </c>
      <c r="Q169" s="24" t="str">
        <f>テーブル1[[#This Row],[リンク]]&amp;テーブル1[[#This Row],[描画状況]]</f>
        <v>https://nanarabo626.studio.site済</v>
      </c>
      <c r="R169" s="17">
        <f>1-(COUNTIF(Q:Q,_xlfn.TEXTJOIN(",",TRUE,テーブル1[[#This Row],[リンク]],テーブル1[[#This Row],[描画状況]]))/COUNTIF(F:F,テーブル1[[#This Row],[リンク]]))</f>
        <v>1</v>
      </c>
      <c r="S169" s="16" t="str">
        <f ca="1">IFERROR(IF(テーブル1[[#This Row],[描画状況]]="",RAND()+(テーブル1[[#This Row],[列2]]*100),""),RAND())</f>
        <v/>
      </c>
      <c r="T169" s="1" t="s">
        <v>459</v>
      </c>
      <c r="U169" s="24" t="str">
        <f ca="1">IF(AND(テーブル1[[#This Row],[描画状況]]="済",テーブル1[[#This Row],[投稿状況]]=""),RAND(),"")</f>
        <v/>
      </c>
      <c r="V169" s="23" t="str">
        <f>"|&amp;image("&amp;テーブル1[[#This Row],[画像]]&amp;".png,width=100,height=100)"</f>
        <v>|&amp;image(mutsuro.png,width=100,height=100)</v>
      </c>
      <c r="W169" s="23" t="str">
        <f>"|MIDDLE:​"&amp;テーブル1[[#This Row],[名前]]</f>
        <v>|MIDDLE:​626</v>
      </c>
      <c r="X169" s="23" t="str">
        <f>"|MIDDLE:​"&amp;テーブル1[[#This Row],[なまえ]]</f>
        <v>|MIDDLE:​むつろ</v>
      </c>
      <c r="Y169" s="23" t="str">
        <f>"|MIDDLE:​"&amp;テーブル1[[#This Row],[Name]]</f>
        <v>|MIDDLE:​Mutsuro</v>
      </c>
      <c r="Z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6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442</v>
      </c>
      <c r="D170" s="23" t="s">
        <v>888</v>
      </c>
      <c r="E170" s="23" t="s">
        <v>1057</v>
      </c>
      <c r="F170" s="2" t="s">
        <v>440</v>
      </c>
      <c r="G170" s="23" t="s">
        <v>441</v>
      </c>
      <c r="P170" s="1" t="s">
        <v>549</v>
      </c>
      <c r="Q170" s="24" t="str">
        <f>テーブル1[[#This Row],[リンク]]&amp;テーブル1[[#This Row],[描画状況]]</f>
        <v>https://kaedekatusaki.wixsite.com/yanagiroutyou済</v>
      </c>
      <c r="R170" s="17">
        <f>1-(COUNTIF(Q:Q,_xlfn.TEXTJOIN(",",TRUE,テーブル1[[#This Row],[リンク]],テーブル1[[#This Row],[描画状況]]))/COUNTIF(F:F,テーブル1[[#This Row],[リンク]]))</f>
        <v>1</v>
      </c>
      <c r="S170" s="16" t="str">
        <f ca="1">IFERROR(IF(テーブル1[[#This Row],[描画状況]]="",RAND()+(テーブル1[[#This Row],[列2]]*100),""),RAND())</f>
        <v/>
      </c>
      <c r="T170" s="1" t="s">
        <v>459</v>
      </c>
      <c r="U170" s="24" t="str">
        <f ca="1">IF(AND(テーブル1[[#This Row],[描画状況]]="済",テーブル1[[#This Row],[投稿状況]]=""),RAND(),"")</f>
        <v/>
      </c>
      <c r="V170" s="23" t="str">
        <f>"|&amp;image("&amp;テーブル1[[#This Row],[画像]]&amp;".png,width=100,height=100)"</f>
        <v>|&amp;image(yogen-kore.png,width=100,height=100)</v>
      </c>
      <c r="W170" s="23" t="str">
        <f>"|MIDDLE:​"&amp;テーブル1[[#This Row],[名前]]</f>
        <v>|MIDDLE:​踊弦コレ</v>
      </c>
      <c r="X170" s="23" t="str">
        <f>"|MIDDLE:​"&amp;テーブル1[[#This Row],[なまえ]]</f>
        <v>|MIDDLE:​ようげん これ</v>
      </c>
      <c r="Y170" s="23" t="str">
        <f>"|MIDDLE:​"&amp;テーブル1[[#This Row],[Name]]</f>
        <v>|MIDDLE:​Yogen Kore</v>
      </c>
      <c r="Z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6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343</v>
      </c>
      <c r="D171" s="23" t="s">
        <v>344</v>
      </c>
      <c r="E171" s="23" t="s">
        <v>345</v>
      </c>
      <c r="F171" s="2" t="s">
        <v>61</v>
      </c>
      <c r="G171" s="23" t="s">
        <v>62</v>
      </c>
      <c r="H171" s="23" t="s">
        <v>661</v>
      </c>
      <c r="I171" s="23" t="s">
        <v>669</v>
      </c>
      <c r="M171" s="23" t="s">
        <v>708</v>
      </c>
      <c r="N171" s="23" t="s">
        <v>1298</v>
      </c>
      <c r="O171" s="1" t="s">
        <v>595</v>
      </c>
      <c r="P171" s="1" t="s">
        <v>549</v>
      </c>
      <c r="Q171" s="24" t="str">
        <f>テーブル1[[#This Row],[リンク]]&amp;テーブル1[[#This Row],[描画状況]]</f>
        <v>https://cloudcatch1224.wixsite.com/godsfoot済</v>
      </c>
      <c r="R171" s="17">
        <f>1-(COUNTIF(Q:Q,_xlfn.TEXTJOIN(",",TRUE,テーブル1[[#This Row],[リンク]],テーブル1[[#This Row],[描画状況]]))/COUNTIF(F:F,テーブル1[[#This Row],[リンク]]))</f>
        <v>1</v>
      </c>
      <c r="S171" s="16" t="str">
        <f ca="1">IFERROR(IF(テーブル1[[#This Row],[描画状況]]="",RAND()+(テーブル1[[#This Row],[列2]]*100),""),RAND())</f>
        <v/>
      </c>
      <c r="T171" s="1" t="s">
        <v>459</v>
      </c>
      <c r="U171" s="24" t="str">
        <f ca="1">IF(AND(テーブル1[[#This Row],[描画状況]]="済",テーブル1[[#This Row],[投稿状況]]=""),RAND(),"")</f>
        <v/>
      </c>
      <c r="V171" s="23" t="str">
        <f>"|&amp;image("&amp;テーブル1[[#This Row],[画像]]&amp;".png,width=100,height=100)"</f>
        <v>|&amp;image(heiro.png,width=100,height=100)</v>
      </c>
      <c r="W171" s="23" t="str">
        <f>"|MIDDLE:​"&amp;テーブル1[[#This Row],[名前]]</f>
        <v>|MIDDLE:​閉路</v>
      </c>
      <c r="X171" s="23" t="str">
        <f>"|MIDDLE:​"&amp;テーブル1[[#This Row],[なまえ]]</f>
        <v>|MIDDLE:​へいろ</v>
      </c>
      <c r="Y171" s="23" t="str">
        <f>"|MIDDLE:​"&amp;テーブル1[[#This Row],[Name]]</f>
        <v>|MIDDLE:​Heiro</v>
      </c>
      <c r="Z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6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364</v>
      </c>
      <c r="D172" s="23" t="s">
        <v>889</v>
      </c>
      <c r="E172" s="23" t="s">
        <v>1058</v>
      </c>
      <c r="F172" s="2" t="s">
        <v>365</v>
      </c>
      <c r="G172" s="23" t="s">
        <v>366</v>
      </c>
      <c r="P172" s="1" t="s">
        <v>549</v>
      </c>
      <c r="Q172" s="24" t="str">
        <f>テーブル1[[#This Row],[リンク]]&amp;テーブル1[[#This Row],[描画状況]]</f>
        <v>https://sites.google.com/view/qsuke-garden/home済</v>
      </c>
      <c r="R172" s="17">
        <f>1-(COUNTIF(Q:Q,_xlfn.TEXTJOIN(",",TRUE,テーブル1[[#This Row],[リンク]],テーブル1[[#This Row],[描画状況]]))/COUNTIF(F:F,テーブル1[[#This Row],[リンク]]))</f>
        <v>1</v>
      </c>
      <c r="S172" s="16" t="str">
        <f ca="1">IFERROR(IF(テーブル1[[#This Row],[描画状況]]="",RAND()+(テーブル1[[#This Row],[列2]]*100),""),RAND())</f>
        <v/>
      </c>
      <c r="T172" s="1" t="s">
        <v>459</v>
      </c>
      <c r="U172" s="24" t="str">
        <f ca="1">IF(AND(テーブル1[[#This Row],[描画状況]]="済",テーブル1[[#This Row],[投稿状況]]=""),RAND(),"")</f>
        <v/>
      </c>
      <c r="V172" s="23" t="str">
        <f>"|&amp;image("&amp;テーブル1[[#This Row],[画像]]&amp;".png,width=100,height=100)"</f>
        <v>|&amp;image(kyusaku-q.png,width=100,height=100)</v>
      </c>
      <c r="W172" s="23" t="str">
        <f>"|MIDDLE:​"&amp;テーブル1[[#This Row],[名前]]</f>
        <v>|MIDDLE:​九作：Ｑ</v>
      </c>
      <c r="X172" s="23" t="str">
        <f>"|MIDDLE:​"&amp;テーブル1[[#This Row],[なまえ]]</f>
        <v>|MIDDLE:​きゅうさく きゅう</v>
      </c>
      <c r="Y172" s="23" t="str">
        <f>"|MIDDLE:​"&amp;テーブル1[[#This Row],[Name]]</f>
        <v>|MIDDLE:​Kyusaku Q</v>
      </c>
      <c r="Z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6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310</v>
      </c>
      <c r="E173" s="23" t="s">
        <v>311</v>
      </c>
      <c r="F173" s="2" t="s">
        <v>308</v>
      </c>
      <c r="G173" s="23" t="s">
        <v>312</v>
      </c>
      <c r="P173" s="1" t="s">
        <v>549</v>
      </c>
      <c r="Q173" s="24" t="str">
        <f>テーブル1[[#This Row],[リンク]]&amp;テーブル1[[#This Row],[描画状況]]</f>
        <v>https://nanarabo626.studio.site済</v>
      </c>
      <c r="R173" s="17">
        <f>1-(COUNTIF(Q:Q,_xlfn.TEXTJOIN(",",TRUE,テーブル1[[#This Row],[リンク]],テーブル1[[#This Row],[描画状況]]))/COUNTIF(F:F,テーブル1[[#This Row],[リンク]]))</f>
        <v>1</v>
      </c>
      <c r="S173" s="16" t="str">
        <f ca="1">IFERROR(IF(テーブル1[[#This Row],[描画状況]]="",RAND()+(テーブル1[[#This Row],[列2]]*100),""),RAND())</f>
        <v/>
      </c>
      <c r="T173" s="1" t="s">
        <v>459</v>
      </c>
      <c r="U173" s="24" t="str">
        <f ca="1">IF(AND(テーブル1[[#This Row],[描画状況]]="済",テーブル1[[#This Row],[投稿状況]]=""),RAND(),"")</f>
        <v/>
      </c>
      <c r="V173" s="23" t="str">
        <f>"|&amp;image("&amp;テーブル1[[#This Row],[画像]]&amp;".png,width=100,height=100)"</f>
        <v>|&amp;image(hiiro.png,width=100,height=100)</v>
      </c>
      <c r="W173" s="23" t="str">
        <f>"|MIDDLE:​"&amp;テーブル1[[#This Row],[名前]]</f>
        <v>|MIDDLE:​116</v>
      </c>
      <c r="X173" s="23" t="str">
        <f>"|MIDDLE:​"&amp;テーブル1[[#This Row],[なまえ]]</f>
        <v>|MIDDLE:​ひいろ</v>
      </c>
      <c r="Y173" s="23" t="str">
        <f>"|MIDDLE:​"&amp;テーブル1[[#This Row],[Name]]</f>
        <v>|MIDDLE:​Hiiro</v>
      </c>
      <c r="Z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6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493</v>
      </c>
      <c r="D174" s="23" t="s">
        <v>494</v>
      </c>
      <c r="E174" s="23" t="s">
        <v>495</v>
      </c>
      <c r="F174" s="15" t="s">
        <v>514</v>
      </c>
      <c r="G174" s="23" t="s">
        <v>496</v>
      </c>
      <c r="P174" s="1" t="s">
        <v>549</v>
      </c>
      <c r="Q174" s="24" t="str">
        <f>テーブル1[[#This Row],[リンク]]&amp;テーブル1[[#This Row],[描画状況]]</f>
        <v>https://makaron3264.wixsite.com/utauotoohana済</v>
      </c>
      <c r="R174" s="17">
        <f>1-(COUNTIF(Q:Q,_xlfn.TEXTJOIN(",",TRUE,テーブル1[[#This Row],[リンク]],テーブル1[[#This Row],[描画状況]]))/COUNTIF(F:F,テーブル1[[#This Row],[リンク]]))</f>
        <v>1</v>
      </c>
      <c r="S174" s="16" t="str">
        <f ca="1">IFERROR(IF(テーブル1[[#This Row],[描画状況]]="",RAND()+(テーブル1[[#This Row],[列2]]*100),""),RAND())</f>
        <v/>
      </c>
      <c r="T174" s="1" t="s">
        <v>459</v>
      </c>
      <c r="U174" s="24" t="str">
        <f ca="1">IF(AND(テーブル1[[#This Row],[描画状況]]="済",テーブル1[[#This Row],[投稿状況]]=""),RAND(),"")</f>
        <v/>
      </c>
      <c r="V174" s="23" t="str">
        <f>"|&amp;image("&amp;テーブル1[[#This Row],[画像]]&amp;".png,width=100,height=100)"</f>
        <v>|&amp;image(jido.png,width=100,height=100)</v>
      </c>
      <c r="W174" s="23" t="str">
        <f>"|MIDDLE:​"&amp;テーブル1[[#This Row],[名前]]</f>
        <v>|MIDDLE:​ジド</v>
      </c>
      <c r="X174" s="23" t="str">
        <f>"|MIDDLE:​"&amp;テーブル1[[#This Row],[なまえ]]</f>
        <v>|MIDDLE:​じど</v>
      </c>
      <c r="Y174" s="23" t="str">
        <f>"|MIDDLE:​"&amp;テーブル1[[#This Row],[Name]]</f>
        <v>|MIDDLE:​Jido</v>
      </c>
      <c r="Z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6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316</v>
      </c>
      <c r="D175" s="23" t="s">
        <v>890</v>
      </c>
      <c r="E175" s="23" t="s">
        <v>1059</v>
      </c>
      <c r="F175" s="2" t="s">
        <v>317</v>
      </c>
      <c r="G175" s="23" t="s">
        <v>318</v>
      </c>
      <c r="O175" s="1" t="s">
        <v>594</v>
      </c>
      <c r="P175" s="1" t="s">
        <v>549</v>
      </c>
      <c r="Q175" s="24" t="str">
        <f>テーブル1[[#This Row],[リンク]]&amp;テーブル1[[#This Row],[描画状況]]</f>
        <v>https://bowlroll.net/user/973681済</v>
      </c>
      <c r="R175" s="17">
        <f>1-(COUNTIF(Q:Q,_xlfn.TEXTJOIN(",",TRUE,テーブル1[[#This Row],[リンク]],テーブル1[[#This Row],[描画状況]]))/COUNTIF(F:F,テーブル1[[#This Row],[リンク]]))</f>
        <v>1</v>
      </c>
      <c r="S175" s="16" t="str">
        <f ca="1">IFERROR(IF(テーブル1[[#This Row],[描画状況]]="",RAND()+(テーブル1[[#This Row],[列2]]*100),""),RAND())</f>
        <v/>
      </c>
      <c r="T175" s="1" t="s">
        <v>459</v>
      </c>
      <c r="U175" s="24" t="str">
        <f ca="1">IF(AND(テーブル1[[#This Row],[描画状況]]="済",テーブル1[[#This Row],[投稿状況]]=""),RAND(),"")</f>
        <v/>
      </c>
      <c r="V175" s="23" t="str">
        <f>"|&amp;image("&amp;テーブル1[[#This Row],[画像]]&amp;".png,width=100,height=100)"</f>
        <v>|&amp;image(shuchika-pino.png,width=100,height=100)</v>
      </c>
      <c r="W175" s="23" t="str">
        <f>"|MIDDLE:​"&amp;テーブル1[[#This Row],[名前]]</f>
        <v>|MIDDLE:​守智歌ピノ</v>
      </c>
      <c r="X175" s="23" t="str">
        <f>"|MIDDLE:​"&amp;テーブル1[[#This Row],[なまえ]]</f>
        <v>|MIDDLE:​しゅちか ぴの</v>
      </c>
      <c r="Y175" s="23" t="str">
        <f>"|MIDDLE:​"&amp;テーブル1[[#This Row],[Name]]</f>
        <v>|MIDDLE:​Shuchika Pino</v>
      </c>
      <c r="Z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6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443</v>
      </c>
      <c r="D176" s="23" t="s">
        <v>891</v>
      </c>
      <c r="E176" s="23" t="s">
        <v>1060</v>
      </c>
      <c r="F176" s="15" t="s">
        <v>502</v>
      </c>
      <c r="G176" s="23" t="s">
        <v>444</v>
      </c>
      <c r="P176" s="1" t="s">
        <v>549</v>
      </c>
      <c r="Q176" s="24" t="str">
        <f>テーブル1[[#This Row],[リンク]]&amp;テーブル1[[#This Row],[描画状況]]</f>
        <v>https://zsxcvhjnhh.wixsite.com/yukirakira済</v>
      </c>
      <c r="R176" s="17">
        <f>1-(COUNTIF(Q:Q,_xlfn.TEXTJOIN(",",TRUE,テーブル1[[#This Row],[リンク]],テーブル1[[#This Row],[描画状況]]))/COUNTIF(F:F,テーブル1[[#This Row],[リンク]]))</f>
        <v>1</v>
      </c>
      <c r="S176" s="16" t="str">
        <f ca="1">IFERROR(IF(テーブル1[[#This Row],[描画状況]]="",RAND()+(テーブル1[[#This Row],[列2]]*100),""),RAND())</f>
        <v/>
      </c>
      <c r="T176" s="1" t="s">
        <v>459</v>
      </c>
      <c r="U176" s="24" t="str">
        <f ca="1">IF(AND(テーブル1[[#This Row],[描画状況]]="済",テーブル1[[#This Row],[投稿状況]]=""),RAND(),"")</f>
        <v/>
      </c>
      <c r="V176" s="23" t="str">
        <f>"|&amp;image("&amp;テーブル1[[#This Row],[画像]]&amp;".png,width=100,height=100)"</f>
        <v>|&amp;image(gosetsu-machimaru.png,width=100,height=100)</v>
      </c>
      <c r="W176" s="23" t="str">
        <f>"|MIDDLE:​"&amp;テーブル1[[#This Row],[名前]]</f>
        <v>|MIDDLE:​轟雪マチ丸</v>
      </c>
      <c r="X176" s="23" t="str">
        <f>"|MIDDLE:​"&amp;テーブル1[[#This Row],[なまえ]]</f>
        <v>|MIDDLE:​ごうせつ まちまる</v>
      </c>
      <c r="Y176" s="23" t="str">
        <f>"|MIDDLE:​"&amp;テーブル1[[#This Row],[Name]]</f>
        <v>|MIDDLE:​Gosetsu Machimaru</v>
      </c>
      <c r="Z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6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503</v>
      </c>
      <c r="D177" s="23" t="s">
        <v>504</v>
      </c>
      <c r="E177" s="23" t="s">
        <v>505</v>
      </c>
      <c r="F177" s="15" t="s">
        <v>506</v>
      </c>
      <c r="G177" s="23" t="s">
        <v>507</v>
      </c>
      <c r="P177" s="1" t="s">
        <v>549</v>
      </c>
      <c r="Q177" s="24" t="str">
        <f>テーブル1[[#This Row],[リンク]]&amp;テーブル1[[#This Row],[描画状況]]</f>
        <v>https://tropicalsamejima.wixsite.com/oyutau済</v>
      </c>
      <c r="R177" s="17">
        <f>1-(COUNTIF(Q:Q,_xlfn.TEXTJOIN(",",TRUE,テーブル1[[#This Row],[リンク]],テーブル1[[#This Row],[描画状況]]))/COUNTIF(F:F,テーブル1[[#This Row],[リンク]]))</f>
        <v>1</v>
      </c>
      <c r="S177" s="16" t="str">
        <f ca="1">IFERROR(IF(テーブル1[[#This Row],[描画状況]]="",RAND()+(テーブル1[[#This Row],[列2]]*100),""),RAND())</f>
        <v/>
      </c>
      <c r="T177" s="1" t="s">
        <v>459</v>
      </c>
      <c r="U177" s="24" t="str">
        <f ca="1">IF(AND(テーブル1[[#This Row],[描画状況]]="済",テーブル1[[#This Row],[投稿状況]]=""),RAND(),"")</f>
        <v/>
      </c>
      <c r="V177" s="23" t="str">
        <f>"|&amp;image("&amp;テーブル1[[#This Row],[画像]]&amp;".png,width=100,height=100)"</f>
        <v>|&amp;image(momonuma.png,width=100,height=100)</v>
      </c>
      <c r="W177" s="23" t="str">
        <f>"|MIDDLE:​"&amp;テーブル1[[#This Row],[名前]]</f>
        <v>|MIDDLE:​桃沼</v>
      </c>
      <c r="X177" s="23" t="str">
        <f>"|MIDDLE:​"&amp;テーブル1[[#This Row],[なまえ]]</f>
        <v>|MIDDLE:​ももぬま</v>
      </c>
      <c r="Y177" s="23" t="str">
        <f>"|MIDDLE:​"&amp;テーブル1[[#This Row],[Name]]</f>
        <v>|MIDDLE:​Momonuma</v>
      </c>
      <c r="Z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6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588</v>
      </c>
      <c r="D178" s="23" t="s">
        <v>892</v>
      </c>
      <c r="E178" s="23" t="s">
        <v>1061</v>
      </c>
      <c r="F178" s="2" t="s">
        <v>43</v>
      </c>
      <c r="G178" s="23" t="s">
        <v>44</v>
      </c>
      <c r="O178" s="1" t="s">
        <v>595</v>
      </c>
      <c r="P178" s="1" t="s">
        <v>549</v>
      </c>
      <c r="Q178" s="24" t="str">
        <f>テーブル1[[#This Row],[リンク]]&amp;テーブル1[[#This Row],[描画状況]]</f>
        <v>https://bellsworks.wixsite.com/bellsworks済</v>
      </c>
      <c r="R178" s="17">
        <f>1-(COUNTIF(Q:Q,_xlfn.TEXTJOIN(",",TRUE,テーブル1[[#This Row],[リンク]],テーブル1[[#This Row],[描画状況]]))/COUNTIF(F:F,テーブル1[[#This Row],[リンク]]))</f>
        <v>1</v>
      </c>
      <c r="S178" s="16" t="str">
        <f ca="1">IFERROR(IF(テーブル1[[#This Row],[描画状況]]="",RAND()+(テーブル1[[#This Row],[列2]]*100),""),RAND())</f>
        <v/>
      </c>
      <c r="T178" s="1" t="s">
        <v>459</v>
      </c>
      <c r="U178" s="24" t="str">
        <f ca="1">IF(AND(テーブル1[[#This Row],[描画状況]]="済",テーブル1[[#This Row],[投稿状況]]=""),RAND(),"")</f>
        <v/>
      </c>
      <c r="V178" s="23" t="str">
        <f>"|&amp;image("&amp;テーブル1[[#This Row],[画像]]&amp;".png,width=100,height=100)"</f>
        <v>|&amp;image(tsuzune-kohaku.png,width=100,height=100)</v>
      </c>
      <c r="W178" s="23" t="str">
        <f>"|MIDDLE:​"&amp;テーブル1[[#This Row],[名前]]</f>
        <v>|MIDDLE:​鼓音コハク</v>
      </c>
      <c r="X178" s="23" t="str">
        <f>"|MIDDLE:​"&amp;テーブル1[[#This Row],[なまえ]]</f>
        <v>|MIDDLE:​つづね こはく</v>
      </c>
      <c r="Y178" s="23" t="str">
        <f>"|MIDDLE:​"&amp;テーブル1[[#This Row],[Name]]</f>
        <v>|MIDDLE:​Tsuzune Kohaku</v>
      </c>
      <c r="Z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6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402</v>
      </c>
      <c r="D179" s="23" t="s">
        <v>893</v>
      </c>
      <c r="E179" s="23" t="s">
        <v>1062</v>
      </c>
      <c r="F179" s="2" t="s">
        <v>401</v>
      </c>
      <c r="G179" s="23" t="str">
        <f>テーブル1[[#This Row],[名前]]&amp;"(UTAU)"</f>
        <v>マック音ヒトキ(UTAU)</v>
      </c>
      <c r="P179" s="1" t="s">
        <v>549</v>
      </c>
      <c r="Q179" s="24" t="str">
        <f>テーブル1[[#This Row],[リンク]]&amp;テーブル1[[#This Row],[描画状況]]</f>
        <v>https://www.mackhouse-soft.com済</v>
      </c>
      <c r="R179" s="17">
        <f>1-(COUNTIF(Q:Q,_xlfn.TEXTJOIN(",",TRUE,テーブル1[[#This Row],[リンク]],テーブル1[[#This Row],[描画状況]]))/COUNTIF(F:F,テーブル1[[#This Row],[リンク]]))</f>
        <v>1</v>
      </c>
      <c r="S179" s="16" t="str">
        <f ca="1">IFERROR(IF(テーブル1[[#This Row],[描画状況]]="",RAND()+(テーブル1[[#This Row],[列2]]*100),""),RAND())</f>
        <v/>
      </c>
      <c r="T179" s="1" t="s">
        <v>459</v>
      </c>
      <c r="U179" s="24" t="str">
        <f ca="1">IF(AND(テーブル1[[#This Row],[描画状況]]="済",テーブル1[[#This Row],[投稿状況]]=""),RAND(),"")</f>
        <v/>
      </c>
      <c r="V179" s="23" t="str">
        <f>"|&amp;image("&amp;テーブル1[[#This Row],[画像]]&amp;".png,width=100,height=100)"</f>
        <v>|&amp;image(mackne-hitoki.png,width=100,height=100)</v>
      </c>
      <c r="W179" s="23" t="str">
        <f>"|MIDDLE:​"&amp;テーブル1[[#This Row],[名前]]</f>
        <v>|MIDDLE:​マック音ヒトキ</v>
      </c>
      <c r="X179" s="23" t="str">
        <f>"|MIDDLE:​"&amp;テーブル1[[#This Row],[なまえ]]</f>
        <v>|MIDDLE:​まっくね ひとき</v>
      </c>
      <c r="Y179" s="23" t="str">
        <f>"|MIDDLE:​"&amp;テーブル1[[#This Row],[Name]]</f>
        <v>|MIDDLE:​Mackne Hitoki</v>
      </c>
      <c r="Z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6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297</v>
      </c>
      <c r="D180" s="23" t="s">
        <v>298</v>
      </c>
      <c r="E180" s="23" t="s">
        <v>299</v>
      </c>
      <c r="F180" s="2" t="s">
        <v>129</v>
      </c>
      <c r="G180" s="23" t="s">
        <v>300</v>
      </c>
      <c r="P180" s="1" t="s">
        <v>549</v>
      </c>
      <c r="Q180" s="24" t="str">
        <f>テーブル1[[#This Row],[リンク]]&amp;テーブル1[[#This Row],[描画状況]]</f>
        <v>https://lit.link/sereinrain済</v>
      </c>
      <c r="R180" s="17">
        <f>1-(COUNTIF(Q:Q,_xlfn.TEXTJOIN(",",TRUE,テーブル1[[#This Row],[リンク]],テーブル1[[#This Row],[描画状況]]))/COUNTIF(F:F,テーブル1[[#This Row],[リンク]]))</f>
        <v>1</v>
      </c>
      <c r="S180" s="16" t="str">
        <f ca="1">IFERROR(IF(テーブル1[[#This Row],[描画状況]]="",RAND()+(テーブル1[[#This Row],[列2]]*100),""),RAND())</f>
        <v/>
      </c>
      <c r="T180" s="1" t="s">
        <v>459</v>
      </c>
      <c r="U180" s="24" t="str">
        <f ca="1">IF(AND(テーブル1[[#This Row],[描画状況]]="済",テーブル1[[#This Row],[投稿状況]]=""),RAND(),"")</f>
        <v/>
      </c>
      <c r="V180" s="23" t="str">
        <f>"|&amp;image("&amp;テーブル1[[#This Row],[画像]]&amp;".png,width=100,height=100)"</f>
        <v>|&amp;image(yamana.png,width=100,height=100)</v>
      </c>
      <c r="W180" s="23" t="str">
        <f>"|MIDDLE:​"&amp;テーブル1[[#This Row],[名前]]</f>
        <v>|MIDDLE:​山名</v>
      </c>
      <c r="X180" s="23" t="str">
        <f>"|MIDDLE:​"&amp;テーブル1[[#This Row],[なまえ]]</f>
        <v>|MIDDLE:​やまな</v>
      </c>
      <c r="Y180" s="23" t="str">
        <f>"|MIDDLE:​"&amp;テーブル1[[#This Row],[Name]]</f>
        <v>|MIDDLE:​Yamana</v>
      </c>
      <c r="Z180" s="23" t="str">
        <f>"|MIDDLE:​&amp;link(配布所はこちら){​"&amp;テーブル1[[#This Row],[リンク]]&amp;"}|"</f>
        <v>|MIDDLE:​&amp;link(配布所はこちら){​https://lit.link/sereinrain}|</v>
      </c>
    </row>
    <row r="181" spans="1:26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438</v>
      </c>
      <c r="D181" s="23" t="s">
        <v>894</v>
      </c>
      <c r="E181" s="23" t="s">
        <v>1063</v>
      </c>
      <c r="F181" s="15" t="s">
        <v>437</v>
      </c>
      <c r="G181" s="23" t="s">
        <v>439</v>
      </c>
      <c r="P181" s="1" t="s">
        <v>549</v>
      </c>
      <c r="Q181" s="24" t="str">
        <f>テーブル1[[#This Row],[リンク]]&amp;テーブル1[[#This Row],[描画状況]]</f>
        <v>https://ma2bana7.wixsite.com/sssr済</v>
      </c>
      <c r="R181" s="17">
        <f>1-(COUNTIF(Q:Q,_xlfn.TEXTJOIN(",",TRUE,テーブル1[[#This Row],[リンク]],テーブル1[[#This Row],[描画状況]]))/COUNTIF(F:F,テーブル1[[#This Row],[リンク]]))</f>
        <v>1</v>
      </c>
      <c r="S181" s="16" t="str">
        <f ca="1">IFERROR(IF(テーブル1[[#This Row],[描画状況]]="",RAND()+(テーブル1[[#This Row],[列2]]*100),""),RAND())</f>
        <v/>
      </c>
      <c r="T181" s="1" t="s">
        <v>459</v>
      </c>
      <c r="U181" s="24" t="str">
        <f ca="1">IF(AND(テーブル1[[#This Row],[描画状況]]="済",テーブル1[[#This Row],[投稿状況]]=""),RAND(),"")</f>
        <v/>
      </c>
      <c r="V181" s="23" t="str">
        <f>"|&amp;image("&amp;テーブル1[[#This Row],[画像]]&amp;".png,width=100,height=100)"</f>
        <v>|&amp;image(sessou-setsuri.png,width=100,height=100)</v>
      </c>
      <c r="W181" s="23" t="str">
        <f>"|MIDDLE:​"&amp;テーブル1[[#This Row],[名前]]</f>
        <v>|MIDDLE:​刹葬セツリ</v>
      </c>
      <c r="X181" s="23" t="str">
        <f>"|MIDDLE:​"&amp;テーブル1[[#This Row],[なまえ]]</f>
        <v>|MIDDLE:​せっそう せつり</v>
      </c>
      <c r="Y181" s="23" t="str">
        <f>"|MIDDLE:​"&amp;テーブル1[[#This Row],[Name]]</f>
        <v>|MIDDLE:​Sessou Setsuri</v>
      </c>
      <c r="Z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6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490</v>
      </c>
      <c r="D182" s="23" t="s">
        <v>895</v>
      </c>
      <c r="E182" s="23" t="s">
        <v>1064</v>
      </c>
      <c r="F182" s="15" t="s">
        <v>491</v>
      </c>
      <c r="G182" s="23" t="s">
        <v>492</v>
      </c>
      <c r="P182" s="1" t="s">
        <v>549</v>
      </c>
      <c r="Q182" s="24" t="str">
        <f>テーブル1[[#This Row],[リンク]]&amp;テーブル1[[#This Row],[描画状況]]</f>
        <v>https://www.canon-voice.com済</v>
      </c>
      <c r="R182" s="17">
        <f>1-(COUNTIF(Q:Q,_xlfn.TEXTJOIN(",",TRUE,テーブル1[[#This Row],[リンク]],テーブル1[[#This Row],[描画状況]]))/COUNTIF(F:F,テーブル1[[#This Row],[リンク]]))</f>
        <v>1</v>
      </c>
      <c r="S182" s="16" t="str">
        <f ca="1">IFERROR(IF(テーブル1[[#This Row],[描画状況]]="",RAND()+(テーブル1[[#This Row],[列2]]*100),""),RAND())</f>
        <v/>
      </c>
      <c r="T182" s="1" t="s">
        <v>459</v>
      </c>
      <c r="U182" s="24" t="str">
        <f ca="1">IF(AND(テーブル1[[#This Row],[描画状況]]="済",テーブル1[[#This Row],[投稿状況]]=""),RAND(),"")</f>
        <v/>
      </c>
      <c r="V182" s="23" t="str">
        <f>"|&amp;image("&amp;テーブル1[[#This Row],[画像]]&amp;".png,width=100,height=100)"</f>
        <v>|&amp;image(namine-ritsu.png,width=100,height=100)</v>
      </c>
      <c r="W182" s="23" t="str">
        <f>"|MIDDLE:​"&amp;テーブル1[[#This Row],[名前]]</f>
        <v>|MIDDLE:​波音リツ</v>
      </c>
      <c r="X182" s="23" t="str">
        <f>"|MIDDLE:​"&amp;テーブル1[[#This Row],[なまえ]]</f>
        <v>|MIDDLE:​なみね りつ</v>
      </c>
      <c r="Y182" s="23" t="str">
        <f>"|MIDDLE:​"&amp;テーブル1[[#This Row],[Name]]</f>
        <v>|MIDDLE:​Namine Ritsu</v>
      </c>
      <c r="Z182" s="23" t="str">
        <f>"|MIDDLE:​&amp;link(配布所はこちら){​"&amp;テーブル1[[#This Row],[リンク]]&amp;"}|"</f>
        <v>|MIDDLE:​&amp;link(配布所はこちら){​https://www.canon-voice.com}|</v>
      </c>
    </row>
    <row r="183" spans="1:26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541</v>
      </c>
      <c r="D183" s="23" t="s">
        <v>896</v>
      </c>
      <c r="E183" s="23" t="s">
        <v>1065</v>
      </c>
      <c r="F183" s="15" t="s">
        <v>540</v>
      </c>
      <c r="G183" s="23" t="s">
        <v>547</v>
      </c>
      <c r="P183" s="1" t="s">
        <v>549</v>
      </c>
      <c r="Q183" s="24" t="str">
        <f>テーブル1[[#This Row],[リンク]]&amp;テーブル1[[#This Row],[描画状況]]</f>
        <v>https://todosho1192.wixsite.com/my-site-3済</v>
      </c>
      <c r="R183" s="17">
        <f>1-(COUNTIF(Q:Q,_xlfn.TEXTJOIN(",",TRUE,テーブル1[[#This Row],[リンク]],テーブル1[[#This Row],[描画状況]]))/COUNTIF(F:F,テーブル1[[#This Row],[リンク]]))</f>
        <v>1</v>
      </c>
      <c r="S183" s="16" t="str">
        <f ca="1">IFERROR(IF(テーブル1[[#This Row],[描画状況]]="",RAND()+(テーブル1[[#This Row],[列2]]*100),""),RAND())</f>
        <v/>
      </c>
      <c r="T183" s="1" t="s">
        <v>459</v>
      </c>
      <c r="U183" s="24" t="str">
        <f ca="1">IF(AND(テーブル1[[#This Row],[描画状況]]="済",テーブル1[[#This Row],[投稿状況]]=""),RAND(),"")</f>
        <v/>
      </c>
      <c r="V183" s="23" t="str">
        <f>"|&amp;image("&amp;テーブル1[[#This Row],[画像]]&amp;".png,width=100,height=100)"</f>
        <v>|&amp;image(midorine-hisui.png,width=100,height=100)</v>
      </c>
      <c r="W183" s="23" t="str">
        <f>"|MIDDLE:​"&amp;テーブル1[[#This Row],[名前]]</f>
        <v>|MIDDLE:​緑音翡翠</v>
      </c>
      <c r="X183" s="23" t="str">
        <f>"|MIDDLE:​"&amp;テーブル1[[#This Row],[なまえ]]</f>
        <v>|MIDDLE:​みどりね ひすい</v>
      </c>
      <c r="Y183" s="23" t="str">
        <f>"|MIDDLE:​"&amp;テーブル1[[#This Row],[Name]]</f>
        <v>|MIDDLE:​Midorine Hisui</v>
      </c>
      <c r="Z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6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446</v>
      </c>
      <c r="D184" s="23" t="s">
        <v>897</v>
      </c>
      <c r="E184" s="23" t="s">
        <v>1066</v>
      </c>
      <c r="F184" s="2" t="s">
        <v>389</v>
      </c>
      <c r="G184" s="23" t="s">
        <v>390</v>
      </c>
      <c r="O184" s="1" t="s">
        <v>594</v>
      </c>
      <c r="P184" s="1" t="s">
        <v>549</v>
      </c>
      <c r="Q184" s="24" t="str">
        <f>テーブル1[[#This Row],[リンク]]&amp;テーブル1[[#This Row],[描画状況]]</f>
        <v>https://ametro.jimdofree.com済</v>
      </c>
      <c r="R184" s="17">
        <f>1-(COUNTIF(Q:Q,_xlfn.TEXTJOIN(",",TRUE,テーブル1[[#This Row],[リンク]],テーブル1[[#This Row],[描画状況]]))/COUNTIF(F:F,テーブル1[[#This Row],[リンク]]))</f>
        <v>1</v>
      </c>
      <c r="S184" s="16" t="str">
        <f ca="1">IFERROR(IF(テーブル1[[#This Row],[描画状況]]="",RAND()+(テーブル1[[#This Row],[列2]]*100),""),RAND())</f>
        <v/>
      </c>
      <c r="T184" s="1" t="s">
        <v>459</v>
      </c>
      <c r="U184" s="24" t="str">
        <f ca="1">IF(AND(テーブル1[[#This Row],[描画状況]]="済",テーブル1[[#This Row],[投稿状況]]=""),RAND(),"")</f>
        <v/>
      </c>
      <c r="V184" s="23" t="str">
        <f>"|&amp;image("&amp;テーブル1[[#This Row],[画像]]&amp;".png,width=100,height=100)"</f>
        <v>|&amp;image(ameuta-nirechi.png,width=100,height=100)</v>
      </c>
      <c r="W184" s="23" t="str">
        <f>"|MIDDLE:​"&amp;テーブル1[[#This Row],[名前]]</f>
        <v>|MIDDLE:​飴唄ニレチ</v>
      </c>
      <c r="X184" s="23" t="str">
        <f>"|MIDDLE:​"&amp;テーブル1[[#This Row],[なまえ]]</f>
        <v>|MIDDLE:​あめうた にれち</v>
      </c>
      <c r="Y184" s="23" t="str">
        <f>"|MIDDLE:​"&amp;テーブル1[[#This Row],[Name]]</f>
        <v>|MIDDLE:​Ameuta Nirechi</v>
      </c>
      <c r="Z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6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330</v>
      </c>
      <c r="D185" s="23" t="s">
        <v>898</v>
      </c>
      <c r="E185" s="23" t="s">
        <v>1067</v>
      </c>
      <c r="F185" s="2" t="s">
        <v>329</v>
      </c>
      <c r="G185" s="23" t="s">
        <v>49</v>
      </c>
      <c r="H185" s="23" t="s">
        <v>661</v>
      </c>
      <c r="I185" s="23" t="s">
        <v>667</v>
      </c>
      <c r="L185" s="23" t="s">
        <v>1200</v>
      </c>
      <c r="M185" s="23" t="s">
        <v>1178</v>
      </c>
      <c r="N185" s="23" t="s">
        <v>1207</v>
      </c>
      <c r="O185" s="1" t="s">
        <v>594</v>
      </c>
      <c r="P185" s="1" t="s">
        <v>549</v>
      </c>
      <c r="Q185" s="24" t="str">
        <f>テーブル1[[#This Row],[リンク]]&amp;テーブル1[[#This Row],[描画状況]]</f>
        <v>https://bowlroll.net/user/980255済</v>
      </c>
      <c r="R185" s="17">
        <f>1-(COUNTIF(Q:Q,_xlfn.TEXTJOIN(",",TRUE,テーブル1[[#This Row],[リンク]],テーブル1[[#This Row],[描画状況]]))/COUNTIF(F:F,テーブル1[[#This Row],[リンク]]))</f>
        <v>1</v>
      </c>
      <c r="S185" s="16" t="str">
        <f ca="1">IFERROR(IF(テーブル1[[#This Row],[描画状況]]="",RAND()+(テーブル1[[#This Row],[列2]]*100),""),RAND())</f>
        <v/>
      </c>
      <c r="T185" s="1" t="s">
        <v>459</v>
      </c>
      <c r="U185" s="24" t="str">
        <f ca="1">IF(AND(テーブル1[[#This Row],[描画状況]]="済",テーブル1[[#This Row],[投稿状況]]=""),RAND(),"")</f>
        <v/>
      </c>
      <c r="V185" s="23" t="str">
        <f>"|&amp;image("&amp;テーブル1[[#This Row],[画像]]&amp;".png,width=100,height=100)"</f>
        <v>|&amp;image(dot-pell.png,width=100,height=100)</v>
      </c>
      <c r="W185" s="23" t="str">
        <f>"|MIDDLE:​"&amp;テーブル1[[#This Row],[名前]]</f>
        <v>|MIDDLE:​ドット・ペル</v>
      </c>
      <c r="X185" s="23" t="str">
        <f>"|MIDDLE:​"&amp;テーブル1[[#This Row],[なまえ]]</f>
        <v>|MIDDLE:​どっと ぺる</v>
      </c>
      <c r="Y185" s="23" t="str">
        <f>"|MIDDLE:​"&amp;テーブル1[[#This Row],[Name]]</f>
        <v>|MIDDLE:​Dot Pell</v>
      </c>
      <c r="Z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6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285</v>
      </c>
      <c r="D186" s="23" t="s">
        <v>899</v>
      </c>
      <c r="E186" s="23" t="s">
        <v>1068</v>
      </c>
      <c r="F186" s="2" t="s">
        <v>43</v>
      </c>
      <c r="G186" s="23" t="s">
        <v>44</v>
      </c>
      <c r="O186" s="1" t="s">
        <v>595</v>
      </c>
      <c r="P186" s="1" t="s">
        <v>549</v>
      </c>
      <c r="Q186" s="24" t="str">
        <f>テーブル1[[#This Row],[リンク]]&amp;テーブル1[[#This Row],[描画状況]]</f>
        <v>https://bellsworks.wixsite.com/bellsworks済</v>
      </c>
      <c r="R186" s="17">
        <f>1-(COUNTIF(Q:Q,_xlfn.TEXTJOIN(",",TRUE,テーブル1[[#This Row],[リンク]],テーブル1[[#This Row],[描画状況]]))/COUNTIF(F:F,テーブル1[[#This Row],[リンク]]))</f>
        <v>1</v>
      </c>
      <c r="S186" s="16" t="str">
        <f ca="1">IFERROR(IF(テーブル1[[#This Row],[描画状況]]="",RAND()+(テーブル1[[#This Row],[列2]]*100),""),RAND())</f>
        <v/>
      </c>
      <c r="T186" s="1" t="s">
        <v>459</v>
      </c>
      <c r="U186" s="24" t="str">
        <f ca="1">IF(AND(テーブル1[[#This Row],[描画状況]]="済",テーブル1[[#This Row],[投稿状況]]=""),RAND(),"")</f>
        <v/>
      </c>
      <c r="V186" s="23" t="str">
        <f>"|&amp;image("&amp;テーブル1[[#This Row],[画像]]&amp;".png,width=100,height=100)"</f>
        <v>|&amp;image(suzuno-reon.png,width=100,height=100)</v>
      </c>
      <c r="W186" s="23" t="str">
        <f>"|MIDDLE:​"&amp;テーブル1[[#This Row],[名前]]</f>
        <v>|MIDDLE:​鈴音レオン</v>
      </c>
      <c r="X186" s="23" t="str">
        <f>"|MIDDLE:​"&amp;テーブル1[[#This Row],[なまえ]]</f>
        <v>|MIDDLE:​すずの れおん</v>
      </c>
      <c r="Y186" s="23" t="str">
        <f>"|MIDDLE:​"&amp;テーブル1[[#This Row],[Name]]</f>
        <v>|MIDDLE:​Suzuno Reon</v>
      </c>
      <c r="Z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6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303</v>
      </c>
      <c r="D187" s="23" t="s">
        <v>304</v>
      </c>
      <c r="E187" s="23" t="s">
        <v>305</v>
      </c>
      <c r="F187" s="2" t="s">
        <v>198</v>
      </c>
      <c r="G187" s="23" t="s">
        <v>199</v>
      </c>
      <c r="H187" s="23" t="s">
        <v>672</v>
      </c>
      <c r="I187" s="23" t="s">
        <v>723</v>
      </c>
      <c r="L187" s="23" t="s">
        <v>1223</v>
      </c>
      <c r="O187" s="1" t="s">
        <v>594</v>
      </c>
      <c r="P187" s="1" t="s">
        <v>549</v>
      </c>
      <c r="Q187" s="24" t="str">
        <f>テーブル1[[#This Row],[リンク]]&amp;テーブル1[[#This Row],[描画状況]]</f>
        <v>https://seirentoybox.jimdofree.com済</v>
      </c>
      <c r="R187" s="17">
        <f>1-(COUNTIF(Q:Q,_xlfn.TEXTJOIN(",",TRUE,テーブル1[[#This Row],[リンク]],テーブル1[[#This Row],[描画状況]]))/COUNTIF(F:F,テーブル1[[#This Row],[リンク]]))</f>
        <v>1</v>
      </c>
      <c r="S187" s="16" t="str">
        <f ca="1">IFERROR(IF(テーブル1[[#This Row],[描画状況]]="",RAND()+(テーブル1[[#This Row],[列2]]*100),""),RAND())</f>
        <v/>
      </c>
      <c r="T187" s="1" t="s">
        <v>459</v>
      </c>
      <c r="U187" s="24" t="str">
        <f ca="1">IF(AND(テーブル1[[#This Row],[描画状況]]="済",テーブル1[[#This Row],[投稿状況]]=""),RAND(),"")</f>
        <v/>
      </c>
      <c r="V187" s="23" t="str">
        <f>"|&amp;image("&amp;テーブル1[[#This Row],[画像]]&amp;".png,width=100,height=100)"</f>
        <v>|&amp;image(shirotsume.png,width=100,height=100)</v>
      </c>
      <c r="W187" s="23" t="str">
        <f>"|MIDDLE:​"&amp;テーブル1[[#This Row],[名前]]</f>
        <v>|MIDDLE:​シロツメ</v>
      </c>
      <c r="X187" s="23" t="str">
        <f>"|MIDDLE:​"&amp;テーブル1[[#This Row],[なまえ]]</f>
        <v>|MIDDLE:​しろつめ</v>
      </c>
      <c r="Y187" s="23" t="str">
        <f>"|MIDDLE:​"&amp;テーブル1[[#This Row],[Name]]</f>
        <v>|MIDDLE:​Shirotsume</v>
      </c>
      <c r="Z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6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497</v>
      </c>
      <c r="D188" s="23" t="s">
        <v>498</v>
      </c>
      <c r="E188" s="23" t="s">
        <v>499</v>
      </c>
      <c r="F188" s="2" t="s">
        <v>500</v>
      </c>
      <c r="G188" s="23" t="s">
        <v>501</v>
      </c>
      <c r="P188" s="1" t="s">
        <v>549</v>
      </c>
      <c r="Q188" s="24" t="str">
        <f>テーブル1[[#This Row],[リンク]]&amp;テーブル1[[#This Row],[描画状況]]</f>
        <v>https://maybeanglo0mochi.wixsite.com/mochiyanosouko済</v>
      </c>
      <c r="R188" s="17">
        <f>1-(COUNTIF(Q:Q,_xlfn.TEXTJOIN(",",TRUE,テーブル1[[#This Row],[リンク]],テーブル1[[#This Row],[描画状況]]))/COUNTIF(F:F,テーブル1[[#This Row],[リンク]]))</f>
        <v>1</v>
      </c>
      <c r="S188" s="16" t="str">
        <f ca="1">IFERROR(IF(テーブル1[[#This Row],[描画状況]]="",RAND()+(テーブル1[[#This Row],[列2]]*100),""),RAND())</f>
        <v/>
      </c>
      <c r="T188" s="1" t="s">
        <v>459</v>
      </c>
      <c r="U188" s="24" t="str">
        <f ca="1">IF(AND(テーブル1[[#This Row],[描画状況]]="済",テーブル1[[#This Row],[投稿状況]]=""),RAND(),"")</f>
        <v/>
      </c>
      <c r="V188" s="23" t="str">
        <f>"|&amp;image("&amp;テーブル1[[#This Row],[画像]]&amp;".png,width=100,height=100)"</f>
        <v>|&amp;image(psyche-sally.png,width=100,height=100)</v>
      </c>
      <c r="W188" s="23" t="str">
        <f>"|MIDDLE:​"&amp;テーブル1[[#This Row],[名前]]</f>
        <v>|MIDDLE:​プシュケ＝サリー</v>
      </c>
      <c r="X188" s="23" t="str">
        <f>"|MIDDLE:​"&amp;テーブル1[[#This Row],[なまえ]]</f>
        <v>|MIDDLE:​ぷしゅけ=さりー</v>
      </c>
      <c r="Y188" s="23" t="str">
        <f>"|MIDDLE:​"&amp;テーブル1[[#This Row],[Name]]</f>
        <v>|MIDDLE:​Psyche=Sally</v>
      </c>
      <c r="Z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6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589</v>
      </c>
      <c r="D189" s="23" t="s">
        <v>900</v>
      </c>
      <c r="E189" s="23" t="s">
        <v>1069</v>
      </c>
      <c r="F189" s="2" t="s">
        <v>43</v>
      </c>
      <c r="G189" s="23" t="s">
        <v>44</v>
      </c>
      <c r="O189" s="1" t="s">
        <v>595</v>
      </c>
      <c r="P189" s="1" t="s">
        <v>549</v>
      </c>
      <c r="Q189" s="24" t="str">
        <f>テーブル1[[#This Row],[リンク]]&amp;テーブル1[[#This Row],[描画状況]]</f>
        <v>https://bellsworks.wixsite.com/bellsworks済</v>
      </c>
      <c r="R189" s="17">
        <f>1-(COUNTIF(Q:Q,_xlfn.TEXTJOIN(",",TRUE,テーブル1[[#This Row],[リンク]],テーブル1[[#This Row],[描画状況]]))/COUNTIF(F:F,テーブル1[[#This Row],[リンク]]))</f>
        <v>1</v>
      </c>
      <c r="S189" s="16" t="str">
        <f ca="1">IFERROR(IF(テーブル1[[#This Row],[描画状況]]="",RAND()+(テーブル1[[#This Row],[列2]]*100),""),RAND())</f>
        <v/>
      </c>
      <c r="T189" s="1" t="s">
        <v>459</v>
      </c>
      <c r="U189" s="24" t="str">
        <f ca="1">IF(AND(テーブル1[[#This Row],[描画状況]]="済",テーブル1[[#This Row],[投稿状況]]=""),RAND(),"")</f>
        <v/>
      </c>
      <c r="V189" s="23" t="str">
        <f>"|&amp;image("&amp;テーブル1[[#This Row],[画像]]&amp;".png,width=100,height=100)"</f>
        <v>|&amp;image(kotone-resuto.png,width=100,height=100)</v>
      </c>
      <c r="W189" s="23" t="str">
        <f>"|MIDDLE:​"&amp;テーブル1[[#This Row],[名前]]</f>
        <v>|MIDDLE:​琴音レスト</v>
      </c>
      <c r="X189" s="23" t="str">
        <f>"|MIDDLE:​"&amp;テーブル1[[#This Row],[なまえ]]</f>
        <v>|MIDDLE:​ことね れすと</v>
      </c>
      <c r="Y189" s="23" t="str">
        <f>"|MIDDLE:​"&amp;テーブル1[[#This Row],[Name]]</f>
        <v>|MIDDLE:​Kotone Resuto</v>
      </c>
      <c r="Z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6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464</v>
      </c>
      <c r="D190" s="23" t="s">
        <v>466</v>
      </c>
      <c r="E190" s="23" t="s">
        <v>550</v>
      </c>
      <c r="F190" s="15" t="s">
        <v>467</v>
      </c>
      <c r="G190" s="23" t="s">
        <v>465</v>
      </c>
      <c r="O190" s="1" t="s">
        <v>594</v>
      </c>
      <c r="P190" s="1" t="s">
        <v>549</v>
      </c>
      <c r="Q190" s="24" t="str">
        <f>テーブル1[[#This Row],[リンク]]&amp;テーブル1[[#This Row],[描画状況]]</f>
        <v>https://hakutoujelly.booth.pm/items/6496885済</v>
      </c>
      <c r="R190" s="17">
        <f>1-(COUNTIF(Q:Q,_xlfn.TEXTJOIN(",",TRUE,テーブル1[[#This Row],[リンク]],テーブル1[[#This Row],[描画状況]]))/COUNTIF(F:F,テーブル1[[#This Row],[リンク]]))</f>
        <v>1</v>
      </c>
      <c r="S190" s="16" t="str">
        <f ca="1">IFERROR(IF(テーブル1[[#This Row],[描画状況]]="",RAND()+(テーブル1[[#This Row],[列2]]*100),""),RAND())</f>
        <v/>
      </c>
      <c r="T190" s="1" t="s">
        <v>459</v>
      </c>
      <c r="U190" s="24" t="str">
        <f ca="1">IF(AND(テーブル1[[#This Row],[描画状況]]="済",テーブル1[[#This Row],[投稿状況]]=""),RAND(),"")</f>
        <v/>
      </c>
      <c r="V190" s="23" t="str">
        <f>"|&amp;image("&amp;テーブル1[[#This Row],[画像]]&amp;".png,width=100,height=100)"</f>
        <v>|&amp;image(tetly.png,width=100,height=100)</v>
      </c>
      <c r="W190" s="23" t="str">
        <f>"|MIDDLE:​"&amp;テーブル1[[#This Row],[名前]]</f>
        <v>|MIDDLE:​テトリー</v>
      </c>
      <c r="X190" s="23" t="str">
        <f>"|MIDDLE:​"&amp;テーブル1[[#This Row],[なまえ]]</f>
        <v>|MIDDLE:​てとりー</v>
      </c>
      <c r="Y190" s="23" t="str">
        <f>"|MIDDLE:​"&amp;テーブル1[[#This Row],[Name]]</f>
        <v>|MIDDLE:​Tetly</v>
      </c>
      <c r="Z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6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412</v>
      </c>
      <c r="D191" s="23" t="s">
        <v>901</v>
      </c>
      <c r="E191" s="23" t="s">
        <v>1070</v>
      </c>
      <c r="F191" s="15" t="s">
        <v>413</v>
      </c>
      <c r="G191" s="23" t="s">
        <v>463</v>
      </c>
      <c r="O191" s="1" t="s">
        <v>595</v>
      </c>
      <c r="P191" s="1" t="s">
        <v>549</v>
      </c>
      <c r="Q191" s="24" t="str">
        <f>テーブル1[[#This Row],[リンク]]&amp;テーブル1[[#This Row],[描画状況]]</f>
        <v>https://grskmot8.wixsite.com/kdarock済</v>
      </c>
      <c r="R191" s="17">
        <f>1-(COUNTIF(Q:Q,_xlfn.TEXTJOIN(",",TRUE,テーブル1[[#This Row],[リンク]],テーブル1[[#This Row],[描画状況]]))/COUNTIF(F:F,テーブル1[[#This Row],[リンク]]))</f>
        <v>1</v>
      </c>
      <c r="S191" s="16" t="str">
        <f ca="1">IFERROR(IF(テーブル1[[#This Row],[描画状況]]="",RAND()+(テーブル1[[#This Row],[列2]]*100),""),RAND())</f>
        <v/>
      </c>
      <c r="T191" s="1" t="s">
        <v>459</v>
      </c>
      <c r="U191" s="24" t="str">
        <f ca="1">IF(AND(テーブル1[[#This Row],[描画状況]]="済",テーブル1[[#This Row],[投稿状況]]=""),RAND(),"")</f>
        <v/>
      </c>
      <c r="V191" s="23" t="str">
        <f>"|&amp;image("&amp;テーブル1[[#This Row],[画像]]&amp;".png,width=100,height=100)"</f>
        <v>|&amp;image(sawagu-ryosuke.png,width=100,height=100)</v>
      </c>
      <c r="W191" s="23" t="str">
        <f>"|MIDDLE:​"&amp;テーブル1[[#This Row],[名前]]</f>
        <v>|MIDDLE:​騒呂助</v>
      </c>
      <c r="X191" s="23" t="str">
        <f>"|MIDDLE:​"&amp;テーブル1[[#This Row],[なまえ]]</f>
        <v>|MIDDLE:​さわぐ りょすけ</v>
      </c>
      <c r="Y191" s="23" t="str">
        <f>"|MIDDLE:​"&amp;テーブル1[[#This Row],[Name]]</f>
        <v>|MIDDLE:​Sawagu Ryosuke</v>
      </c>
      <c r="Z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6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293</v>
      </c>
      <c r="D192" s="23" t="s">
        <v>294</v>
      </c>
      <c r="E192" s="23" t="s">
        <v>295</v>
      </c>
      <c r="F192" s="2" t="s">
        <v>129</v>
      </c>
      <c r="G192" s="23" t="s">
        <v>296</v>
      </c>
      <c r="P192" s="1" t="s">
        <v>549</v>
      </c>
      <c r="Q192" s="24" t="str">
        <f>テーブル1[[#This Row],[リンク]]&amp;テーブル1[[#This Row],[描画状況]]</f>
        <v>https://lit.link/sereinrain済</v>
      </c>
      <c r="R192" s="17">
        <f>1-(COUNTIF(Q:Q,_xlfn.TEXTJOIN(",",TRUE,テーブル1[[#This Row],[リンク]],テーブル1[[#This Row],[描画状況]]))/COUNTIF(F:F,テーブル1[[#This Row],[リンク]]))</f>
        <v>1</v>
      </c>
      <c r="S192" s="16" t="str">
        <f ca="1">IFERROR(IF(テーブル1[[#This Row],[描画状況]]="",RAND()+(テーブル1[[#This Row],[列2]]*100),""),RAND())</f>
        <v/>
      </c>
      <c r="T192" s="1" t="s">
        <v>459</v>
      </c>
      <c r="U192" s="24" t="str">
        <f ca="1">IF(AND(テーブル1[[#This Row],[描画状況]]="済",テーブル1[[#This Row],[投稿状況]]=""),RAND(),"")</f>
        <v/>
      </c>
      <c r="V192" s="23" t="str">
        <f>"|&amp;image("&amp;テーブル1[[#This Row],[画像]]&amp;".png,width=100,height=100)"</f>
        <v>|&amp;image(hinode.png,width=100,height=100)</v>
      </c>
      <c r="W192" s="23" t="str">
        <f>"|MIDDLE:​"&amp;テーブル1[[#This Row],[名前]]</f>
        <v>|MIDDLE:​日出</v>
      </c>
      <c r="X192" s="23" t="str">
        <f>"|MIDDLE:​"&amp;テーブル1[[#This Row],[なまえ]]</f>
        <v>|MIDDLE:​ひので</v>
      </c>
      <c r="Y192" s="23" t="str">
        <f>"|MIDDLE:​"&amp;テーブル1[[#This Row],[Name]]</f>
        <v>|MIDDLE:​Hinode</v>
      </c>
      <c r="Z192" s="23" t="str">
        <f>"|MIDDLE:​&amp;link(配布所はこちら){​"&amp;テーブル1[[#This Row],[リンク]]&amp;"}|"</f>
        <v>|MIDDLE:​&amp;link(配布所はこちら){​https://lit.link/sereinrain}|</v>
      </c>
    </row>
    <row r="193" spans="1:26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590</v>
      </c>
      <c r="D193" s="23" t="s">
        <v>902</v>
      </c>
      <c r="E193" s="23" t="s">
        <v>1071</v>
      </c>
      <c r="F193" s="2" t="s">
        <v>43</v>
      </c>
      <c r="G193" s="23" t="s">
        <v>44</v>
      </c>
      <c r="O193" s="1" t="s">
        <v>595</v>
      </c>
      <c r="P193" s="1" t="s">
        <v>549</v>
      </c>
      <c r="Q193" s="24" t="str">
        <f>テーブル1[[#This Row],[リンク]]&amp;テーブル1[[#This Row],[描画状況]]</f>
        <v>https://bellsworks.wixsite.com/bellsworks済</v>
      </c>
      <c r="R193" s="17">
        <f>1-(COUNTIF(Q:Q,_xlfn.TEXTJOIN(",",TRUE,テーブル1[[#This Row],[リンク]],テーブル1[[#This Row],[描画状況]]))/COUNTIF(F:F,テーブル1[[#This Row],[リンク]]))</f>
        <v>1</v>
      </c>
      <c r="S193" s="16" t="str">
        <f ca="1">IFERROR(IF(テーブル1[[#This Row],[描画状況]]="",RAND()+(テーブル1[[#This Row],[列2]]*100),""),RAND())</f>
        <v/>
      </c>
      <c r="T193" s="1" t="s">
        <v>459</v>
      </c>
      <c r="U193" s="24" t="str">
        <f ca="1">IF(AND(テーブル1[[#This Row],[描画状況]]="済",テーブル1[[#This Row],[投稿状況]]=""),RAND(),"")</f>
        <v/>
      </c>
      <c r="V193" s="23" t="str">
        <f>"|&amp;image("&amp;テーブル1[[#This Row],[画像]]&amp;".png,width=100,height=100)"</f>
        <v>|&amp;image(suzu-cell.png,width=100,height=100)</v>
      </c>
      <c r="W193" s="23" t="str">
        <f>"|MIDDLE:​"&amp;テーブル1[[#This Row],[名前]]</f>
        <v>|MIDDLE:​Sn&amp;Cl</v>
      </c>
      <c r="X193" s="23" t="str">
        <f>"|MIDDLE:​"&amp;テーブル1[[#This Row],[なまえ]]</f>
        <v>|MIDDLE:​すず &amp; せる</v>
      </c>
      <c r="Y193" s="23" t="str">
        <f>"|MIDDLE:​"&amp;テーブル1[[#This Row],[Name]]</f>
        <v>|MIDDLE:​Suzu &amp; Cell</v>
      </c>
      <c r="Z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6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323</v>
      </c>
      <c r="D194" s="23" t="s">
        <v>324</v>
      </c>
      <c r="E194" s="23" t="s">
        <v>325</v>
      </c>
      <c r="F194" s="2" t="s">
        <v>153</v>
      </c>
      <c r="G194" s="23" t="s">
        <v>154</v>
      </c>
      <c r="H194" s="23" t="s">
        <v>660</v>
      </c>
      <c r="I194" s="23" t="s">
        <v>704</v>
      </c>
      <c r="J194" s="23" t="s">
        <v>1192</v>
      </c>
      <c r="N194" s="23" t="s">
        <v>1294</v>
      </c>
      <c r="O194" s="1" t="s">
        <v>631</v>
      </c>
      <c r="P194" s="1" t="s">
        <v>549</v>
      </c>
      <c r="Q194" s="24" t="str">
        <f>テーブル1[[#This Row],[リンク]]&amp;テーブル1[[#This Row],[描画状況]]</f>
        <v>https://moqujc.wixsite.com/mqtop済</v>
      </c>
      <c r="R194" s="17">
        <f>1-(COUNTIF(Q:Q,_xlfn.TEXTJOIN(",",TRUE,テーブル1[[#This Row],[リンク]],テーブル1[[#This Row],[描画状況]]))/COUNTIF(F:F,テーブル1[[#This Row],[リンク]]))</f>
        <v>1</v>
      </c>
      <c r="S194" s="16" t="str">
        <f ca="1">IFERROR(IF(テーブル1[[#This Row],[描画状況]]="",RAND()+(テーブル1[[#This Row],[列2]]*100),""),RAND())</f>
        <v/>
      </c>
      <c r="T194" s="1" t="s">
        <v>459</v>
      </c>
      <c r="U194" s="24" t="str">
        <f ca="1">IF(AND(テーブル1[[#This Row],[描画状況]]="済",テーブル1[[#This Row],[投稿状況]]=""),RAND(),"")</f>
        <v/>
      </c>
      <c r="V194" s="23" t="str">
        <f>"|&amp;image("&amp;テーブル1[[#This Row],[画像]]&amp;".png,width=100,height=100)"</f>
        <v>|&amp;image(kurage.png,width=100,height=100)</v>
      </c>
      <c r="W194" s="23" t="str">
        <f>"|MIDDLE:​"&amp;テーブル1[[#This Row],[名前]]</f>
        <v>|MIDDLE:​KuragE</v>
      </c>
      <c r="X194" s="23" t="str">
        <f>"|MIDDLE:​"&amp;テーブル1[[#This Row],[なまえ]]</f>
        <v>|MIDDLE:​くらげ</v>
      </c>
      <c r="Y194" s="23" t="str">
        <f>"|MIDDLE:​"&amp;テーブル1[[#This Row],[Name]]</f>
        <v>|MIDDLE:​Kurage</v>
      </c>
      <c r="Z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6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591</v>
      </c>
      <c r="D195" s="23" t="s">
        <v>903</v>
      </c>
      <c r="E195" s="23" t="s">
        <v>1072</v>
      </c>
      <c r="F195" s="2" t="s">
        <v>43</v>
      </c>
      <c r="G195" s="23" t="s">
        <v>44</v>
      </c>
      <c r="O195" s="1" t="s">
        <v>595</v>
      </c>
      <c r="P195" s="1" t="s">
        <v>549</v>
      </c>
      <c r="Q195" s="24" t="str">
        <f>テーブル1[[#This Row],[リンク]]&amp;テーブル1[[#This Row],[描画状況]]</f>
        <v>https://bellsworks.wixsite.com/bellsworks済</v>
      </c>
      <c r="R195" s="17">
        <f>1-(COUNTIF(Q:Q,_xlfn.TEXTJOIN(",",TRUE,テーブル1[[#This Row],[リンク]],テーブル1[[#This Row],[描画状況]]))/COUNTIF(F:F,テーブル1[[#This Row],[リンク]]))</f>
        <v>1</v>
      </c>
      <c r="S195" s="16" t="str">
        <f ca="1">IFERROR(IF(テーブル1[[#This Row],[描画状況]]="",RAND()+(テーブル1[[#This Row],[列2]]*100),""),RAND())</f>
        <v/>
      </c>
      <c r="T195" s="1" t="s">
        <v>459</v>
      </c>
      <c r="U195" s="24" t="str">
        <f ca="1">IF(AND(テーブル1[[#This Row],[描画状況]]="済",テーブル1[[#This Row],[投稿状況]]=""),RAND(),"")</f>
        <v/>
      </c>
      <c r="V195" s="23" t="str">
        <f>"|&amp;image("&amp;テーブル1[[#This Row],[画像]]&amp;".png,width=100,height=100)"</f>
        <v>|&amp;image(suzuno-neon.png,width=100,height=100)</v>
      </c>
      <c r="W195" s="23" t="str">
        <f>"|MIDDLE:​"&amp;テーブル1[[#This Row],[名前]]</f>
        <v>|MIDDLE:​鈴音ネオン</v>
      </c>
      <c r="X195" s="23" t="str">
        <f>"|MIDDLE:​"&amp;テーブル1[[#This Row],[なまえ]]</f>
        <v>|MIDDLE:​すずの ねおん</v>
      </c>
      <c r="Y195" s="23" t="str">
        <f>"|MIDDLE:​"&amp;テーブル1[[#This Row],[Name]]</f>
        <v>|MIDDLE:​Suzuno Neon</v>
      </c>
      <c r="Z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6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369</v>
      </c>
      <c r="D196" s="23" t="s">
        <v>370</v>
      </c>
      <c r="E196" s="23" t="s">
        <v>368</v>
      </c>
      <c r="F196" s="2" t="s">
        <v>371</v>
      </c>
      <c r="G196" s="23" t="s">
        <v>373</v>
      </c>
      <c r="P196" s="1" t="s">
        <v>549</v>
      </c>
      <c r="Q196" s="24" t="str">
        <f>テーブル1[[#This Row],[リンク]]&amp;テーブル1[[#This Row],[描画状況]]</f>
        <v>https://mebisnori.wixsite.com/nori-mebis済</v>
      </c>
      <c r="R196" s="17">
        <f>1-(COUNTIF(Q:Q,_xlfn.TEXTJOIN(",",TRUE,テーブル1[[#This Row],[リンク]],テーブル1[[#This Row],[描画状況]]))/COUNTIF(F:F,テーブル1[[#This Row],[リンク]]))</f>
        <v>1</v>
      </c>
      <c r="S196" s="16" t="str">
        <f ca="1">IFERROR(IF(テーブル1[[#This Row],[描画状況]]="",RAND()+(テーブル1[[#This Row],[列2]]*100),""),RAND())</f>
        <v/>
      </c>
      <c r="T196" s="1" t="s">
        <v>459</v>
      </c>
      <c r="U196" s="24" t="str">
        <f ca="1">IF(AND(テーブル1[[#This Row],[描画状況]]="済",テーブル1[[#This Row],[投稿状況]]=""),RAND(),"")</f>
        <v/>
      </c>
      <c r="V196" s="23" t="str">
        <f>"|&amp;image("&amp;テーブル1[[#This Row],[画像]]&amp;".png,width=100,height=100)"</f>
        <v>|&amp;image(solisia.png,width=100,height=100)</v>
      </c>
      <c r="W196" s="23" t="str">
        <f>"|MIDDLE:​"&amp;テーブル1[[#This Row],[名前]]</f>
        <v>|MIDDLE:​ソリシア</v>
      </c>
      <c r="X196" s="23" t="str">
        <f>"|MIDDLE:​"&amp;テーブル1[[#This Row],[なまえ]]</f>
        <v>|MIDDLE:​そりしあ</v>
      </c>
      <c r="Y196" s="23" t="str">
        <f>"|MIDDLE:​"&amp;テーブル1[[#This Row],[Name]]</f>
        <v>|MIDDLE:​Solisia</v>
      </c>
      <c r="Z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6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377</v>
      </c>
      <c r="D197" s="23" t="s">
        <v>904</v>
      </c>
      <c r="E197" s="23" t="s">
        <v>1073</v>
      </c>
      <c r="F197" s="2" t="s">
        <v>378</v>
      </c>
      <c r="G197" s="23" t="s">
        <v>379</v>
      </c>
      <c r="P197" s="1" t="s">
        <v>549</v>
      </c>
      <c r="Q197" s="24" t="str">
        <f>テーブル1[[#This Row],[リンク]]&amp;テーブル1[[#This Row],[描画状況]]</f>
        <v>https://mashimo0330.wixsite.com/awaka-utau済</v>
      </c>
      <c r="R197" s="17">
        <f>1-(COUNTIF(Q:Q,_xlfn.TEXTJOIN(",",TRUE,テーブル1[[#This Row],[リンク]],テーブル1[[#This Row],[描画状況]]))/COUNTIF(F:F,テーブル1[[#This Row],[リンク]]))</f>
        <v>1</v>
      </c>
      <c r="S197" s="16" t="str">
        <f ca="1">IFERROR(IF(テーブル1[[#This Row],[描画状況]]="",RAND()+(テーブル1[[#This Row],[列2]]*100),""),RAND())</f>
        <v/>
      </c>
      <c r="T197" s="1" t="s">
        <v>459</v>
      </c>
      <c r="U197" s="24" t="str">
        <f ca="1">IF(AND(テーブル1[[#This Row],[描画状況]]="済",テーブル1[[#This Row],[投稿状況]]=""),RAND(),"")</f>
        <v/>
      </c>
      <c r="V197" s="23" t="str">
        <f>"|&amp;image("&amp;テーブル1[[#This Row],[画像]]&amp;".png,width=100,height=100)"</f>
        <v>|&amp;image(awaka-makana.png,width=100,height=100)</v>
      </c>
      <c r="W197" s="23" t="str">
        <f>"|MIDDLE:​"&amp;テーブル1[[#This Row],[名前]]</f>
        <v>|MIDDLE:​泡歌マカナ</v>
      </c>
      <c r="X197" s="23" t="str">
        <f>"|MIDDLE:​"&amp;テーブル1[[#This Row],[なまえ]]</f>
        <v>|MIDDLE:​あわか まかな</v>
      </c>
      <c r="Y197" s="23" t="str">
        <f>"|MIDDLE:​"&amp;テーブル1[[#This Row],[Name]]</f>
        <v>|MIDDLE:​Awaka Makana</v>
      </c>
      <c r="Z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6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282</v>
      </c>
      <c r="D198" s="23" t="s">
        <v>905</v>
      </c>
      <c r="E198" s="23" t="s">
        <v>1074</v>
      </c>
      <c r="F198" s="2" t="s">
        <v>43</v>
      </c>
      <c r="G198" s="23" t="s">
        <v>44</v>
      </c>
      <c r="O198" s="1" t="s">
        <v>595</v>
      </c>
      <c r="P198" s="1" t="s">
        <v>549</v>
      </c>
      <c r="Q198" s="24" t="str">
        <f>テーブル1[[#This Row],[リンク]]&amp;テーブル1[[#This Row],[描画状況]]</f>
        <v>https://bellsworks.wixsite.com/bellsworks済</v>
      </c>
      <c r="R198" s="17">
        <f>1-(COUNTIF(Q:Q,_xlfn.TEXTJOIN(",",TRUE,テーブル1[[#This Row],[リンク]],テーブル1[[#This Row],[描画状況]]))/COUNTIF(F:F,テーブル1[[#This Row],[リンク]]))</f>
        <v>1</v>
      </c>
      <c r="S198" s="16" t="str">
        <f ca="1">IFERROR(IF(テーブル1[[#This Row],[描画状況]]="",RAND()+(テーブル1[[#This Row],[列2]]*100),""),RAND())</f>
        <v/>
      </c>
      <c r="T198" s="1" t="s">
        <v>459</v>
      </c>
      <c r="U198" s="24" t="str">
        <f ca="1">IF(AND(テーブル1[[#This Row],[描画状況]]="済",テーブル1[[#This Row],[投稿状況]]=""),RAND(),"")</f>
        <v/>
      </c>
      <c r="V198" s="23" t="str">
        <f>"|&amp;image("&amp;テーブル1[[#This Row],[画像]]&amp;".png,width=100,height=100)"</f>
        <v>|&amp;image(suzuno-rion.png,width=100,height=100)</v>
      </c>
      <c r="W198" s="23" t="str">
        <f>"|MIDDLE:​"&amp;テーブル1[[#This Row],[名前]]</f>
        <v>|MIDDLE:​鈴音リオン</v>
      </c>
      <c r="X198" s="23" t="str">
        <f>"|MIDDLE:​"&amp;テーブル1[[#This Row],[なまえ]]</f>
        <v>|MIDDLE:​すずの りおん</v>
      </c>
      <c r="Y198" s="23" t="str">
        <f>"|MIDDLE:​"&amp;テーブル1[[#This Row],[Name]]</f>
        <v>|MIDDLE:​Suzuno Rion</v>
      </c>
      <c r="Z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6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420</v>
      </c>
      <c r="D199" s="23" t="s">
        <v>906</v>
      </c>
      <c r="E199" s="23" t="s">
        <v>1075</v>
      </c>
      <c r="F199" s="15" t="s">
        <v>421</v>
      </c>
      <c r="G199" s="23" t="s">
        <v>422</v>
      </c>
      <c r="O199" s="1" t="s">
        <v>594</v>
      </c>
      <c r="P199" s="1" t="s">
        <v>549</v>
      </c>
      <c r="Q199" s="24" t="str">
        <f>テーブル1[[#This Row],[リンク]]&amp;テーブル1[[#This Row],[描画状況]]</f>
        <v>http://shadeofgreen.web.fc2.com済</v>
      </c>
      <c r="R199" s="17">
        <f>1-(COUNTIF(Q:Q,_xlfn.TEXTJOIN(",",TRUE,テーブル1[[#This Row],[リンク]],テーブル1[[#This Row],[描画状況]]))/COUNTIF(F:F,テーブル1[[#This Row],[リンク]]))</f>
        <v>1</v>
      </c>
      <c r="S199" s="16" t="str">
        <f ca="1">IFERROR(IF(テーブル1[[#This Row],[描画状況]]="",RAND()+(テーブル1[[#This Row],[列2]]*100),""),RAND())</f>
        <v/>
      </c>
      <c r="T199" s="1" t="s">
        <v>459</v>
      </c>
      <c r="U199" s="24" t="str">
        <f ca="1">IF(AND(テーブル1[[#This Row],[描画状況]]="済",テーブル1[[#This Row],[投稿状況]]=""),RAND(),"")</f>
        <v/>
      </c>
      <c r="V199" s="23" t="str">
        <f>"|&amp;image("&amp;テーブル1[[#This Row],[画像]]&amp;".png,width=100,height=100)"</f>
        <v>|&amp;image(aoba-ao.png,width=100,height=100)</v>
      </c>
      <c r="W199" s="23" t="str">
        <f>"|MIDDLE:​"&amp;テーブル1[[#This Row],[名前]]</f>
        <v>|MIDDLE:​青葉アオ</v>
      </c>
      <c r="X199" s="23" t="str">
        <f>"|MIDDLE:​"&amp;テーブル1[[#This Row],[なまえ]]</f>
        <v>|MIDDLE:​あおば あお</v>
      </c>
      <c r="Y199" s="23" t="str">
        <f>"|MIDDLE:​"&amp;テーブル1[[#This Row],[Name]]</f>
        <v>|MIDDLE:​Aoba Ao</v>
      </c>
      <c r="Z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6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451</v>
      </c>
      <c r="D200" s="23" t="s">
        <v>907</v>
      </c>
      <c r="E200" s="23" t="s">
        <v>1076</v>
      </c>
      <c r="F200" s="15" t="s">
        <v>449</v>
      </c>
      <c r="G200" s="23" t="s">
        <v>450</v>
      </c>
      <c r="P200" s="1" t="s">
        <v>549</v>
      </c>
      <c r="Q200" s="24" t="str">
        <f>テーブル1[[#This Row],[リンク]]&amp;テーブル1[[#This Row],[描画状況]]</f>
        <v>https://yukimiyashimusho.jimdofree.com済</v>
      </c>
      <c r="R200" s="17">
        <f>1-(COUNTIF(Q:Q,_xlfn.TEXTJOIN(",",TRUE,テーブル1[[#This Row],[リンク]],テーブル1[[#This Row],[描画状況]]))/COUNTIF(F:F,テーブル1[[#This Row],[リンク]]))</f>
        <v>1</v>
      </c>
      <c r="S200" s="16" t="str">
        <f ca="1">IFERROR(IF(テーブル1[[#This Row],[描画状況]]="",RAND()+(テーブル1[[#This Row],[列2]]*100),""),RAND())</f>
        <v/>
      </c>
      <c r="T200" s="1" t="s">
        <v>459</v>
      </c>
      <c r="U200" s="24" t="str">
        <f ca="1">IF(AND(テーブル1[[#This Row],[描画状況]]="済",テーブル1[[#This Row],[投稿状況]]=""),RAND(),"")</f>
        <v/>
      </c>
      <c r="V200" s="23" t="str">
        <f>"|&amp;image("&amp;テーブル1[[#This Row],[画像]]&amp;".png,width=100,height=100)"</f>
        <v>|&amp;image(sousaki-reani.png,width=100,height=100)</v>
      </c>
      <c r="W200" s="23" t="str">
        <f>"|MIDDLE:​"&amp;テーブル1[[#This Row],[名前]]</f>
        <v>|MIDDLE:​霜咲れあに</v>
      </c>
      <c r="X200" s="23" t="str">
        <f>"|MIDDLE:​"&amp;テーブル1[[#This Row],[なまえ]]</f>
        <v>|MIDDLE:​そうさき れあに</v>
      </c>
      <c r="Y200" s="23" t="str">
        <f>"|MIDDLE:​"&amp;テーブル1[[#This Row],[Name]]</f>
        <v>|MIDDLE:​Sousaki Reani</v>
      </c>
      <c r="Z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6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483</v>
      </c>
      <c r="D201" s="23" t="s">
        <v>485</v>
      </c>
      <c r="E201" s="23" t="s">
        <v>484</v>
      </c>
      <c r="F201" s="15" t="s">
        <v>486</v>
      </c>
      <c r="G201" s="23" t="s">
        <v>487</v>
      </c>
      <c r="P201" s="1" t="s">
        <v>549</v>
      </c>
      <c r="Q201" s="24" t="str">
        <f>テーブル1[[#This Row],[リンク]]&amp;テーブル1[[#This Row],[描画状況]]</f>
        <v>https://jiwajiwakirinn.wixsite.com/sakurada済</v>
      </c>
      <c r="R201" s="17">
        <f>1-(COUNTIF(Q:Q,_xlfn.TEXTJOIN(",",TRUE,テーブル1[[#This Row],[リンク]],テーブル1[[#This Row],[描画状況]]))/COUNTIF(F:F,テーブル1[[#This Row],[リンク]]))</f>
        <v>1</v>
      </c>
      <c r="S201" s="16" t="str">
        <f ca="1">IFERROR(IF(テーブル1[[#This Row],[描画状況]]="",RAND()+(テーブル1[[#This Row],[列2]]*100),""),RAND())</f>
        <v/>
      </c>
      <c r="T201" s="1" t="s">
        <v>459</v>
      </c>
      <c r="U201" s="24" t="str">
        <f ca="1">IF(AND(テーブル1[[#This Row],[描画状況]]="済",テーブル1[[#This Row],[投稿状況]]=""),RAND(),"")</f>
        <v/>
      </c>
      <c r="V201" s="23" t="str">
        <f>"|&amp;image("&amp;テーブル1[[#This Row],[画像]]&amp;".png,width=100,height=100)"</f>
        <v>|&amp;image(akita.png,width=100,height=100)</v>
      </c>
      <c r="W201" s="23" t="str">
        <f>"|MIDDLE:​"&amp;テーブル1[[#This Row],[名前]]</f>
        <v>|MIDDLE:​秋太</v>
      </c>
      <c r="X201" s="23" t="str">
        <f>"|MIDDLE:​"&amp;テーブル1[[#This Row],[なまえ]]</f>
        <v>|MIDDLE:​あきた</v>
      </c>
      <c r="Y201" s="23" t="str">
        <f>"|MIDDLE:​"&amp;テーブル1[[#This Row],[Name]]</f>
        <v>|MIDDLE:​Akita</v>
      </c>
      <c r="Z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6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577</v>
      </c>
      <c r="D202" s="23" t="s">
        <v>908</v>
      </c>
      <c r="E202" s="23" t="s">
        <v>1077</v>
      </c>
      <c r="F202" s="2" t="s">
        <v>578</v>
      </c>
      <c r="G202" s="23" t="s">
        <v>579</v>
      </c>
      <c r="P202" s="1" t="s">
        <v>549</v>
      </c>
      <c r="Q202" s="24" t="str">
        <f>テーブル1[[#This Row],[リンク]]&amp;テーブル1[[#This Row],[描画状況]]</f>
        <v>https://m.blog.naver.com/string_legacy/224045016399済</v>
      </c>
      <c r="R202" s="17">
        <f>1-(COUNTIF(Q:Q,_xlfn.TEXTJOIN(",",TRUE,テーブル1[[#This Row],[リンク]],テーブル1[[#This Row],[描画状況]]))/COUNTIF(F:F,テーブル1[[#This Row],[リンク]]))</f>
        <v>1</v>
      </c>
      <c r="S202" s="16" t="str">
        <f ca="1">IFERROR(IF(テーブル1[[#This Row],[描画状況]]="",RAND()+(テーブル1[[#This Row],[列2]]*100),""),RAND())</f>
        <v/>
      </c>
      <c r="T202" s="1" t="s">
        <v>459</v>
      </c>
      <c r="U202" s="24" t="str">
        <f ca="1">IF(AND(テーブル1[[#This Row],[描画状況]]="済",テーブル1[[#This Row],[投稿状況]]=""),RAND(),"")</f>
        <v/>
      </c>
      <c r="V202" s="23" t="str">
        <f>"|&amp;image("&amp;テーブル1[[#This Row],[画像]]&amp;".png,width=100,height=100)"</f>
        <v>|&amp;image(chine-yan.png,width=100,height=100)</v>
      </c>
      <c r="W202" s="23" t="str">
        <f>"|MIDDLE:​"&amp;テーブル1[[#This Row],[名前]]</f>
        <v>|MIDDLE:​血音ヤン</v>
      </c>
      <c r="X202" s="23" t="str">
        <f>"|MIDDLE:​"&amp;テーブル1[[#This Row],[なまえ]]</f>
        <v>|MIDDLE:​ちぬ やん</v>
      </c>
      <c r="Y202" s="23" t="str">
        <f>"|MIDDLE:​"&amp;テーブル1[[#This Row],[Name]]</f>
        <v>|MIDDLE:​Chine Yan</v>
      </c>
      <c r="Z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6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559</v>
      </c>
      <c r="D203" s="23" t="s">
        <v>909</v>
      </c>
      <c r="E203" s="23" t="s">
        <v>1078</v>
      </c>
      <c r="F203" s="15" t="s">
        <v>560</v>
      </c>
      <c r="G203" s="23" t="s">
        <v>561</v>
      </c>
      <c r="O203" s="1" t="s">
        <v>594</v>
      </c>
      <c r="P203" s="1" t="s">
        <v>549</v>
      </c>
      <c r="Q203" s="24" t="str">
        <f>テーブル1[[#This Row],[リンク]]&amp;テーブル1[[#This Row],[描画状況]]</f>
        <v>https://abiencearray.carrd.co済</v>
      </c>
      <c r="R203" s="17">
        <f>1-(COUNTIF(Q:Q,_xlfn.TEXTJOIN(",",TRUE,テーブル1[[#This Row],[リンク]],テーブル1[[#This Row],[描画状況]]))/COUNTIF(F:F,テーブル1[[#This Row],[リンク]]))</f>
        <v>1</v>
      </c>
      <c r="S203" s="16" t="str">
        <f ca="1">IFERROR(IF(テーブル1[[#This Row],[描画状況]]="",RAND()+(テーブル1[[#This Row],[列2]]*100),""),RAND())</f>
        <v/>
      </c>
      <c r="T203" s="1" t="s">
        <v>459</v>
      </c>
      <c r="U203" s="24" t="str">
        <f ca="1">IF(AND(テーブル1[[#This Row],[描画状況]]="済",テーブル1[[#This Row],[投稿状況]]=""),RAND(),"")</f>
        <v/>
      </c>
      <c r="V203" s="23" t="str">
        <f>"|&amp;image("&amp;テーブル1[[#This Row],[画像]]&amp;".png,width=100,height=100)"</f>
        <v>|&amp;image(nayane-blue.png,width=100,height=100)</v>
      </c>
      <c r="W203" s="23" t="str">
        <f>"|MIDDLE:​"&amp;テーブル1[[#This Row],[名前]]</f>
        <v>|MIDDLE:​悩音Blue</v>
      </c>
      <c r="X203" s="23" t="str">
        <f>"|MIDDLE:​"&amp;テーブル1[[#This Row],[なまえ]]</f>
        <v>|MIDDLE:​なやね ぶるー</v>
      </c>
      <c r="Y203" s="23" t="str">
        <f>"|MIDDLE:​"&amp;テーブル1[[#This Row],[Name]]</f>
        <v>|MIDDLE:​Nayane Blue</v>
      </c>
      <c r="Z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6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542</v>
      </c>
      <c r="D204" s="23" t="s">
        <v>543</v>
      </c>
      <c r="E204" s="23" t="s">
        <v>544</v>
      </c>
      <c r="F204" s="15" t="s">
        <v>540</v>
      </c>
      <c r="G204" s="23" t="s">
        <v>548</v>
      </c>
      <c r="P204" s="1" t="s">
        <v>549</v>
      </c>
      <c r="Q204" s="24" t="str">
        <f>テーブル1[[#This Row],[リンク]]&amp;テーブル1[[#This Row],[描画状況]]</f>
        <v>https://todosho1192.wixsite.com/my-site-3済</v>
      </c>
      <c r="R204" s="17">
        <f>1-(COUNTIF(Q:Q,_xlfn.TEXTJOIN(",",TRUE,テーブル1[[#This Row],[リンク]],テーブル1[[#This Row],[描画状況]]))/COUNTIF(F:F,テーブル1[[#This Row],[リンク]]))</f>
        <v>1</v>
      </c>
      <c r="S204" s="16" t="str">
        <f ca="1">IFERROR(IF(テーブル1[[#This Row],[描画状況]]="",RAND()+(テーブル1[[#This Row],[列2]]*100),""),RAND())</f>
        <v/>
      </c>
      <c r="T204" s="1" t="s">
        <v>459</v>
      </c>
      <c r="U204" s="24" t="str">
        <f ca="1">IF(AND(テーブル1[[#This Row],[描画状況]]="済",テーブル1[[#This Row],[投稿状況]]=""),RAND(),"")</f>
        <v/>
      </c>
      <c r="V204" s="23" t="str">
        <f>"|&amp;image("&amp;テーブル1[[#This Row],[画像]]&amp;".png,width=100,height=100)"</f>
        <v>|&amp;image(gu.png,width=100,height=100)</v>
      </c>
      <c r="W204" s="23" t="str">
        <f>"|MIDDLE:​"&amp;テーブル1[[#This Row],[名前]]</f>
        <v>|MIDDLE:​グウ</v>
      </c>
      <c r="X204" s="23" t="str">
        <f>"|MIDDLE:​"&amp;テーブル1[[#This Row],[なまえ]]</f>
        <v>|MIDDLE:​ぐう</v>
      </c>
      <c r="Y204" s="23" t="str">
        <f>"|MIDDLE:​"&amp;テーブル1[[#This Row],[Name]]</f>
        <v>|MIDDLE:​Gu</v>
      </c>
      <c r="Z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6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575</v>
      </c>
      <c r="D205" s="23" t="s">
        <v>910</v>
      </c>
      <c r="E205" s="23" t="s">
        <v>1079</v>
      </c>
      <c r="F205" s="30" t="s">
        <v>772</v>
      </c>
      <c r="G205" s="23" t="s">
        <v>576</v>
      </c>
      <c r="P205" s="1" t="s">
        <v>549</v>
      </c>
      <c r="Q205" s="24" t="str">
        <f>テーブル1[[#This Row],[リンク]]&amp;テーブル1[[#This Row],[描画状況]]</f>
        <v>https://rapo080302.wixsite.com/twosibi済</v>
      </c>
      <c r="R205" s="17">
        <f>1-(COUNTIF(Q:Q,_xlfn.TEXTJOIN(",",TRUE,テーブル1[[#This Row],[リンク]],テーブル1[[#This Row],[描画状況]]))/COUNTIF(F:F,テーブル1[[#This Row],[リンク]]))</f>
        <v>1</v>
      </c>
      <c r="S205" s="16" t="str">
        <f ca="1">IFERROR(IF(テーブル1[[#This Row],[描画状況]]="",RAND()+(テーブル1[[#This Row],[列2]]*100),""),RAND())</f>
        <v/>
      </c>
      <c r="T205" s="1" t="s">
        <v>459</v>
      </c>
      <c r="U205" s="24" t="str">
        <f ca="1">IF(AND(テーブル1[[#This Row],[描画状況]]="済",テーブル1[[#This Row],[投稿状況]]=""),RAND(),"")</f>
        <v/>
      </c>
      <c r="V205" s="23" t="str">
        <f>"|&amp;image("&amp;テーブル1[[#This Row],[画像]]&amp;".png,width=100,height=100)"</f>
        <v>|&amp;image(shin-min-hye.png,width=100,height=100)</v>
      </c>
      <c r="W205" s="23" t="str">
        <f>"|MIDDLE:​"&amp;テーブル1[[#This Row],[名前]]</f>
        <v>|MIDDLE:​申暋慧</v>
      </c>
      <c r="X205" s="23" t="str">
        <f>"|MIDDLE:​"&amp;テーブル1[[#This Row],[なまえ]]</f>
        <v>|MIDDLE:​しん みんへ</v>
      </c>
      <c r="Y205" s="23" t="str">
        <f>"|MIDDLE:​"&amp;テーブル1[[#This Row],[Name]]</f>
        <v>|MIDDLE:​Shin Min Hye</v>
      </c>
      <c r="Z205" s="23" t="str">
        <f>"|MIDDLE:​&amp;link(配布所はこちら){​"&amp;テーブル1[[#This Row],[リンク]]&amp;"}|"</f>
        <v>|MIDDLE:​&amp;link(配布所はこちら){​https://rapo080302.wixsite.com/twosibi}|</v>
      </c>
    </row>
    <row r="206" spans="1:26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545</v>
      </c>
      <c r="D206" s="23" t="s">
        <v>911</v>
      </c>
      <c r="E206" s="23" t="s">
        <v>1080</v>
      </c>
      <c r="F206" s="15" t="s">
        <v>540</v>
      </c>
      <c r="G206" s="23" t="s">
        <v>546</v>
      </c>
      <c r="N206" s="23" t="s">
        <v>1298</v>
      </c>
      <c r="P206" s="1" t="s">
        <v>549</v>
      </c>
      <c r="Q206" s="24" t="str">
        <f>テーブル1[[#This Row],[リンク]]&amp;テーブル1[[#This Row],[描画状況]]</f>
        <v>https://todosho1192.wixsite.com/my-site-3済</v>
      </c>
      <c r="R206" s="17">
        <f>1-(COUNTIF(Q:Q,_xlfn.TEXTJOIN(",",TRUE,テーブル1[[#This Row],[リンク]],テーブル1[[#This Row],[描画状況]]))/COUNTIF(F:F,テーブル1[[#This Row],[リンク]]))</f>
        <v>1</v>
      </c>
      <c r="S206" s="16" t="str">
        <f ca="1">IFERROR(IF(テーブル1[[#This Row],[描画状況]]="",RAND()+(テーブル1[[#This Row],[列2]]*100),""),RAND())</f>
        <v/>
      </c>
      <c r="T206" s="1" t="s">
        <v>459</v>
      </c>
      <c r="U206" s="24" t="str">
        <f ca="1">IF(AND(テーブル1[[#This Row],[描画状況]]="済",テーブル1[[#This Row],[投稿状況]]=""),RAND(),"")</f>
        <v/>
      </c>
      <c r="V206" s="23" t="str">
        <f>"|&amp;image("&amp;テーブル1[[#This Row],[画像]]&amp;".png,width=100,height=100)"</f>
        <v>|&amp;image(gouon-roki.png,width=100,height=100)</v>
      </c>
      <c r="W206" s="23" t="str">
        <f>"|MIDDLE:​"&amp;テーブル1[[#This Row],[名前]]</f>
        <v>|MIDDLE:​轟音ロキ</v>
      </c>
      <c r="X206" s="23" t="str">
        <f>"|MIDDLE:​"&amp;テーブル1[[#This Row],[なまえ]]</f>
        <v>|MIDDLE:​ごうおん ろき</v>
      </c>
      <c r="Y206" s="23" t="str">
        <f>"|MIDDLE:​"&amp;テーブル1[[#This Row],[Name]]</f>
        <v>|MIDDLE:​Gouon Roki</v>
      </c>
      <c r="Z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6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555</v>
      </c>
      <c r="D207" s="23" t="s">
        <v>558</v>
      </c>
      <c r="E207" s="23" t="s">
        <v>556</v>
      </c>
      <c r="F207" s="15" t="s">
        <v>557</v>
      </c>
      <c r="G207" s="23" t="str">
        <f>テーブル1[[#This Row],[名前]]&amp;"(UTAU)"</f>
        <v>16号(UTAU)</v>
      </c>
      <c r="H207" s="23" t="s">
        <v>672</v>
      </c>
      <c r="I207" s="23" t="s">
        <v>767</v>
      </c>
      <c r="O207" s="1" t="s">
        <v>631</v>
      </c>
      <c r="P207" s="1" t="s">
        <v>549</v>
      </c>
      <c r="Q207" s="24" t="str">
        <f>テーブル1[[#This Row],[リンク]]&amp;テーブル1[[#This Row],[描画状況]]</f>
        <v>https://sites.google.com/view/ronku99済</v>
      </c>
      <c r="R207" s="17">
        <f>1-(COUNTIF(Q:Q,_xlfn.TEXTJOIN(",",TRUE,テーブル1[[#This Row],[リンク]],テーブル1[[#This Row],[描画状況]]))/COUNTIF(F:F,テーブル1[[#This Row],[リンク]]))</f>
        <v>1</v>
      </c>
      <c r="S207" s="16" t="str">
        <f ca="1">IFERROR(IF(テーブル1[[#This Row],[描画状況]]="",RAND()+(テーブル1[[#This Row],[列2]]*100),""),RAND())</f>
        <v/>
      </c>
      <c r="T207" s="1" t="s">
        <v>459</v>
      </c>
      <c r="U207" s="24" t="str">
        <f ca="1">IF(AND(テーブル1[[#This Row],[描画状況]]="済",テーブル1[[#This Row],[投稿状況]]=""),RAND(),"")</f>
        <v/>
      </c>
      <c r="V207" s="23" t="str">
        <f>"|&amp;image("&amp;テーブル1[[#This Row],[画像]]&amp;".png,width=100,height=100)"</f>
        <v>|&amp;image(no-16.png,width=100,height=100)</v>
      </c>
      <c r="W207" s="23" t="str">
        <f>"|MIDDLE:​"&amp;テーブル1[[#This Row],[名前]]</f>
        <v>|MIDDLE:​16号</v>
      </c>
      <c r="X207" s="23" t="str">
        <f>"|MIDDLE:​"&amp;テーブル1[[#This Row],[なまえ]]</f>
        <v>|MIDDLE:​じゅうろくごう</v>
      </c>
      <c r="Y207" s="23" t="str">
        <f>"|MIDDLE:​"&amp;テーブル1[[#This Row],[Name]]</f>
        <v>|MIDDLE:​No.16</v>
      </c>
      <c r="Z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6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551</v>
      </c>
      <c r="D208" s="23" t="s">
        <v>552</v>
      </c>
      <c r="E208" s="23" t="s">
        <v>553</v>
      </c>
      <c r="F208" s="15" t="s">
        <v>554</v>
      </c>
      <c r="G208" s="23" t="str">
        <f>テーブル1[[#This Row],[名前]]&amp;"(UTAU)"</f>
        <v>シズルう(UTAU)</v>
      </c>
      <c r="P208" s="1" t="s">
        <v>549</v>
      </c>
      <c r="Q208" s="24" t="str">
        <f>テーブル1[[#This Row],[リンク]]&amp;テーブル1[[#This Row],[描画状況]]</f>
        <v>https://utau.fandom.com/wiki/Shizuruu済</v>
      </c>
      <c r="R208" s="17">
        <f>1-(COUNTIF(Q:Q,_xlfn.TEXTJOIN(",",TRUE,テーブル1[[#This Row],[リンク]],テーブル1[[#This Row],[描画状況]]))/COUNTIF(F:F,テーブル1[[#This Row],[リンク]]))</f>
        <v>1</v>
      </c>
      <c r="S208" s="16" t="str">
        <f ca="1">IFERROR(IF(テーブル1[[#This Row],[描画状況]]="",RAND()+(テーブル1[[#This Row],[列2]]*100),""),RAND())</f>
        <v/>
      </c>
      <c r="T208" s="1" t="s">
        <v>459</v>
      </c>
      <c r="U208" s="24" t="str">
        <f ca="1">IF(AND(テーブル1[[#This Row],[描画状況]]="済",テーブル1[[#This Row],[投稿状況]]=""),RAND(),"")</f>
        <v/>
      </c>
      <c r="V208" s="23" t="str">
        <f>"|&amp;image("&amp;テーブル1[[#This Row],[画像]]&amp;".png,width=100,height=100)"</f>
        <v>|&amp;image(shizuruu.png,width=100,height=100)</v>
      </c>
      <c r="W208" s="23" t="str">
        <f>"|MIDDLE:​"&amp;テーブル1[[#This Row],[名前]]</f>
        <v>|MIDDLE:​シズルう</v>
      </c>
      <c r="X208" s="23" t="str">
        <f>"|MIDDLE:​"&amp;テーブル1[[#This Row],[なまえ]]</f>
        <v>|MIDDLE:​しずるう</v>
      </c>
      <c r="Y208" s="23" t="str">
        <f>"|MIDDLE:​"&amp;テーブル1[[#This Row],[Name]]</f>
        <v>|MIDDLE:​Shizuruu</v>
      </c>
      <c r="Z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6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286</v>
      </c>
      <c r="D209" s="23" t="s">
        <v>912</v>
      </c>
      <c r="E209" s="23" t="s">
        <v>1081</v>
      </c>
      <c r="F209" s="2" t="s">
        <v>43</v>
      </c>
      <c r="G209" s="23" t="s">
        <v>44</v>
      </c>
      <c r="O209" s="1" t="s">
        <v>595</v>
      </c>
      <c r="P209" s="1" t="s">
        <v>549</v>
      </c>
      <c r="Q209" s="24" t="str">
        <f>テーブル1[[#This Row],[リンク]]&amp;テーブル1[[#This Row],[描画状況]]</f>
        <v>https://bellsworks.wixsite.com/bellsworks済</v>
      </c>
      <c r="R209" s="17">
        <f>1-(COUNTIF(Q:Q,_xlfn.TEXTJOIN(",",TRUE,テーブル1[[#This Row],[リンク]],テーブル1[[#This Row],[描画状況]]))/COUNTIF(F:F,テーブル1[[#This Row],[リンク]]))</f>
        <v>1</v>
      </c>
      <c r="S209" s="16" t="str">
        <f ca="1">IFERROR(IF(テーブル1[[#This Row],[描画状況]]="",RAND()+(テーブル1[[#This Row],[列2]]*100),""),RAND())</f>
        <v/>
      </c>
      <c r="T209" s="1" t="s">
        <v>459</v>
      </c>
      <c r="U209" s="24" t="str">
        <f ca="1">IF(AND(テーブル1[[#This Row],[描画状況]]="済",テーブル1[[#This Row],[投稿状況]]=""),RAND(),"")</f>
        <v/>
      </c>
      <c r="V209" s="23" t="str">
        <f>"|&amp;image("&amp;テーブル1[[#This Row],[画像]]&amp;".png,width=100,height=100)"</f>
        <v>|&amp;image(kotone-koto.png,width=100,height=100)</v>
      </c>
      <c r="W209" s="23" t="str">
        <f>"|MIDDLE:​"&amp;テーブル1[[#This Row],[名前]]</f>
        <v>|MIDDLE:​琴音コト</v>
      </c>
      <c r="X209" s="23" t="str">
        <f>"|MIDDLE:​"&amp;テーブル1[[#This Row],[なまえ]]</f>
        <v>|MIDDLE:​ことね こと</v>
      </c>
      <c r="Y209" s="23" t="str">
        <f>"|MIDDLE:​"&amp;テーブル1[[#This Row],[Name]]</f>
        <v>|MIDDLE:​Kotone Koto</v>
      </c>
      <c r="Z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6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562</v>
      </c>
      <c r="D210" s="23" t="s">
        <v>913</v>
      </c>
      <c r="E210" s="23" t="s">
        <v>1082</v>
      </c>
      <c r="F210" s="15" t="s">
        <v>557</v>
      </c>
      <c r="G210" s="23" t="str">
        <f>テーブル1[[#This Row],[名前]]&amp;"(UTAU)"</f>
        <v>ろんく1号(UTAU)</v>
      </c>
      <c r="H210" s="23" t="s">
        <v>673</v>
      </c>
      <c r="I210" s="23" t="s">
        <v>670</v>
      </c>
      <c r="O210" s="1" t="s">
        <v>631</v>
      </c>
      <c r="P210" s="1" t="s">
        <v>549</v>
      </c>
      <c r="Q210" s="24" t="str">
        <f>テーブル1[[#This Row],[リンク]]&amp;テーブル1[[#This Row],[描画状況]]</f>
        <v>https://sites.google.com/view/ronku99済</v>
      </c>
      <c r="R210" s="17">
        <f>1-(COUNTIF(Q:Q,_xlfn.TEXTJOIN(",",TRUE,テーブル1[[#This Row],[リンク]],テーブル1[[#This Row],[描画状況]]))/COUNTIF(F:F,テーブル1[[#This Row],[リンク]]))</f>
        <v>1</v>
      </c>
      <c r="S210" s="16" t="str">
        <f ca="1">IFERROR(IF(テーブル1[[#This Row],[描画状況]]="",RAND()+(テーブル1[[#This Row],[列2]]*100),""),RAND())</f>
        <v/>
      </c>
      <c r="T210" s="1" t="s">
        <v>459</v>
      </c>
      <c r="U210" s="24" t="str">
        <f ca="1">IF(AND(テーブル1[[#This Row],[描画状況]]="済",テーブル1[[#This Row],[投稿状況]]=""),RAND(),"")</f>
        <v/>
      </c>
      <c r="V210" s="23" t="str">
        <f>"|&amp;image("&amp;テーブル1[[#This Row],[画像]]&amp;".png,width=100,height=100)"</f>
        <v>|&amp;image(ronku-no-1.png,width=100,height=100)</v>
      </c>
      <c r="W210" s="23" t="str">
        <f>"|MIDDLE:​"&amp;テーブル1[[#This Row],[名前]]</f>
        <v>|MIDDLE:​ろんく1号</v>
      </c>
      <c r="X210" s="23" t="str">
        <f>"|MIDDLE:​"&amp;テーブル1[[#This Row],[なまえ]]</f>
        <v>|MIDDLE:​ろんく いちごう</v>
      </c>
      <c r="Y210" s="23" t="str">
        <f>"|MIDDLE:​"&amp;テーブル1[[#This Row],[Name]]</f>
        <v>|MIDDLE:​Ronku No.1</v>
      </c>
      <c r="Z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6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598</v>
      </c>
      <c r="D211" s="23" t="s">
        <v>597</v>
      </c>
      <c r="E211" s="23" t="s">
        <v>599</v>
      </c>
      <c r="F211" s="26" t="s">
        <v>607</v>
      </c>
      <c r="G211" s="23" t="s">
        <v>600</v>
      </c>
      <c r="O211" s="1" t="s">
        <v>594</v>
      </c>
      <c r="P211" s="1" t="s">
        <v>549</v>
      </c>
      <c r="Q211" s="24" t="str">
        <f>テーブル1[[#This Row],[リンク]]&amp;テーブル1[[#This Row],[描画状況]]</f>
        <v>https://cgamy40.wixsite.com/tsuraiuroyoi済</v>
      </c>
      <c r="R211" s="17">
        <f>1-(COUNTIF(Q:Q,_xlfn.TEXTJOIN(",",TRUE,テーブル1[[#This Row],[リンク]],テーブル1[[#This Row],[描画状況]]))/COUNTIF(F:F,テーブル1[[#This Row],[リンク]]))</f>
        <v>1</v>
      </c>
      <c r="S211" s="16" t="str">
        <f ca="1">IFERROR(IF(テーブル1[[#This Row],[描画状況]]="",RAND()+(テーブル1[[#This Row],[列2]]*100),""),RAND())</f>
        <v/>
      </c>
      <c r="T211" s="1" t="s">
        <v>459</v>
      </c>
      <c r="U211" s="24" t="str">
        <f ca="1">IF(AND(テーブル1[[#This Row],[描画状況]]="済",テーブル1[[#This Row],[投稿状況]]=""),RAND(),"")</f>
        <v/>
      </c>
      <c r="V211" s="23" t="str">
        <f>"|&amp;image("&amp;テーブル1[[#This Row],[画像]]&amp;".png,width=100,height=100)"</f>
        <v>|&amp;image(orokameshi.png,width=100,height=100)</v>
      </c>
      <c r="W211" s="23" t="str">
        <f>"|MIDDLE:​"&amp;テーブル1[[#This Row],[名前]]</f>
        <v>|MIDDLE:​おろかめし</v>
      </c>
      <c r="X211" s="23" t="str">
        <f>"|MIDDLE:​"&amp;テーブル1[[#This Row],[なまえ]]</f>
        <v>|MIDDLE:​おろかめし</v>
      </c>
      <c r="Y211" s="23" t="str">
        <f>"|MIDDLE:​"&amp;テーブル1[[#This Row],[Name]]</f>
        <v>|MIDDLE:​Orokameshi</v>
      </c>
      <c r="Z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6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696</v>
      </c>
      <c r="D212" s="23" t="s">
        <v>602</v>
      </c>
      <c r="E212" s="23" t="s">
        <v>1083</v>
      </c>
      <c r="F212" s="15" t="s">
        <v>603</v>
      </c>
      <c r="G212" s="23" t="s">
        <v>606</v>
      </c>
      <c r="H212" s="23" t="s">
        <v>661</v>
      </c>
      <c r="I212" s="23" t="s">
        <v>667</v>
      </c>
      <c r="M212" s="23" t="s">
        <v>1181</v>
      </c>
      <c r="O212" s="1" t="s">
        <v>595</v>
      </c>
      <c r="P212" s="1" t="s">
        <v>549</v>
      </c>
      <c r="Q212" s="24" t="str">
        <f>テーブル1[[#This Row],[リンク]]&amp;テーブル1[[#This Row],[描画状況]]</f>
        <v>https://mackerel178.wixsite.com/yuusensuizokukan済</v>
      </c>
      <c r="R212" s="17">
        <f>1-(COUNTIF(Q:Q,_xlfn.TEXTJOIN(",",TRUE,テーブル1[[#This Row],[リンク]],テーブル1[[#This Row],[描画状況]]))/COUNTIF(F:F,テーブル1[[#This Row],[リンク]]))</f>
        <v>1</v>
      </c>
      <c r="S212" s="16" t="str">
        <f ca="1">IFERROR(IF(テーブル1[[#This Row],[描画状況]]="",RAND()+(テーブル1[[#This Row],[列2]]*100),""),RAND())</f>
        <v/>
      </c>
      <c r="T212" s="1" t="s">
        <v>459</v>
      </c>
      <c r="U212" s="24" t="str">
        <f ca="1">IF(AND(テーブル1[[#This Row],[描画状況]]="済",テーブル1[[#This Row],[投稿状況]]=""),RAND(),"")</f>
        <v/>
      </c>
      <c r="V212" s="23" t="str">
        <f>"|&amp;image("&amp;テーブル1[[#This Row],[画像]]&amp;".png,width=100,height=100)"</f>
        <v>|&amp;image(t-kun.png,width=100,height=100)</v>
      </c>
      <c r="W212" s="23" t="str">
        <f>"|MIDDLE:​"&amp;テーブル1[[#This Row],[名前]]</f>
        <v>|MIDDLE:​Tくん</v>
      </c>
      <c r="X212" s="23" t="str">
        <f>"|MIDDLE:​"&amp;テーブル1[[#This Row],[なまえ]]</f>
        <v>|MIDDLE:​てぃーくん</v>
      </c>
      <c r="Y212" s="23" t="str">
        <f>"|MIDDLE:​"&amp;テーブル1[[#This Row],[Name]]</f>
        <v>|MIDDLE:​T kun</v>
      </c>
      <c r="Z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6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604</v>
      </c>
      <c r="E213" s="23" t="s">
        <v>605</v>
      </c>
      <c r="F213" s="15" t="s">
        <v>603</v>
      </c>
      <c r="G213" s="23" t="s">
        <v>606</v>
      </c>
      <c r="H213" s="23" t="s">
        <v>673</v>
      </c>
      <c r="I213" s="23" t="s">
        <v>697</v>
      </c>
      <c r="M213" s="23" t="s">
        <v>1181</v>
      </c>
      <c r="N213" s="23" t="s">
        <v>1295</v>
      </c>
      <c r="O213" s="1" t="s">
        <v>595</v>
      </c>
      <c r="P213" s="1" t="s">
        <v>549</v>
      </c>
      <c r="Q213" s="24" t="str">
        <f>テーブル1[[#This Row],[リンク]]&amp;テーブル1[[#This Row],[描画状況]]</f>
        <v>https://mackerel178.wixsite.com/yuusensuizokukan済</v>
      </c>
      <c r="R213" s="17">
        <f>1-(COUNTIF(Q:Q,_xlfn.TEXTJOIN(",",TRUE,テーブル1[[#This Row],[リンク]],テーブル1[[#This Row],[描画状況]]))/COUNTIF(F:F,テーブル1[[#This Row],[リンク]]))</f>
        <v>1</v>
      </c>
      <c r="S213" s="16" t="str">
        <f ca="1">IFERROR(IF(テーブル1[[#This Row],[描画状況]]="",RAND()+(テーブル1[[#This Row],[列2]]*100),""),RAND())</f>
        <v/>
      </c>
      <c r="T213" s="1" t="s">
        <v>459</v>
      </c>
      <c r="U213" s="24" t="str">
        <f ca="1">IF(AND(テーブル1[[#This Row],[描画状況]]="済",テーブル1[[#This Row],[投稿状況]]=""),RAND(),"")</f>
        <v/>
      </c>
      <c r="V213" s="23" t="str">
        <f>"|&amp;image("&amp;テーブル1[[#This Row],[画像]]&amp;".png,width=100,height=100)"</f>
        <v>|&amp;image(sairo.png,width=100,height=100)</v>
      </c>
      <c r="W213" s="23" t="str">
        <f>"|MIDDLE:​"&amp;テーブル1[[#This Row],[名前]]</f>
        <v>|MIDDLE:​316</v>
      </c>
      <c r="X213" s="23" t="str">
        <f>"|MIDDLE:​"&amp;テーブル1[[#This Row],[なまえ]]</f>
        <v>|MIDDLE:​さいろ</v>
      </c>
      <c r="Y213" s="23" t="str">
        <f>"|MIDDLE:​"&amp;テーブル1[[#This Row],[Name]]</f>
        <v>|MIDDLE:​Sairo</v>
      </c>
      <c r="Z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6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608</v>
      </c>
      <c r="D214" s="23" t="s">
        <v>914</v>
      </c>
      <c r="E214" s="23" t="s">
        <v>1084</v>
      </c>
      <c r="F214" s="15" t="s">
        <v>610</v>
      </c>
      <c r="G214" s="23" t="s">
        <v>609</v>
      </c>
      <c r="O214" s="1" t="s">
        <v>594</v>
      </c>
      <c r="P214" s="1" t="s">
        <v>549</v>
      </c>
      <c r="Q214" s="24" t="str">
        <f>テーブル1[[#This Row],[リンク]]&amp;テーブル1[[#This Row],[描画状況]]</f>
        <v>https://komagatabone.fc2.page済</v>
      </c>
      <c r="R214" s="17">
        <f>1-(COUNTIF(Q:Q,_xlfn.TEXTJOIN(",",TRUE,テーブル1[[#This Row],[リンク]],テーブル1[[#This Row],[描画状況]]))/COUNTIF(F:F,テーブル1[[#This Row],[リンク]]))</f>
        <v>1</v>
      </c>
      <c r="S214" s="16" t="str">
        <f ca="1">IFERROR(IF(テーブル1[[#This Row],[描画状況]]="",RAND()+(テーブル1[[#This Row],[列2]]*100),""),RAND())</f>
        <v/>
      </c>
      <c r="T214" s="1" t="s">
        <v>459</v>
      </c>
      <c r="U214" s="24" t="str">
        <f ca="1">IF(AND(テーブル1[[#This Row],[描画状況]]="済",テーブル1[[#This Row],[投稿状況]]=""),RAND(),"")</f>
        <v/>
      </c>
      <c r="V214" s="23" t="str">
        <f>"|&amp;image("&amp;テーブル1[[#This Row],[画像]]&amp;".png,width=100,height=100)"</f>
        <v>|&amp;image(fukami-marine.png,width=100,height=100)</v>
      </c>
      <c r="W214" s="23" t="str">
        <f>"|MIDDLE:​"&amp;テーブル1[[#This Row],[名前]]</f>
        <v>|MIDDLE:​深海マリン</v>
      </c>
      <c r="X214" s="23" t="str">
        <f>"|MIDDLE:​"&amp;テーブル1[[#This Row],[なまえ]]</f>
        <v>|MIDDLE:​ふかみ まりん</v>
      </c>
      <c r="Y214" s="23" t="str">
        <f>"|MIDDLE:​"&amp;テーブル1[[#This Row],[Name]]</f>
        <v>|MIDDLE:​Fukami Marine</v>
      </c>
      <c r="Z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6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612</v>
      </c>
      <c r="D215" s="23" t="s">
        <v>915</v>
      </c>
      <c r="E215" s="23" t="s">
        <v>1085</v>
      </c>
      <c r="F215" s="15" t="s">
        <v>645</v>
      </c>
      <c r="G215" s="23" t="s">
        <v>613</v>
      </c>
      <c r="H215" s="23" t="s">
        <v>660</v>
      </c>
      <c r="I215" s="23" t="s">
        <v>677</v>
      </c>
      <c r="O215" s="1" t="s">
        <v>594</v>
      </c>
      <c r="P215" s="1" t="s">
        <v>549</v>
      </c>
      <c r="Q215" s="24" t="str">
        <f>テーブル1[[#This Row],[リンク]]&amp;テーブル1[[#This Row],[描画状況]]</f>
        <v>https://bowlroll.net/user/946776済</v>
      </c>
      <c r="R215" s="17">
        <f>1-(COUNTIF(Q:Q,_xlfn.TEXTJOIN(",",TRUE,テーブル1[[#This Row],[リンク]],テーブル1[[#This Row],[描画状況]]))/COUNTIF(F:F,テーブル1[[#This Row],[リンク]]))</f>
        <v>1</v>
      </c>
      <c r="S215" s="16" t="str">
        <f ca="1">IFERROR(IF(テーブル1[[#This Row],[描画状況]]="",RAND()+(テーブル1[[#This Row],[列2]]*100),""),RAND())</f>
        <v/>
      </c>
      <c r="T215" s="1" t="s">
        <v>459</v>
      </c>
      <c r="U215" s="24" t="str">
        <f ca="1">IF(AND(テーブル1[[#This Row],[描画状況]]="済",テーブル1[[#This Row],[投稿状況]]=""),RAND(),"")</f>
        <v/>
      </c>
      <c r="V215" s="23" t="str">
        <f>"|&amp;image("&amp;テーブル1[[#This Row],[画像]]&amp;".png,width=100,height=100)"</f>
        <v>|&amp;image(colorful-sugar-sprinkle.png,width=100,height=100)</v>
      </c>
      <c r="W215" s="23" t="str">
        <f>"|MIDDLE:​"&amp;テーブル1[[#This Row],[名前]]</f>
        <v>|MIDDLE:​カラフル・シュガースプリンクル</v>
      </c>
      <c r="X215" s="23" t="str">
        <f>"|MIDDLE:​"&amp;テーブル1[[#This Row],[なまえ]]</f>
        <v>|MIDDLE:​からふる しゅがーすぷりんくる</v>
      </c>
      <c r="Y215" s="23" t="str">
        <f>"|MIDDLE:​"&amp;テーブル1[[#This Row],[Name]]</f>
        <v>|MIDDLE:​Colorful Sugar Sprinkle</v>
      </c>
      <c r="Z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6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328</v>
      </c>
      <c r="D216" s="23" t="s">
        <v>916</v>
      </c>
      <c r="E216" s="23" t="s">
        <v>1086</v>
      </c>
      <c r="F216" s="2" t="s">
        <v>329</v>
      </c>
      <c r="G216" s="23" t="s">
        <v>49</v>
      </c>
      <c r="H216" s="23" t="s">
        <v>661</v>
      </c>
      <c r="I216" s="23" t="s">
        <v>668</v>
      </c>
      <c r="M216" s="23" t="s">
        <v>1178</v>
      </c>
      <c r="N216" s="23" t="s">
        <v>1224</v>
      </c>
      <c r="O216" s="1" t="s">
        <v>594</v>
      </c>
      <c r="P216" s="1" t="s">
        <v>549</v>
      </c>
      <c r="Q216" s="24" t="str">
        <f>テーブル1[[#This Row],[リンク]]&amp;テーブル1[[#This Row],[描画状況]]</f>
        <v>https://bowlroll.net/user/980255済</v>
      </c>
      <c r="R216" s="17">
        <f>1-(COUNTIF(Q:Q,_xlfn.TEXTJOIN(",",TRUE,テーブル1[[#This Row],[リンク]],テーブル1[[#This Row],[描画状況]]))/COUNTIF(F:F,テーブル1[[#This Row],[リンク]]))</f>
        <v>1</v>
      </c>
      <c r="S216" s="16" t="str">
        <f ca="1">IFERROR(IF(テーブル1[[#This Row],[描画状況]]="",RAND()+(テーブル1[[#This Row],[列2]]*100),""),RAND())</f>
        <v/>
      </c>
      <c r="T216" s="1" t="s">
        <v>459</v>
      </c>
      <c r="U216" s="24" t="str">
        <f ca="1">IF(AND(テーブル1[[#This Row],[描画状況]]="済",テーブル1[[#This Row],[投稿状況]]=""),RAND(),"")</f>
        <v/>
      </c>
      <c r="V216" s="23" t="str">
        <f>"|&amp;image("&amp;テーブル1[[#This Row],[画像]]&amp;".png,width=100,height=100)"</f>
        <v>|&amp;image(kyakuyose-riley.png,width=100,height=100)</v>
      </c>
      <c r="W216" s="23" t="str">
        <f>"|MIDDLE:​"&amp;テーブル1[[#This Row],[名前]]</f>
        <v>|MIDDLE:​客寄せRiley</v>
      </c>
      <c r="X216" s="23" t="str">
        <f>"|MIDDLE:​"&amp;テーブル1[[#This Row],[なまえ]]</f>
        <v>|MIDDLE:​きゃくよせ らいりー</v>
      </c>
      <c r="Y216" s="23" t="str">
        <f>"|MIDDLE:​"&amp;テーブル1[[#This Row],[Name]]</f>
        <v>|MIDDLE:​Kyakuyose Riley</v>
      </c>
      <c r="Z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6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614</v>
      </c>
      <c r="D217" s="23" t="s">
        <v>615</v>
      </c>
      <c r="E217" s="23" t="s">
        <v>616</v>
      </c>
      <c r="F217" s="15" t="s">
        <v>617</v>
      </c>
      <c r="G217" s="23" t="s">
        <v>618</v>
      </c>
      <c r="O217" s="1" t="s">
        <v>594</v>
      </c>
      <c r="P217" s="1" t="s">
        <v>549</v>
      </c>
      <c r="Q217" s="24" t="str">
        <f>テーブル1[[#This Row],[リンク]]&amp;テーブル1[[#This Row],[描画状況]]</f>
        <v>https://piku.page/@toitoitoi23済</v>
      </c>
      <c r="R217" s="17">
        <f>1-(COUNTIF(Q:Q,_xlfn.TEXTJOIN(",",TRUE,テーブル1[[#This Row],[リンク]],テーブル1[[#This Row],[描画状況]]))/COUNTIF(F:F,テーブル1[[#This Row],[リンク]]))</f>
        <v>1</v>
      </c>
      <c r="S217" s="16" t="str">
        <f ca="1">IFERROR(IF(テーブル1[[#This Row],[描画状況]]="",RAND()+(テーブル1[[#This Row],[列2]]*100),""),RAND())</f>
        <v/>
      </c>
      <c r="T217" s="1" t="s">
        <v>459</v>
      </c>
      <c r="U217" s="24" t="str">
        <f ca="1">IF(AND(テーブル1[[#This Row],[描画状況]]="済",テーブル1[[#This Row],[投稿状況]]=""),RAND(),"")</f>
        <v/>
      </c>
      <c r="V217" s="23" t="str">
        <f>"|&amp;image("&amp;テーブル1[[#This Row],[画像]]&amp;".png,width=100,height=100)"</f>
        <v>|&amp;image(nekonari.png,width=100,height=100)</v>
      </c>
      <c r="W217" s="23" t="str">
        <f>"|MIDDLE:​"&amp;テーブル1[[#This Row],[名前]]</f>
        <v>|MIDDLE:​ネコナリ</v>
      </c>
      <c r="X217" s="23" t="str">
        <f>"|MIDDLE:​"&amp;テーブル1[[#This Row],[なまえ]]</f>
        <v>|MIDDLE:​ねこなり</v>
      </c>
      <c r="Y217" s="23" t="str">
        <f>"|MIDDLE:​"&amp;テーブル1[[#This Row],[Name]]</f>
        <v>|MIDDLE:​Nekonari</v>
      </c>
      <c r="Z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6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619</v>
      </c>
      <c r="D218" s="23" t="s">
        <v>917</v>
      </c>
      <c r="E218" s="23" t="s">
        <v>1087</v>
      </c>
      <c r="F218" s="15" t="s">
        <v>198</v>
      </c>
      <c r="G218" s="23" t="s">
        <v>199</v>
      </c>
      <c r="H218" s="23" t="s">
        <v>661</v>
      </c>
      <c r="I218" s="23" t="s">
        <v>667</v>
      </c>
      <c r="L218" s="23" t="s">
        <v>1200</v>
      </c>
      <c r="M218" s="23" t="s">
        <v>1178</v>
      </c>
      <c r="N218" s="23" t="s">
        <v>1224</v>
      </c>
      <c r="O218" s="1" t="s">
        <v>594</v>
      </c>
      <c r="P218" s="1" t="s">
        <v>549</v>
      </c>
      <c r="Q218" s="24" t="str">
        <f>テーブル1[[#This Row],[リンク]]&amp;テーブル1[[#This Row],[描画状況]]</f>
        <v>https://seirentoybox.jimdofree.com済</v>
      </c>
      <c r="R218" s="17">
        <f>1-(COUNTIF(Q:Q,_xlfn.TEXTJOIN(",",TRUE,テーブル1[[#This Row],[リンク]],テーブル1[[#This Row],[描画状況]]))/COUNTIF(F:F,テーブル1[[#This Row],[リンク]]))</f>
        <v>1</v>
      </c>
      <c r="S218" s="16" t="str">
        <f ca="1">IFERROR(IF(テーブル1[[#This Row],[描画状況]]="",RAND()+(テーブル1[[#This Row],[列2]]*100),""),RAND())</f>
        <v/>
      </c>
      <c r="T218" s="1" t="s">
        <v>459</v>
      </c>
      <c r="U218" s="24" t="str">
        <f ca="1">IF(AND(テーブル1[[#This Row],[描画状況]]="済",テーブル1[[#This Row],[投稿状況]]=""),RAND(),"")</f>
        <v/>
      </c>
      <c r="V218" s="23" t="str">
        <f>"|&amp;image("&amp;テーブル1[[#This Row],[画像]]&amp;".png,width=100,height=100)"</f>
        <v>|&amp;image(meganeko-mikketa.png,width=100,height=100)</v>
      </c>
      <c r="W218" s="23" t="str">
        <f>"|MIDDLE:​"&amp;テーブル1[[#This Row],[名前]]</f>
        <v>|MIDDLE:​メガネコ・ミッケタ</v>
      </c>
      <c r="X218" s="23" t="str">
        <f>"|MIDDLE:​"&amp;テーブル1[[#This Row],[なまえ]]</f>
        <v>|MIDDLE:​めがねこ みっけた</v>
      </c>
      <c r="Y218" s="23" t="str">
        <f>"|MIDDLE:​"&amp;テーブル1[[#This Row],[Name]]</f>
        <v>|MIDDLE:​Meganeko Mikketa</v>
      </c>
      <c r="Z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6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625</v>
      </c>
      <c r="D219" s="23" t="s">
        <v>918</v>
      </c>
      <c r="E219" s="23" t="s">
        <v>626</v>
      </c>
      <c r="F219" s="2" t="s">
        <v>149</v>
      </c>
      <c r="G219" s="23" t="s">
        <v>150</v>
      </c>
      <c r="O219" s="1" t="s">
        <v>594</v>
      </c>
      <c r="P219" s="1" t="s">
        <v>549</v>
      </c>
      <c r="Q219" s="24" t="str">
        <f>テーブル1[[#This Row],[リンク]]&amp;テーブル1[[#This Row],[描画状況]]</f>
        <v>https://mitoristu.wixsite.com/kousaibako済</v>
      </c>
      <c r="R219" s="17">
        <f>1-(COUNTIF(Q:Q,_xlfn.TEXTJOIN(",",TRUE,テーブル1[[#This Row],[リンク]],テーブル1[[#This Row],[描画状況]]))/COUNTIF(F:F,テーブル1[[#This Row],[リンク]]))</f>
        <v>1</v>
      </c>
      <c r="S219" s="16" t="str">
        <f ca="1">IFERROR(IF(テーブル1[[#This Row],[描画状況]]="",RAND()+(テーブル1[[#This Row],[列2]]*100),""),RAND())</f>
        <v/>
      </c>
      <c r="T219" s="1" t="s">
        <v>459</v>
      </c>
      <c r="U219" s="24" t="str">
        <f ca="1">IF(AND(テーブル1[[#This Row],[描画状況]]="済",テーブル1[[#This Row],[投稿状況]]=""),RAND(),"")</f>
        <v/>
      </c>
      <c r="V219" s="23" t="str">
        <f>"|&amp;image("&amp;テーブル1[[#This Row],[画像]]&amp;".png,width=100,height=100)"</f>
        <v>|&amp;image(aster-flores.png,width=100,height=100)</v>
      </c>
      <c r="W219" s="23" t="str">
        <f>"|MIDDLE:​"&amp;テーブル1[[#This Row],[名前]]</f>
        <v>|MIDDLE:​アスター・フローレス</v>
      </c>
      <c r="X219" s="23" t="str">
        <f>"|MIDDLE:​"&amp;テーブル1[[#This Row],[なまえ]]</f>
        <v>|MIDDLE:​あすたー ふろーれす</v>
      </c>
      <c r="Y219" s="23" t="str">
        <f>"|MIDDLE:​"&amp;テーブル1[[#This Row],[Name]]</f>
        <v>|MIDDLE:​Aster・Flores</v>
      </c>
      <c r="Z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6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627</v>
      </c>
      <c r="D220" s="23" t="s">
        <v>919</v>
      </c>
      <c r="E220" s="23" t="s">
        <v>1088</v>
      </c>
      <c r="F220" s="15" t="s">
        <v>611</v>
      </c>
      <c r="G220" s="23" t="s">
        <v>276</v>
      </c>
      <c r="H220" s="23" t="s">
        <v>660</v>
      </c>
      <c r="I220" s="23" t="s">
        <v>668</v>
      </c>
      <c r="M220" s="23" t="s">
        <v>1177</v>
      </c>
      <c r="O220" s="1" t="s">
        <v>594</v>
      </c>
      <c r="P220" s="1" t="s">
        <v>549</v>
      </c>
      <c r="Q220" s="24" t="str">
        <f>テーブル1[[#This Row],[リンク]]&amp;テーブル1[[#This Row],[描画状況]]</f>
        <v>https://vividseekers.utau.sorairomarch.com済</v>
      </c>
      <c r="R220" s="17">
        <f>1-(COUNTIF(Q:Q,_xlfn.TEXTJOIN(",",TRUE,テーブル1[[#This Row],[リンク]],テーブル1[[#This Row],[描画状況]]))/COUNTIF(F:F,テーブル1[[#This Row],[リンク]]))</f>
        <v>1</v>
      </c>
      <c r="S220" s="16" t="str">
        <f ca="1">IFERROR(IF(テーブル1[[#This Row],[描画状況]]="",RAND()+(テーブル1[[#This Row],[列2]]*100),""),RAND())</f>
        <v/>
      </c>
      <c r="T220" s="1" t="s">
        <v>459</v>
      </c>
      <c r="U220" s="24" t="str">
        <f ca="1">IF(AND(テーブル1[[#This Row],[描画状況]]="済",テーブル1[[#This Row],[投稿状況]]=""),RAND(),"")</f>
        <v/>
      </c>
      <c r="V220" s="23" t="str">
        <f>"|&amp;image("&amp;テーブル1[[#This Row],[画像]]&amp;".png,width=100,height=100)"</f>
        <v>|&amp;image(yoizuki-mikumo.png,width=100,height=100)</v>
      </c>
      <c r="W220" s="23" t="str">
        <f>"|MIDDLE:​"&amp;テーブル1[[#This Row],[名前]]</f>
        <v>|MIDDLE:​宵月未雲</v>
      </c>
      <c r="X220" s="23" t="str">
        <f>"|MIDDLE:​"&amp;テーブル1[[#This Row],[なまえ]]</f>
        <v>|MIDDLE:​よいづき みくも</v>
      </c>
      <c r="Y220" s="23" t="str">
        <f>"|MIDDLE:​"&amp;テーブル1[[#This Row],[Name]]</f>
        <v>|MIDDLE:​Yoizuki Mikumo</v>
      </c>
      <c r="Z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6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628</v>
      </c>
      <c r="D221" s="23" t="s">
        <v>920</v>
      </c>
      <c r="E221" s="23" t="s">
        <v>1089</v>
      </c>
      <c r="F221" s="15" t="s">
        <v>629</v>
      </c>
      <c r="G221" s="23" t="s">
        <v>630</v>
      </c>
      <c r="O221" s="1" t="s">
        <v>631</v>
      </c>
      <c r="P221" s="1" t="s">
        <v>549</v>
      </c>
      <c r="Q221" s="24" t="str">
        <f>テーブル1[[#This Row],[リンク]]&amp;テーブル1[[#This Row],[描画状況]]</f>
        <v>https://magnawitch.wixsite.com/seong-ah済</v>
      </c>
      <c r="R221" s="17">
        <f>1-(COUNTIF(Q:Q,_xlfn.TEXTJOIN(",",TRUE,テーブル1[[#This Row],[リンク]],テーブル1[[#This Row],[描画状況]]))/COUNTIF(F:F,テーブル1[[#This Row],[リンク]]))</f>
        <v>1</v>
      </c>
      <c r="S221" s="16" t="str">
        <f ca="1">IFERROR(IF(テーブル1[[#This Row],[描画状況]]="",RAND()+(テーブル1[[#This Row],[列2]]*100),""),RAND())</f>
        <v/>
      </c>
      <c r="T221" s="1" t="s">
        <v>459</v>
      </c>
      <c r="U221" s="24" t="str">
        <f ca="1">IF(AND(テーブル1[[#This Row],[描画状況]]="済",テーブル1[[#This Row],[投稿状況]]=""),RAND(),"")</f>
        <v/>
      </c>
      <c r="V221" s="23" t="str">
        <f>"|&amp;image("&amp;テーブル1[[#This Row],[画像]]&amp;".png,width=100,height=100)"</f>
        <v>|&amp;image(kang-unshim.png,width=100,height=100)</v>
      </c>
      <c r="W221" s="23" t="str">
        <f>"|MIDDLE:​"&amp;テーブル1[[#This Row],[名前]]</f>
        <v>|MIDDLE:​姜運心</v>
      </c>
      <c r="X221" s="23" t="str">
        <f>"|MIDDLE:​"&amp;テーブル1[[#This Row],[なまえ]]</f>
        <v>|MIDDLE:​かん うんしむ</v>
      </c>
      <c r="Y221" s="23" t="str">
        <f>"|MIDDLE:​"&amp;テーブル1[[#This Row],[Name]]</f>
        <v>|MIDDLE:​Kang Unshim</v>
      </c>
      <c r="Z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6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632</v>
      </c>
      <c r="D222" s="23" t="s">
        <v>633</v>
      </c>
      <c r="E222" s="23" t="s">
        <v>634</v>
      </c>
      <c r="F222" s="15" t="s">
        <v>629</v>
      </c>
      <c r="G222" s="23" t="s">
        <v>635</v>
      </c>
      <c r="O222" s="1" t="s">
        <v>631</v>
      </c>
      <c r="P222" s="1" t="s">
        <v>549</v>
      </c>
      <c r="Q222" s="24" t="str">
        <f>テーブル1[[#This Row],[リンク]]&amp;テーブル1[[#This Row],[描画状況]]</f>
        <v>https://magnawitch.wixsite.com/seong-ah済</v>
      </c>
      <c r="R222" s="17">
        <f>1-(COUNTIF(Q:Q,_xlfn.TEXTJOIN(",",TRUE,テーブル1[[#This Row],[リンク]],テーブル1[[#This Row],[描画状況]]))/COUNTIF(F:F,テーブル1[[#This Row],[リンク]]))</f>
        <v>1</v>
      </c>
      <c r="S222" s="16" t="str">
        <f ca="1">IFERROR(IF(テーブル1[[#This Row],[描画状況]]="",RAND()+(テーブル1[[#This Row],[列2]]*100),""),RAND())</f>
        <v/>
      </c>
      <c r="T222" s="1" t="s">
        <v>459</v>
      </c>
      <c r="U222" s="24" t="str">
        <f ca="1">IF(AND(テーブル1[[#This Row],[描画状況]]="済",テーブル1[[#This Row],[投稿状況]]=""),RAND(),"")</f>
        <v/>
      </c>
      <c r="V222" s="23" t="str">
        <f>"|&amp;image("&amp;テーブル1[[#This Row],[画像]]&amp;".png,width=100,height=100)"</f>
        <v>|&amp;image(optima-215.png,width=100,height=100)</v>
      </c>
      <c r="W222" s="23" t="str">
        <f>"|MIDDLE:​"&amp;テーブル1[[#This Row],[名前]]</f>
        <v>|MIDDLE:​オプティマ-215</v>
      </c>
      <c r="X222" s="23" t="str">
        <f>"|MIDDLE:​"&amp;テーブル1[[#This Row],[なまえ]]</f>
        <v>|MIDDLE:​おぷてぃま-215</v>
      </c>
      <c r="Y222" s="23" t="str">
        <f>"|MIDDLE:​"&amp;テーブル1[[#This Row],[Name]]</f>
        <v>|MIDDLE:​OPTIMA-215</v>
      </c>
      <c r="Z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6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636</v>
      </c>
      <c r="D223" s="23" t="s">
        <v>921</v>
      </c>
      <c r="E223" s="23" t="s">
        <v>1090</v>
      </c>
      <c r="F223" s="15" t="s">
        <v>629</v>
      </c>
      <c r="G223" s="23" t="str">
        <f>テーブル1[[#This Row],[名前]]&amp;"(UTAU)"</f>
        <v>カイル・タイラー(UTAU)</v>
      </c>
      <c r="O223" s="1" t="s">
        <v>631</v>
      </c>
      <c r="P223" s="1" t="s">
        <v>549</v>
      </c>
      <c r="Q223" s="24" t="str">
        <f>テーブル1[[#This Row],[リンク]]&amp;テーブル1[[#This Row],[描画状況]]</f>
        <v>https://magnawitch.wixsite.com/seong-ah済</v>
      </c>
      <c r="R223" s="17">
        <f>1-(COUNTIF(Q:Q,_xlfn.TEXTJOIN(",",TRUE,テーブル1[[#This Row],[リンク]],テーブル1[[#This Row],[描画状況]]))/COUNTIF(F:F,テーブル1[[#This Row],[リンク]]))</f>
        <v>1</v>
      </c>
      <c r="S223" s="16" t="str">
        <f ca="1">IFERROR(IF(テーブル1[[#This Row],[描画状況]]="",RAND()+(テーブル1[[#This Row],[列2]]*100),""),RAND())</f>
        <v/>
      </c>
      <c r="T223" s="1" t="s">
        <v>459</v>
      </c>
      <c r="U223" s="24" t="str">
        <f ca="1">IF(AND(テーブル1[[#This Row],[描画状況]]="済",テーブル1[[#This Row],[投稿状況]]=""),RAND(),"")</f>
        <v/>
      </c>
      <c r="V223" s="23" t="str">
        <f>"|&amp;image("&amp;テーブル1[[#This Row],[画像]]&amp;".png,width=100,height=100)"</f>
        <v>|&amp;image(kyle-tyler.png,width=100,height=100)</v>
      </c>
      <c r="W223" s="23" t="str">
        <f>"|MIDDLE:​"&amp;テーブル1[[#This Row],[名前]]</f>
        <v>|MIDDLE:​カイル・タイラー</v>
      </c>
      <c r="X223" s="23" t="str">
        <f>"|MIDDLE:​"&amp;テーブル1[[#This Row],[なまえ]]</f>
        <v>|MIDDLE:​かいる たいらー</v>
      </c>
      <c r="Y223" s="23" t="str">
        <f>"|MIDDLE:​"&amp;テーブル1[[#This Row],[Name]]</f>
        <v>|MIDDLE:​Kyle Tyler</v>
      </c>
      <c r="Z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6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637</v>
      </c>
      <c r="D224" s="23" t="s">
        <v>922</v>
      </c>
      <c r="E224" s="23" t="s">
        <v>1091</v>
      </c>
      <c r="F224" s="15" t="s">
        <v>638</v>
      </c>
      <c r="G224" s="23" t="s">
        <v>1115</v>
      </c>
      <c r="P224" s="1" t="s">
        <v>549</v>
      </c>
      <c r="Q224" s="24" t="str">
        <f>テーブル1[[#This Row],[リンク]]&amp;テーブル1[[#This Row],[描画状況]]</f>
        <v>https://toooru421.booth.pm/items/8151791済</v>
      </c>
      <c r="R224" s="17">
        <f>1-(COUNTIF(Q:Q,_xlfn.TEXTJOIN(",",TRUE,テーブル1[[#This Row],[リンク]],テーブル1[[#This Row],[描画状況]]))/COUNTIF(F:F,テーブル1[[#This Row],[リンク]]))</f>
        <v>1</v>
      </c>
      <c r="S224" s="16" t="str">
        <f ca="1">IFERROR(IF(テーブル1[[#This Row],[描画状況]]="",RAND()+(テーブル1[[#This Row],[列2]]*100),""),RAND())</f>
        <v/>
      </c>
      <c r="T224" s="1" t="s">
        <v>459</v>
      </c>
      <c r="U224" s="24" t="str">
        <f ca="1">IF(AND(テーブル1[[#This Row],[描画状況]]="済",テーブル1[[#This Row],[投稿状況]]=""),RAND(),"")</f>
        <v/>
      </c>
      <c r="V224" s="23" t="str">
        <f>"|&amp;image("&amp;テーブル1[[#This Row],[画像]]&amp;".png,width=100,height=100)"</f>
        <v>|&amp;image(tone-too.png,width=100,height=100)</v>
      </c>
      <c r="W224" s="23" t="str">
        <f>"|MIDDLE:​"&amp;テーブル1[[#This Row],[名前]]</f>
        <v>|MIDDLE:​通音トオ</v>
      </c>
      <c r="X224" s="23" t="str">
        <f>"|MIDDLE:​"&amp;テーブル1[[#This Row],[なまえ]]</f>
        <v>|MIDDLE:​とおね とお</v>
      </c>
      <c r="Y224" s="23" t="str">
        <f>"|MIDDLE:​"&amp;テーブル1[[#This Row],[Name]]</f>
        <v>|MIDDLE:​Tone Too</v>
      </c>
      <c r="Z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6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639</v>
      </c>
      <c r="D225" s="23" t="s">
        <v>923</v>
      </c>
      <c r="E225" s="23" t="s">
        <v>1092</v>
      </c>
      <c r="F225" s="15" t="s">
        <v>640</v>
      </c>
      <c r="G225" s="23" t="s">
        <v>641</v>
      </c>
      <c r="O225" s="1" t="s">
        <v>631</v>
      </c>
      <c r="P225" s="1" t="s">
        <v>549</v>
      </c>
      <c r="Q225" s="24" t="str">
        <f>テーブル1[[#This Row],[リンク]]&amp;テーブル1[[#This Row],[描画状況]]</f>
        <v>https://strife-horizon.weebly.com済</v>
      </c>
      <c r="R225" s="17">
        <f>1-(COUNTIF(Q:Q,_xlfn.TEXTJOIN(",",TRUE,テーブル1[[#This Row],[リンク]],テーブル1[[#This Row],[描画状況]]))/COUNTIF(F:F,テーブル1[[#This Row],[リンク]]))</f>
        <v>1</v>
      </c>
      <c r="S225" s="16" t="str">
        <f ca="1">IFERROR(IF(テーブル1[[#This Row],[描画状況]]="",RAND()+(テーブル1[[#This Row],[列2]]*100),""),RAND())</f>
        <v/>
      </c>
      <c r="T225" s="1" t="s">
        <v>459</v>
      </c>
      <c r="U225" s="24" t="str">
        <f ca="1">IF(AND(テーブル1[[#This Row],[描画状況]]="済",テーブル1[[#This Row],[投稿状況]]=""),RAND(),"")</f>
        <v/>
      </c>
      <c r="V225" s="23" t="str">
        <f>"|&amp;image("&amp;テーブル1[[#This Row],[画像]]&amp;".png,width=100,height=100)"</f>
        <v>|&amp;image(fuwa-maria.png,width=100,height=100)</v>
      </c>
      <c r="W225" s="23" t="str">
        <f>"|MIDDLE:​"&amp;テーブル1[[#This Row],[名前]]</f>
        <v>|MIDDLE:​不破マリア</v>
      </c>
      <c r="X225" s="23" t="str">
        <f>"|MIDDLE:​"&amp;テーブル1[[#This Row],[なまえ]]</f>
        <v>|MIDDLE:​ふわ まりあ</v>
      </c>
      <c r="Y225" s="23" t="str">
        <f>"|MIDDLE:​"&amp;テーブル1[[#This Row],[Name]]</f>
        <v>|MIDDLE:​Fuwa Maria</v>
      </c>
      <c r="Z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6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642</v>
      </c>
      <c r="D226" s="23" t="s">
        <v>643</v>
      </c>
      <c r="E226" s="23" t="s">
        <v>644</v>
      </c>
      <c r="F226" s="15" t="s">
        <v>645</v>
      </c>
      <c r="G226" s="23" t="s">
        <v>646</v>
      </c>
      <c r="H226" s="23" t="s">
        <v>661</v>
      </c>
      <c r="I226" s="23" t="s">
        <v>667</v>
      </c>
      <c r="N226" s="23" t="s">
        <v>1243</v>
      </c>
      <c r="O226" s="1" t="s">
        <v>631</v>
      </c>
      <c r="P226" s="1" t="s">
        <v>549</v>
      </c>
      <c r="Q226" s="24" t="str">
        <f>テーブル1[[#This Row],[リンク]]&amp;テーブル1[[#This Row],[描画状況]]</f>
        <v>https://bowlroll.net/user/946776済</v>
      </c>
      <c r="R226" s="17">
        <f>1-(COUNTIF(Q:Q,_xlfn.TEXTJOIN(",",TRUE,テーブル1[[#This Row],[リンク]],テーブル1[[#This Row],[描画状況]]))/COUNTIF(F:F,テーブル1[[#This Row],[リンク]]))</f>
        <v>1</v>
      </c>
      <c r="S226" s="16" t="str">
        <f ca="1">IFERROR(IF(テーブル1[[#This Row],[描画状況]]="",RAND()+(テーブル1[[#This Row],[列2]]*100),""),RAND())</f>
        <v/>
      </c>
      <c r="T226" s="1" t="s">
        <v>459</v>
      </c>
      <c r="U226" s="24" t="str">
        <f ca="1">IF(AND(テーブル1[[#This Row],[描画状況]]="済",テーブル1[[#This Row],[投稿状況]]=""),RAND(),"")</f>
        <v/>
      </c>
      <c r="V226" s="23" t="str">
        <f>"|&amp;image("&amp;テーブル1[[#This Row],[画像]]&amp;".png,width=100,height=100)"</f>
        <v>|&amp;image(maruaria.png,width=100,height=100)</v>
      </c>
      <c r="W226" s="23" t="str">
        <f>"|MIDDLE:​"&amp;テーブル1[[#This Row],[名前]]</f>
        <v>|MIDDLE:​マルアリア</v>
      </c>
      <c r="X226" s="23" t="str">
        <f>"|MIDDLE:​"&amp;テーブル1[[#This Row],[なまえ]]</f>
        <v>|MIDDLE:​あるまりあ</v>
      </c>
      <c r="Y226" s="23" t="str">
        <f>"|MIDDLE:​"&amp;テーブル1[[#This Row],[Name]]</f>
        <v>|MIDDLE:​Maruaria</v>
      </c>
      <c r="Z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6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647</v>
      </c>
      <c r="D227" s="23" t="s">
        <v>648</v>
      </c>
      <c r="E227" s="23" t="s">
        <v>1093</v>
      </c>
      <c r="F227" s="15" t="s">
        <v>645</v>
      </c>
      <c r="G227" s="23" t="s">
        <v>649</v>
      </c>
      <c r="H227" s="23" t="s">
        <v>660</v>
      </c>
      <c r="I227" s="23" t="s">
        <v>667</v>
      </c>
      <c r="L227" s="23" t="s">
        <v>1221</v>
      </c>
      <c r="N227" s="23" t="s">
        <v>1203</v>
      </c>
      <c r="O227" s="1" t="s">
        <v>631</v>
      </c>
      <c r="P227" s="1" t="s">
        <v>549</v>
      </c>
      <c r="Q227" s="24" t="str">
        <f>テーブル1[[#This Row],[リンク]]&amp;テーブル1[[#This Row],[描画状況]]</f>
        <v>https://bowlroll.net/user/946776済</v>
      </c>
      <c r="R227" s="17">
        <f>1-(COUNTIF(Q:Q,_xlfn.TEXTJOIN(",",TRUE,テーブル1[[#This Row],[リンク]],テーブル1[[#This Row],[描画状況]]))/COUNTIF(F:F,テーブル1[[#This Row],[リンク]]))</f>
        <v>1</v>
      </c>
      <c r="S227" s="16" t="str">
        <f ca="1">IFERROR(IF(テーブル1[[#This Row],[描画状況]]="",RAND()+(テーブル1[[#This Row],[列2]]*100),""),RAND())</f>
        <v/>
      </c>
      <c r="T227" s="1" t="s">
        <v>459</v>
      </c>
      <c r="U227" s="24" t="str">
        <f ca="1">IF(AND(テーブル1[[#This Row],[描画状況]]="済",テーブル1[[#This Row],[投稿状況]]=""),RAND(),"")</f>
        <v/>
      </c>
      <c r="V227" s="23" t="str">
        <f>"|&amp;image("&amp;テーブル1[[#This Row],[画像]]&amp;".png,width=100,height=100)"</f>
        <v>|&amp;image(sanity-doyou.png,width=100,height=100)</v>
      </c>
      <c r="W227" s="23" t="str">
        <f>"|MIDDLE:​"&amp;テーブル1[[#This Row],[名前]]</f>
        <v>|MIDDLE:​サニティ・ドゥーユー</v>
      </c>
      <c r="X227" s="23" t="str">
        <f>"|MIDDLE:​"&amp;テーブル1[[#This Row],[なまえ]]</f>
        <v>|MIDDLE:​さにてぃ・どぅーゆー</v>
      </c>
      <c r="Y227" s="23" t="str">
        <f>"|MIDDLE:​"&amp;テーブル1[[#This Row],[Name]]</f>
        <v>|MIDDLE:​Sanity Doyou</v>
      </c>
      <c r="Z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6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681</v>
      </c>
      <c r="D228" s="23" t="s">
        <v>924</v>
      </c>
      <c r="E228" s="23" t="s">
        <v>1094</v>
      </c>
      <c r="F228" s="15" t="s">
        <v>682</v>
      </c>
      <c r="G228" s="23" t="s">
        <v>683</v>
      </c>
      <c r="H228" s="23" t="s">
        <v>660</v>
      </c>
      <c r="I228" s="23" t="s">
        <v>668</v>
      </c>
      <c r="L228" s="23" t="s">
        <v>1225</v>
      </c>
      <c r="M228" s="23" t="s">
        <v>1244</v>
      </c>
      <c r="N228" s="23" t="s">
        <v>1303</v>
      </c>
      <c r="O228" s="1" t="s">
        <v>631</v>
      </c>
      <c r="P228" s="1" t="s">
        <v>549</v>
      </c>
      <c r="Q228" s="24" t="str">
        <f>テーブル1[[#This Row],[リンク]]&amp;テーブル1[[#This Row],[描画状況]]</f>
        <v>https://lclcofficial6565.wixsite.com/lclc済</v>
      </c>
      <c r="R228" s="17">
        <f>1-(COUNTIF(Q:Q,_xlfn.TEXTJOIN(",",TRUE,テーブル1[[#This Row],[リンク]],テーブル1[[#This Row],[描画状況]]))/COUNTIF(F:F,テーブル1[[#This Row],[リンク]]))</f>
        <v>1</v>
      </c>
      <c r="S228" s="16" t="str">
        <f ca="1">IFERROR(IF(テーブル1[[#This Row],[描画状況]]="",RAND()+(テーブル1[[#This Row],[列2]]*100),""),RAND())</f>
        <v/>
      </c>
      <c r="T228" s="1" t="s">
        <v>459</v>
      </c>
      <c r="U228" s="24" t="str">
        <f ca="1">IF(AND(テーブル1[[#This Row],[描画状況]]="済",テーブル1[[#This Row],[投稿状況]]=""),RAND(),"")</f>
        <v/>
      </c>
      <c r="V228" s="23" t="str">
        <f>"|&amp;image("&amp;テーブル1[[#This Row],[画像]]&amp;".png,width=100,height=100)"</f>
        <v>|&amp;image(iruya-rui.png,width=100,height=100)</v>
      </c>
      <c r="W228" s="23" t="str">
        <f>"|MIDDLE:​"&amp;テーブル1[[#This Row],[名前]]</f>
        <v>|MIDDLE:​いるやるい</v>
      </c>
      <c r="X228" s="23" t="str">
        <f>"|MIDDLE:​"&amp;テーブル1[[#This Row],[なまえ]]</f>
        <v>|MIDDLE:​いるや るい</v>
      </c>
      <c r="Y228" s="23" t="str">
        <f>"|MIDDLE:​"&amp;テーブル1[[#This Row],[Name]]</f>
        <v>|MIDDLE:​Iruya Rui</v>
      </c>
      <c r="Z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6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684</v>
      </c>
      <c r="D229" s="23" t="s">
        <v>925</v>
      </c>
      <c r="E229" s="23" t="s">
        <v>1095</v>
      </c>
      <c r="F229" s="3" t="s">
        <v>685</v>
      </c>
      <c r="G229" s="23" t="s">
        <v>686</v>
      </c>
      <c r="H229" s="23" t="s">
        <v>660</v>
      </c>
      <c r="I229" s="23" t="s">
        <v>667</v>
      </c>
      <c r="M229" s="23" t="s">
        <v>1181</v>
      </c>
      <c r="O229" s="1" t="s">
        <v>687</v>
      </c>
      <c r="P229" s="1" t="s">
        <v>549</v>
      </c>
      <c r="Q229" s="24" t="str">
        <f>テーブル1[[#This Row],[リンク]]&amp;テーブル1[[#This Row],[描画状況]]</f>
        <v>​https://kagerou009.hatenablog.com済</v>
      </c>
      <c r="R229" s="17">
        <f>1-(COUNTIF(Q:Q,_xlfn.TEXTJOIN(",",TRUE,テーブル1[[#This Row],[リンク]],テーブル1[[#This Row],[描画状況]]))/COUNTIF(F:F,テーブル1[[#This Row],[リンク]]))</f>
        <v>1</v>
      </c>
      <c r="S229" s="16" t="str">
        <f ca="1">IFERROR(IF(テーブル1[[#This Row],[描画状況]]="",RAND()+(テーブル1[[#This Row],[列2]]*100),""),RAND())</f>
        <v/>
      </c>
      <c r="T229" s="1" t="s">
        <v>459</v>
      </c>
      <c r="U229" s="24" t="str">
        <f ca="1">IF(AND(テーブル1[[#This Row],[描画状況]]="済",テーブル1[[#This Row],[投稿状況]]=""),RAND(),"")</f>
        <v/>
      </c>
      <c r="V229" s="23" t="str">
        <f>"|&amp;image("&amp;テーブル1[[#This Row],[画像]]&amp;".png,width=100,height=100)"</f>
        <v>|&amp;image(​hagane-meta.png,width=100,height=100)</v>
      </c>
      <c r="W229" s="23" t="str">
        <f>"|MIDDLE:​"&amp;テーブル1[[#This Row],[名前]]</f>
        <v>|MIDDLE:​刃華音メタ</v>
      </c>
      <c r="X229" s="23" t="str">
        <f>"|MIDDLE:​"&amp;テーブル1[[#This Row],[なまえ]]</f>
        <v>|MIDDLE:​はがね めた</v>
      </c>
      <c r="Y229" s="23" t="str">
        <f>"|MIDDLE:​"&amp;テーブル1[[#This Row],[Name]]</f>
        <v>|MIDDLE:​​Hagane Meta</v>
      </c>
      <c r="Z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6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689</v>
      </c>
      <c r="D230" s="23" t="s">
        <v>690</v>
      </c>
      <c r="E230" s="23" t="s">
        <v>1096</v>
      </c>
      <c r="F230" s="29" t="s">
        <v>692</v>
      </c>
      <c r="G230" s="23" t="s">
        <v>691</v>
      </c>
      <c r="H230" s="23" t="s">
        <v>672</v>
      </c>
      <c r="I230" s="23" t="s">
        <v>667</v>
      </c>
      <c r="L230" s="23" t="s">
        <v>1206</v>
      </c>
      <c r="O230" s="1" t="s">
        <v>631</v>
      </c>
      <c r="P230" s="1" t="s">
        <v>549</v>
      </c>
      <c r="Q230" s="24" t="str">
        <f>テーブル1[[#This Row],[リンク]]&amp;テーブル1[[#This Row],[描画状況]]</f>
        <v>https://pessieuph.wixsite.com/meusycaseuphoria済</v>
      </c>
      <c r="R230" s="17">
        <f>1-(COUNTIF(Q:Q,_xlfn.TEXTJOIN(",",TRUE,テーブル1[[#This Row],[リンク]],テーブル1[[#This Row],[描画状況]]))/COUNTIF(F:F,テーブル1[[#This Row],[リンク]]))</f>
        <v>1</v>
      </c>
      <c r="S230" s="16" t="str">
        <f ca="1">IFERROR(IF(テーブル1[[#This Row],[描画状況]]="",RAND()+(テーブル1[[#This Row],[列2]]*100),""),RAND())</f>
        <v/>
      </c>
      <c r="T230" s="1" t="s">
        <v>459</v>
      </c>
      <c r="U230" s="24" t="str">
        <f ca="1">IF(AND(テーブル1[[#This Row],[描画状況]]="済",テーブル1[[#This Row],[投稿状況]]=""),RAND(),"")</f>
        <v/>
      </c>
      <c r="V230" s="23" t="str">
        <f>"|&amp;image("&amp;テーブル1[[#This Row],[画像]]&amp;".png,width=100,height=100)"</f>
        <v>|&amp;image(the-bard-euphoria.png,width=100,height=100)</v>
      </c>
      <c r="W230" s="23" t="str">
        <f>"|MIDDLE:​"&amp;テーブル1[[#This Row],[名前]]</f>
        <v>|MIDDLE:​さすらいのユーフォリア</v>
      </c>
      <c r="X230" s="23" t="str">
        <f>"|MIDDLE:​"&amp;テーブル1[[#This Row],[なまえ]]</f>
        <v>|MIDDLE:​さすらいのゆーふぉりあ</v>
      </c>
      <c r="Y230" s="23" t="str">
        <f>"|MIDDLE:​"&amp;テーブル1[[#This Row],[Name]]</f>
        <v>|MIDDLE:​The Bard Euphoria</v>
      </c>
      <c r="Z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6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693</v>
      </c>
      <c r="D231" s="23" t="s">
        <v>926</v>
      </c>
      <c r="E231" s="23" t="s">
        <v>1097</v>
      </c>
      <c r="F231" s="29" t="s">
        <v>694</v>
      </c>
      <c r="G231" s="23" t="s">
        <v>695</v>
      </c>
      <c r="H231" s="23" t="s">
        <v>661</v>
      </c>
      <c r="I231" s="23" t="s">
        <v>1125</v>
      </c>
      <c r="J231" s="23" t="s">
        <v>1190</v>
      </c>
      <c r="M231" s="23" t="s">
        <v>1186</v>
      </c>
      <c r="N231" s="23" t="s">
        <v>1237</v>
      </c>
      <c r="O231" s="1" t="s">
        <v>631</v>
      </c>
      <c r="P231" s="1" t="s">
        <v>549</v>
      </c>
      <c r="Q231" s="24" t="str">
        <f>テーブル1[[#This Row],[リンク]]&amp;テーブル1[[#This Row],[描画状況]]</f>
        <v>https://arujinesarasa.wixsite.com/official済</v>
      </c>
      <c r="R231" s="17">
        <f>1-(COUNTIF(Q:Q,_xlfn.TEXTJOIN(",",TRUE,テーブル1[[#This Row],[リンク]],テーブル1[[#This Row],[描画状況]]))/COUNTIF(F:F,テーブル1[[#This Row],[リンク]]))</f>
        <v>1</v>
      </c>
      <c r="S231" s="16" t="str">
        <f ca="1">IFERROR(IF(テーブル1[[#This Row],[描画状況]]="",RAND()+(テーブル1[[#This Row],[列2]]*100),""),RAND())</f>
        <v/>
      </c>
      <c r="T231" s="1" t="s">
        <v>459</v>
      </c>
      <c r="U231" s="24" t="str">
        <f ca="1">IF(AND(テーブル1[[#This Row],[描画状況]]="済",テーブル1[[#This Row],[投稿状況]]=""),RAND(),"")</f>
        <v/>
      </c>
      <c r="V231" s="23" t="str">
        <f>"|&amp;image("&amp;テーブル1[[#This Row],[画像]]&amp;".png,width=100,height=100)"</f>
        <v>|&amp;image(arujine-sarasa.png,width=100,height=100)</v>
      </c>
      <c r="W231" s="23" t="str">
        <f>"|MIDDLE:​"&amp;テーブル1[[#This Row],[名前]]</f>
        <v>|MIDDLE:​主音サラサ</v>
      </c>
      <c r="X231" s="23" t="str">
        <f>"|MIDDLE:​"&amp;テーブル1[[#This Row],[なまえ]]</f>
        <v>|MIDDLE:​あるじね さらさ</v>
      </c>
      <c r="Y231" s="23" t="str">
        <f>"|MIDDLE:​"&amp;テーブル1[[#This Row],[Name]]</f>
        <v>|MIDDLE:​Arujine Sarasa</v>
      </c>
      <c r="Z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6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698</v>
      </c>
      <c r="D232" s="23" t="s">
        <v>927</v>
      </c>
      <c r="E232" s="23" t="s">
        <v>1098</v>
      </c>
      <c r="F232" s="29" t="s">
        <v>699</v>
      </c>
      <c r="G232" s="23" t="s">
        <v>700</v>
      </c>
      <c r="H232" s="23" t="s">
        <v>660</v>
      </c>
      <c r="I232" s="23" t="s">
        <v>667</v>
      </c>
      <c r="J232" s="23" t="s">
        <v>1226</v>
      </c>
      <c r="M232" s="23" t="s">
        <v>1177</v>
      </c>
      <c r="O232" s="1" t="s">
        <v>631</v>
      </c>
      <c r="P232" s="1" t="s">
        <v>549</v>
      </c>
      <c r="Q232" s="24" t="str">
        <f>テーブル1[[#This Row],[リンク]]&amp;テーブル1[[#This Row],[描画状況]]</f>
        <v>https://www.mizuiro.info/amagaelu済</v>
      </c>
      <c r="R232" s="17">
        <f>1-(COUNTIF(Q:Q,_xlfn.TEXTJOIN(",",TRUE,テーブル1[[#This Row],[リンク]],テーブル1[[#This Row],[描画状況]]))/COUNTIF(F:F,テーブル1[[#This Row],[リンク]]))</f>
        <v>1</v>
      </c>
      <c r="S232" s="16" t="str">
        <f ca="1">IFERROR(IF(テーブル1[[#This Row],[描画状況]]="",RAND()+(テーブル1[[#This Row],[列2]]*100),""),RAND())</f>
        <v/>
      </c>
      <c r="T232" s="1" t="s">
        <v>459</v>
      </c>
      <c r="U232" s="24" t="str">
        <f ca="1">IF(AND(テーブル1[[#This Row],[描画状況]]="済",テーブル1[[#This Row],[投稿状況]]=""),RAND(),"")</f>
        <v/>
      </c>
      <c r="V232" s="23" t="str">
        <f>"|&amp;image("&amp;テーブル1[[#This Row],[画像]]&amp;".png,width=100,height=100)"</f>
        <v>|&amp;image(amaga-eru.png,width=100,height=100)</v>
      </c>
      <c r="W232" s="23" t="str">
        <f>"|MIDDLE:​"&amp;テーブル1[[#This Row],[名前]]</f>
        <v>|MIDDLE:​雨歌エル</v>
      </c>
      <c r="X232" s="23" t="str">
        <f>"|MIDDLE:​"&amp;テーブル1[[#This Row],[なまえ]]</f>
        <v>|MIDDLE:​あまが える</v>
      </c>
      <c r="Y232" s="23" t="str">
        <f>"|MIDDLE:​"&amp;テーブル1[[#This Row],[Name]]</f>
        <v>|MIDDLE:​Amaga Eru</v>
      </c>
      <c r="Z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6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701</v>
      </c>
      <c r="D233" s="23" t="s">
        <v>928</v>
      </c>
      <c r="E233" s="23" t="s">
        <v>1099</v>
      </c>
      <c r="F233" s="29" t="s">
        <v>702</v>
      </c>
      <c r="G233" s="23" t="str">
        <f>テーブル1[[#This Row],[名前]]&amp;"(UTAU)"</f>
        <v>鳴上キョウ(UTAU)</v>
      </c>
      <c r="H233" s="23" t="s">
        <v>661</v>
      </c>
      <c r="I233" s="23" t="s">
        <v>667</v>
      </c>
      <c r="O233" s="1" t="s">
        <v>631</v>
      </c>
      <c r="P233" s="1" t="s">
        <v>549</v>
      </c>
      <c r="Q233" s="24" t="str">
        <f>テーブル1[[#This Row],[リンク]]&amp;テーブル1[[#This Row],[描画状況]]</f>
        <v>https://sites.google.com/view/arcobaleno-utau/home済</v>
      </c>
      <c r="R233" s="17">
        <f>1-(COUNTIF(Q:Q,_xlfn.TEXTJOIN(",",TRUE,テーブル1[[#This Row],[リンク]],テーブル1[[#This Row],[描画状況]]))/COUNTIF(F:F,テーブル1[[#This Row],[リンク]]))</f>
        <v>1</v>
      </c>
      <c r="S233" s="16" t="str">
        <f ca="1">IFERROR(IF(テーブル1[[#This Row],[描画状況]]="",RAND()+(テーブル1[[#This Row],[列2]]*100),""),RAND())</f>
        <v/>
      </c>
      <c r="T233" s="1" t="s">
        <v>459</v>
      </c>
      <c r="U233" s="24" t="str">
        <f ca="1">IF(AND(テーブル1[[#This Row],[描画状況]]="済",テーブル1[[#This Row],[投稿状況]]=""),RAND(),"")</f>
        <v/>
      </c>
      <c r="V233" s="23" t="str">
        <f>"|&amp;image("&amp;テーブル1[[#This Row],[画像]]&amp;".png,width=100,height=100)"</f>
        <v>|&amp;image(narukami-kyou.png,width=100,height=100)</v>
      </c>
      <c r="W233" s="23" t="str">
        <f>"|MIDDLE:​"&amp;テーブル1[[#This Row],[名前]]</f>
        <v>|MIDDLE:​鳴上キョウ</v>
      </c>
      <c r="X233" s="23" t="str">
        <f>"|MIDDLE:​"&amp;テーブル1[[#This Row],[なまえ]]</f>
        <v>|MIDDLE:​なるかみ きょう</v>
      </c>
      <c r="Y233" s="23" t="str">
        <f>"|MIDDLE:​"&amp;テーブル1[[#This Row],[Name]]</f>
        <v>|MIDDLE:​Narukami Kyou</v>
      </c>
      <c r="Z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6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468</v>
      </c>
      <c r="D234" s="23" t="s">
        <v>929</v>
      </c>
      <c r="E234" s="23" t="s">
        <v>1100</v>
      </c>
      <c r="F234" s="15" t="s">
        <v>122</v>
      </c>
      <c r="G234" s="24" t="s">
        <v>710</v>
      </c>
      <c r="H234" s="24" t="s">
        <v>661</v>
      </c>
      <c r="I234" s="24" t="s">
        <v>670</v>
      </c>
      <c r="J234" s="24"/>
      <c r="K234" s="24"/>
      <c r="L234" s="24" t="s">
        <v>1222</v>
      </c>
      <c r="M234" s="24" t="s">
        <v>1181</v>
      </c>
      <c r="N234" s="24" t="s">
        <v>1304</v>
      </c>
      <c r="O234" s="1" t="s">
        <v>631</v>
      </c>
      <c r="P234" s="1" t="s">
        <v>549</v>
      </c>
      <c r="Q234" s="24" t="str">
        <f>テーブル1[[#This Row],[リンク]]&amp;テーブル1[[#This Row],[描画状況]]</f>
        <v>https://lenskkpb.wixsite.com/len-sakaki-official済</v>
      </c>
      <c r="R234" s="17">
        <f>1-(COUNTIF(Q:Q,_xlfn.TEXTJOIN(",",TRUE,テーブル1[[#This Row],[リンク]],テーブル1[[#This Row],[描画状況]]))/COUNTIF(F:F,テーブル1[[#This Row],[リンク]]))</f>
        <v>1</v>
      </c>
      <c r="S234" s="16" t="str">
        <f ca="1">IFERROR(IF(テーブル1[[#This Row],[描画状況]]="",RAND()+(テーブル1[[#This Row],[列2]]*100),""),RAND())</f>
        <v/>
      </c>
      <c r="T234" s="1" t="s">
        <v>459</v>
      </c>
      <c r="U234" s="24" t="str">
        <f ca="1">IF(AND(テーブル1[[#This Row],[描画状況]]="済",テーブル1[[#This Row],[投稿状況]]=""),RAND(),"")</f>
        <v/>
      </c>
      <c r="V234" s="23" t="str">
        <f>"|&amp;image("&amp;テーブル1[[#This Row],[画像]]&amp;".png,width=100,height=100)"</f>
        <v>|&amp;image(sakaki-leo.png,width=100,height=100)</v>
      </c>
      <c r="W234" s="23" t="str">
        <f>"|MIDDLE:​"&amp;テーブル1[[#This Row],[名前]]</f>
        <v>|MIDDLE:​榊れを</v>
      </c>
      <c r="X234" s="23" t="str">
        <f>"|MIDDLE:​"&amp;テーブル1[[#This Row],[なまえ]]</f>
        <v>|MIDDLE:​さかき れを</v>
      </c>
      <c r="Y234" s="23" t="str">
        <f>"|MIDDLE:​"&amp;テーブル1[[#This Row],[Name]]</f>
        <v>|MIDDLE:​Sakaki Leo</v>
      </c>
      <c r="Z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6" ht="20.149999999999999" customHeight="1" x14ac:dyDescent="0.35">
      <c r="A235" s="20">
        <v>234</v>
      </c>
      <c r="B235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35" s="24" t="s">
        <v>469</v>
      </c>
      <c r="D235" s="23" t="s">
        <v>930</v>
      </c>
      <c r="E235" s="23" t="s">
        <v>1101</v>
      </c>
      <c r="F235" s="15" t="s">
        <v>122</v>
      </c>
      <c r="G235" s="24" t="s">
        <v>709</v>
      </c>
      <c r="H235" s="24" t="s">
        <v>661</v>
      </c>
      <c r="I235" s="24" t="s">
        <v>725</v>
      </c>
      <c r="J235" s="24"/>
      <c r="K235" s="24"/>
      <c r="L235" s="24" t="s">
        <v>1219</v>
      </c>
      <c r="M235" s="24" t="s">
        <v>1181</v>
      </c>
      <c r="N235" s="24" t="s">
        <v>1305</v>
      </c>
      <c r="O235" s="1" t="s">
        <v>631</v>
      </c>
      <c r="P235" s="1" t="s">
        <v>549</v>
      </c>
      <c r="Q235" s="24" t="str">
        <f>テーブル1[[#This Row],[リンク]]&amp;テーブル1[[#This Row],[描画状況]]</f>
        <v>https://lenskkpb.wixsite.com/len-sakaki-official済</v>
      </c>
      <c r="R235" s="17">
        <f>1-(COUNTIF(Q:Q,_xlfn.TEXTJOIN(",",TRUE,テーブル1[[#This Row],[リンク]],テーブル1[[#This Row],[描画状況]]))/COUNTIF(F:F,テーブル1[[#This Row],[リンク]]))</f>
        <v>1</v>
      </c>
      <c r="S235" s="16" t="str">
        <f ca="1">IFERROR(IF(テーブル1[[#This Row],[描画状況]]="",RAND()+(テーブル1[[#This Row],[列2]]*100),""),RAND())</f>
        <v/>
      </c>
      <c r="T235" s="1" t="s">
        <v>459</v>
      </c>
      <c r="U235" s="24" t="str">
        <f ca="1">IF(AND(テーブル1[[#This Row],[描画状況]]="済",テーブル1[[#This Row],[投稿状況]]=""),RAND(),"")</f>
        <v/>
      </c>
      <c r="V235" s="23" t="str">
        <f>"|&amp;image("&amp;テーブル1[[#This Row],[画像]]&amp;".png,width=100,height=100)"</f>
        <v>|&amp;image(amatsuji-azuma.png,width=100,height=100)</v>
      </c>
      <c r="W235" s="23" t="str">
        <f>"|MIDDLE:​"&amp;テーブル1[[#This Row],[名前]]</f>
        <v>|MIDDLE:​天辻雷</v>
      </c>
      <c r="X235" s="23" t="str">
        <f>"|MIDDLE:​"&amp;テーブル1[[#This Row],[なまえ]]</f>
        <v>|MIDDLE:​あまつじ あずま</v>
      </c>
      <c r="Y235" s="23" t="str">
        <f>"|MIDDLE:​"&amp;テーブル1[[#This Row],[Name]]</f>
        <v>|MIDDLE:​Amatsuji Azuma</v>
      </c>
      <c r="Z23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6" spans="1:26" ht="20.149999999999999" customHeight="1" x14ac:dyDescent="0.35">
      <c r="A236" s="20">
        <v>235</v>
      </c>
      <c r="B236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236" s="24" t="s">
        <v>724</v>
      </c>
      <c r="D236" s="23" t="s">
        <v>931</v>
      </c>
      <c r="E236" s="23" t="s">
        <v>1102</v>
      </c>
      <c r="F236" s="15" t="s">
        <v>122</v>
      </c>
      <c r="G236" s="24" t="s">
        <v>709</v>
      </c>
      <c r="H236" s="24" t="s">
        <v>661</v>
      </c>
      <c r="I236" s="24" t="s">
        <v>675</v>
      </c>
      <c r="J236" s="24"/>
      <c r="K236" s="24"/>
      <c r="L236" s="24"/>
      <c r="M236" s="24" t="s">
        <v>1181</v>
      </c>
      <c r="N236" s="24" t="s">
        <v>1298</v>
      </c>
      <c r="O236" s="1" t="s">
        <v>631</v>
      </c>
      <c r="P236" s="1" t="s">
        <v>549</v>
      </c>
      <c r="Q236" s="24" t="str">
        <f>テーブル1[[#This Row],[リンク]]&amp;テーブル1[[#This Row],[描画状況]]</f>
        <v>https://lenskkpb.wixsite.com/len-sakaki-official済</v>
      </c>
      <c r="R236" s="17">
        <f>1-(COUNTIF(Q:Q,_xlfn.TEXTJOIN(",",TRUE,テーブル1[[#This Row],[リンク]],テーブル1[[#This Row],[描画状況]]))/COUNTIF(F:F,テーブル1[[#This Row],[リンク]]))</f>
        <v>1</v>
      </c>
      <c r="S236" s="16" t="str">
        <f ca="1">IFERROR(IF(テーブル1[[#This Row],[描画状況]]="",RAND()+(テーブル1[[#This Row],[列2]]*100),""),RAND())</f>
        <v/>
      </c>
      <c r="T236" s="1" t="s">
        <v>459</v>
      </c>
      <c r="U236" s="24" t="str">
        <f ca="1">IF(AND(テーブル1[[#This Row],[描画状況]]="済",テーブル1[[#This Row],[投稿状況]]=""),RAND(),"")</f>
        <v/>
      </c>
      <c r="V236" s="23" t="str">
        <f>"|&amp;image("&amp;テーブル1[[#This Row],[画像]]&amp;".png,width=100,height=100)"</f>
        <v>|&amp;image(haizaki-sho.png,width=100,height=100)</v>
      </c>
      <c r="W236" s="23" t="str">
        <f>"|MIDDLE:​"&amp;テーブル1[[#This Row],[名前]]</f>
        <v>|MIDDLE:​灰咲囁</v>
      </c>
      <c r="X236" s="23" t="str">
        <f>"|MIDDLE:​"&amp;テーブル1[[#This Row],[なまえ]]</f>
        <v>|MIDDLE:​はいざき しょう</v>
      </c>
      <c r="Y236" s="23" t="str">
        <f>"|MIDDLE:​"&amp;テーブル1[[#This Row],[Name]]</f>
        <v>|MIDDLE:​Haizaki Sho</v>
      </c>
      <c r="Z236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7" spans="1:26" ht="20.149999999999999" customHeight="1" x14ac:dyDescent="0.35">
      <c r="A237" s="20">
        <v>236</v>
      </c>
      <c r="B23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237" s="24" t="s">
        <v>471</v>
      </c>
      <c r="D237" s="23" t="s">
        <v>932</v>
      </c>
      <c r="E237" s="23" t="s">
        <v>1103</v>
      </c>
      <c r="F237" s="15" t="s">
        <v>122</v>
      </c>
      <c r="G237" s="24" t="s">
        <v>709</v>
      </c>
      <c r="H237" s="24" t="s">
        <v>673</v>
      </c>
      <c r="I237" s="24" t="s">
        <v>725</v>
      </c>
      <c r="J237" s="24" t="s">
        <v>1196</v>
      </c>
      <c r="K237" s="24"/>
      <c r="L237" s="24"/>
      <c r="M237" s="24" t="s">
        <v>1181</v>
      </c>
      <c r="N237" s="24" t="s">
        <v>1205</v>
      </c>
      <c r="O237" s="1" t="s">
        <v>631</v>
      </c>
      <c r="P237" s="1" t="s">
        <v>549</v>
      </c>
      <c r="Q237" s="24" t="str">
        <f>テーブル1[[#This Row],[リンク]]&amp;テーブル1[[#This Row],[描画状況]]</f>
        <v>https://lenskkpb.wixsite.com/len-sakaki-official済</v>
      </c>
      <c r="R237" s="17">
        <f>1-(COUNTIF(Q:Q,_xlfn.TEXTJOIN(",",TRUE,テーブル1[[#This Row],[リンク]],テーブル1[[#This Row],[描画状況]]))/COUNTIF(F:F,テーブル1[[#This Row],[リンク]]))</f>
        <v>1</v>
      </c>
      <c r="S237" s="16" t="str">
        <f ca="1">IFERROR(IF(テーブル1[[#This Row],[描画状況]]="",RAND()+(テーブル1[[#This Row],[列2]]*100),""),RAND())</f>
        <v/>
      </c>
      <c r="T237" s="1" t="s">
        <v>459</v>
      </c>
      <c r="U237" s="24" t="str">
        <f ca="1">IF(AND(テーブル1[[#This Row],[描画状況]]="済",テーブル1[[#This Row],[投稿状況]]=""),RAND(),"")</f>
        <v/>
      </c>
      <c r="V237" s="23" t="str">
        <f>"|&amp;image("&amp;テーブル1[[#This Row],[画像]]&amp;".png,width=100,height=100)"</f>
        <v>|&amp;image(mugen-elec.png,width=100,height=100)</v>
      </c>
      <c r="W237" s="23" t="str">
        <f>"|MIDDLE:​"&amp;テーブル1[[#This Row],[名前]]</f>
        <v>|MIDDLE:​六弦エレキ</v>
      </c>
      <c r="X237" s="23" t="str">
        <f>"|MIDDLE:​"&amp;テーブル1[[#This Row],[なまえ]]</f>
        <v>|MIDDLE:​むげん えれき</v>
      </c>
      <c r="Y237" s="23" t="str">
        <f>"|MIDDLE:​"&amp;テーブル1[[#This Row],[Name]]</f>
        <v>|MIDDLE:​Mugen Elec</v>
      </c>
      <c r="Z23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8" spans="1:26" ht="20.149999999999999" customHeight="1" x14ac:dyDescent="0.35">
      <c r="A238" s="20">
        <v>237</v>
      </c>
      <c r="B23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238" s="24" t="s">
        <v>472</v>
      </c>
      <c r="D238" s="23" t="s">
        <v>474</v>
      </c>
      <c r="E238" s="23" t="s">
        <v>473</v>
      </c>
      <c r="F238" s="15" t="s">
        <v>122</v>
      </c>
      <c r="G238" s="24" t="s">
        <v>709</v>
      </c>
      <c r="H238" s="24" t="s">
        <v>661</v>
      </c>
      <c r="I238" s="24"/>
      <c r="J238" s="24"/>
      <c r="K238" s="24"/>
      <c r="L238" s="24"/>
      <c r="M238" s="24"/>
      <c r="N238" s="24" t="s">
        <v>1298</v>
      </c>
      <c r="O238" s="1" t="s">
        <v>631</v>
      </c>
      <c r="P238" s="1" t="s">
        <v>549</v>
      </c>
      <c r="Q238" s="24" t="str">
        <f>テーブル1[[#This Row],[リンク]]&amp;テーブル1[[#This Row],[描画状況]]</f>
        <v>https://lenskkpb.wixsite.com/len-sakaki-official済</v>
      </c>
      <c r="R238" s="17">
        <f>1-(COUNTIF(Q:Q,_xlfn.TEXTJOIN(",",TRUE,テーブル1[[#This Row],[リンク]],テーブル1[[#This Row],[描画状況]]))/COUNTIF(F:F,テーブル1[[#This Row],[リンク]]))</f>
        <v>1</v>
      </c>
      <c r="S238" s="16" t="str">
        <f ca="1">IFERROR(IF(テーブル1[[#This Row],[描画状況]]="",RAND()+(テーブル1[[#This Row],[列2]]*100),""),RAND())</f>
        <v/>
      </c>
      <c r="T238" s="1" t="s">
        <v>459</v>
      </c>
      <c r="U238" s="24" t="str">
        <f ca="1">IF(AND(テーブル1[[#This Row],[描画状況]]="済",テーブル1[[#This Row],[投稿状況]]=""),RAND(),"")</f>
        <v/>
      </c>
      <c r="V238" s="23" t="str">
        <f>"|&amp;image("&amp;テーブル1[[#This Row],[画像]]&amp;".png,width=100,height=100)"</f>
        <v>|&amp;image(hakuchumu.png,width=100,height=100)</v>
      </c>
      <c r="W238" s="23" t="str">
        <f>"|MIDDLE:​"&amp;テーブル1[[#This Row],[名前]]</f>
        <v>|MIDDLE:​白躊夢</v>
      </c>
      <c r="X238" s="23" t="str">
        <f>"|MIDDLE:​"&amp;テーブル1[[#This Row],[なまえ]]</f>
        <v>|MIDDLE:​はくちゅうむ</v>
      </c>
      <c r="Y238" s="23" t="str">
        <f>"|MIDDLE:​"&amp;テーブル1[[#This Row],[Name]]</f>
        <v>|MIDDLE:​Hakuchumu</v>
      </c>
      <c r="Z23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9" spans="1:26" ht="20.149999999999999" customHeight="1" x14ac:dyDescent="0.35">
      <c r="A239" s="20">
        <v>238</v>
      </c>
      <c r="B239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239" s="24" t="s">
        <v>475</v>
      </c>
      <c r="D239" s="23" t="s">
        <v>477</v>
      </c>
      <c r="E239" s="23" t="s">
        <v>476</v>
      </c>
      <c r="F239" s="15" t="s">
        <v>122</v>
      </c>
      <c r="G239" s="24" t="s">
        <v>709</v>
      </c>
      <c r="H239" s="24" t="s">
        <v>661</v>
      </c>
      <c r="I239" s="24"/>
      <c r="J239" s="24"/>
      <c r="K239" s="24"/>
      <c r="L239" s="24"/>
      <c r="M239" s="24"/>
      <c r="N239" s="24"/>
      <c r="O239" s="1" t="s">
        <v>631</v>
      </c>
      <c r="P239" s="1" t="s">
        <v>549</v>
      </c>
      <c r="Q239" s="24" t="str">
        <f>テーブル1[[#This Row],[リンク]]&amp;テーブル1[[#This Row],[描画状況]]</f>
        <v>https://lenskkpb.wixsite.com/len-sakaki-official済</v>
      </c>
      <c r="R239" s="17">
        <f>1-(COUNTIF(Q:Q,_xlfn.TEXTJOIN(",",TRUE,テーブル1[[#This Row],[リンク]],テーブル1[[#This Row],[描画状況]]))/COUNTIF(F:F,テーブル1[[#This Row],[リンク]]))</f>
        <v>1</v>
      </c>
      <c r="S239" s="16" t="str">
        <f ca="1">IFERROR(IF(テーブル1[[#This Row],[描画状況]]="",RAND()+(テーブル1[[#This Row],[列2]]*100),""),RAND())</f>
        <v/>
      </c>
      <c r="T239" s="1" t="s">
        <v>459</v>
      </c>
      <c r="U239" s="24" t="str">
        <f ca="1">IF(AND(テーブル1[[#This Row],[描画状況]]="済",テーブル1[[#This Row],[投稿状況]]=""),RAND(),"")</f>
        <v/>
      </c>
      <c r="V239" s="23" t="str">
        <f>"|&amp;image("&amp;テーブル1[[#This Row],[画像]]&amp;".png,width=100,height=100)"</f>
        <v>|&amp;image(hukagyaku.png,width=100,height=100)</v>
      </c>
      <c r="W239" s="23" t="str">
        <f>"|MIDDLE:​"&amp;テーブル1[[#This Row],[名前]]</f>
        <v>|MIDDLE:​不彁逆</v>
      </c>
      <c r="X239" s="23" t="str">
        <f>"|MIDDLE:​"&amp;テーブル1[[#This Row],[なまえ]]</f>
        <v>|MIDDLE:​ふかぎゃく</v>
      </c>
      <c r="Y239" s="23" t="str">
        <f>"|MIDDLE:​"&amp;テーブル1[[#This Row],[Name]]</f>
        <v>|MIDDLE:​Hukagyaku</v>
      </c>
      <c r="Z239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0" spans="1:26" ht="20.149999999999999" customHeight="1" x14ac:dyDescent="0.35">
      <c r="A240" s="20">
        <v>239</v>
      </c>
      <c r="B240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240" s="24" t="s">
        <v>478</v>
      </c>
      <c r="D240" s="23" t="s">
        <v>480</v>
      </c>
      <c r="E240" s="23" t="s">
        <v>479</v>
      </c>
      <c r="F240" s="15" t="s">
        <v>122</v>
      </c>
      <c r="G240" s="24" t="s">
        <v>709</v>
      </c>
      <c r="H240" s="24" t="s">
        <v>661</v>
      </c>
      <c r="I240" s="24"/>
      <c r="J240" s="24"/>
      <c r="K240" s="24"/>
      <c r="L240" s="24"/>
      <c r="M240" s="24"/>
      <c r="N240" s="24" t="s">
        <v>1306</v>
      </c>
      <c r="O240" s="1" t="s">
        <v>631</v>
      </c>
      <c r="P240" s="1" t="s">
        <v>549</v>
      </c>
      <c r="Q240" s="24" t="str">
        <f>テーブル1[[#This Row],[リンク]]&amp;テーブル1[[#This Row],[描画状況]]</f>
        <v>https://lenskkpb.wixsite.com/len-sakaki-official済</v>
      </c>
      <c r="R240" s="17">
        <f>1-(COUNTIF(Q:Q,_xlfn.TEXTJOIN(",",TRUE,テーブル1[[#This Row],[リンク]],テーブル1[[#This Row],[描画状況]]))/COUNTIF(F:F,テーブル1[[#This Row],[リンク]]))</f>
        <v>1</v>
      </c>
      <c r="S240" s="16" t="str">
        <f ca="1">IFERROR(IF(テーブル1[[#This Row],[描画状況]]="",RAND()+(テーブル1[[#This Row],[列2]]*100),""),RAND())</f>
        <v/>
      </c>
      <c r="T240" s="1" t="s">
        <v>459</v>
      </c>
      <c r="U240" s="24" t="str">
        <f ca="1">IF(AND(テーブル1[[#This Row],[描画状況]]="済",テーブル1[[#This Row],[投稿状況]]=""),RAND(),"")</f>
        <v/>
      </c>
      <c r="V240" s="23" t="str">
        <f>"|&amp;image("&amp;テーブル1[[#This Row],[画像]]&amp;".png,width=100,height=100)"</f>
        <v>|&amp;image(mizou.png,width=100,height=100)</v>
      </c>
      <c r="W240" s="23" t="str">
        <f>"|MIDDLE:​"&amp;テーブル1[[#This Row],[名前]]</f>
        <v>|MIDDLE:​未曾鬱</v>
      </c>
      <c r="X240" s="23" t="str">
        <f>"|MIDDLE:​"&amp;テーブル1[[#This Row],[なまえ]]</f>
        <v>|MIDDLE:​みぞう</v>
      </c>
      <c r="Y240" s="23" t="str">
        <f>"|MIDDLE:​"&amp;テーブル1[[#This Row],[Name]]</f>
        <v>|MIDDLE:​Mizou</v>
      </c>
      <c r="Z240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1" spans="1:26" ht="20.149999999999999" customHeight="1" x14ac:dyDescent="0.35">
      <c r="A241" s="20">
        <v>240</v>
      </c>
      <c r="B241" s="23" t="str">
        <f>SUBSTITUTE(SUBSTITUTE(SUBSTITUTE(SUBSTITUTE(SUBSTITUTE(SUBSTITUTE(SUBSTITUTE(SUBSTITUTE(LOWER(テーブル1[[#This Row],[Name]])," ","-"),".","-"),"&amp;","-"),"_","-"),"・","-"),"=","-"),"--","-"),"--","-")</f>
        <v>kumowatari-tsumugu</v>
      </c>
      <c r="C241" s="24" t="s">
        <v>727</v>
      </c>
      <c r="D241" s="23" t="s">
        <v>933</v>
      </c>
      <c r="E241" s="23" t="s">
        <v>1104</v>
      </c>
      <c r="F241" s="15" t="s">
        <v>122</v>
      </c>
      <c r="G241" s="24" t="s">
        <v>709</v>
      </c>
      <c r="H241" s="24" t="s">
        <v>661</v>
      </c>
      <c r="I241" s="24" t="s">
        <v>728</v>
      </c>
      <c r="J241" s="23" t="s">
        <v>1193</v>
      </c>
      <c r="L241" s="24"/>
      <c r="M241" s="24"/>
      <c r="N241" s="24"/>
      <c r="O241" s="1" t="s">
        <v>631</v>
      </c>
      <c r="P241" s="1" t="s">
        <v>549</v>
      </c>
      <c r="Q241" s="24" t="str">
        <f>テーブル1[[#This Row],[リンク]]&amp;テーブル1[[#This Row],[描画状況]]</f>
        <v>https://lenskkpb.wixsite.com/len-sakaki-official済</v>
      </c>
      <c r="R241" s="17">
        <f>1-(COUNTIF(Q:Q,_xlfn.TEXTJOIN(",",TRUE,テーブル1[[#This Row],[リンク]],テーブル1[[#This Row],[描画状況]]))/COUNTIF(F:F,テーブル1[[#This Row],[リンク]]))</f>
        <v>1</v>
      </c>
      <c r="S241" s="16" t="str">
        <f ca="1">IFERROR(IF(テーブル1[[#This Row],[描画状況]]="",RAND()+(テーブル1[[#This Row],[列2]]*100),""),RAND())</f>
        <v/>
      </c>
      <c r="T241" s="1" t="s">
        <v>459</v>
      </c>
      <c r="U241" s="24" t="str">
        <f ca="1">IF(AND(テーブル1[[#This Row],[描画状況]]="済",テーブル1[[#This Row],[投稿状況]]=""),RAND(),"")</f>
        <v/>
      </c>
      <c r="V241" s="23" t="str">
        <f>"|&amp;image("&amp;テーブル1[[#This Row],[画像]]&amp;".png,width=100,height=100)"</f>
        <v>|&amp;image(kumowatari-tsumugu.png,width=100,height=100)</v>
      </c>
      <c r="W241" s="23" t="str">
        <f>"|MIDDLE:​"&amp;テーブル1[[#This Row],[名前]]</f>
        <v>|MIDDLE:​蜘渡紡</v>
      </c>
      <c r="X241" s="23" t="str">
        <f>"|MIDDLE:​"&amp;テーブル1[[#This Row],[なまえ]]</f>
        <v>|MIDDLE:​くもわたり つむぐ</v>
      </c>
      <c r="Y241" s="23" t="str">
        <f>"|MIDDLE:​"&amp;テーブル1[[#This Row],[Name]]</f>
        <v>|MIDDLE:​Kumowatari Tsumugu</v>
      </c>
      <c r="Z241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2" spans="1:26" ht="20.149999999999999" customHeight="1" x14ac:dyDescent="0.35">
      <c r="A242" s="20">
        <v>241</v>
      </c>
      <c r="B242" s="23" t="str">
        <f>SUBSTITUTE(SUBSTITUTE(SUBSTITUTE(SUBSTITUTE(SUBSTITUTE(SUBSTITUTE(SUBSTITUTE(SUBSTITUTE(LOWER(テーブル1[[#This Row],[Name]])," ","-"),".","-"),"&amp;","-"),"_","-"),"・","-"),"=","-"),"--","-"),"--","-")</f>
        <v>hatatappoize</v>
      </c>
      <c r="C242" s="24" t="s">
        <v>729</v>
      </c>
      <c r="D242" s="23" t="s">
        <v>730</v>
      </c>
      <c r="E242" s="23" t="s">
        <v>731</v>
      </c>
      <c r="F242" s="15" t="s">
        <v>122</v>
      </c>
      <c r="G242" s="24" t="s">
        <v>709</v>
      </c>
      <c r="H242" s="24" t="s">
        <v>661</v>
      </c>
      <c r="I242" s="24" t="s">
        <v>670</v>
      </c>
      <c r="L242" s="24"/>
      <c r="M242" s="24"/>
      <c r="N242" s="24" t="s">
        <v>1297</v>
      </c>
      <c r="O242" s="1" t="s">
        <v>631</v>
      </c>
      <c r="P242" s="1" t="s">
        <v>549</v>
      </c>
      <c r="Q242" s="24" t="str">
        <f>テーブル1[[#This Row],[リンク]]&amp;テーブル1[[#This Row],[描画状況]]</f>
        <v>https://lenskkpb.wixsite.com/len-sakaki-official済</v>
      </c>
      <c r="R242" s="17">
        <f>1-(COUNTIF(Q:Q,_xlfn.TEXTJOIN(",",TRUE,テーブル1[[#This Row],[リンク]],テーブル1[[#This Row],[描画状況]]))/COUNTIF(F:F,テーブル1[[#This Row],[リンク]]))</f>
        <v>1</v>
      </c>
      <c r="S242" s="16" t="str">
        <f ca="1">IFERROR(IF(テーブル1[[#This Row],[描画状況]]="",RAND()+(テーブル1[[#This Row],[列2]]*100),""),RAND())</f>
        <v/>
      </c>
      <c r="T242" s="1" t="s">
        <v>459</v>
      </c>
      <c r="U242" s="24" t="str">
        <f ca="1">IF(AND(テーブル1[[#This Row],[描画状況]]="済",テーブル1[[#This Row],[投稿状況]]=""),RAND(),"")</f>
        <v/>
      </c>
      <c r="V242" s="23" t="str">
        <f>"|&amp;image("&amp;テーブル1[[#This Row],[画像]]&amp;".png,width=100,height=100)"</f>
        <v>|&amp;image(hatatappoize.png,width=100,height=100)</v>
      </c>
      <c r="W242" s="23" t="str">
        <f>"|MIDDLE:​"&amp;テーブル1[[#This Row],[名前]]</f>
        <v>|MIDDLE:​霹靂っぽいぜ</v>
      </c>
      <c r="X242" s="23" t="str">
        <f>"|MIDDLE:​"&amp;テーブル1[[#This Row],[なまえ]]</f>
        <v>|MIDDLE:​はたたっぽいぜ</v>
      </c>
      <c r="Y242" s="23" t="str">
        <f>"|MIDDLE:​"&amp;テーブル1[[#This Row],[Name]]</f>
        <v>|MIDDLE:​Hatatappoize</v>
      </c>
      <c r="Z24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3" spans="1:26" ht="20.149999999999999" customHeight="1" x14ac:dyDescent="0.35">
      <c r="A243" s="20">
        <v>242</v>
      </c>
      <c r="B243" s="23" t="str">
        <f>SUBSTITUTE(SUBSTITUTE(SUBSTITUTE(SUBSTITUTE(SUBSTITUTE(SUBSTITUTE(SUBSTITUTE(SUBSTITUTE(LOWER(テーブル1[[#This Row],[Name]])," ","-"),".","-"),"&amp;","-"),"_","-"),"・","-"),"=","-"),"--","-"),"--","-")</f>
        <v>shiraishi-sakuta</v>
      </c>
      <c r="C243" s="24" t="s">
        <v>734</v>
      </c>
      <c r="D243" s="23" t="s">
        <v>934</v>
      </c>
      <c r="E243" s="23" t="s">
        <v>1105</v>
      </c>
      <c r="F243" s="15" t="s">
        <v>122</v>
      </c>
      <c r="G243" s="24" t="s">
        <v>709</v>
      </c>
      <c r="H243" s="24" t="s">
        <v>661</v>
      </c>
      <c r="I243" s="24" t="s">
        <v>735</v>
      </c>
      <c r="L243" s="24" t="s">
        <v>1219</v>
      </c>
      <c r="M243" s="24" t="s">
        <v>1187</v>
      </c>
      <c r="N243" s="24" t="s">
        <v>1304</v>
      </c>
      <c r="O243" s="1" t="s">
        <v>631</v>
      </c>
      <c r="P243" s="1" t="s">
        <v>549</v>
      </c>
      <c r="Q243" s="24" t="str">
        <f>テーブル1[[#This Row],[リンク]]&amp;テーブル1[[#This Row],[描画状況]]</f>
        <v>https://lenskkpb.wixsite.com/len-sakaki-official済</v>
      </c>
      <c r="R243" s="17">
        <f>1-(COUNTIF(Q:Q,_xlfn.TEXTJOIN(",",TRUE,テーブル1[[#This Row],[リンク]],テーブル1[[#This Row],[描画状況]]))/COUNTIF(F:F,テーブル1[[#This Row],[リンク]]))</f>
        <v>1</v>
      </c>
      <c r="S243" s="16" t="str">
        <f ca="1">IFERROR(IF(テーブル1[[#This Row],[描画状況]]="",RAND()+(テーブル1[[#This Row],[列2]]*100),""),RAND())</f>
        <v/>
      </c>
      <c r="T243" s="1" t="s">
        <v>459</v>
      </c>
      <c r="U243" s="24" t="str">
        <f ca="1">IF(AND(テーブル1[[#This Row],[描画状況]]="済",テーブル1[[#This Row],[投稿状況]]=""),RAND(),"")</f>
        <v/>
      </c>
      <c r="V243" s="23" t="str">
        <f>"|&amp;image("&amp;テーブル1[[#This Row],[画像]]&amp;".png,width=100,height=100)"</f>
        <v>|&amp;image(shiraishi-sakuta.png,width=100,height=100)</v>
      </c>
      <c r="W243" s="23" t="str">
        <f>"|MIDDLE:​"&amp;テーブル1[[#This Row],[名前]]</f>
        <v>|MIDDLE:​白石朔汰</v>
      </c>
      <c r="X243" s="23" t="str">
        <f>"|MIDDLE:​"&amp;テーブル1[[#This Row],[なまえ]]</f>
        <v>|MIDDLE:​しらいし さくた</v>
      </c>
      <c r="Y243" s="23" t="str">
        <f>"|MIDDLE:​"&amp;テーブル1[[#This Row],[Name]]</f>
        <v>|MIDDLE:​Shiraishi Sakuta</v>
      </c>
      <c r="Z24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4" spans="1:26" ht="20.149999999999999" customHeight="1" x14ac:dyDescent="0.35">
      <c r="A244" s="20">
        <v>243</v>
      </c>
      <c r="B244" s="23" t="str">
        <f>SUBSTITUTE(SUBSTITUTE(SUBSTITUTE(SUBSTITUTE(SUBSTITUTE(SUBSTITUTE(SUBSTITUTE(SUBSTITUTE(LOWER(テーブル1[[#This Row],[Name]])," ","-"),".","-"),"&amp;","-"),"_","-"),"・","-"),"=","-"),"--","-"),"--","-")</f>
        <v>chikusa</v>
      </c>
      <c r="C244" s="24" t="s">
        <v>736</v>
      </c>
      <c r="D244" s="23" t="s">
        <v>736</v>
      </c>
      <c r="E244" s="23" t="s">
        <v>737</v>
      </c>
      <c r="F244" s="15" t="s">
        <v>738</v>
      </c>
      <c r="G244" s="24" t="s">
        <v>739</v>
      </c>
      <c r="H244" s="24" t="s">
        <v>661</v>
      </c>
      <c r="I244" s="24"/>
      <c r="L244" s="24"/>
      <c r="M244" s="24"/>
      <c r="N244" s="24" t="s">
        <v>1304</v>
      </c>
      <c r="O244" s="1" t="s">
        <v>631</v>
      </c>
      <c r="P244" s="1" t="s">
        <v>549</v>
      </c>
      <c r="Q244" s="24" t="str">
        <f>テーブル1[[#This Row],[リンク]]&amp;テーブル1[[#This Row],[描画状況]]</f>
        <v>https://mitamayade.wixsite.com/mitama済</v>
      </c>
      <c r="R244" s="17">
        <f>1-(COUNTIF(Q:Q,_xlfn.TEXTJOIN(",",TRUE,テーブル1[[#This Row],[リンク]],テーブル1[[#This Row],[描画状況]]))/COUNTIF(F:F,テーブル1[[#This Row],[リンク]]))</f>
        <v>1</v>
      </c>
      <c r="S244" s="16" t="str">
        <f ca="1">IFERROR(IF(テーブル1[[#This Row],[描画状況]]="",RAND()+(テーブル1[[#This Row],[列2]]*100),""),RAND())</f>
        <v/>
      </c>
      <c r="T244" s="1" t="s">
        <v>459</v>
      </c>
      <c r="U244" s="24" t="str">
        <f ca="1">IF(AND(テーブル1[[#This Row],[描画状況]]="済",テーブル1[[#This Row],[投稿状況]]=""),RAND(),"")</f>
        <v/>
      </c>
      <c r="V244" s="23" t="str">
        <f>"|&amp;image("&amp;テーブル1[[#This Row],[画像]]&amp;".png,width=100,height=100)"</f>
        <v>|&amp;image(chikusa.png,width=100,height=100)</v>
      </c>
      <c r="W244" s="23" t="str">
        <f>"|MIDDLE:​"&amp;テーブル1[[#This Row],[名前]]</f>
        <v>|MIDDLE:​ちくさ</v>
      </c>
      <c r="X244" s="23" t="str">
        <f>"|MIDDLE:​"&amp;テーブル1[[#This Row],[なまえ]]</f>
        <v>|MIDDLE:​ちくさ</v>
      </c>
      <c r="Y244" s="23" t="str">
        <f>"|MIDDLE:​"&amp;テーブル1[[#This Row],[Name]]</f>
        <v>|MIDDLE:​Chikusa</v>
      </c>
      <c r="Z244" s="23" t="str">
        <f>"|MIDDLE:​&amp;link(配布所はこちら){​"&amp;テーブル1[[#This Row],[リンク]]&amp;"}|"</f>
        <v>|MIDDLE:​&amp;link(配布所はこちら){​https://mitamayade.wixsite.com/mitama}|</v>
      </c>
    </row>
    <row r="245" spans="1:26" ht="20.149999999999999" customHeight="1" x14ac:dyDescent="0.35">
      <c r="A245" s="20">
        <v>244</v>
      </c>
      <c r="B245" s="23" t="str">
        <f>SUBSTITUTE(SUBSTITUTE(SUBSTITUTE(SUBSTITUTE(SUBSTITUTE(SUBSTITUTE(SUBSTITUTE(SUBSTITUTE(LOWER(テーブル1[[#This Row],[Name]])," ","-"),".","-"),"&amp;","-"),"_","-"),"・","-"),"=","-"),"--","-"),"--","-")</f>
        <v>warappoizo</v>
      </c>
      <c r="C245" s="24" t="s">
        <v>740</v>
      </c>
      <c r="D245" s="23" t="s">
        <v>741</v>
      </c>
      <c r="E245" s="23" t="s">
        <v>742</v>
      </c>
      <c r="F245" s="15" t="s">
        <v>743</v>
      </c>
      <c r="G245" s="24" t="s">
        <v>745</v>
      </c>
      <c r="H245" s="24" t="s">
        <v>661</v>
      </c>
      <c r="I245" s="24" t="s">
        <v>744</v>
      </c>
      <c r="L245" s="24"/>
      <c r="M245" s="24"/>
      <c r="O245" s="1" t="s">
        <v>687</v>
      </c>
      <c r="P245" s="1" t="s">
        <v>549</v>
      </c>
      <c r="Q245" s="24" t="str">
        <f>テーブル1[[#This Row],[リンク]]&amp;テーブル1[[#This Row],[描画状況]]</f>
        <v>https://lit.link/4ATEPQoK7bZP3auccNvRi28UQdf1済</v>
      </c>
      <c r="R245" s="17">
        <f>1-(COUNTIF(Q:Q,_xlfn.TEXTJOIN(",",TRUE,テーブル1[[#This Row],[リンク]],テーブル1[[#This Row],[描画状況]]))/COUNTIF(F:F,テーブル1[[#This Row],[リンク]]))</f>
        <v>1</v>
      </c>
      <c r="S245" s="16" t="str">
        <f ca="1">IFERROR(IF(テーブル1[[#This Row],[描画状況]]="",RAND()+(テーブル1[[#This Row],[列2]]*100),""),RAND())</f>
        <v/>
      </c>
      <c r="T245" s="1" t="s">
        <v>459</v>
      </c>
      <c r="U245" s="24" t="str">
        <f ca="1">IF(AND(テーブル1[[#This Row],[描画状況]]="済",テーブル1[[#This Row],[投稿状況]]=""),RAND(),"")</f>
        <v/>
      </c>
      <c r="V245" s="23" t="str">
        <f>"|&amp;image("&amp;テーブル1[[#This Row],[画像]]&amp;".png,width=100,height=100)"</f>
        <v>|&amp;image(warappoizo.png,width=100,height=100)</v>
      </c>
      <c r="W245" s="23" t="str">
        <f>"|MIDDLE:​"&amp;テーブル1[[#This Row],[名前]]</f>
        <v>|MIDDLE:​笑っぽいゾ</v>
      </c>
      <c r="X245" s="23" t="str">
        <f>"|MIDDLE:​"&amp;テーブル1[[#This Row],[なまえ]]</f>
        <v>|MIDDLE:​わらっぽいぞ</v>
      </c>
      <c r="Y245" s="23" t="str">
        <f>"|MIDDLE:​"&amp;テーブル1[[#This Row],[Name]]</f>
        <v>|MIDDLE:​Warappoizo</v>
      </c>
      <c r="Z245" s="23" t="str">
        <f>"|MIDDLE:​&amp;link(配布所はこちら){​"&amp;テーブル1[[#This Row],[リンク]]&amp;"}|"</f>
        <v>|MIDDLE:​&amp;link(配布所はこちら){​https://lit.link/4ATEPQoK7bZP3auccNvRi28UQdf1}|</v>
      </c>
    </row>
    <row r="246" spans="1:26" ht="20.149999999999999" customHeight="1" x14ac:dyDescent="0.35">
      <c r="A246" s="20">
        <v>245</v>
      </c>
      <c r="B246" s="23" t="str">
        <f>SUBSTITUTE(SUBSTITUTE(SUBSTITUTE(SUBSTITUTE(SUBSTITUTE(SUBSTITUTE(SUBSTITUTE(SUBSTITUTE(LOWER(テーブル1[[#This Row],[Name]])," ","-"),".","-"),"&amp;","-"),"_","-"),"・","-"),"=","-"),"--","-"),"--","-")</f>
        <v>han'ei-xi</v>
      </c>
      <c r="C246" s="24" t="s">
        <v>746</v>
      </c>
      <c r="D246" s="23" t="s">
        <v>935</v>
      </c>
      <c r="E246" s="23" t="s">
        <v>1106</v>
      </c>
      <c r="F246" s="15" t="s">
        <v>747</v>
      </c>
      <c r="G246" s="24" t="s">
        <v>748</v>
      </c>
      <c r="H246" s="24" t="s">
        <v>672</v>
      </c>
      <c r="I246" s="24"/>
      <c r="L246" s="24"/>
      <c r="M246" s="24"/>
      <c r="N246" s="24" t="s">
        <v>1304</v>
      </c>
      <c r="O246" s="1" t="s">
        <v>687</v>
      </c>
      <c r="P246" s="1" t="s">
        <v>549</v>
      </c>
      <c r="Q246" s="24" t="str">
        <f>テーブル1[[#This Row],[リンク]]&amp;テーブル1[[#This Row],[描画状況]]</f>
        <v>https://xi-voice.carrd.co済</v>
      </c>
      <c r="R246" s="17">
        <f>1-(COUNTIF(Q:Q,_xlfn.TEXTJOIN(",",TRUE,テーブル1[[#This Row],[リンク]],テーブル1[[#This Row],[描画状況]]))/COUNTIF(F:F,テーブル1[[#This Row],[リンク]]))</f>
        <v>1</v>
      </c>
      <c r="S246" s="16" t="str">
        <f ca="1">IFERROR(IF(テーブル1[[#This Row],[描画状況]]="",RAND()+(テーブル1[[#This Row],[列2]]*100),""),RAND())</f>
        <v/>
      </c>
      <c r="T246" s="1" t="s">
        <v>459</v>
      </c>
      <c r="U246" s="24" t="str">
        <f ca="1">IF(AND(テーブル1[[#This Row],[描画状況]]="済",テーブル1[[#This Row],[投稿状況]]=""),RAND(),"")</f>
        <v/>
      </c>
      <c r="V246" s="23" t="str">
        <f>"|&amp;image("&amp;テーブル1[[#This Row],[画像]]&amp;".png,width=100,height=100)"</f>
        <v>|&amp;image(han'ei-xi.png,width=100,height=100)</v>
      </c>
      <c r="W246" s="23" t="str">
        <f>"|MIDDLE:​"&amp;テーブル1[[#This Row],[名前]]</f>
        <v>|MIDDLE:​反映クサイ</v>
      </c>
      <c r="X246" s="23" t="str">
        <f>"|MIDDLE:​"&amp;テーブル1[[#This Row],[なまえ]]</f>
        <v>|MIDDLE:​はんえい くさい</v>
      </c>
      <c r="Y246" s="23" t="str">
        <f>"|MIDDLE:​"&amp;テーブル1[[#This Row],[Name]]</f>
        <v>|MIDDLE:​Han'ei Xi</v>
      </c>
      <c r="Z246" s="23" t="str">
        <f>"|MIDDLE:​&amp;link(配布所はこちら){​"&amp;テーブル1[[#This Row],[リンク]]&amp;"}|"</f>
        <v>|MIDDLE:​&amp;link(配布所はこちら){​https://xi-voice.carrd.co}|</v>
      </c>
    </row>
    <row r="247" spans="1:26" ht="20.149999999999999" customHeight="1" x14ac:dyDescent="0.35">
      <c r="A247" s="20">
        <v>246</v>
      </c>
      <c r="B247" s="23" t="str">
        <f>SUBSTITUTE(SUBSTITUTE(SUBSTITUTE(SUBSTITUTE(SUBSTITUTE(SUBSTITUTE(SUBSTITUTE(SUBSTITUTE(LOWER(テーブル1[[#This Row],[Name]])," ","-"),".","-"),"&amp;","-"),"_","-"),"・","-"),"=","-"),"--","-"),"--","-")</f>
        <v>aisu-kurimu</v>
      </c>
      <c r="C247" s="24" t="s">
        <v>749</v>
      </c>
      <c r="D247" s="23" t="s">
        <v>936</v>
      </c>
      <c r="E247" s="23" t="s">
        <v>1107</v>
      </c>
      <c r="F247" s="15" t="s">
        <v>750</v>
      </c>
      <c r="G247" s="24" t="s">
        <v>751</v>
      </c>
      <c r="H247" s="24" t="s">
        <v>660</v>
      </c>
      <c r="I247" s="24" t="s">
        <v>670</v>
      </c>
      <c r="J247" s="23" t="s">
        <v>1195</v>
      </c>
      <c r="L247" s="24"/>
      <c r="M247" s="24" t="s">
        <v>1181</v>
      </c>
      <c r="N247" s="24"/>
      <c r="O247" s="1" t="s">
        <v>631</v>
      </c>
      <c r="P247" s="1" t="s">
        <v>549</v>
      </c>
      <c r="Q247" s="24" t="str">
        <f>テーブル1[[#This Row],[リンク]]&amp;テーブル1[[#This Row],[描画状況]]</f>
        <v>https://utau.fandom.com/wiki/Aisu_Kurimu済</v>
      </c>
      <c r="R247" s="17">
        <f>1-(COUNTIF(Q:Q,_xlfn.TEXTJOIN(",",TRUE,テーブル1[[#This Row],[リンク]],テーブル1[[#This Row],[描画状況]]))/COUNTIF(F:F,テーブル1[[#This Row],[リンク]]))</f>
        <v>1</v>
      </c>
      <c r="S247" s="16" t="str">
        <f ca="1">IFERROR(IF(テーブル1[[#This Row],[描画状況]]="",RAND()+(テーブル1[[#This Row],[列2]]*100),""),RAND())</f>
        <v/>
      </c>
      <c r="T247" s="1" t="s">
        <v>459</v>
      </c>
      <c r="U247" s="24" t="str">
        <f ca="1">IF(AND(テーブル1[[#This Row],[描画状況]]="済",テーブル1[[#This Row],[投稿状況]]=""),RAND(),"")</f>
        <v/>
      </c>
      <c r="V247" s="23" t="str">
        <f>"|&amp;image("&amp;テーブル1[[#This Row],[画像]]&amp;".png,width=100,height=100)"</f>
        <v>|&amp;image(aisu-kurimu.png,width=100,height=100)</v>
      </c>
      <c r="W247" s="23" t="str">
        <f>"|MIDDLE:​"&amp;テーブル1[[#This Row],[名前]]</f>
        <v>|MIDDLE:​愛須栗无</v>
      </c>
      <c r="X247" s="23" t="str">
        <f>"|MIDDLE:​"&amp;テーブル1[[#This Row],[なまえ]]</f>
        <v>|MIDDLE:​あいす くりむ</v>
      </c>
      <c r="Y247" s="23" t="str">
        <f>"|MIDDLE:​"&amp;テーブル1[[#This Row],[Name]]</f>
        <v>|MIDDLE:​Aisu Kurimu</v>
      </c>
      <c r="Z247" s="23" t="str">
        <f>"|MIDDLE:​&amp;link(配布所はこちら){​"&amp;テーブル1[[#This Row],[リンク]]&amp;"}|"</f>
        <v>|MIDDLE:​&amp;link(配布所はこちら){​https://utau.fandom.com/wiki/Aisu_Kurimu}|</v>
      </c>
    </row>
    <row r="248" spans="1:26" ht="20.149999999999999" customHeight="1" x14ac:dyDescent="0.35">
      <c r="A248" s="20">
        <v>247</v>
      </c>
      <c r="B248" s="23" t="str">
        <f>SUBSTITUTE(SUBSTITUTE(SUBSTITUTE(SUBSTITUTE(SUBSTITUTE(SUBSTITUTE(SUBSTITUTE(SUBSTITUTE(LOWER(テーブル1[[#This Row],[Name]])," ","-"),".","-"),"&amp;","-"),"_","-"),"・","-"),"=","-"),"--","-"),"--","-")</f>
        <v>utakata-tsuzuri</v>
      </c>
      <c r="C248" s="24" t="s">
        <v>752</v>
      </c>
      <c r="D248" s="23" t="s">
        <v>937</v>
      </c>
      <c r="E248" s="23" t="s">
        <v>1108</v>
      </c>
      <c r="F248" s="15" t="s">
        <v>235</v>
      </c>
      <c r="G248" s="23" t="s">
        <v>236</v>
      </c>
      <c r="H248" s="24" t="s">
        <v>660</v>
      </c>
      <c r="I248" s="24" t="s">
        <v>667</v>
      </c>
      <c r="L248" s="23" t="s">
        <v>1204</v>
      </c>
      <c r="M248" s="24"/>
      <c r="N248" s="24"/>
      <c r="O248" s="1" t="s">
        <v>631</v>
      </c>
      <c r="P248" s="1" t="s">
        <v>549</v>
      </c>
      <c r="Q248" s="24" t="str">
        <f>テーブル1[[#This Row],[リンク]]&amp;テーブル1[[#This Row],[描画状況]]</f>
        <v>https://tourist100f.wixsite.com/utakata-kosyo済</v>
      </c>
      <c r="R248" s="17">
        <f>1-(COUNTIF(Q:Q,_xlfn.TEXTJOIN(",",TRUE,テーブル1[[#This Row],[リンク]],テーブル1[[#This Row],[描画状況]]))/COUNTIF(F:F,テーブル1[[#This Row],[リンク]]))</f>
        <v>1</v>
      </c>
      <c r="S248" s="16" t="str">
        <f ca="1">IFERROR(IF(テーブル1[[#This Row],[描画状況]]="",RAND()+(テーブル1[[#This Row],[列2]]*100),""),RAND())</f>
        <v/>
      </c>
      <c r="T248" s="1" t="s">
        <v>459</v>
      </c>
      <c r="U248" s="24" t="str">
        <f ca="1">IF(AND(テーブル1[[#This Row],[描画状況]]="済",テーブル1[[#This Row],[投稿状況]]=""),RAND(),"")</f>
        <v/>
      </c>
      <c r="V248" s="23" t="str">
        <f>"|&amp;image("&amp;テーブル1[[#This Row],[画像]]&amp;".png,width=100,height=100)"</f>
        <v>|&amp;image(utakata-tsuzuri.png,width=100,height=100)</v>
      </c>
      <c r="W248" s="23" t="str">
        <f>"|MIDDLE:​"&amp;テーブル1[[#This Row],[名前]]</f>
        <v>|MIDDLE:​泡沫綴</v>
      </c>
      <c r="X248" s="23" t="str">
        <f>"|MIDDLE:​"&amp;テーブル1[[#This Row],[なまえ]]</f>
        <v>|MIDDLE:​うたかた つづり</v>
      </c>
      <c r="Y248" s="23" t="str">
        <f>"|MIDDLE:​"&amp;テーブル1[[#This Row],[Name]]</f>
        <v>|MIDDLE:​Utakata Tsuzuri</v>
      </c>
      <c r="Z248" s="23" t="str">
        <f>"|MIDDLE:​&amp;link(配布所はこちら){​"&amp;テーブル1[[#This Row],[リンク]]&amp;"}|"</f>
        <v>|MIDDLE:​&amp;link(配布所はこちら){​https://tourist100f.wixsite.com/utakata-kosyo}|</v>
      </c>
    </row>
    <row r="249" spans="1:26" ht="20.149999999999999" customHeight="1" x14ac:dyDescent="0.35">
      <c r="A249" s="20">
        <v>248</v>
      </c>
      <c r="B249" s="23" t="str">
        <f>SUBSTITUTE(SUBSTITUTE(SUBSTITUTE(SUBSTITUTE(SUBSTITUTE(SUBSTITUTE(SUBSTITUTE(SUBSTITUTE(LOWER(テーブル1[[#This Row],[Name]])," ","-"),".","-"),"&amp;","-"),"_","-"),"・","-"),"=","-"),"--","-"),"--","-")</f>
        <v>f-113</v>
      </c>
      <c r="C249" s="24" t="s">
        <v>753</v>
      </c>
      <c r="D249" s="23" t="s">
        <v>938</v>
      </c>
      <c r="E249" s="23" t="s">
        <v>753</v>
      </c>
      <c r="F249" s="15" t="s">
        <v>235</v>
      </c>
      <c r="G249" s="23" t="s">
        <v>236</v>
      </c>
      <c r="H249" s="24" t="s">
        <v>660</v>
      </c>
      <c r="I249" s="24" t="s">
        <v>670</v>
      </c>
      <c r="M249" s="24" t="s">
        <v>1187</v>
      </c>
      <c r="N249" s="24"/>
      <c r="O249" s="1" t="s">
        <v>631</v>
      </c>
      <c r="P249" s="1" t="s">
        <v>549</v>
      </c>
      <c r="Q249" s="24" t="str">
        <f>テーブル1[[#This Row],[リンク]]&amp;テーブル1[[#This Row],[描画状況]]</f>
        <v>https://tourist100f.wixsite.com/utakata-kosyo済</v>
      </c>
      <c r="R249" s="17">
        <f>1-(COUNTIF(Q:Q,_xlfn.TEXTJOIN(",",TRUE,テーブル1[[#This Row],[リンク]],テーブル1[[#This Row],[描画状況]]))/COUNTIF(F:F,テーブル1[[#This Row],[リンク]]))</f>
        <v>1</v>
      </c>
      <c r="S249" s="16" t="str">
        <f ca="1">IFERROR(IF(テーブル1[[#This Row],[描画状況]]="",RAND()+(テーブル1[[#This Row],[列2]]*100),""),RAND())</f>
        <v/>
      </c>
      <c r="T249" s="1" t="s">
        <v>459</v>
      </c>
      <c r="U249" s="24" t="str">
        <f ca="1">IF(AND(テーブル1[[#This Row],[描画状況]]="済",テーブル1[[#This Row],[投稿状況]]=""),RAND(),"")</f>
        <v/>
      </c>
      <c r="V249" s="23" t="str">
        <f>"|&amp;image("&amp;テーブル1[[#This Row],[画像]]&amp;".png,width=100,height=100)"</f>
        <v>|&amp;image(f-113.png,width=100,height=100)</v>
      </c>
      <c r="W249" s="23" t="str">
        <f>"|MIDDLE:​"&amp;テーブル1[[#This Row],[名前]]</f>
        <v>|MIDDLE:​F-113</v>
      </c>
      <c r="X249" s="23" t="str">
        <f>"|MIDDLE:​"&amp;テーブル1[[#This Row],[なまえ]]</f>
        <v>|MIDDLE:​えふ いちいちさん</v>
      </c>
      <c r="Y249" s="23" t="str">
        <f>"|MIDDLE:​"&amp;テーブル1[[#This Row],[Name]]</f>
        <v>|MIDDLE:​F-113</v>
      </c>
      <c r="Z249" s="23" t="str">
        <f>"|MIDDLE:​&amp;link(配布所はこちら){​"&amp;テーブル1[[#This Row],[リンク]]&amp;"}|"</f>
        <v>|MIDDLE:​&amp;link(配布所はこちら){​https://tourist100f.wixsite.com/utakata-kosyo}|</v>
      </c>
    </row>
    <row r="250" spans="1:26" ht="20.149999999999999" customHeight="1" x14ac:dyDescent="0.35">
      <c r="A250" s="20">
        <v>249</v>
      </c>
      <c r="B250" s="23" t="str">
        <f>SUBSTITUTE(SUBSTITUTE(SUBSTITUTE(SUBSTITUTE(SUBSTITUTE(SUBSTITUTE(SUBSTITUTE(SUBSTITUTE(LOWER(テーブル1[[#This Row],[Name]])," ","-"),".","-"),"&amp;","-"),"_","-"),"・","-"),"=","-"),"--","-"),"--","-")</f>
        <v>apuda</v>
      </c>
      <c r="C250" s="24" t="s">
        <v>754</v>
      </c>
      <c r="D250" s="23" t="s">
        <v>755</v>
      </c>
      <c r="E250" s="23" t="s">
        <v>756</v>
      </c>
      <c r="F250" s="15" t="s">
        <v>757</v>
      </c>
      <c r="G250" s="23" t="s">
        <v>758</v>
      </c>
      <c r="H250" s="24" t="s">
        <v>672</v>
      </c>
      <c r="I250" s="24" t="s">
        <v>667</v>
      </c>
      <c r="L250" s="23" t="s">
        <v>1200</v>
      </c>
      <c r="M250" s="24" t="s">
        <v>1245</v>
      </c>
      <c r="N250" s="24" t="s">
        <v>1297</v>
      </c>
      <c r="O250" s="1" t="s">
        <v>631</v>
      </c>
      <c r="P250" s="1" t="s">
        <v>549</v>
      </c>
      <c r="Q250" s="24" t="str">
        <f>テーブル1[[#This Row],[リンク]]&amp;テーブル1[[#This Row],[描画状況]]</f>
        <v>https://haingyoi.wixsite.com/utau済</v>
      </c>
      <c r="R250" s="17">
        <f>1-(COUNTIF(Q:Q,_xlfn.TEXTJOIN(",",TRUE,テーブル1[[#This Row],[リンク]],テーブル1[[#This Row],[描画状況]]))/COUNTIF(F:F,テーブル1[[#This Row],[リンク]]))</f>
        <v>1</v>
      </c>
      <c r="S250" s="16" t="str">
        <f ca="1">IFERROR(IF(テーブル1[[#This Row],[描画状況]]="",RAND()+(テーブル1[[#This Row],[列2]]*100),""),RAND())</f>
        <v/>
      </c>
      <c r="T250" s="1" t="s">
        <v>459</v>
      </c>
      <c r="U250" s="24" t="str">
        <f ca="1">IF(AND(テーブル1[[#This Row],[描画状況]]="済",テーブル1[[#This Row],[投稿状況]]=""),RAND(),"")</f>
        <v/>
      </c>
      <c r="V250" s="23" t="str">
        <f>"|&amp;image("&amp;テーブル1[[#This Row],[画像]]&amp;".png,width=100,height=100)"</f>
        <v>|&amp;image(apuda.png,width=100,height=100)</v>
      </c>
      <c r="W250" s="23" t="str">
        <f>"|MIDDLE:​"&amp;テーブル1[[#This Row],[名前]]</f>
        <v>|MIDDLE:​痛</v>
      </c>
      <c r="X250" s="23" t="str">
        <f>"|MIDDLE:​"&amp;テーブル1[[#This Row],[なまえ]]</f>
        <v>|MIDDLE:​あぷだ</v>
      </c>
      <c r="Y250" s="23" t="str">
        <f>"|MIDDLE:​"&amp;テーブル1[[#This Row],[Name]]</f>
        <v>|MIDDLE:​Apuda</v>
      </c>
      <c r="Z250" s="23" t="str">
        <f>"|MIDDLE:​&amp;link(配布所はこちら){​"&amp;テーブル1[[#This Row],[リンク]]&amp;"}|"</f>
        <v>|MIDDLE:​&amp;link(配布所はこちら){​https://haingyoi.wixsite.com/utau}|</v>
      </c>
    </row>
    <row r="251" spans="1:26" ht="20.149999999999999" customHeight="1" x14ac:dyDescent="0.35">
      <c r="A251" s="20">
        <v>250</v>
      </c>
      <c r="B251" s="23" t="str">
        <f>SUBSTITUTE(SUBSTITUTE(SUBSTITUTE(SUBSTITUTE(SUBSTITUTE(SUBSTITUTE(SUBSTITUTE(SUBSTITUTE(LOWER(テーブル1[[#This Row],[Name]])," ","-"),".","-"),"&amp;","-"),"_","-"),"・","-"),"=","-"),"--","-"),"--","-")</f>
        <v>hebikawa-ren</v>
      </c>
      <c r="C251" s="24" t="s">
        <v>759</v>
      </c>
      <c r="D251" s="23" t="s">
        <v>939</v>
      </c>
      <c r="E251" s="23" t="s">
        <v>1109</v>
      </c>
      <c r="F251" s="15" t="s">
        <v>123</v>
      </c>
      <c r="G251" s="23" t="s">
        <v>768</v>
      </c>
      <c r="H251" s="24" t="s">
        <v>661</v>
      </c>
      <c r="I251" s="24" t="s">
        <v>1125</v>
      </c>
      <c r="J251" s="23" t="s">
        <v>1226</v>
      </c>
      <c r="M251" s="24"/>
      <c r="N251" s="24" t="s">
        <v>1246</v>
      </c>
      <c r="O251" s="1" t="s">
        <v>631</v>
      </c>
      <c r="P251" s="1" t="s">
        <v>549</v>
      </c>
      <c r="Q251" s="24" t="str">
        <f>テーブル1[[#This Row],[リンク]]&amp;テーブル1[[#This Row],[描画状況]]</f>
        <v>https://lit.link/nemukoneko済</v>
      </c>
      <c r="R251" s="17">
        <f>1-(COUNTIF(Q:Q,_xlfn.TEXTJOIN(",",TRUE,テーブル1[[#This Row],[リンク]],テーブル1[[#This Row],[描画状況]]))/COUNTIF(F:F,テーブル1[[#This Row],[リンク]]))</f>
        <v>1</v>
      </c>
      <c r="S251" s="16" t="str">
        <f ca="1">IFERROR(IF(テーブル1[[#This Row],[描画状況]]="",RAND()+(テーブル1[[#This Row],[列2]]*100),""),RAND())</f>
        <v/>
      </c>
      <c r="T251" s="1" t="s">
        <v>459</v>
      </c>
      <c r="U251" s="24" t="str">
        <f ca="1">IF(AND(テーブル1[[#This Row],[描画状況]]="済",テーブル1[[#This Row],[投稿状況]]=""),RAND(),"")</f>
        <v/>
      </c>
      <c r="V251" s="23" t="str">
        <f>"|&amp;image("&amp;テーブル1[[#This Row],[画像]]&amp;".png,width=100,height=100)"</f>
        <v>|&amp;image(hebikawa-ren.png,width=100,height=100)</v>
      </c>
      <c r="W251" s="23" t="str">
        <f>"|MIDDLE:​"&amp;テーブル1[[#This Row],[名前]]</f>
        <v>|MIDDLE:​蛇川蓮</v>
      </c>
      <c r="X251" s="23" t="str">
        <f>"|MIDDLE:​"&amp;テーブル1[[#This Row],[なまえ]]</f>
        <v>|MIDDLE:​へびかわ れん</v>
      </c>
      <c r="Y251" s="23" t="str">
        <f>"|MIDDLE:​"&amp;テーブル1[[#This Row],[Name]]</f>
        <v>|MIDDLE:​Hebikawa Ren</v>
      </c>
      <c r="Z251" s="23" t="str">
        <f>"|MIDDLE:​&amp;link(配布所はこちら){​"&amp;テーブル1[[#This Row],[リンク]]&amp;"}|"</f>
        <v>|MIDDLE:​&amp;link(配布所はこちら){​https://lit.link/nemukoneko}|</v>
      </c>
    </row>
    <row r="252" spans="1:26" ht="20.149999999999999" customHeight="1" x14ac:dyDescent="0.35">
      <c r="A252" s="20">
        <v>251</v>
      </c>
      <c r="B252" s="23" t="str">
        <f>SUBSTITUTE(SUBSTITUTE(SUBSTITUTE(SUBSTITUTE(SUBSTITUTE(SUBSTITUTE(SUBSTITUTE(SUBSTITUTE(LOWER(テーブル1[[#This Row],[Name]])," ","-"),".","-"),"&amp;","-"),"_","-"),"・","-"),"=","-"),"--","-"),"--","-")</f>
        <v>karasuda-tsubaki</v>
      </c>
      <c r="C252" s="24" t="s">
        <v>760</v>
      </c>
      <c r="D252" s="23" t="s">
        <v>940</v>
      </c>
      <c r="E252" s="23" t="s">
        <v>1110</v>
      </c>
      <c r="F252" s="15" t="s">
        <v>123</v>
      </c>
      <c r="G252" s="24" t="s">
        <v>766</v>
      </c>
      <c r="H252" s="24" t="s">
        <v>661</v>
      </c>
      <c r="I252" s="24" t="s">
        <v>1126</v>
      </c>
      <c r="J252" s="23" t="s">
        <v>1191</v>
      </c>
      <c r="M252" s="24"/>
      <c r="N252" s="24"/>
      <c r="O252" s="1" t="s">
        <v>631</v>
      </c>
      <c r="P252" s="1" t="s">
        <v>549</v>
      </c>
      <c r="Q252" s="24" t="str">
        <f>テーブル1[[#This Row],[リンク]]&amp;テーブル1[[#This Row],[描画状況]]</f>
        <v>https://lit.link/nemukoneko済</v>
      </c>
      <c r="R252" s="17">
        <f>1-(COUNTIF(Q:Q,_xlfn.TEXTJOIN(",",TRUE,テーブル1[[#This Row],[リンク]],テーブル1[[#This Row],[描画状況]]))/COUNTIF(F:F,テーブル1[[#This Row],[リンク]]))</f>
        <v>1</v>
      </c>
      <c r="S252" s="16" t="str">
        <f ca="1">IFERROR(IF(テーブル1[[#This Row],[描画状況]]="",RAND()+(テーブル1[[#This Row],[列2]]*100),""),RAND())</f>
        <v/>
      </c>
      <c r="T252" s="1" t="s">
        <v>459</v>
      </c>
      <c r="U252" s="24" t="str">
        <f ca="1">IF(AND(テーブル1[[#This Row],[描画状況]]="済",テーブル1[[#This Row],[投稿状況]]=""),RAND(),"")</f>
        <v/>
      </c>
      <c r="V252" s="23" t="str">
        <f>"|&amp;image("&amp;テーブル1[[#This Row],[画像]]&amp;".png,width=100,height=100)"</f>
        <v>|&amp;image(karasuda-tsubaki.png,width=100,height=100)</v>
      </c>
      <c r="W252" s="23" t="str">
        <f>"|MIDDLE:​"&amp;テーブル1[[#This Row],[名前]]</f>
        <v>|MIDDLE:​鴉田椿</v>
      </c>
      <c r="X252" s="23" t="str">
        <f>"|MIDDLE:​"&amp;テーブル1[[#This Row],[なまえ]]</f>
        <v>|MIDDLE:​からすだ つばき</v>
      </c>
      <c r="Y252" s="23" t="str">
        <f>"|MIDDLE:​"&amp;テーブル1[[#This Row],[Name]]</f>
        <v>|MIDDLE:​Karasuda Tsubaki</v>
      </c>
      <c r="Z252" s="23" t="str">
        <f>"|MIDDLE:​&amp;link(配布所はこちら){​"&amp;テーブル1[[#This Row],[リンク]]&amp;"}|"</f>
        <v>|MIDDLE:​&amp;link(配布所はこちら){​https://lit.link/nemukoneko}|</v>
      </c>
    </row>
    <row r="253" spans="1:26" ht="20.149999999999999" customHeight="1" x14ac:dyDescent="0.35">
      <c r="A253" s="20">
        <v>252</v>
      </c>
      <c r="B253" s="23" t="str">
        <f>SUBSTITUTE(SUBSTITUTE(SUBSTITUTE(SUBSTITUTE(SUBSTITUTE(SUBSTITUTE(SUBSTITUTE(SUBSTITUTE(LOWER(テーブル1[[#This Row],[Name]])," ","-"),".","-"),"&amp;","-"),"_","-"),"・","-"),"=","-"),"--","-"),"--","-")</f>
        <v>the-alien-cat-lyce</v>
      </c>
      <c r="C253" s="24" t="s">
        <v>761</v>
      </c>
      <c r="D253" s="23" t="s">
        <v>773</v>
      </c>
      <c r="E253" s="23" t="s">
        <v>1111</v>
      </c>
      <c r="F253" s="15" t="s">
        <v>762</v>
      </c>
      <c r="G253" s="24" t="s">
        <v>763</v>
      </c>
      <c r="H253" s="24" t="s">
        <v>673</v>
      </c>
      <c r="I253" s="24" t="s">
        <v>704</v>
      </c>
      <c r="J253" s="23" t="s">
        <v>1190</v>
      </c>
      <c r="M253" s="24"/>
      <c r="N253" s="23" t="s">
        <v>1237</v>
      </c>
      <c r="O253" s="1" t="s">
        <v>631</v>
      </c>
      <c r="P253" s="1" t="s">
        <v>549</v>
      </c>
      <c r="Q253" s="24" t="str">
        <f>テーブル1[[#This Row],[リンク]]&amp;テーブル1[[#This Row],[描画状況]]</f>
        <v>https://note.com/lycopema/n/n7abddbef7b6e済</v>
      </c>
      <c r="R253" s="17">
        <f>1-(COUNTIF(Q:Q,_xlfn.TEXTJOIN(",",TRUE,テーブル1[[#This Row],[リンク]],テーブル1[[#This Row],[描画状況]]))/COUNTIF(F:F,テーブル1[[#This Row],[リンク]]))</f>
        <v>1</v>
      </c>
      <c r="S253" s="16" t="str">
        <f ca="1">IFERROR(IF(テーブル1[[#This Row],[描画状況]]="",RAND()+(テーブル1[[#This Row],[列2]]*100),""),RAND())</f>
        <v/>
      </c>
      <c r="T253" s="1" t="s">
        <v>459</v>
      </c>
      <c r="U253" s="24" t="str">
        <f ca="1">IF(AND(テーブル1[[#This Row],[描画状況]]="済",テーブル1[[#This Row],[投稿状況]]=""),RAND(),"")</f>
        <v/>
      </c>
      <c r="V253" s="23" t="str">
        <f>"|&amp;image("&amp;テーブル1[[#This Row],[画像]]&amp;".png,width=100,height=100)"</f>
        <v>|&amp;image(the-alien-cat-lyce.png,width=100,height=100)</v>
      </c>
      <c r="W253" s="23" t="str">
        <f>"|MIDDLE:​"&amp;テーブル1[[#This Row],[名前]]</f>
        <v>|MIDDLE:​猫星人リセ</v>
      </c>
      <c r="X253" s="23" t="str">
        <f>"|MIDDLE:​"&amp;テーブル1[[#This Row],[なまえ]]</f>
        <v>|MIDDLE:​ねこせいじん りせ</v>
      </c>
      <c r="Y253" s="23" t="str">
        <f>"|MIDDLE:​"&amp;テーブル1[[#This Row],[Name]]</f>
        <v>|MIDDLE:​The Alien Cat Lyce</v>
      </c>
      <c r="Z253" s="23" t="str">
        <f>"|MIDDLE:​&amp;link(配布所はこちら){​"&amp;テーブル1[[#This Row],[リンク]]&amp;"}|"</f>
        <v>|MIDDLE:​&amp;link(配布所はこちら){​https://note.com/lycopema/n/n7abddbef7b6e}|</v>
      </c>
    </row>
    <row r="254" spans="1:26" ht="20.149999999999999" customHeight="1" x14ac:dyDescent="0.35">
      <c r="A254" s="20">
        <v>253</v>
      </c>
      <c r="B254" s="23" t="str">
        <f>SUBSTITUTE(SUBSTITUTE(SUBSTITUTE(SUBSTITUTE(SUBSTITUTE(SUBSTITUTE(SUBSTITUTE(SUBSTITUTE(LOWER(テーブル1[[#This Row],[Name]])," ","-"),".","-"),"&amp;","-"),"_","-"),"・","-"),"=","-"),"--","-"),"--","-")</f>
        <v>kr-725</v>
      </c>
      <c r="C254" s="24" t="s">
        <v>769</v>
      </c>
      <c r="D254" s="23" t="s">
        <v>770</v>
      </c>
      <c r="E254" s="23" t="s">
        <v>769</v>
      </c>
      <c r="F254" s="15" t="s">
        <v>557</v>
      </c>
      <c r="G254" s="24" t="s">
        <v>771</v>
      </c>
      <c r="H254" s="24" t="s">
        <v>660</v>
      </c>
      <c r="I254" s="24" t="s">
        <v>670</v>
      </c>
      <c r="L254" s="23" t="s">
        <v>1222</v>
      </c>
      <c r="M254" s="24" t="s">
        <v>1178</v>
      </c>
      <c r="N254" s="24"/>
      <c r="O254" s="1" t="s">
        <v>631</v>
      </c>
      <c r="P254" s="1" t="s">
        <v>549</v>
      </c>
      <c r="Q254" s="24" t="str">
        <f>テーブル1[[#This Row],[リンク]]&amp;テーブル1[[#This Row],[描画状況]]</f>
        <v>https://sites.google.com/view/ronku99済</v>
      </c>
      <c r="R254" s="17">
        <f>1-(COUNTIF(Q:Q,_xlfn.TEXTJOIN(",",TRUE,テーブル1[[#This Row],[リンク]],テーブル1[[#This Row],[描画状況]]))/COUNTIF(F:F,テーブル1[[#This Row],[リンク]]))</f>
        <v>1</v>
      </c>
      <c r="S254" s="16" t="str">
        <f ca="1">IFERROR(IF(テーブル1[[#This Row],[描画状況]]="",RAND()+(テーブル1[[#This Row],[列2]]*100),""),RAND())</f>
        <v/>
      </c>
      <c r="T254" s="1" t="s">
        <v>459</v>
      </c>
      <c r="U254" s="24" t="str">
        <f ca="1">IF(AND(テーブル1[[#This Row],[描画状況]]="済",テーブル1[[#This Row],[投稿状況]]=""),RAND(),"")</f>
        <v/>
      </c>
      <c r="V254" s="23" t="str">
        <f>"|&amp;image("&amp;テーブル1[[#This Row],[画像]]&amp;".png,width=100,height=100)"</f>
        <v>|&amp;image(kr-725.png,width=100,height=100)</v>
      </c>
      <c r="W254" s="23" t="str">
        <f>"|MIDDLE:​"&amp;テーブル1[[#This Row],[名前]]</f>
        <v>|MIDDLE:​KR-725</v>
      </c>
      <c r="X254" s="23" t="str">
        <f>"|MIDDLE:​"&amp;テーブル1[[#This Row],[なまえ]]</f>
        <v>|MIDDLE:​けーあーる-ななにーご</v>
      </c>
      <c r="Y254" s="23" t="str">
        <f>"|MIDDLE:​"&amp;テーブル1[[#This Row],[Name]]</f>
        <v>|MIDDLE:​KR-725</v>
      </c>
      <c r="Z254" s="23" t="str">
        <f>"|MIDDLE:​&amp;link(配布所はこちら){​"&amp;テーブル1[[#This Row],[リンク]]&amp;"}|"</f>
        <v>|MIDDLE:​&amp;link(配布所はこちら){​https://sites.google.com/view/ronku99}|</v>
      </c>
    </row>
    <row r="255" spans="1:26" ht="20.149999999999999" customHeight="1" x14ac:dyDescent="0.35">
      <c r="A255" s="20">
        <v>254</v>
      </c>
      <c r="B255" s="23" t="str">
        <f>SUBSTITUTE(SUBSTITUTE(SUBSTITUTE(SUBSTITUTE(SUBSTITUTE(SUBSTITUTE(SUBSTITUTE(SUBSTITUTE(LOWER(テーブル1[[#This Row],[Name]])," ","-"),".","-"),"&amp;","-"),"_","-"),"・","-"),"=","-"),"--","-"),"--","-")</f>
        <v>kurumiyaki-yosiyuki</v>
      </c>
      <c r="C255" s="24" t="s">
        <v>764</v>
      </c>
      <c r="D255" s="23" t="s">
        <v>941</v>
      </c>
      <c r="E255" s="23" t="s">
        <v>1112</v>
      </c>
      <c r="F255" s="15" t="s">
        <v>765</v>
      </c>
      <c r="G255" s="24" t="s">
        <v>1127</v>
      </c>
      <c r="H255" s="24" t="s">
        <v>672</v>
      </c>
      <c r="I255" s="24" t="s">
        <v>1125</v>
      </c>
      <c r="J255" s="23" t="s">
        <v>1227</v>
      </c>
      <c r="M255" s="24" t="s">
        <v>1189</v>
      </c>
      <c r="N255" s="24" t="s">
        <v>1247</v>
      </c>
      <c r="O255" s="1" t="s">
        <v>631</v>
      </c>
      <c r="P255" s="1" t="s">
        <v>549</v>
      </c>
      <c r="Q255" s="24" t="str">
        <f>テーブル1[[#This Row],[リンク]]&amp;テーブル1[[#This Row],[描画状況]]</f>
        <v>https://hatonosuke5.booth.pm済</v>
      </c>
      <c r="R255" s="17">
        <f>1-(COUNTIF(Q:Q,_xlfn.TEXTJOIN(",",TRUE,テーブル1[[#This Row],[リンク]],テーブル1[[#This Row],[描画状況]]))/COUNTIF(F:F,テーブル1[[#This Row],[リンク]]))</f>
        <v>1</v>
      </c>
      <c r="S255" s="16" t="str">
        <f ca="1">IFERROR(IF(テーブル1[[#This Row],[描画状況]]="",RAND()+(テーブル1[[#This Row],[列2]]*100),""),RAND())</f>
        <v/>
      </c>
      <c r="T255" s="1" t="s">
        <v>459</v>
      </c>
      <c r="U255" s="24" t="str">
        <f ca="1">IF(AND(テーブル1[[#This Row],[描画状況]]="済",テーブル1[[#This Row],[投稿状況]]=""),RAND(),"")</f>
        <v/>
      </c>
      <c r="V255" s="23" t="str">
        <f>"|&amp;image("&amp;テーブル1[[#This Row],[画像]]&amp;".png,width=100,height=100)"</f>
        <v>|&amp;image(kurumiyaki-yosiyuki.png,width=100,height=100)</v>
      </c>
      <c r="W255" s="23" t="str">
        <f>"|MIDDLE:​"&amp;テーブル1[[#This Row],[名前]]</f>
        <v>|MIDDLE:​クルミヤキ吉行</v>
      </c>
      <c r="X255" s="23" t="str">
        <f>"|MIDDLE:​"&amp;テーブル1[[#This Row],[なまえ]]</f>
        <v>|MIDDLE:​くるみやき よしゆき</v>
      </c>
      <c r="Y255" s="23" t="str">
        <f>"|MIDDLE:​"&amp;テーブル1[[#This Row],[Name]]</f>
        <v>|MIDDLE:​Kurumiyaki Yosiyuki</v>
      </c>
      <c r="Z255" s="23" t="str">
        <f>"|MIDDLE:​&amp;link(配布所はこちら){​"&amp;テーブル1[[#This Row],[リンク]]&amp;"}|"</f>
        <v>|MIDDLE:​&amp;link(配布所はこちら){​https://hatonosuke5.booth.pm}|</v>
      </c>
    </row>
    <row r="256" spans="1:26" ht="20.149999999999999" customHeight="1" x14ac:dyDescent="0.35">
      <c r="A256" s="20">
        <v>255</v>
      </c>
      <c r="B256" s="23" t="str">
        <f>SUBSTITUTE(SUBSTITUTE(SUBSTITUTE(SUBSTITUTE(SUBSTITUTE(SUBSTITUTE(SUBSTITUTE(SUBSTITUTE(LOWER(テーブル1[[#This Row],[Name]])," ","-"),".","-"),"&amp;","-"),"_","-"),"・","-"),"=","-"),"--","-"),"--","-")</f>
        <v>oumi-kurina</v>
      </c>
      <c r="C256" s="24" t="s">
        <v>1116</v>
      </c>
      <c r="D256" s="23" t="s">
        <v>1117</v>
      </c>
      <c r="E256" s="23" t="s">
        <v>1118</v>
      </c>
      <c r="F256" s="15" t="s">
        <v>1119</v>
      </c>
      <c r="G256" s="24" t="s">
        <v>1128</v>
      </c>
      <c r="H256" s="24" t="s">
        <v>660</v>
      </c>
      <c r="I256" s="24" t="s">
        <v>667</v>
      </c>
      <c r="M256" s="24"/>
      <c r="N256" s="24"/>
      <c r="O256" s="1" t="s">
        <v>631</v>
      </c>
      <c r="P256" s="1" t="s">
        <v>549</v>
      </c>
      <c r="Q256" s="24" t="str">
        <f>テーブル1[[#This Row],[リンク]]&amp;テーブル1[[#This Row],[描画状況]]</f>
        <v>https://uu.getuploader.com/mirakibonoutau済</v>
      </c>
      <c r="R256" s="17">
        <f>1-(COUNTIF(Q:Q,_xlfn.TEXTJOIN(",",TRUE,テーブル1[[#This Row],[リンク]],テーブル1[[#This Row],[描画状況]]))/COUNTIF(F:F,テーブル1[[#This Row],[リンク]]))</f>
        <v>1</v>
      </c>
      <c r="S256" s="16" t="str">
        <f ca="1">IFERROR(IF(テーブル1[[#This Row],[描画状況]]="",RAND()+(テーブル1[[#This Row],[列2]]*100),""),RAND())</f>
        <v/>
      </c>
      <c r="T256" s="1" t="s">
        <v>459</v>
      </c>
      <c r="U256" s="24" t="str">
        <f ca="1">IF(AND(テーブル1[[#This Row],[描画状況]]="済",テーブル1[[#This Row],[投稿状況]]=""),RAND(),"")</f>
        <v/>
      </c>
      <c r="V256" s="23" t="str">
        <f>"|&amp;image("&amp;テーブル1[[#This Row],[画像]]&amp;".png,width=100,height=100)"</f>
        <v>|&amp;image(oumi-kurina.png,width=100,height=100)</v>
      </c>
      <c r="W256" s="23" t="str">
        <f>"|MIDDLE:​"&amp;テーブル1[[#This Row],[名前]]</f>
        <v>|MIDDLE:​大海クリナ</v>
      </c>
      <c r="X256" s="23" t="str">
        <f>"|MIDDLE:​"&amp;テーブル1[[#This Row],[なまえ]]</f>
        <v>|MIDDLE:​おおうみ くりな</v>
      </c>
      <c r="Y256" s="23" t="str">
        <f>"|MIDDLE:​"&amp;テーブル1[[#This Row],[Name]]</f>
        <v>|MIDDLE:​Oumi Kurina</v>
      </c>
      <c r="Z256" s="23" t="str">
        <f>"|MIDDLE:​&amp;link(配布所はこちら){​"&amp;テーブル1[[#This Row],[リンク]]&amp;"}|"</f>
        <v>|MIDDLE:​&amp;link(配布所はこちら){​https://uu.getuploader.com/mirakibonoutau}|</v>
      </c>
    </row>
    <row r="257" spans="1:26" ht="20.149999999999999" customHeight="1" x14ac:dyDescent="0.35">
      <c r="A257" s="20">
        <v>256</v>
      </c>
      <c r="B257" s="23" t="str">
        <f>SUBSTITUTE(SUBSTITUTE(SUBSTITUTE(SUBSTITUTE(SUBSTITUTE(SUBSTITUTE(SUBSTITUTE(SUBSTITUTE(LOWER(テーブル1[[#This Row],[Name]])," ","-"),".","-"),"&amp;","-"),"_","-"),"・","-"),"=","-"),"--","-"),"--","-")</f>
        <v>mitama</v>
      </c>
      <c r="C257" s="24" t="s">
        <v>1120</v>
      </c>
      <c r="D257" s="23" t="s">
        <v>1120</v>
      </c>
      <c r="E257" s="23" t="s">
        <v>1121</v>
      </c>
      <c r="F257" s="15" t="s">
        <v>738</v>
      </c>
      <c r="G257" s="24" t="s">
        <v>1129</v>
      </c>
      <c r="H257" s="24" t="s">
        <v>660</v>
      </c>
      <c r="I257" s="24" t="s">
        <v>667</v>
      </c>
      <c r="M257" s="24" t="s">
        <v>1181</v>
      </c>
      <c r="N257" s="24" t="s">
        <v>1298</v>
      </c>
      <c r="O257" s="1" t="s">
        <v>631</v>
      </c>
      <c r="P257" s="1" t="s">
        <v>549</v>
      </c>
      <c r="Q257" s="24" t="str">
        <f>テーブル1[[#This Row],[リンク]]&amp;テーブル1[[#This Row],[描画状況]]</f>
        <v>https://mitamayade.wixsite.com/mitama済</v>
      </c>
      <c r="R257" s="17">
        <f>1-(COUNTIF(Q:Q,_xlfn.TEXTJOIN(",",TRUE,テーブル1[[#This Row],[リンク]],テーブル1[[#This Row],[描画状況]]))/COUNTIF(F:F,テーブル1[[#This Row],[リンク]]))</f>
        <v>1</v>
      </c>
      <c r="S257" s="16" t="str">
        <f ca="1">IFERROR(IF(テーブル1[[#This Row],[描画状況]]="",RAND()+(テーブル1[[#This Row],[列2]]*100),""),RAND())</f>
        <v/>
      </c>
      <c r="T257" s="1" t="s">
        <v>459</v>
      </c>
      <c r="U257" s="24" t="str">
        <f ca="1">IF(AND(テーブル1[[#This Row],[描画状況]]="済",テーブル1[[#This Row],[投稿状況]]=""),RAND(),"")</f>
        <v/>
      </c>
      <c r="V257" s="23" t="str">
        <f>"|&amp;image("&amp;テーブル1[[#This Row],[画像]]&amp;".png,width=100,height=100)"</f>
        <v>|&amp;image(mitama.png,width=100,height=100)</v>
      </c>
      <c r="W257" s="23" t="str">
        <f>"|MIDDLE:​"&amp;テーブル1[[#This Row],[名前]]</f>
        <v>|MIDDLE:​みたま</v>
      </c>
      <c r="X257" s="23" t="str">
        <f>"|MIDDLE:​"&amp;テーブル1[[#This Row],[なまえ]]</f>
        <v>|MIDDLE:​みたま</v>
      </c>
      <c r="Y257" s="23" t="str">
        <f>"|MIDDLE:​"&amp;テーブル1[[#This Row],[Name]]</f>
        <v>|MIDDLE:​Mitama</v>
      </c>
      <c r="Z257" s="23" t="str">
        <f>"|MIDDLE:​&amp;link(配布所はこちら){​"&amp;テーブル1[[#This Row],[リンク]]&amp;"}|"</f>
        <v>|MIDDLE:​&amp;link(配布所はこちら){​https://mitamayade.wixsite.com/mitama}|</v>
      </c>
    </row>
    <row r="258" spans="1:26" ht="20.149999999999999" customHeight="1" x14ac:dyDescent="0.35">
      <c r="A258" s="20">
        <v>257</v>
      </c>
      <c r="B258" s="23" t="str">
        <f>SUBSTITUTE(SUBSTITUTE(SUBSTITUTE(SUBSTITUTE(SUBSTITUTE(SUBSTITUTE(SUBSTITUTE(SUBSTITUTE(LOWER(テーブル1[[#This Row],[Name]])," ","-"),".","-"),"&amp;","-"),"_","-"),"・","-"),"=","-"),"--","-"),"--","-")</f>
        <v>mirakibo-11-gou</v>
      </c>
      <c r="C258" s="24" t="s">
        <v>1122</v>
      </c>
      <c r="D258" s="23" t="s">
        <v>1123</v>
      </c>
      <c r="E258" s="23" t="s">
        <v>1124</v>
      </c>
      <c r="F258" s="15" t="s">
        <v>1119</v>
      </c>
      <c r="G258" s="24" t="s">
        <v>1130</v>
      </c>
      <c r="H258" s="24" t="s">
        <v>672</v>
      </c>
      <c r="I258" s="24" t="s">
        <v>670</v>
      </c>
      <c r="M258" s="24"/>
      <c r="N258" s="24" t="s">
        <v>1205</v>
      </c>
      <c r="O258" s="1" t="s">
        <v>631</v>
      </c>
      <c r="P258" s="1" t="s">
        <v>549</v>
      </c>
      <c r="Q258" s="24" t="str">
        <f>テーブル1[[#This Row],[リンク]]&amp;テーブル1[[#This Row],[描画状況]]</f>
        <v>https://uu.getuploader.com/mirakibonoutau済</v>
      </c>
      <c r="R258" s="17">
        <f>1-(COUNTIF(Q:Q,_xlfn.TEXTJOIN(",",TRUE,テーブル1[[#This Row],[リンク]],テーブル1[[#This Row],[描画状況]]))/COUNTIF(F:F,テーブル1[[#This Row],[リンク]]))</f>
        <v>1</v>
      </c>
      <c r="S258" s="16" t="str">
        <f ca="1">IFERROR(IF(テーブル1[[#This Row],[描画状況]]="",RAND()+(テーブル1[[#This Row],[列2]]*100),""),RAND())</f>
        <v/>
      </c>
      <c r="T258" s="1" t="s">
        <v>459</v>
      </c>
      <c r="U258" s="24" t="str">
        <f ca="1">IF(AND(テーブル1[[#This Row],[描画状況]]="済",テーブル1[[#This Row],[投稿状況]]=""),RAND(),"")</f>
        <v/>
      </c>
      <c r="V258" s="23" t="str">
        <f>"|&amp;image("&amp;テーブル1[[#This Row],[画像]]&amp;".png,width=100,height=100)"</f>
        <v>|&amp;image(mirakibo-11-gou.png,width=100,height=100)</v>
      </c>
      <c r="W258" s="23" t="str">
        <f>"|MIDDLE:​"&amp;テーブル1[[#This Row],[名前]]</f>
        <v>|MIDDLE:​みらきぼ11号</v>
      </c>
      <c r="X258" s="23" t="str">
        <f>"|MIDDLE:​"&amp;テーブル1[[#This Row],[なまえ]]</f>
        <v>|MIDDLE:​みらきぼじゅういちごう</v>
      </c>
      <c r="Y258" s="23" t="str">
        <f>"|MIDDLE:​"&amp;テーブル1[[#This Row],[Name]]</f>
        <v>|MIDDLE:​Mirakibo 11-gou</v>
      </c>
      <c r="Z258" s="23" t="str">
        <f>"|MIDDLE:​&amp;link(配布所はこちら){​"&amp;テーブル1[[#This Row],[リンク]]&amp;"}|"</f>
        <v>|MIDDLE:​&amp;link(配布所はこちら){​https://uu.getuploader.com/mirakibonoutau}|</v>
      </c>
    </row>
    <row r="259" spans="1:26" ht="20.149999999999999" customHeight="1" x14ac:dyDescent="0.35">
      <c r="A259" s="20">
        <v>258</v>
      </c>
      <c r="B259" s="23" t="str">
        <f>SUBSTITUTE(SUBSTITUTE(SUBSTITUTE(SUBSTITUTE(SUBSTITUTE(SUBSTITUTE(SUBSTITUTE(SUBSTITUTE(LOWER(テーブル1[[#This Row],[Name]])," ","-"),".","-"),"&amp;","-"),"_","-"),"・","-"),"=","-"),"--","-"),"--","-")</f>
        <v>otoya-syuki</v>
      </c>
      <c r="C259" s="24" t="s">
        <v>1131</v>
      </c>
      <c r="D259" s="23" t="s">
        <v>1132</v>
      </c>
      <c r="E259" s="23" t="s">
        <v>1133</v>
      </c>
      <c r="F259" s="29" t="s">
        <v>1134</v>
      </c>
      <c r="G259" s="23" t="s">
        <v>1135</v>
      </c>
      <c r="H259" s="23" t="s">
        <v>661</v>
      </c>
      <c r="I259" s="23" t="s">
        <v>667</v>
      </c>
      <c r="L259" s="23" t="s">
        <v>1248</v>
      </c>
      <c r="M259" s="24" t="s">
        <v>1178</v>
      </c>
      <c r="N259" s="24" t="s">
        <v>1298</v>
      </c>
      <c r="O259" s="1" t="s">
        <v>631</v>
      </c>
      <c r="P259" s="1" t="s">
        <v>549</v>
      </c>
      <c r="Q259" s="24" t="str">
        <f>テーブル1[[#This Row],[リンク]]&amp;テーブル1[[#This Row],[描画状況]]</f>
        <v>https://sikiori.wepage.com済</v>
      </c>
      <c r="R259" s="17">
        <f>1-(COUNTIF(Q:Q,_xlfn.TEXTJOIN(",",TRUE,テーブル1[[#This Row],[リンク]],テーブル1[[#This Row],[描画状況]]))/COUNTIF(F:F,テーブル1[[#This Row],[リンク]]))</f>
        <v>1</v>
      </c>
      <c r="S259" s="16" t="str">
        <f ca="1">IFERROR(IF(テーブル1[[#This Row],[描画状況]]="",RAND()+(テーブル1[[#This Row],[列2]]*100),""),RAND())</f>
        <v/>
      </c>
      <c r="T259" s="1" t="s">
        <v>459</v>
      </c>
      <c r="U259" s="24" t="str">
        <f ca="1">IF(AND(テーブル1[[#This Row],[描画状況]]="済",テーブル1[[#This Row],[投稿状況]]=""),RAND(),"")</f>
        <v/>
      </c>
      <c r="V259" s="23" t="str">
        <f>"|&amp;image("&amp;テーブル1[[#This Row],[画像]]&amp;".png,width=100,height=100)"</f>
        <v>|&amp;image(otoya-syuki.png,width=100,height=100)</v>
      </c>
      <c r="W259" s="23" t="str">
        <f>"|MIDDLE:​"&amp;テーブル1[[#This Row],[名前]]</f>
        <v>|MIDDLE:​音夜秋月</v>
      </c>
      <c r="X259" s="23" t="str">
        <f>"|MIDDLE:​"&amp;テーブル1[[#This Row],[なまえ]]</f>
        <v>|MIDDLE:​おとや しゅうき</v>
      </c>
      <c r="Y259" s="23" t="str">
        <f>"|MIDDLE:​"&amp;テーブル1[[#This Row],[Name]]</f>
        <v>|MIDDLE:​Otoya Syuki</v>
      </c>
      <c r="Z259" s="23" t="str">
        <f>"|MIDDLE:​&amp;link(配布所はこちら){​"&amp;テーブル1[[#This Row],[リンク]]&amp;"}|"</f>
        <v>|MIDDLE:​&amp;link(配布所はこちら){​https://sikiori.wepage.com}|</v>
      </c>
    </row>
    <row r="260" spans="1:26" ht="20.149999999999999" customHeight="1" x14ac:dyDescent="0.35">
      <c r="A260" s="20">
        <v>259</v>
      </c>
      <c r="B260" s="23" t="str">
        <f>SUBSTITUTE(SUBSTITUTE(SUBSTITUTE(SUBSTITUTE(SUBSTITUTE(SUBSTITUTE(SUBSTITUTE(SUBSTITUTE(LOWER(テーブル1[[#This Row],[Name]])," ","-"),".","-"),"&amp;","-"),"_","-"),"・","-"),"=","-"),"--","-"),"--","-")</f>
        <v>natsuno-seito</v>
      </c>
      <c r="C260" s="24" t="s">
        <v>1136</v>
      </c>
      <c r="D260" s="23" t="s">
        <v>1137</v>
      </c>
      <c r="E260" s="23" t="s">
        <v>1138</v>
      </c>
      <c r="F260" s="29" t="s">
        <v>1134</v>
      </c>
      <c r="G260" s="23" t="s">
        <v>1135</v>
      </c>
      <c r="H260" s="23" t="s">
        <v>661</v>
      </c>
      <c r="I260" s="23" t="s">
        <v>667</v>
      </c>
      <c r="L260" s="23" t="s">
        <v>1204</v>
      </c>
      <c r="N260" s="24" t="s">
        <v>1298</v>
      </c>
      <c r="O260" s="1" t="s">
        <v>631</v>
      </c>
      <c r="P260" s="1" t="s">
        <v>549</v>
      </c>
      <c r="Q260" s="24" t="str">
        <f>テーブル1[[#This Row],[リンク]]&amp;テーブル1[[#This Row],[描画状況]]</f>
        <v>https://sikiori.wepage.com済</v>
      </c>
      <c r="R260" s="17">
        <f>1-(COUNTIF(Q:Q,_xlfn.TEXTJOIN(",",TRUE,テーブル1[[#This Row],[リンク]],テーブル1[[#This Row],[描画状況]]))/COUNTIF(F:F,テーブル1[[#This Row],[リンク]]))</f>
        <v>1</v>
      </c>
      <c r="S260" s="16" t="str">
        <f ca="1">IFERROR(IF(テーブル1[[#This Row],[描画状況]]="",RAND()+(テーブル1[[#This Row],[列2]]*100),""),RAND())</f>
        <v/>
      </c>
      <c r="T260" s="1" t="s">
        <v>459</v>
      </c>
      <c r="U260" s="24" t="str">
        <f ca="1">IF(AND(テーブル1[[#This Row],[描画状況]]="済",テーブル1[[#This Row],[投稿状況]]=""),RAND(),"")</f>
        <v/>
      </c>
      <c r="V260" s="23" t="str">
        <f>"|&amp;image("&amp;テーブル1[[#This Row],[画像]]&amp;".png,width=100,height=100)"</f>
        <v>|&amp;image(natsuno-seito.png,width=100,height=100)</v>
      </c>
      <c r="W260" s="23" t="str">
        <f>"|MIDDLE:​"&amp;テーブル1[[#This Row],[名前]]</f>
        <v>|MIDDLE:​夏乃星音</v>
      </c>
      <c r="X260" s="23" t="str">
        <f>"|MIDDLE:​"&amp;テーブル1[[#This Row],[なまえ]]</f>
        <v>|MIDDLE:​なつの せいと</v>
      </c>
      <c r="Y260" s="23" t="str">
        <f>"|MIDDLE:​"&amp;テーブル1[[#This Row],[Name]]</f>
        <v>|MIDDLE:​Natsuno Seito</v>
      </c>
      <c r="Z260" s="23" t="str">
        <f>"|MIDDLE:​&amp;link(配布所はこちら){​"&amp;テーブル1[[#This Row],[リンク]]&amp;"}|"</f>
        <v>|MIDDLE:​&amp;link(配布所はこちら){​https://sikiori.wepage.com}|</v>
      </c>
    </row>
    <row r="261" spans="1:26" ht="20.149999999999999" customHeight="1" x14ac:dyDescent="0.35">
      <c r="A261" s="20">
        <v>260</v>
      </c>
      <c r="B261" s="23" t="str">
        <f>SUBSTITUTE(SUBSTITUTE(SUBSTITUTE(SUBSTITUTE(SUBSTITUTE(SUBSTITUTE(SUBSTITUTE(SUBSTITUTE(LOWER(テーブル1[[#This Row],[Name]])," ","-"),".","-"),"&amp;","-"),"_","-"),"・","-"),"=","-"),"--","-"),"--","-")</f>
        <v>makimiya-fuki</v>
      </c>
      <c r="C261" s="24" t="s">
        <v>1139</v>
      </c>
      <c r="D261" s="23" t="s">
        <v>1140</v>
      </c>
      <c r="E261" s="23" t="s">
        <v>1141</v>
      </c>
      <c r="F261" s="29" t="s">
        <v>1142</v>
      </c>
      <c r="G261" s="23" t="s">
        <v>1152</v>
      </c>
      <c r="H261" s="23" t="s">
        <v>661</v>
      </c>
      <c r="I261" s="23" t="s">
        <v>667</v>
      </c>
      <c r="L261" s="23" t="s">
        <v>1211</v>
      </c>
      <c r="M261" s="23" t="s">
        <v>1185</v>
      </c>
      <c r="O261" s="1" t="s">
        <v>631</v>
      </c>
      <c r="P261" s="1" t="s">
        <v>549</v>
      </c>
      <c r="Q261" s="24" t="str">
        <f>テーブル1[[#This Row],[リンク]]&amp;テーブル1[[#This Row],[描画状況]]</f>
        <v>https://mohumohuton.web.fc2.com/makimiya/index.html済</v>
      </c>
      <c r="R261" s="17">
        <f>1-(COUNTIF(Q:Q,_xlfn.TEXTJOIN(",",TRUE,テーブル1[[#This Row],[リンク]],テーブル1[[#This Row],[描画状況]]))/COUNTIF(F:F,テーブル1[[#This Row],[リンク]]))</f>
        <v>1</v>
      </c>
      <c r="S261" s="16" t="str">
        <f ca="1">IFERROR(IF(テーブル1[[#This Row],[描画状況]]="",RAND()+(テーブル1[[#This Row],[列2]]*100),""),RAND())</f>
        <v/>
      </c>
      <c r="T261" s="1" t="s">
        <v>459</v>
      </c>
      <c r="U261" s="24" t="str">
        <f ca="1">IF(AND(テーブル1[[#This Row],[描画状況]]="済",テーブル1[[#This Row],[投稿状況]]=""),RAND(),"")</f>
        <v/>
      </c>
      <c r="V261" s="23" t="str">
        <f>"|&amp;image("&amp;テーブル1[[#This Row],[画像]]&amp;".png,width=100,height=100)"</f>
        <v>|&amp;image(makimiya-fuki.png,width=100,height=100)</v>
      </c>
      <c r="W261" s="23" t="str">
        <f>"|MIDDLE:​"&amp;テーブル1[[#This Row],[名前]]</f>
        <v>|MIDDLE:​薪宮風季</v>
      </c>
      <c r="X261" s="23" t="str">
        <f>"|MIDDLE:​"&amp;テーブル1[[#This Row],[なまえ]]</f>
        <v>|MIDDLE:​まきみや ふうき</v>
      </c>
      <c r="Y261" s="23" t="str">
        <f>"|MIDDLE:​"&amp;テーブル1[[#This Row],[Name]]</f>
        <v>|MIDDLE:​Makimiya Fuki</v>
      </c>
      <c r="Z261" s="23" t="str">
        <f>"|MIDDLE:​&amp;link(配布所はこちら){​"&amp;テーブル1[[#This Row],[リンク]]&amp;"}|"</f>
        <v>|MIDDLE:​&amp;link(配布所はこちら){​https://mohumohuton.web.fc2.com/makimiya/index.html}|</v>
      </c>
    </row>
    <row r="262" spans="1:26" ht="20.149999999999999" customHeight="1" x14ac:dyDescent="0.35">
      <c r="A262" s="20">
        <v>261</v>
      </c>
      <c r="B262" s="23" t="str">
        <f>SUBSTITUTE(SUBSTITUTE(SUBSTITUTE(SUBSTITUTE(SUBSTITUTE(SUBSTITUTE(SUBSTITUTE(SUBSTITUTE(LOWER(テーブル1[[#This Row],[Name]])," ","-"),".","-"),"&amp;","-"),"_","-"),"・","-"),"=","-"),"--","-"),"--","-")</f>
        <v>wakunemu-supika</v>
      </c>
      <c r="C262" s="24" t="s">
        <v>1145</v>
      </c>
      <c r="D262" s="23" t="s">
        <v>1143</v>
      </c>
      <c r="E262" s="28" t="s">
        <v>1144</v>
      </c>
      <c r="F262" s="29" t="s">
        <v>645</v>
      </c>
      <c r="G262" s="23" t="s">
        <v>1151</v>
      </c>
      <c r="H262" s="23" t="s">
        <v>660</v>
      </c>
      <c r="I262" s="23" t="s">
        <v>1125</v>
      </c>
      <c r="J262" s="23" t="s">
        <v>1198</v>
      </c>
      <c r="O262" s="1" t="s">
        <v>631</v>
      </c>
      <c r="P262" s="1" t="s">
        <v>549</v>
      </c>
      <c r="Q262" s="24" t="str">
        <f>テーブル1[[#This Row],[リンク]]&amp;テーブル1[[#This Row],[描画状況]]</f>
        <v>https://bowlroll.net/user/946776済</v>
      </c>
      <c r="R262" s="17">
        <f>1-(COUNTIF(Q:Q,_xlfn.TEXTJOIN(",",TRUE,テーブル1[[#This Row],[リンク]],テーブル1[[#This Row],[描画状況]]))/COUNTIF(F:F,テーブル1[[#This Row],[リンク]]))</f>
        <v>1</v>
      </c>
      <c r="S262" s="16" t="str">
        <f ca="1">IFERROR(IF(テーブル1[[#This Row],[描画状況]]="",RAND()+(テーブル1[[#This Row],[列2]]*100),""),RAND())</f>
        <v/>
      </c>
      <c r="T262" s="1" t="s">
        <v>459</v>
      </c>
      <c r="U262" s="24" t="str">
        <f ca="1">IF(AND(テーブル1[[#This Row],[描画状況]]="済",テーブル1[[#This Row],[投稿状況]]=""),RAND(),"")</f>
        <v/>
      </c>
      <c r="V262" s="23" t="str">
        <f>"|&amp;image("&amp;テーブル1[[#This Row],[画像]]&amp;".png,width=100,height=100)"</f>
        <v>|&amp;image(wakunemu-supika.png,width=100,height=100)</v>
      </c>
      <c r="W262" s="23" t="str">
        <f>"|MIDDLE:​"&amp;テーブル1[[#This Row],[名前]]</f>
        <v>|MIDDLE:​わくねむすぴか</v>
      </c>
      <c r="X262" s="23" t="str">
        <f>"|MIDDLE:​"&amp;テーブル1[[#This Row],[なまえ]]</f>
        <v>|MIDDLE:​わくねむ すぴか</v>
      </c>
      <c r="Y262" s="23" t="str">
        <f>"|MIDDLE:​"&amp;テーブル1[[#This Row],[Name]]</f>
        <v>|MIDDLE:​Wakunemu Supika</v>
      </c>
      <c r="Z262" s="23" t="str">
        <f>"|MIDDLE:​&amp;link(配布所はこちら){​"&amp;テーブル1[[#This Row],[リンク]]&amp;"}|"</f>
        <v>|MIDDLE:​&amp;link(配布所はこちら){​https://bowlroll.net/user/946776}|</v>
      </c>
    </row>
    <row r="263" spans="1:26" ht="20.149999999999999" customHeight="1" x14ac:dyDescent="0.35">
      <c r="A263" s="20">
        <v>262</v>
      </c>
      <c r="B263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263" s="24" t="s">
        <v>1146</v>
      </c>
      <c r="D263" s="23" t="s">
        <v>1147</v>
      </c>
      <c r="E263" s="23" t="s">
        <v>1148</v>
      </c>
      <c r="F263" s="29" t="s">
        <v>1149</v>
      </c>
      <c r="G263" s="23" t="s">
        <v>1150</v>
      </c>
      <c r="H263" s="23" t="s">
        <v>673</v>
      </c>
      <c r="I263" s="23" t="s">
        <v>677</v>
      </c>
      <c r="L263" s="23" t="s">
        <v>1218</v>
      </c>
      <c r="M263" s="23" t="s">
        <v>708</v>
      </c>
      <c r="N263" s="23" t="s">
        <v>1249</v>
      </c>
      <c r="O263" s="1" t="s">
        <v>631</v>
      </c>
      <c r="P263" s="1" t="s">
        <v>549</v>
      </c>
      <c r="Q263" s="24" t="str">
        <f>テーブル1[[#This Row],[リンク]]&amp;テーブル1[[#This Row],[描画状況]]</f>
        <v>https://suukedayo.wixsite.com/shiawasefairu済</v>
      </c>
      <c r="R263" s="17">
        <f>1-(COUNTIF(Q:Q,_xlfn.TEXTJOIN(",",TRUE,テーブル1[[#This Row],[リンク]],テーブル1[[#This Row],[描画状況]]))/COUNTIF(F:F,テーブル1[[#This Row],[リンク]]))</f>
        <v>1</v>
      </c>
      <c r="S263" s="16" t="str">
        <f ca="1">IFERROR(IF(テーブル1[[#This Row],[描画状況]]="",RAND()+(テーブル1[[#This Row],[列2]]*100),""),RAND())</f>
        <v/>
      </c>
      <c r="T263" s="1" t="s">
        <v>459</v>
      </c>
      <c r="U263" s="24" t="str">
        <f ca="1">IF(AND(テーブル1[[#This Row],[描画状況]]="済",テーブル1[[#This Row],[投稿状況]]=""),RAND(),"")</f>
        <v/>
      </c>
      <c r="V263" s="23" t="str">
        <f>"|&amp;image("&amp;テーブル1[[#This Row],[画像]]&amp;".png,width=100,height=100)"</f>
        <v>|&amp;image(sumomone-fueru.png,width=100,height=100)</v>
      </c>
      <c r="W263" s="23" t="str">
        <f>"|MIDDLE:​"&amp;テーブル1[[#This Row],[名前]]</f>
        <v>|MIDDLE:​李音フヱル</v>
      </c>
      <c r="X263" s="23" t="str">
        <f>"|MIDDLE:​"&amp;テーブル1[[#This Row],[なまえ]]</f>
        <v>|MIDDLE:​すももね ふえる</v>
      </c>
      <c r="Y263" s="23" t="str">
        <f>"|MIDDLE:​"&amp;テーブル1[[#This Row],[Name]]</f>
        <v>|MIDDLE:​Sumomone Fueru</v>
      </c>
      <c r="Z263" s="23" t="str">
        <f>"|MIDDLE:​&amp;link(配布所はこちら){​"&amp;テーブル1[[#This Row],[リンク]]&amp;"}|"</f>
        <v>|MIDDLE:​&amp;link(配布所はこちら){​https://suukedayo.wixsite.com/shiawasefairu}|</v>
      </c>
    </row>
    <row r="264" spans="1:26" ht="20.149999999999999" customHeight="1" x14ac:dyDescent="0.35">
      <c r="A264" s="20">
        <v>263</v>
      </c>
      <c r="B264" s="23" t="str">
        <f>SUBSTITUTE(SUBSTITUTE(SUBSTITUTE(SUBSTITUTE(SUBSTITUTE(SUBSTITUTE(SUBSTITUTE(SUBSTITUTE(LOWER(テーブル1[[#This Row],[Name]])," ","-"),".","-"),"&amp;","-"),"_","-"),"・","-"),"=","-"),"--","-"),"--","-")</f>
        <v>ubuon-goe</v>
      </c>
      <c r="C264" s="24" t="s">
        <v>1154</v>
      </c>
      <c r="D264" s="23" t="s">
        <v>1155</v>
      </c>
      <c r="E264" s="23" t="s">
        <v>1156</v>
      </c>
      <c r="F264" s="29" t="s">
        <v>1176</v>
      </c>
      <c r="G264" s="23" t="s">
        <v>1175</v>
      </c>
      <c r="H264" s="23" t="s">
        <v>672</v>
      </c>
      <c r="I264" s="23" t="s">
        <v>713</v>
      </c>
      <c r="L264" s="23" t="s">
        <v>1219</v>
      </c>
      <c r="M264" s="23" t="s">
        <v>1188</v>
      </c>
      <c r="O264" s="1" t="s">
        <v>631</v>
      </c>
      <c r="P264" s="1" t="s">
        <v>549</v>
      </c>
      <c r="Q264" s="24" t="str">
        <f>テーブル1[[#This Row],[リンク]]&amp;テーブル1[[#This Row],[描画状況]]</f>
        <v>https://nagimachi.wixsite.com/kairikonomachi済</v>
      </c>
      <c r="R264" s="17">
        <f>1-(COUNTIF(Q:Q,_xlfn.TEXTJOIN(",",TRUE,テーブル1[[#This Row],[リンク]],テーブル1[[#This Row],[描画状況]]))/COUNTIF(F:F,テーブル1[[#This Row],[リンク]]))</f>
        <v>1</v>
      </c>
      <c r="S264" s="16" t="str">
        <f ca="1">IFERROR(IF(テーブル1[[#This Row],[描画状況]]="",RAND()+(テーブル1[[#This Row],[列2]]*100),""),RAND())</f>
        <v/>
      </c>
      <c r="U264" s="24">
        <f ca="1">IF(AND(テーブル1[[#This Row],[描画状況]]="済",テーブル1[[#This Row],[投稿状況]]=""),RAND(),"")</f>
        <v>0.87473406546745047</v>
      </c>
      <c r="V264" s="23" t="str">
        <f>"|&amp;image("&amp;テーブル1[[#This Row],[画像]]&amp;".png,width=100,height=100)"</f>
        <v>|&amp;image(ubuon-goe.png,width=100,height=100)</v>
      </c>
      <c r="W264" s="23" t="str">
        <f>"|MIDDLE:​"&amp;テーブル1[[#This Row],[名前]]</f>
        <v>|MIDDLE:​有部音ゴエμ</v>
      </c>
      <c r="X264" s="23" t="str">
        <f>"|MIDDLE:​"&amp;テーブル1[[#This Row],[なまえ]]</f>
        <v>|MIDDLE:​うぶおん ごえ</v>
      </c>
      <c r="Y264" s="23" t="str">
        <f>"|MIDDLE:​"&amp;テーブル1[[#This Row],[Name]]</f>
        <v>|MIDDLE:​Ubuon Goe</v>
      </c>
      <c r="Z264" s="23" t="str">
        <f>"|MIDDLE:​&amp;link(配布所はこちら){​"&amp;テーブル1[[#This Row],[リンク]]&amp;"}|"</f>
        <v>|MIDDLE:​&amp;link(配布所はこちら){​https://nagimachi.wixsite.com/kairikonomachi}|</v>
      </c>
    </row>
    <row r="265" spans="1:26" ht="20.149999999999999" customHeight="1" x14ac:dyDescent="0.35">
      <c r="A265" s="20">
        <v>264</v>
      </c>
      <c r="B265" s="23" t="str">
        <f>SUBSTITUTE(SUBSTITUTE(SUBSTITUTE(SUBSTITUTE(SUBSTITUTE(SUBSTITUTE(SUBSTITUTE(SUBSTITUTE(LOWER(テーブル1[[#This Row],[Name]])," ","-"),".","-"),"&amp;","-"),"_","-"),"・","-"),"=","-"),"--","-"),"--","-")</f>
        <v>shuta-katsue</v>
      </c>
      <c r="C265" s="24" t="s">
        <v>1153</v>
      </c>
      <c r="D265" s="23" t="s">
        <v>1157</v>
      </c>
      <c r="E265" s="23" t="s">
        <v>1158</v>
      </c>
      <c r="F265" s="29" t="s">
        <v>1176</v>
      </c>
      <c r="G265" s="23" t="s">
        <v>1175</v>
      </c>
      <c r="H265" s="23" t="s">
        <v>660</v>
      </c>
      <c r="I265" s="23" t="s">
        <v>667</v>
      </c>
      <c r="M265" s="23" t="s">
        <v>1179</v>
      </c>
      <c r="O265" s="1" t="s">
        <v>631</v>
      </c>
      <c r="Q265" s="24" t="str">
        <f>テーブル1[[#This Row],[リンク]]&amp;テーブル1[[#This Row],[描画状況]]</f>
        <v>https://nagimachi.wixsite.com/kairikonomachi</v>
      </c>
      <c r="R265" s="17">
        <f>1-(COUNTIF(Q:Q,_xlfn.TEXTJOIN(",",TRUE,テーブル1[[#This Row],[リンク]],テーブル1[[#This Row],[描画状況]]))/COUNTIF(F:F,テーブル1[[#This Row],[リンク]]))</f>
        <v>0.25</v>
      </c>
      <c r="S265" s="16">
        <f ca="1">IFERROR(IF(テーブル1[[#This Row],[描画状況]]="",RAND()+(テーブル1[[#This Row],[列2]]*100),""),RAND())</f>
        <v>25.659544205980186</v>
      </c>
      <c r="U265" s="24" t="str">
        <f ca="1">IF(AND(テーブル1[[#This Row],[描画状況]]="済",テーブル1[[#This Row],[投稿状況]]=""),RAND(),"")</f>
        <v/>
      </c>
      <c r="V265" s="23" t="str">
        <f>"|&amp;image("&amp;テーブル1[[#This Row],[画像]]&amp;".png,width=100,height=100)"</f>
        <v>|&amp;image(shuta-katsue.png,width=100,height=100)</v>
      </c>
      <c r="W265" s="23" t="str">
        <f>"|MIDDLE:​"&amp;テーブル1[[#This Row],[名前]]</f>
        <v>|MIDDLE:​終歌カツエα</v>
      </c>
      <c r="X265" s="23" t="str">
        <f>"|MIDDLE:​"&amp;テーブル1[[#This Row],[なまえ]]</f>
        <v>|MIDDLE:​しゅうた かつえ</v>
      </c>
      <c r="Y265" s="23" t="str">
        <f>"|MIDDLE:​"&amp;テーブル1[[#This Row],[Name]]</f>
        <v>|MIDDLE:​Shuta Katsue</v>
      </c>
      <c r="Z265" s="23" t="str">
        <f>"|MIDDLE:​&amp;link(配布所はこちら){​"&amp;テーブル1[[#This Row],[リンク]]&amp;"}|"</f>
        <v>|MIDDLE:​&amp;link(配布所はこちら){​https://nagimachi.wixsite.com/kairikonomachi}|</v>
      </c>
    </row>
    <row r="266" spans="1:26" ht="20.149999999999999" customHeight="1" x14ac:dyDescent="0.35">
      <c r="A266" s="20">
        <v>265</v>
      </c>
      <c r="B266" s="23" t="str">
        <f>SUBSTITUTE(SUBSTITUTE(SUBSTITUTE(SUBSTITUTE(SUBSTITUTE(SUBSTITUTE(SUBSTITUTE(SUBSTITUTE(LOWER(テーブル1[[#This Row],[Name]])," ","-"),".","-"),"&amp;","-"),"_","-"),"・","-"),"=","-"),"--","-"),"--","-")</f>
        <v>narune-bell</v>
      </c>
      <c r="C266" s="24" t="s">
        <v>1159</v>
      </c>
      <c r="D266" s="23" t="s">
        <v>1160</v>
      </c>
      <c r="E266" s="23" t="s">
        <v>1161</v>
      </c>
      <c r="F266" s="29" t="s">
        <v>1176</v>
      </c>
      <c r="G266" s="23" t="s">
        <v>1175</v>
      </c>
      <c r="H266" s="23" t="s">
        <v>672</v>
      </c>
      <c r="I266" s="23" t="s">
        <v>670</v>
      </c>
      <c r="J266" s="23" t="s">
        <v>1196</v>
      </c>
      <c r="M266" s="23" t="s">
        <v>1181</v>
      </c>
      <c r="O266" s="1" t="s">
        <v>631</v>
      </c>
      <c r="Q266" s="24" t="str">
        <f>テーブル1[[#This Row],[リンク]]&amp;テーブル1[[#This Row],[描画状況]]</f>
        <v>https://nagimachi.wixsite.com/kairikonomachi</v>
      </c>
      <c r="R266" s="17">
        <f>1-(COUNTIF(Q:Q,_xlfn.TEXTJOIN(",",TRUE,テーブル1[[#This Row],[リンク]],テーブル1[[#This Row],[描画状況]]))/COUNTIF(F:F,テーブル1[[#This Row],[リンク]]))</f>
        <v>0.25</v>
      </c>
      <c r="S266" s="16">
        <f ca="1">IFERROR(IF(テーブル1[[#This Row],[描画状況]]="",RAND()+(テーブル1[[#This Row],[列2]]*100),""),RAND())</f>
        <v>25.601281761130444</v>
      </c>
      <c r="U266" s="24" t="str">
        <f ca="1">IF(AND(テーブル1[[#This Row],[描画状況]]="済",テーブル1[[#This Row],[投稿状況]]=""),RAND(),"")</f>
        <v/>
      </c>
      <c r="V266" s="23" t="str">
        <f>"|&amp;image("&amp;テーブル1[[#This Row],[画像]]&amp;".png,width=100,height=100)"</f>
        <v>|&amp;image(narune-bell.png,width=100,height=100)</v>
      </c>
      <c r="W266" s="23" t="str">
        <f>"|MIDDLE:​"&amp;テーブル1[[#This Row],[名前]]</f>
        <v>|MIDDLE:​鳴音ベルy</v>
      </c>
      <c r="X266" s="23" t="str">
        <f>"|MIDDLE:​"&amp;テーブル1[[#This Row],[なまえ]]</f>
        <v>|MIDDLE:​なるね べる</v>
      </c>
      <c r="Y266" s="23" t="str">
        <f>"|MIDDLE:​"&amp;テーブル1[[#This Row],[Name]]</f>
        <v>|MIDDLE:​Narune Bell</v>
      </c>
      <c r="Z266" s="23" t="str">
        <f>"|MIDDLE:​&amp;link(配布所はこちら){​"&amp;テーブル1[[#This Row],[リンク]]&amp;"}|"</f>
        <v>|MIDDLE:​&amp;link(配布所はこちら){​https://nagimachi.wixsite.com/kairikonomachi}|</v>
      </c>
    </row>
    <row r="267" spans="1:26" ht="20.149999999999999" customHeight="1" x14ac:dyDescent="0.35">
      <c r="A267" s="20">
        <v>266</v>
      </c>
      <c r="B267" s="23" t="str">
        <f>SUBSTITUTE(SUBSTITUTE(SUBSTITUTE(SUBSTITUTE(SUBSTITUTE(SUBSTITUTE(SUBSTITUTE(SUBSTITUTE(LOWER(テーブル1[[#This Row],[Name]])," ","-"),".","-"),"&amp;","-"),"_","-"),"・","-"),"=","-"),"--","-"),"--","-")</f>
        <v>keishikibangoα-01</v>
      </c>
      <c r="C267" s="24" t="s">
        <v>1162</v>
      </c>
      <c r="D267" s="23" t="s">
        <v>1163</v>
      </c>
      <c r="E267" s="23" t="s">
        <v>1164</v>
      </c>
      <c r="F267" s="29" t="s">
        <v>1176</v>
      </c>
      <c r="G267" s="23" t="s">
        <v>1175</v>
      </c>
      <c r="H267" s="23" t="s">
        <v>661</v>
      </c>
      <c r="I267" s="23" t="s">
        <v>670</v>
      </c>
      <c r="J267" s="23" t="s">
        <v>1196</v>
      </c>
      <c r="M267" s="23" t="s">
        <v>1183</v>
      </c>
      <c r="N267" s="23" t="s">
        <v>1304</v>
      </c>
      <c r="O267" s="1" t="s">
        <v>631</v>
      </c>
      <c r="Q267" s="24" t="str">
        <f>テーブル1[[#This Row],[リンク]]&amp;テーブル1[[#This Row],[描画状況]]</f>
        <v>https://nagimachi.wixsite.com/kairikonomachi</v>
      </c>
      <c r="R267" s="17">
        <f>1-(COUNTIF(Q:Q,_xlfn.TEXTJOIN(",",TRUE,テーブル1[[#This Row],[リンク]],テーブル1[[#This Row],[描画状況]]))/COUNTIF(F:F,テーブル1[[#This Row],[リンク]]))</f>
        <v>0.25</v>
      </c>
      <c r="S267" s="16">
        <f ca="1">IFERROR(IF(テーブル1[[#This Row],[描画状況]]="",RAND()+(テーブル1[[#This Row],[列2]]*100),""),RAND())</f>
        <v>25.272454201193966</v>
      </c>
      <c r="U267" s="24" t="str">
        <f ca="1">IF(AND(テーブル1[[#This Row],[描画状況]]="済",テーブル1[[#This Row],[投稿状況]]=""),RAND(),"")</f>
        <v/>
      </c>
      <c r="V267" s="23" t="str">
        <f>"|&amp;image("&amp;テーブル1[[#This Row],[画像]]&amp;".png,width=100,height=100)"</f>
        <v>|&amp;image(keishikibangoα-01.png,width=100,height=100)</v>
      </c>
      <c r="W267" s="23" t="str">
        <f>"|MIDDLE:​"&amp;テーブル1[[#This Row],[名前]]</f>
        <v>|MIDDLE:​型式番号α-01</v>
      </c>
      <c r="X267" s="23" t="str">
        <f>"|MIDDLE:​"&amp;テーブル1[[#This Row],[なまえ]]</f>
        <v>|MIDDLE:​けいしきばんごうα-01</v>
      </c>
      <c r="Y267" s="23" t="str">
        <f>"|MIDDLE:​"&amp;テーブル1[[#This Row],[Name]]</f>
        <v>|MIDDLE:​keishikibangoα-01</v>
      </c>
      <c r="Z267" s="23" t="str">
        <f>"|MIDDLE:​&amp;link(配布所はこちら){​"&amp;テーブル1[[#This Row],[リンク]]&amp;"}|"</f>
        <v>|MIDDLE:​&amp;link(配布所はこちら){​https://nagimachi.wixsite.com/kairikonomachi}|</v>
      </c>
    </row>
    <row r="268" spans="1:26" ht="20.149999999999999" customHeight="1" x14ac:dyDescent="0.35">
      <c r="A268" s="20">
        <v>267</v>
      </c>
      <c r="B268" s="23" t="str">
        <f>SUBSTITUTE(SUBSTITUTE(SUBSTITUTE(SUBSTITUTE(SUBSTITUTE(SUBSTITUTE(SUBSTITUTE(SUBSTITUTE(LOWER(テーブル1[[#This Row],[Name]])," ","-"),".","-"),"&amp;","-"),"_","-"),"・","-"),"=","-"),"--","-"),"--","-")</f>
        <v>isshiki-su</v>
      </c>
      <c r="C268" s="24" t="s">
        <v>1165</v>
      </c>
      <c r="D268" s="23" t="s">
        <v>1166</v>
      </c>
      <c r="E268" s="23" t="s">
        <v>1167</v>
      </c>
      <c r="F268" s="29" t="s">
        <v>1173</v>
      </c>
      <c r="G268" s="23" t="s">
        <v>1174</v>
      </c>
      <c r="H268" s="23" t="s">
        <v>661</v>
      </c>
      <c r="I268" s="23" t="s">
        <v>667</v>
      </c>
      <c r="L268" s="23" t="s">
        <v>1211</v>
      </c>
      <c r="M268" s="23" t="s">
        <v>1250</v>
      </c>
      <c r="O268" s="1" t="s">
        <v>631</v>
      </c>
      <c r="Q268" s="24" t="str">
        <f>テーブル1[[#This Row],[リンク]]&amp;テーブル1[[#This Row],[描画状況]]</f>
        <v>http://utau.wikidot.com/utau:isshiki-suu</v>
      </c>
      <c r="R268" s="17">
        <f>1-(COUNTIF(Q:Q,_xlfn.TEXTJOIN(",",TRUE,テーブル1[[#This Row],[リンク]],テーブル1[[#This Row],[描画状況]]))/COUNTIF(F:F,テーブル1[[#This Row],[リンク]]))</f>
        <v>0</v>
      </c>
      <c r="S268" s="16">
        <f ca="1">IFERROR(IF(テーブル1[[#This Row],[描画状況]]="",RAND()+(テーブル1[[#This Row],[列2]]*100),""),RAND())</f>
        <v>0.27804287193733979</v>
      </c>
      <c r="U268" s="24" t="str">
        <f ca="1">IF(AND(テーブル1[[#This Row],[描画状況]]="済",テーブル1[[#This Row],[投稿状況]]=""),RAND(),"")</f>
        <v/>
      </c>
      <c r="V268" s="23" t="str">
        <f>"|&amp;image("&amp;テーブル1[[#This Row],[画像]]&amp;".png,width=100,height=100)"</f>
        <v>|&amp;image(isshiki-su.png,width=100,height=100)</v>
      </c>
      <c r="W268" s="23" t="str">
        <f>"|MIDDLE:​"&amp;テーブル1[[#This Row],[名前]]</f>
        <v>|MIDDLE:​一色スウ</v>
      </c>
      <c r="X268" s="23" t="str">
        <f>"|MIDDLE:​"&amp;テーブル1[[#This Row],[なまえ]]</f>
        <v>|MIDDLE:​いっしき すう</v>
      </c>
      <c r="Y268" s="23" t="str">
        <f>"|MIDDLE:​"&amp;テーブル1[[#This Row],[Name]]</f>
        <v>|MIDDLE:​Isshiki Su</v>
      </c>
      <c r="Z268" s="23" t="str">
        <f>"|MIDDLE:​&amp;link(配布所はこちら){​"&amp;テーブル1[[#This Row],[リンク]]&amp;"}|"</f>
        <v>|MIDDLE:​&amp;link(配布所はこちら){​http://utau.wikidot.com/utau:isshiki-suu}|</v>
      </c>
    </row>
    <row r="269" spans="1:26" ht="20.149999999999999" customHeight="1" x14ac:dyDescent="0.35">
      <c r="A269" s="20">
        <v>268</v>
      </c>
      <c r="B269" s="23" t="str">
        <f>SUBSTITUTE(SUBSTITUTE(SUBSTITUTE(SUBSTITUTE(SUBSTITUTE(SUBSTITUTE(SUBSTITUTE(SUBSTITUTE(LOWER(テーブル1[[#This Row],[Name]])," ","-"),".","-"),"&amp;","-"),"_","-"),"・","-"),"=","-"),"--","-"),"--","-")</f>
        <v>tsugine-saiko</v>
      </c>
      <c r="C269" s="24" t="s">
        <v>1168</v>
      </c>
      <c r="D269" s="23" t="s">
        <v>1169</v>
      </c>
      <c r="E269" s="28" t="s">
        <v>1170</v>
      </c>
      <c r="F269" s="29" t="s">
        <v>1171</v>
      </c>
      <c r="G269" s="23" t="s">
        <v>1172</v>
      </c>
      <c r="H269" s="23" t="s">
        <v>660</v>
      </c>
      <c r="I269" s="23" t="s">
        <v>667</v>
      </c>
      <c r="L269" s="23" t="s">
        <v>1211</v>
      </c>
      <c r="M269" s="23" t="s">
        <v>1181</v>
      </c>
      <c r="N269" s="23" t="s">
        <v>1205</v>
      </c>
      <c r="O269" s="1" t="s">
        <v>631</v>
      </c>
      <c r="Q269" s="24" t="str">
        <f>テーブル1[[#This Row],[リンク]]&amp;テーブル1[[#This Row],[描画状況]]</f>
        <v>https://aisupiku.wixsite.com/tsuginesaiko</v>
      </c>
      <c r="R269" s="17">
        <f>1-(COUNTIF(Q:Q,_xlfn.TEXTJOIN(",",TRUE,テーブル1[[#This Row],[リンク]],テーブル1[[#This Row],[描画状況]]))/COUNTIF(F:F,テーブル1[[#This Row],[リンク]]))</f>
        <v>0</v>
      </c>
      <c r="S269" s="16">
        <f ca="1">IFERROR(IF(テーブル1[[#This Row],[描画状況]]="",RAND()+(テーブル1[[#This Row],[列2]]*100),""),RAND())</f>
        <v>0.70509958904269376</v>
      </c>
      <c r="U269" s="24" t="str">
        <f ca="1">IF(AND(テーブル1[[#This Row],[描画状況]]="済",テーブル1[[#This Row],[投稿状況]]=""),RAND(),"")</f>
        <v/>
      </c>
      <c r="V269" s="23" t="str">
        <f>"|&amp;image("&amp;テーブル1[[#This Row],[画像]]&amp;".png,width=100,height=100)"</f>
        <v>|&amp;image(tsugine-saiko.png,width=100,height=100)</v>
      </c>
      <c r="W269" s="23" t="str">
        <f>"|MIDDLE:​"&amp;テーブル1[[#This Row],[名前]]</f>
        <v>|MIDDLE:​亜音サイコ</v>
      </c>
      <c r="X269" s="23" t="str">
        <f>"|MIDDLE:​"&amp;テーブル1[[#This Row],[なまえ]]</f>
        <v>|MIDDLE:​つぎね さいこ</v>
      </c>
      <c r="Y269" s="23" t="str">
        <f>"|MIDDLE:​"&amp;テーブル1[[#This Row],[Name]]</f>
        <v>|MIDDLE:​Tsugine Saiko</v>
      </c>
      <c r="Z269" s="23" t="str">
        <f>"|MIDDLE:​&amp;link(配布所はこちら){​"&amp;テーブル1[[#This Row],[リンク]]&amp;"}|"</f>
        <v>|MIDDLE:​&amp;link(配布所はこちら){​https://aisupiku.wixsite.com/tsuginesaiko}|</v>
      </c>
    </row>
    <row r="270" spans="1:26" ht="20.149999999999999" customHeight="1" x14ac:dyDescent="0.35">
      <c r="N270" s="24"/>
    </row>
    <row r="271" spans="1:26" ht="20.149999999999999" customHeight="1" x14ac:dyDescent="0.35">
      <c r="N271" s="24"/>
    </row>
    <row r="272" spans="1:26" ht="20.149999999999999" customHeight="1" x14ac:dyDescent="0.35">
      <c r="N272" s="24"/>
    </row>
    <row r="273" spans="14:14" ht="20.149999999999999" customHeight="1" x14ac:dyDescent="0.35">
      <c r="N273" s="24"/>
    </row>
    <row r="274" spans="14:14" ht="20.149999999999999" customHeight="1" x14ac:dyDescent="0.35">
      <c r="N274" s="24"/>
    </row>
    <row r="275" spans="14:14" ht="20.149999999999999" customHeight="1" x14ac:dyDescent="0.35">
      <c r="N275" s="24"/>
    </row>
    <row r="276" spans="14:14" ht="20.149999999999999" customHeight="1" x14ac:dyDescent="0.35">
      <c r="N276" s="24"/>
    </row>
    <row r="277" spans="14:14" ht="20.149999999999999" customHeight="1" x14ac:dyDescent="0.35">
      <c r="N277" s="24"/>
    </row>
    <row r="278" spans="14:14" ht="20.149999999999999" customHeight="1" x14ac:dyDescent="0.35">
      <c r="N278" s="24"/>
    </row>
    <row r="279" spans="14:14" ht="20.149999999999999" customHeight="1" x14ac:dyDescent="0.35">
      <c r="N279" s="24"/>
    </row>
    <row r="280" spans="14:14" ht="20.149999999999999" customHeight="1" x14ac:dyDescent="0.35">
      <c r="N280" s="24"/>
    </row>
  </sheetData>
  <phoneticPr fontId="1"/>
  <conditionalFormatting sqref="A1:A1048576">
    <cfRule type="duplicateValues" dxfId="5" priority="4"/>
  </conditionalFormatting>
  <conditionalFormatting sqref="B1 B3:B1048576">
    <cfRule type="duplicateValues" dxfId="4" priority="5"/>
  </conditionalFormatting>
  <conditionalFormatting sqref="C1:C1048576">
    <cfRule type="duplicateValues" dxfId="3" priority="3"/>
  </conditionalFormatting>
  <conditionalFormatting sqref="G92">
    <cfRule type="duplicateValues" dxfId="2" priority="1"/>
  </conditionalFormatting>
  <conditionalFormatting sqref="G252:G258">
    <cfRule type="duplicateValues" dxfId="1" priority="26"/>
  </conditionalFormatting>
  <conditionalFormatting sqref="P1:U1048576 N278:N279">
    <cfRule type="cellIs" dxfId="0" priority="12" operator="equal">
      <formula>"済"</formula>
    </cfRule>
  </conditionalFormatting>
  <dataValidations count="9">
    <dataValidation type="list" allowBlank="1" showInputMessage="1" sqref="I2:I269" xr:uid="{C65A1E30-8F1A-43F7-95C8-9A27EB918408}">
      <formula1>種族タグ</formula1>
    </dataValidation>
    <dataValidation type="list" allowBlank="1" showInputMessage="1" sqref="L2:L269" xr:uid="{F4C1FC31-8189-42FE-9CDF-1184FF0909B9}">
      <formula1>職業タグ</formula1>
    </dataValidation>
    <dataValidation type="list" allowBlank="1" showInputMessage="1" sqref="L144 J2:K143 J145:K269" xr:uid="{71D1DCE5-85B0-4960-9B38-ABC74300BCF2}">
      <formula1>モチーフタグ</formula1>
    </dataValidation>
    <dataValidation type="list" allowBlank="1" showInputMessage="1" sqref="N2:N36 M46 N38:N45 N47:N244 N246:N269" xr:uid="{1578619E-9A71-4986-9378-87AD2388468F}">
      <formula1>ワンポイントタグ</formula1>
    </dataValidation>
    <dataValidation type="list" allowBlank="1" showInputMessage="1" showErrorMessage="1" sqref="T2:T269" xr:uid="{05A634BD-4DB9-4CF6-97DC-6B95FBE6232B}">
      <formula1>"済,個別済"</formula1>
    </dataValidation>
    <dataValidation type="list" allowBlank="1" showInputMessage="1" showErrorMessage="1" sqref="O2:O269" xr:uid="{92493CA5-E237-4453-B08F-89E5ABEEA9EA}">
      <formula1>"〇 / 必要,〇 / 不要,×"</formula1>
    </dataValidation>
    <dataValidation type="list" allowBlank="1" showInputMessage="1" sqref="M2:M269" xr:uid="{6CD751E0-96FF-4645-8251-894B2CC5C15F}">
      <formula1>小物タグ</formula1>
    </dataValidation>
    <dataValidation type="list" allowBlank="1" showInputMessage="1" showErrorMessage="1" sqref="H2:H269" xr:uid="{35C507EC-8DB1-4F3E-8DD4-3BFDA6513A59}">
      <formula1>"女性,男性,両性,キメラ,無性別,不明"</formula1>
    </dataValidation>
    <dataValidation type="list" allowBlank="1" showInputMessage="1" showErrorMessage="1" sqref="N278:N279 P2:P1048576" xr:uid="{1E2E563C-97C6-4274-B6CC-64A3EA5A69C8}">
      <formula1>"済"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194" r:id="rId101" xr:uid="{4ACC6E24-8E89-42B4-A2EA-E0269CD0E7C9}"/>
    <hyperlink ref="F133" r:id="rId102" xr:uid="{95C161E9-B78A-4EA5-809A-7C3680BAD633}"/>
    <hyperlink ref="F137" r:id="rId103" xr:uid="{F5E636BF-CBA0-4A0B-80B7-D3F75D4DE6E6}"/>
    <hyperlink ref="F216" r:id="rId104" xr:uid="{BE7080FC-A30B-464A-BB36-B86CB6D8D031}"/>
    <hyperlink ref="F163" r:id="rId105" xr:uid="{FEA58DEA-6D3D-4A0D-9DD7-1BFA40F46C8E}"/>
    <hyperlink ref="F116" r:id="rId106" xr:uid="{0AFB065D-CE22-4CB4-B6D7-06A8140CB781}"/>
    <hyperlink ref="F141" r:id="rId107" xr:uid="{3FFBE5E1-C7F2-49A0-8F3F-5748522A0A40}"/>
    <hyperlink ref="F143" r:id="rId108" xr:uid="{1196818E-3BE0-43E2-8A04-FF0579441629}"/>
    <hyperlink ref="F148" r:id="rId109" xr:uid="{502D1FC9-3462-4765-9E5E-E7C3C3459F33}"/>
    <hyperlink ref="F138" r:id="rId110" xr:uid="{F9367E16-C882-47BD-BA28-B6D498EBBBDF}"/>
    <hyperlink ref="F153" r:id="rId111" xr:uid="{5827E670-CC22-4A19-80E9-0FAD13040207}"/>
    <hyperlink ref="F131" r:id="rId112" xr:uid="{7324D0C3-0788-4576-AD24-8BECB1C99D92}"/>
    <hyperlink ref="F172" r:id="rId113" xr:uid="{AB5FBDF7-D37E-491D-9946-3160548AE6A8}"/>
    <hyperlink ref="F142" r:id="rId114" xr:uid="{EA23B5B8-7220-47DD-BCAC-CD4FB5AD8E36}"/>
    <hyperlink ref="F196" r:id="rId115" xr:uid="{F1E6C078-3238-4230-9B3C-5D344E88DC8F}"/>
    <hyperlink ref="F121" r:id="rId116" xr:uid="{86323CF0-65DC-4A65-8178-22D15088B81A}"/>
    <hyperlink ref="F197" r:id="rId117" xr:uid="{17EDE4B8-6AB5-4081-918F-58864B31B294}"/>
    <hyperlink ref="F127" r:id="rId118" xr:uid="{7872A657-8431-4E07-8F9C-BBD08118F4F1}"/>
    <hyperlink ref="F162" r:id="rId119" xr:uid="{0C62126B-9A87-4D2E-9714-28C23B4E3A67}"/>
    <hyperlink ref="F132" r:id="rId120" xr:uid="{55280FAB-A52C-4C9A-9794-D989F91BB6C5}"/>
    <hyperlink ref="F151" r:id="rId121" xr:uid="{9D14D9D0-2F6E-4378-8B66-C33A9603D422}"/>
    <hyperlink ref="F122" r:id="rId122" xr:uid="{C67B0835-73EE-4F4C-9D02-3E8DA3B1B9B5}"/>
    <hyperlink ref="F160" r:id="rId123" xr:uid="{3274074E-579B-401B-AFF4-2A7A312FAC03}"/>
    <hyperlink ref="F179" r:id="rId124" xr:uid="{0CD7DF02-C241-4BA9-845F-E878E8E44AC8}"/>
    <hyperlink ref="F191" r:id="rId125" xr:uid="{4F6ACE4D-F13A-4C63-A73A-187B9954DBD3}"/>
    <hyperlink ref="F126" r:id="rId126" xr:uid="{A8F0391F-F0A1-4EEC-BF97-F84975CAD894}"/>
    <hyperlink ref="F115" r:id="rId127" xr:uid="{8633D6DB-267F-4B4F-887C-C6C81786673C}"/>
    <hyperlink ref="F199" r:id="rId128" xr:uid="{5F804CD1-4685-4DB6-A8B3-16A4B23D4A0E}"/>
    <hyperlink ref="F181" r:id="rId129" xr:uid="{135CCDDC-FF90-4368-A48D-53FD458AB884}"/>
    <hyperlink ref="F13" r:id="rId130" display="https://suukedayo.wixsite.com/shiawasefairu" xr:uid="{5C87068A-9493-4575-9F2F-8AFF93967857}"/>
    <hyperlink ref="F41:F43" r:id="rId131" display="https://ameutaulii.wixsite.com/telepathycapsule" xr:uid="{1FCB85EF-9DB3-4BBB-840F-DED40B847B9D}"/>
    <hyperlink ref="F100:F102" r:id="rId132" location="target-tab" display="https://bowlroll.net/user/980255/files#target-tab" xr:uid="{213D3A81-9A42-4C7F-B2E5-32243417CB1A}"/>
    <hyperlink ref="F200" r:id="rId133" xr:uid="{BF5E860E-C594-4BB0-8BF4-0E67EAE670CD}"/>
    <hyperlink ref="F166" r:id="rId134" xr:uid="{5084134B-5F22-463F-A65C-BF93696D01E8}"/>
    <hyperlink ref="F135" r:id="rId135" xr:uid="{4E21A862-7310-4927-A746-53535E255C32}"/>
    <hyperlink ref="F190" r:id="rId136" xr:uid="{6289F76C-A975-44BE-A9EB-AD05A06F4776}"/>
    <hyperlink ref="F164" r:id="rId137" xr:uid="{6709143C-EC1C-4E22-8A6B-914136721DDA}"/>
    <hyperlink ref="F182" r:id="rId138" xr:uid="{A3591E43-7C22-4FD1-924E-15894D717A6F}"/>
    <hyperlink ref="F174" r:id="rId139" xr:uid="{771B46BB-CD8D-4DC4-AD1A-01F2CC50F599}"/>
    <hyperlink ref="F188" r:id="rId140" xr:uid="{DA94E514-95ED-48D5-8917-4CEB2D10AC09}"/>
    <hyperlink ref="F43:F47" r:id="rId141" display="https://ameutaulii.wixsite.com/telepathycapsule" xr:uid="{9D76E74C-8DF7-4F45-8589-E0807CE20677}"/>
    <hyperlink ref="F122:F125" r:id="rId142" display="https://cloudcatch1224.wixsite.com/godsfoot" xr:uid="{CF5CE9BC-4A5E-4FDE-B94E-70935778B8EE}"/>
    <hyperlink ref="F152:F153" r:id="rId143" display="https://grskmot8.wixsite.com/kdarock" xr:uid="{778A948E-0EB6-40B0-AEE3-C5B9A74B484A}"/>
    <hyperlink ref="F161:F164" r:id="rId144" display="https://hinagitsune-utau.wixsite.com/utaukokorone" xr:uid="{17B7B1A7-5C8D-466F-9936-50A01D2B01C7}"/>
    <hyperlink ref="F167:F168" r:id="rId145" display="https://hznonoka.wixsite.com/utau" xr:uid="{D4534A9A-D5A7-47DB-94B1-B6EE14D00FF9}"/>
    <hyperlink ref="F178:F181" r:id="rId146" display="https://jiwajiwakirinn.wixsite.com/sakurada" xr:uid="{A2742A21-A88E-4230-8D16-C14D41FFCE82}"/>
    <hyperlink ref="F146" r:id="rId147" xr:uid="{C797C69C-628B-412A-8EB3-9694BDDA7CA1}"/>
    <hyperlink ref="F195:F197" r:id="rId148" display="https://kaitoramma.chu.jp" xr:uid="{C20E8B38-57F4-4C2D-AA94-00D46DE98F12}"/>
    <hyperlink ref="F199:F200" r:id="rId149" display="https://kakokyu102krbs.wixsite.com/greenmilky" xr:uid="{244FAF66-4026-4EBC-8C9D-C8C09B8D909A}"/>
    <hyperlink ref="F177" r:id="rId150" xr:uid="{16E14A36-56AA-44B9-AA98-E05426A8C9C7}"/>
    <hyperlink ref="F150" r:id="rId151" xr:uid="{6E9C4F6F-FA1B-42F3-AC46-DA64382550D2}"/>
    <hyperlink ref="F165" r:id="rId152" xr:uid="{56736E0F-0AFA-4271-AAC9-8F1B2DE4CA11}"/>
    <hyperlink ref="F106" r:id="rId153" xr:uid="{D5485F09-193C-4CB0-8551-2D0B6663FC90}"/>
    <hyperlink ref="F206" r:id="rId154" xr:uid="{3CD97486-7ED3-4925-831A-7A3E2E192FC7}"/>
    <hyperlink ref="F208" r:id="rId155" xr:uid="{26BA9F98-6D8A-4FB8-94ED-728D56FB66EE}"/>
    <hyperlink ref="F207" r:id="rId156" xr:uid="{930D44F6-7039-41BB-B714-0AE06971BF30}"/>
    <hyperlink ref="F203" r:id="rId157" xr:uid="{4B026699-18B4-4413-BDE1-0CD08B74FB8F}"/>
    <hyperlink ref="F210" r:id="rId158" xr:uid="{1C4B71BE-855F-43C6-816A-C413C4057B75}"/>
    <hyperlink ref="F202" r:id="rId159" xr:uid="{5099072F-AB96-4254-A9FD-54871C4A74A2}"/>
    <hyperlink ref="F155" r:id="rId160" xr:uid="{CA7CC9AE-7315-42BE-937F-A3819BB9EBE0}"/>
    <hyperlink ref="F64" r:id="rId161" xr:uid="{418C9B4B-CFA8-4994-A14D-BC445F33856C}"/>
    <hyperlink ref="F119:F123" r:id="rId162" display="https://chunyinhui021.wixsite.com/mutyuusaisei" xr:uid="{FABDAE2C-7F63-441F-84B2-028938338884}"/>
    <hyperlink ref="F149" r:id="rId163" xr:uid="{C6473DEC-BF73-419B-AA56-146489756280}"/>
    <hyperlink ref="F119" r:id="rId164" xr:uid="{28C97FB3-933D-45FF-9628-75334EC574F4}"/>
    <hyperlink ref="F145:F152" r:id="rId165" display="https://flowerrocklove.wixsite.com/twilight-crisis" xr:uid="{FDAA4323-4883-4BB6-9181-C86DC3ADB7F0}"/>
    <hyperlink ref="F37" r:id="rId166" xr:uid="{AD3B11AA-D587-4DF1-8BC5-E508A5AD4F14}"/>
    <hyperlink ref="F212" r:id="rId167" xr:uid="{0E759D8E-9DE5-44ED-A2BE-A99A9E2627DB}"/>
    <hyperlink ref="F213" r:id="rId168" xr:uid="{406FC7AC-2166-4FD4-99F2-4BB095DB43CC}"/>
    <hyperlink ref="F211" r:id="rId169" xr:uid="{F9779F13-F0A4-4D78-98A1-1A2293AAA7FD}"/>
    <hyperlink ref="F214" r:id="rId170" xr:uid="{6CC49D90-7570-4B72-88D0-94D3708E5825}"/>
    <hyperlink ref="F17" r:id="rId171" xr:uid="{53566C5F-FB16-421E-81DF-F6230E99E473}"/>
    <hyperlink ref="F18" r:id="rId172" xr:uid="{72C86F07-C5A0-4A7B-9EE3-83CBC908E342}"/>
    <hyperlink ref="F215" r:id="rId173" xr:uid="{1B923E2D-7B61-46E7-9CD1-4FFE9FF203C6}"/>
    <hyperlink ref="F217" r:id="rId174" xr:uid="{ACD6D043-DC6C-4915-B869-0962630001EE}"/>
    <hyperlink ref="F218" r:id="rId175" xr:uid="{1BB09921-A1B5-4E8A-AF07-B858C21DFBCC}"/>
    <hyperlink ref="F219" r:id="rId176" xr:uid="{47501218-C0AE-448A-80CE-563AF7997BE9}"/>
    <hyperlink ref="F220" r:id="rId177" xr:uid="{3D463FD1-CA5E-441E-866F-5DDAABBEEC52}"/>
    <hyperlink ref="F234:F235" r:id="rId178" display="https://vividseekers.utau.sorairomarch.com" xr:uid="{77AABF20-E38A-4E5E-9256-98D67B3EFAD5}"/>
    <hyperlink ref="F221" r:id="rId179" xr:uid="{56FB0977-3126-4BA1-999A-6CCD84394835}"/>
    <hyperlink ref="F222" r:id="rId180" xr:uid="{034A46DA-F5A4-44C6-9E6C-646402456BD6}"/>
    <hyperlink ref="F223" r:id="rId181" xr:uid="{2A4F1930-4F68-493D-ABC5-F7A025BBE45F}"/>
    <hyperlink ref="F224" r:id="rId182" xr:uid="{BCE8DD4E-A8D7-4383-B8EB-68099CA41E17}"/>
    <hyperlink ref="F225" r:id="rId183" xr:uid="{0FC88DEF-F889-4B6B-8CCB-F686BBAEB5A1}"/>
    <hyperlink ref="F226" r:id="rId184" xr:uid="{39EF5822-BBE0-4D3D-A5F3-58E8CAA40F99}"/>
    <hyperlink ref="F227" r:id="rId185" xr:uid="{9AAFB909-13C3-424B-AFA4-345246155E51}"/>
    <hyperlink ref="F103" r:id="rId186" xr:uid="{3FE6181D-9E89-466D-A7CE-1D0B0A3A3BEA}"/>
    <hyperlink ref="F54" r:id="rId187" xr:uid="{56EDA6B7-5404-4B84-8803-D3F8DF00406E}"/>
    <hyperlink ref="F19" r:id="rId188" xr:uid="{29E00CE5-F341-424F-B6FD-353D0A58F088}"/>
    <hyperlink ref="F22" r:id="rId189" xr:uid="{C2676C57-00EE-443E-AF00-E0791C6E740E}"/>
    <hyperlink ref="F112" r:id="rId190" xr:uid="{2D89B21B-0461-4B5E-882D-8497ABF2C187}"/>
    <hyperlink ref="F185" r:id="rId191" xr:uid="{99C721D3-51F8-4C8D-9B5E-758137429D70}"/>
    <hyperlink ref="F228" r:id="rId192" xr:uid="{0D9566A2-B460-4D31-B72E-DEB0F19225F4}"/>
    <hyperlink ref="F229" r:id="rId193" display="https://kagerou009.hatenablog.com/" xr:uid="{3F9ACAE0-AC00-4378-9823-58DCEE87392D}"/>
    <hyperlink ref="F230" r:id="rId194" xr:uid="{A565DDFB-D389-4E52-B7CB-2398C4F3C765}"/>
    <hyperlink ref="F231" r:id="rId195" xr:uid="{41A10682-311A-4BA7-AE6F-603DD0D67F66}"/>
    <hyperlink ref="F232" r:id="rId196" xr:uid="{05BD7CD2-B093-43EE-8DC5-4C12CAED47A2}"/>
    <hyperlink ref="F233" r:id="rId197" xr:uid="{B570437B-1A43-46E5-A410-00F3E1539A09}"/>
    <hyperlink ref="F28" r:id="rId198" xr:uid="{63C1D56C-B991-45F8-94EC-E35369DC603E}"/>
    <hyperlink ref="F34" r:id="rId199" xr:uid="{A67D21AA-F815-41E4-BFD9-6807006DDE4E}"/>
    <hyperlink ref="F144" r:id="rId200" xr:uid="{4CBC728E-5763-42D6-A346-C8E3B0B203A9}"/>
    <hyperlink ref="F33" r:id="rId201" xr:uid="{D7D153FA-F757-4FE6-8E3E-ABC7E2EA0867}"/>
    <hyperlink ref="F36" r:id="rId202" xr:uid="{F2DC715E-9B0D-4BAA-8664-8E54D0C7F9E1}"/>
    <hyperlink ref="F82" r:id="rId203" xr:uid="{A55531EC-FC14-40F4-BEBC-99E58E049C85}"/>
    <hyperlink ref="F91" r:id="rId204" xr:uid="{A8BDD7AF-52A6-464A-988A-C1913D72E2C8}"/>
    <hyperlink ref="F92" r:id="rId205" xr:uid="{DE30E5AF-17EB-4450-BD2E-595A72C7204C}"/>
    <hyperlink ref="F158" r:id="rId206" xr:uid="{820134B8-ED42-4B4C-A25A-8338EF6EEEB0}"/>
    <hyperlink ref="F55" r:id="rId207" xr:uid="{CA4A437D-844A-4B30-BA65-9BDA11F750D9}"/>
    <hyperlink ref="F110" r:id="rId208" xr:uid="{6199CBBA-251A-4B48-8FCD-16DAC0BDCA3D}"/>
    <hyperlink ref="F63" r:id="rId209" xr:uid="{F7F8E687-6C4F-43B0-8BCD-CFD5182A4526}"/>
    <hyperlink ref="F236" r:id="rId210" display="https://vividseekers.utau.sorairomarch.com" xr:uid="{B9DF16B4-BAA8-4CFA-BC89-BFAC9010DC2D}"/>
    <hyperlink ref="F244" r:id="rId211" xr:uid="{71B32ECB-E3E3-4F9F-A681-9398B315E667}"/>
    <hyperlink ref="F245" r:id="rId212" xr:uid="{CAB57B14-7B3E-4E38-9775-54BD4B44DD64}"/>
    <hyperlink ref="F246" r:id="rId213" xr:uid="{D553FEB6-A31C-4E97-9F18-812BB8CD2247}"/>
    <hyperlink ref="F247" r:id="rId214" xr:uid="{481AA471-6038-4895-A289-8F72A0256A69}"/>
    <hyperlink ref="F248" r:id="rId215" xr:uid="{8F5207BC-58E2-45C2-9E92-FC6F6647CA37}"/>
    <hyperlink ref="F249" r:id="rId216" xr:uid="{9FC0B6E4-50F4-4534-ABBE-FF6E10E7DF9F}"/>
    <hyperlink ref="F250" r:id="rId217" xr:uid="{3A8E06B2-6E60-4755-8FF1-6A74DEADA27E}"/>
    <hyperlink ref="F251" r:id="rId218" xr:uid="{4D2986EF-454D-4598-8FCB-4339D505FC25}"/>
    <hyperlink ref="F252" r:id="rId219" xr:uid="{8E10B67B-DE30-467B-8188-8D9806DDDB93}"/>
    <hyperlink ref="F253" r:id="rId220" xr:uid="{89C74825-12F9-4E51-B4FB-2EEA0B53CBDB}"/>
    <hyperlink ref="F254" r:id="rId221" xr:uid="{DE58865E-E3D1-4F91-8E99-E15C8042256F}"/>
    <hyperlink ref="F255" r:id="rId222" xr:uid="{F2F74337-57C9-4AD2-851A-BFC306D347C5}"/>
    <hyperlink ref="F205" r:id="rId223" xr:uid="{2385E38C-050D-4845-BD06-7831447AED82}"/>
    <hyperlink ref="F256" r:id="rId224" xr:uid="{B6155AD2-8C9D-477F-92E1-238F333F52A8}"/>
    <hyperlink ref="F257" r:id="rId225" xr:uid="{8E696F60-1C4B-4157-ACE9-DC0E97D857BA}"/>
    <hyperlink ref="F258" r:id="rId226" xr:uid="{985919F2-D3E0-4E31-B775-348CE930877C}"/>
    <hyperlink ref="F259" r:id="rId227" xr:uid="{808E03FB-1DE1-42B2-9486-78546BBD3870}"/>
    <hyperlink ref="F260" r:id="rId228" xr:uid="{97BD1655-688C-43CC-8DFD-3BAFCEFF4022}"/>
    <hyperlink ref="F261" r:id="rId229" xr:uid="{9DE6D681-3406-447E-B911-10C675BB2C86}"/>
    <hyperlink ref="F262" r:id="rId230" xr:uid="{C738A581-A93D-4132-A3C0-11F0A6CD0135}"/>
    <hyperlink ref="F263" r:id="rId231" xr:uid="{BBBDDB5E-5676-4C83-B8D1-F535BF6DF7A6}"/>
    <hyperlink ref="F269" r:id="rId232" xr:uid="{3E74F0C7-67E2-448E-9F67-E6EFA99883C6}"/>
    <hyperlink ref="F268" r:id="rId233" xr:uid="{E0DA35B9-3164-4F31-9165-0FF83FD5A473}"/>
    <hyperlink ref="F264" r:id="rId234" xr:uid="{F26668EA-0337-4454-87F0-0583CCC1DDA3}"/>
    <hyperlink ref="F265:F267" r:id="rId235" display="https://nagimachi.wixsite.com/kairikonomachi" xr:uid="{9E02321C-FB1F-4E7A-B665-955F0CCBDFAE}"/>
  </hyperlinks>
  <pageMargins left="0.7" right="0.7" top="0.75" bottom="0.75" header="0.3" footer="0.3"/>
  <tableParts count="1">
    <tablePart r:id="rId23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756E6-1B18-4BAB-83DB-E771DCECCC16}">
  <dimension ref="A1:G25"/>
  <sheetViews>
    <sheetView workbookViewId="0">
      <selection activeCell="G2" sqref="G2"/>
    </sheetView>
  </sheetViews>
  <sheetFormatPr defaultRowHeight="16" x14ac:dyDescent="0.35"/>
  <cols>
    <col min="1" max="7" width="15.265625" customWidth="1"/>
  </cols>
  <sheetData>
    <row r="1" spans="1:7" s="18" customFormat="1" x14ac:dyDescent="0.35">
      <c r="A1" s="31" t="s">
        <v>658</v>
      </c>
      <c r="B1" s="31" t="s">
        <v>663</v>
      </c>
      <c r="C1" s="31" t="s">
        <v>703</v>
      </c>
      <c r="D1" s="31" t="s">
        <v>1251</v>
      </c>
      <c r="E1" s="31" t="s">
        <v>1277</v>
      </c>
      <c r="F1" s="31" t="s">
        <v>1278</v>
      </c>
      <c r="G1" s="31" t="s">
        <v>1308</v>
      </c>
    </row>
    <row r="2" spans="1:7" x14ac:dyDescent="0.35">
      <c r="A2" t="s">
        <v>660</v>
      </c>
      <c r="B2" t="s">
        <v>1253</v>
      </c>
      <c r="C2" t="s">
        <v>1220</v>
      </c>
      <c r="D2" t="s">
        <v>1274</v>
      </c>
      <c r="E2" t="s">
        <v>1288</v>
      </c>
      <c r="F2" t="s">
        <v>708</v>
      </c>
      <c r="G2" t="s">
        <v>1280</v>
      </c>
    </row>
    <row r="3" spans="1:7" x14ac:dyDescent="0.35">
      <c r="A3" t="s">
        <v>661</v>
      </c>
      <c r="B3" t="s">
        <v>1276</v>
      </c>
      <c r="C3" t="s">
        <v>1201</v>
      </c>
      <c r="D3" t="s">
        <v>1273</v>
      </c>
      <c r="E3" t="s">
        <v>1219</v>
      </c>
      <c r="F3" t="s">
        <v>1177</v>
      </c>
      <c r="G3" t="s">
        <v>1296</v>
      </c>
    </row>
    <row r="4" spans="1:7" x14ac:dyDescent="0.35">
      <c r="A4" t="s">
        <v>1252</v>
      </c>
      <c r="B4" t="s">
        <v>668</v>
      </c>
      <c r="C4" t="s">
        <v>1227</v>
      </c>
      <c r="D4" t="s">
        <v>1270</v>
      </c>
      <c r="E4" t="s">
        <v>1218</v>
      </c>
      <c r="F4" t="s">
        <v>1178</v>
      </c>
      <c r="G4" t="s">
        <v>1307</v>
      </c>
    </row>
    <row r="5" spans="1:7" x14ac:dyDescent="0.35">
      <c r="A5" t="s">
        <v>673</v>
      </c>
      <c r="B5" t="s">
        <v>1257</v>
      </c>
      <c r="C5" t="s">
        <v>1191</v>
      </c>
      <c r="D5" t="s">
        <v>1272</v>
      </c>
      <c r="E5" t="s">
        <v>1200</v>
      </c>
      <c r="F5" t="s">
        <v>1180</v>
      </c>
      <c r="G5" t="s">
        <v>1286</v>
      </c>
    </row>
    <row r="6" spans="1:7" x14ac:dyDescent="0.35">
      <c r="A6" t="s">
        <v>672</v>
      </c>
      <c r="B6" t="s">
        <v>1262</v>
      </c>
      <c r="C6" t="s">
        <v>1190</v>
      </c>
      <c r="D6" t="s">
        <v>1225</v>
      </c>
      <c r="E6" t="s">
        <v>1222</v>
      </c>
      <c r="F6" t="s">
        <v>1181</v>
      </c>
      <c r="G6" t="s">
        <v>1203</v>
      </c>
    </row>
    <row r="7" spans="1:7" x14ac:dyDescent="0.35">
      <c r="B7" t="s">
        <v>1261</v>
      </c>
      <c r="C7" t="s">
        <v>1192</v>
      </c>
      <c r="D7" t="s">
        <v>1214</v>
      </c>
      <c r="E7" t="s">
        <v>1221</v>
      </c>
      <c r="F7" t="s">
        <v>1282</v>
      </c>
      <c r="G7" t="s">
        <v>1207</v>
      </c>
    </row>
    <row r="8" spans="1:7" x14ac:dyDescent="0.35">
      <c r="B8" t="s">
        <v>1254</v>
      </c>
      <c r="C8" t="s">
        <v>1193</v>
      </c>
      <c r="D8" t="s">
        <v>1209</v>
      </c>
      <c r="E8" t="s">
        <v>1216</v>
      </c>
      <c r="F8" t="s">
        <v>1283</v>
      </c>
      <c r="G8" t="s">
        <v>1199</v>
      </c>
    </row>
    <row r="9" spans="1:7" x14ac:dyDescent="0.35">
      <c r="B9" t="s">
        <v>733</v>
      </c>
      <c r="C9" t="s">
        <v>1226</v>
      </c>
      <c r="D9" t="s">
        <v>1223</v>
      </c>
      <c r="E9" t="s">
        <v>1210</v>
      </c>
      <c r="F9" t="s">
        <v>1188</v>
      </c>
      <c r="G9" t="s">
        <v>1287</v>
      </c>
    </row>
    <row r="10" spans="1:7" x14ac:dyDescent="0.35">
      <c r="B10" t="s">
        <v>1266</v>
      </c>
      <c r="C10" t="s">
        <v>1197</v>
      </c>
      <c r="E10" t="s">
        <v>1204</v>
      </c>
      <c r="F10" t="s">
        <v>1187</v>
      </c>
      <c r="G10" t="s">
        <v>1215</v>
      </c>
    </row>
    <row r="11" spans="1:7" x14ac:dyDescent="0.35">
      <c r="B11" t="s">
        <v>1265</v>
      </c>
      <c r="C11" t="s">
        <v>1198</v>
      </c>
      <c r="E11" t="s">
        <v>1211</v>
      </c>
      <c r="F11" t="s">
        <v>1285</v>
      </c>
      <c r="G11" t="s">
        <v>1224</v>
      </c>
    </row>
    <row r="12" spans="1:7" x14ac:dyDescent="0.35">
      <c r="B12" t="s">
        <v>1256</v>
      </c>
      <c r="C12" t="s">
        <v>1196</v>
      </c>
      <c r="E12" t="s">
        <v>1206</v>
      </c>
      <c r="F12" t="s">
        <v>1217</v>
      </c>
      <c r="G12" t="s">
        <v>1202</v>
      </c>
    </row>
    <row r="13" spans="1:7" x14ac:dyDescent="0.35">
      <c r="B13" t="s">
        <v>1267</v>
      </c>
      <c r="C13" t="s">
        <v>1213</v>
      </c>
      <c r="E13" t="s">
        <v>1208</v>
      </c>
      <c r="G13" t="s">
        <v>1205</v>
      </c>
    </row>
    <row r="14" spans="1:7" x14ac:dyDescent="0.35">
      <c r="B14" t="s">
        <v>675</v>
      </c>
      <c r="C14" t="s">
        <v>1279</v>
      </c>
      <c r="G14" t="s">
        <v>1284</v>
      </c>
    </row>
    <row r="15" spans="1:7" x14ac:dyDescent="0.35">
      <c r="B15" t="s">
        <v>1268</v>
      </c>
      <c r="C15" t="s">
        <v>1195</v>
      </c>
      <c r="G15" t="s">
        <v>1290</v>
      </c>
    </row>
    <row r="16" spans="1:7" x14ac:dyDescent="0.35">
      <c r="B16" t="s">
        <v>1259</v>
      </c>
      <c r="G16" t="s">
        <v>1291</v>
      </c>
    </row>
    <row r="17" spans="2:7" x14ac:dyDescent="0.35">
      <c r="B17" t="s">
        <v>1263</v>
      </c>
      <c r="G17" t="s">
        <v>1212</v>
      </c>
    </row>
    <row r="18" spans="2:7" x14ac:dyDescent="0.35">
      <c r="B18" t="s">
        <v>1258</v>
      </c>
      <c r="G18" t="s">
        <v>1281</v>
      </c>
    </row>
    <row r="19" spans="2:7" x14ac:dyDescent="0.35">
      <c r="B19" t="s">
        <v>1255</v>
      </c>
    </row>
    <row r="20" spans="2:7" x14ac:dyDescent="0.35">
      <c r="B20" t="s">
        <v>1260</v>
      </c>
    </row>
    <row r="21" spans="2:7" x14ac:dyDescent="0.35">
      <c r="B21" t="s">
        <v>1264</v>
      </c>
    </row>
    <row r="22" spans="2:7" x14ac:dyDescent="0.35">
      <c r="B22" t="s">
        <v>1125</v>
      </c>
    </row>
    <row r="23" spans="2:7" x14ac:dyDescent="0.35">
      <c r="B23" t="s">
        <v>1269</v>
      </c>
    </row>
    <row r="24" spans="2:7" x14ac:dyDescent="0.35">
      <c r="B24" t="s">
        <v>1275</v>
      </c>
    </row>
    <row r="25" spans="2:7" x14ac:dyDescent="0.35">
      <c r="B25" t="s">
        <v>1271</v>
      </c>
    </row>
  </sheetData>
  <sortState xmlns:xlrd2="http://schemas.microsoft.com/office/spreadsheetml/2017/richdata2" ref="E2:E12">
    <sortCondition ref="E2:E12"/>
  </sortState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6640625" defaultRowHeight="30" customHeight="1" x14ac:dyDescent="0.35"/>
  <cols>
    <col min="1" max="2" width="8.6640625" style="5"/>
    <col min="3" max="3" width="60.46484375" style="5" customWidth="1"/>
    <col min="4" max="16384" width="8.6640625" style="5"/>
  </cols>
  <sheetData>
    <row r="2" spans="2:3" ht="30" customHeight="1" x14ac:dyDescent="0.35">
      <c r="B2" s="32" t="s">
        <v>407</v>
      </c>
      <c r="C2" s="32"/>
    </row>
    <row r="4" spans="2:3" ht="30" customHeight="1" x14ac:dyDescent="0.35">
      <c r="B4" s="4" t="s">
        <v>411</v>
      </c>
      <c r="C4" s="7">
        <f ca="1">MATCH(C5,キャラ情報!C:C,0)</f>
        <v>268</v>
      </c>
    </row>
    <row r="5" spans="2:3" ht="30" customHeight="1" x14ac:dyDescent="0.35">
      <c r="B5" s="4" t="s">
        <v>408</v>
      </c>
      <c r="C5" s="6" t="str">
        <f ca="1">INDEX(キャラ情報!C:S,MATCH(MIN(キャラ情報!S:S),キャラ情報!S:S,0),1)</f>
        <v>一色スウ</v>
      </c>
    </row>
    <row r="6" spans="2:3" ht="30" customHeight="1" x14ac:dyDescent="0.35">
      <c r="B6" s="4" t="s">
        <v>409</v>
      </c>
      <c r="C6" s="6" t="str">
        <f ca="1">INDEX(キャラ情報!C:S,MATCH(MIN(キャラ情報!S:S),キャラ情報!S:S,0),4)</f>
        <v>http://utau.wikidot.com/utau:isshiki-suu</v>
      </c>
    </row>
    <row r="9" spans="2:3" ht="30" customHeight="1" x14ac:dyDescent="0.35">
      <c r="B9" s="32" t="s">
        <v>423</v>
      </c>
      <c r="C9" s="32"/>
    </row>
    <row r="11" spans="2:3" ht="30" customHeight="1" x14ac:dyDescent="0.35">
      <c r="B11" s="4" t="s">
        <v>411</v>
      </c>
      <c r="C11" s="7">
        <f ca="1">MATCH(C12,キャラ情報!C:C,0)</f>
        <v>264</v>
      </c>
    </row>
    <row r="12" spans="2:3" ht="30" customHeight="1" x14ac:dyDescent="0.35">
      <c r="B12" s="4" t="s">
        <v>408</v>
      </c>
      <c r="C12" s="6" t="str">
        <f ca="1">INDEX(キャラ情報!C:U,MATCH(MIN(キャラ情報!U:U),キャラ情報!U:U,0),1)</f>
        <v>有部音ゴエμ</v>
      </c>
    </row>
    <row r="14" spans="2:3" ht="30" customHeight="1" thickBot="1" x14ac:dyDescent="0.4">
      <c r="B14" s="8" t="s">
        <v>426</v>
      </c>
    </row>
    <row r="15" spans="2:3" ht="30" customHeight="1" thickTop="1" x14ac:dyDescent="0.35">
      <c r="B15" s="9" t="s">
        <v>601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No.269｜</v>
      </c>
      <c r="C17" s="12" t="str">
        <f ca="1">C12</f>
        <v>有部音ゴエμ</v>
      </c>
    </row>
    <row r="18" spans="2:3" ht="30" customHeight="1" x14ac:dyDescent="0.35">
      <c r="B18" s="11" t="str">
        <f ca="1">INDEX(キャラ情報!C:G,MATCH(C12,キャラ情報!C:C,0),5)</f>
        <v xml:space="preserve">#返り子の町 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427</v>
      </c>
      <c r="C20" s="12"/>
    </row>
    <row r="21" spans="2:3" ht="30" customHeight="1" thickBot="1" x14ac:dyDescent="0.4">
      <c r="B21" s="13" t="s">
        <v>688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N269"/>
  <sheetViews>
    <sheetView topLeftCell="A224" zoomScale="50" zoomScaleNormal="50" workbookViewId="0">
      <selection activeCell="N2" sqref="N2"/>
    </sheetView>
  </sheetViews>
  <sheetFormatPr defaultColWidth="9.06640625" defaultRowHeight="20.149999999999999" customHeight="1" x14ac:dyDescent="0.35"/>
  <cols>
    <col min="1" max="1" width="5.86328125" style="19" bestFit="1" customWidth="1"/>
    <col min="2" max="2" width="19.06640625" style="19" bestFit="1" customWidth="1"/>
    <col min="3" max="3" width="19" style="19" bestFit="1" customWidth="1"/>
    <col min="4" max="4" width="20.6640625" style="19" bestFit="1" customWidth="1"/>
    <col min="5" max="5" width="30.19921875" style="19" bestFit="1" customWidth="1"/>
    <col min="6" max="6" width="54.46484375" style="19" bestFit="1" customWidth="1"/>
    <col min="7" max="7" width="20.86328125" style="19" bestFit="1" customWidth="1"/>
    <col min="8" max="14" width="21" style="19" customWidth="1"/>
    <col min="15" max="16384" width="9.06640625" style="19"/>
  </cols>
  <sheetData>
    <row r="1" spans="1:14" s="18" customFormat="1" ht="20.149999999999999" customHeight="1" x14ac:dyDescent="0.35">
      <c r="A1" s="18" t="s">
        <v>654</v>
      </c>
      <c r="B1" s="18" t="s">
        <v>650</v>
      </c>
      <c r="C1" s="18" t="s">
        <v>651</v>
      </c>
      <c r="D1" s="18" t="s">
        <v>652</v>
      </c>
      <c r="E1" s="18" t="s">
        <v>653</v>
      </c>
      <c r="F1" s="18" t="s">
        <v>655</v>
      </c>
      <c r="G1" s="18" t="s">
        <v>656</v>
      </c>
      <c r="H1" s="18" t="s">
        <v>657</v>
      </c>
      <c r="I1" s="1" t="s">
        <v>663</v>
      </c>
      <c r="J1" s="1" t="s">
        <v>703</v>
      </c>
      <c r="K1" s="1" t="s">
        <v>1251</v>
      </c>
      <c r="L1" s="1" t="s">
        <v>664</v>
      </c>
      <c r="M1" s="1" t="s">
        <v>665</v>
      </c>
      <c r="N1" s="1" t="s">
        <v>1308</v>
      </c>
    </row>
    <row r="2" spans="1:14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Row],[作品タグ]],"、","|")</f>
        <v>#虹彩箱</v>
      </c>
      <c r="H2" s="19" t="str">
        <f>テーブル1[[#This Row],[性別]]&amp;""</f>
        <v>女性</v>
      </c>
      <c r="I2" s="19" t="str">
        <f>SUBSTITUTE(テーブル1[[#This Row],[種族タグ]],"、","|")</f>
        <v>鬼</v>
      </c>
      <c r="J2" s="19" t="str">
        <f>SUBSTITUTE(テーブル1[[#This Row],[モチーフタグ]],"、","|")</f>
        <v/>
      </c>
      <c r="K2" s="19" t="str">
        <f>SUBSTITUTE(テーブル1[[#This Row],[属性タグ]],"、","|")</f>
        <v/>
      </c>
      <c r="L2" s="19" t="str">
        <f>SUBSTITUTE(テーブル1[[#This Row],[職業タグ]],"、","|")</f>
        <v/>
      </c>
      <c r="M2" s="19" t="str">
        <f>SUBSTITUTE(テーブル1[[#This Row],[小物タグ]],"、","|")</f>
        <v/>
      </c>
      <c r="N2" s="19" t="str">
        <f>SUBSTITUTE(テーブル1[[#This Row],[身体的特徴タグ]],"、","|")</f>
        <v>耳</v>
      </c>
    </row>
    <row r="3" spans="1:14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Row],[作品タグ]],"、","|")</f>
        <v>#東屋でお茶でも</v>
      </c>
      <c r="H3" s="19" t="str">
        <f>テーブル1[[#This Row],[性別]]&amp;""</f>
        <v>男性</v>
      </c>
      <c r="I3" s="19" t="str">
        <f>SUBSTITUTE(テーブル1[[#This Row],[種族タグ]],"、","|")</f>
        <v>人間</v>
      </c>
      <c r="J3" s="19" t="str">
        <f>SUBSTITUTE(テーブル1[[#This Row],[モチーフタグ]],"、","|")</f>
        <v/>
      </c>
      <c r="K3" s="19" t="str">
        <f>SUBSTITUTE(テーブル1[[#This Row],[属性タグ]],"、","|")</f>
        <v/>
      </c>
      <c r="L3" s="19" t="str">
        <f>SUBSTITUTE(テーブル1[[#This Row],[職業タグ]],"、","|")</f>
        <v>科学・技術</v>
      </c>
      <c r="M3" s="19" t="str">
        <f>SUBSTITUTE(テーブル1[[#This Row],[小物タグ]],"、","|")</f>
        <v>眼部</v>
      </c>
      <c r="N3" s="19" t="str">
        <f>SUBSTITUTE(テーブル1[[#This Row],[身体的特徴タグ]],"、","|")</f>
        <v>髪色|目隠れ</v>
      </c>
    </row>
    <row r="4" spans="1:14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Row],[作品タグ]],"、","|")</f>
        <v>#神様の足元</v>
      </c>
      <c r="H4" s="19" t="str">
        <f>テーブル1[[#This Row],[性別]]&amp;""</f>
        <v>男性</v>
      </c>
      <c r="I4" s="19" t="str">
        <f>SUBSTITUTE(テーブル1[[#This Row],[種族タグ]],"、","|")</f>
        <v>人間|機械</v>
      </c>
      <c r="J4" s="19" t="str">
        <f>SUBSTITUTE(テーブル1[[#This Row],[モチーフタグ]],"、","|")</f>
        <v>ドラゴン</v>
      </c>
      <c r="K4" s="19" t="str">
        <f>SUBSTITUTE(テーブル1[[#This Row],[属性タグ]],"、","|")</f>
        <v/>
      </c>
      <c r="L4" s="19" t="str">
        <f>SUBSTITUTE(テーブル1[[#This Row],[職業タグ]],"、","|")</f>
        <v>科学・技術</v>
      </c>
      <c r="M4" s="19" t="str">
        <f>SUBSTITUTE(テーブル1[[#This Row],[小物タグ]],"、","|")</f>
        <v/>
      </c>
      <c r="N4" s="19" t="str">
        <f>SUBSTITUTE(テーブル1[[#This Row],[身体的特徴タグ]],"、","|")</f>
        <v>角(つの)|翼|尻尾</v>
      </c>
    </row>
    <row r="5" spans="1:14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Row],[作品タグ]],"、","|")</f>
        <v>#足立レイ</v>
      </c>
      <c r="H5" s="19" t="str">
        <f>テーブル1[[#This Row],[性別]]&amp;""</f>
        <v>女性</v>
      </c>
      <c r="I5" s="19" t="str">
        <f>SUBSTITUTE(テーブル1[[#This Row],[種族タグ]],"、","|")</f>
        <v>機械</v>
      </c>
      <c r="J5" s="19" t="str">
        <f>SUBSTITUTE(テーブル1[[#This Row],[モチーフタグ]],"、","|")</f>
        <v/>
      </c>
      <c r="K5" s="19" t="str">
        <f>SUBSTITUTE(テーブル1[[#This Row],[属性タグ]],"、","|")</f>
        <v/>
      </c>
      <c r="L5" s="19" t="str">
        <f>SUBSTITUTE(テーブル1[[#This Row],[職業タグ]],"、","|")</f>
        <v/>
      </c>
      <c r="M5" s="19" t="str">
        <f>SUBSTITUTE(テーブル1[[#This Row],[小物タグ]],"、","|")</f>
        <v>耳装備</v>
      </c>
      <c r="N5" s="19" t="str">
        <f>SUBSTITUTE(テーブル1[[#This Row],[身体的特徴タグ]],"、","|")</f>
        <v/>
      </c>
    </row>
    <row r="6" spans="1:14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Row],[作品タグ]],"、","|")</f>
        <v>#ひわわーアラート</v>
      </c>
      <c r="H6" s="19" t="str">
        <f>テーブル1[[#This Row],[性別]]&amp;""</f>
        <v>女性</v>
      </c>
      <c r="I6" s="19" t="str">
        <f>SUBSTITUTE(テーブル1[[#This Row],[種族タグ]],"、","|")</f>
        <v>人型</v>
      </c>
      <c r="J6" s="19" t="str">
        <f>SUBSTITUTE(テーブル1[[#This Row],[モチーフタグ]],"、","|")</f>
        <v>鳥類</v>
      </c>
      <c r="K6" s="19" t="str">
        <f>SUBSTITUTE(テーブル1[[#This Row],[属性タグ]],"、","|")</f>
        <v/>
      </c>
      <c r="L6" s="19" t="str">
        <f>SUBSTITUTE(テーブル1[[#This Row],[職業タグ]],"、","|")</f>
        <v/>
      </c>
      <c r="M6" s="19" t="str">
        <f>SUBSTITUTE(テーブル1[[#This Row],[小物タグ]],"、","|")</f>
        <v>仮面・マスク</v>
      </c>
      <c r="N6" s="19" t="str">
        <f>SUBSTITUTE(テーブル1[[#This Row],[身体的特徴タグ]],"、","|")</f>
        <v>翼</v>
      </c>
    </row>
    <row r="7" spans="1:14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Row],[作品タグ]],"、","|")</f>
        <v>#でるらぼ</v>
      </c>
      <c r="H7" s="19" t="str">
        <f>テーブル1[[#This Row],[性別]]&amp;""</f>
        <v>女性</v>
      </c>
      <c r="I7" s="19" t="str">
        <f>SUBSTITUTE(テーブル1[[#This Row],[種族タグ]],"、","|")</f>
        <v>人間</v>
      </c>
      <c r="J7" s="19" t="str">
        <f>SUBSTITUTE(テーブル1[[#This Row],[モチーフタグ]],"、","|")</f>
        <v/>
      </c>
      <c r="K7" s="19" t="str">
        <f>SUBSTITUTE(テーブル1[[#This Row],[属性タグ]],"、","|")</f>
        <v/>
      </c>
      <c r="L7" s="19" t="str">
        <f>SUBSTITUTE(テーブル1[[#This Row],[職業タグ]],"、","|")</f>
        <v/>
      </c>
      <c r="M7" s="19" t="str">
        <f>SUBSTITUTE(テーブル1[[#This Row],[小物タグ]],"、","|")</f>
        <v/>
      </c>
      <c r="N7" s="19" t="str">
        <f>SUBSTITUTE(テーブル1[[#This Row],[身体的特徴タグ]],"、","|")</f>
        <v/>
      </c>
    </row>
    <row r="8" spans="1:14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Row],[作品タグ]],"、","|")</f>
        <v>#セレソー作</v>
      </c>
      <c r="H8" s="19" t="str">
        <f>テーブル1[[#This Row],[性別]]&amp;""</f>
        <v>無性別</v>
      </c>
      <c r="I8" s="19" t="str">
        <f>SUBSTITUTE(テーブル1[[#This Row],[種族タグ]],"、","|")</f>
        <v>バーチャル</v>
      </c>
      <c r="J8" s="19" t="str">
        <f>SUBSTITUTE(テーブル1[[#This Row],[モチーフタグ]],"、","|")</f>
        <v/>
      </c>
      <c r="K8" s="19" t="str">
        <f>SUBSTITUTE(テーブル1[[#This Row],[属性タグ]],"、","|")</f>
        <v/>
      </c>
      <c r="L8" s="19" t="str">
        <f>SUBSTITUTE(テーブル1[[#This Row],[職業タグ]],"、","|")</f>
        <v/>
      </c>
      <c r="M8" s="19" t="str">
        <f>SUBSTITUTE(テーブル1[[#This Row],[小物タグ]],"、","|")</f>
        <v>眼部</v>
      </c>
      <c r="N8" s="19" t="str">
        <f>SUBSTITUTE(テーブル1[[#This Row],[身体的特徴タグ]],"、","|")</f>
        <v>目</v>
      </c>
    </row>
    <row r="9" spans="1:14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Row],[作品タグ]],"、","|")</f>
        <v>#ふあわあーと</v>
      </c>
      <c r="H9" s="19" t="str">
        <f>テーブル1[[#This Row],[性別]]&amp;""</f>
        <v>女性</v>
      </c>
      <c r="I9" s="19" t="str">
        <f>SUBSTITUTE(テーブル1[[#This Row],[種族タグ]],"、","|")</f>
        <v>人間|天使</v>
      </c>
      <c r="J9" s="19" t="str">
        <f>SUBSTITUTE(テーブル1[[#This Row],[モチーフタグ]],"、","|")</f>
        <v/>
      </c>
      <c r="K9" s="19" t="str">
        <f>SUBSTITUTE(テーブル1[[#This Row],[属性タグ]],"、","|")</f>
        <v/>
      </c>
      <c r="L9" s="19" t="str">
        <f>SUBSTITUTE(テーブル1[[#This Row],[職業タグ]],"、","|")</f>
        <v/>
      </c>
      <c r="M9" s="19" t="str">
        <f>SUBSTITUTE(テーブル1[[#This Row],[小物タグ]],"、","|")</f>
        <v/>
      </c>
      <c r="N9" s="19" t="str">
        <f>SUBSTITUTE(テーブル1[[#This Row],[身体的特徴タグ]],"、","|")</f>
        <v>翼</v>
      </c>
    </row>
    <row r="10" spans="1:14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Row],[作品タグ]],"、","|")</f>
        <v>#雨音うさぎ</v>
      </c>
      <c r="H10" s="19" t="str">
        <f>テーブル1[[#This Row],[性別]]&amp;""</f>
        <v>女性</v>
      </c>
      <c r="I10" s="19" t="str">
        <f>SUBSTITUTE(テーブル1[[#This Row],[種族タグ]],"、","|")</f>
        <v>人間</v>
      </c>
      <c r="J10" s="19" t="str">
        <f>SUBSTITUTE(テーブル1[[#This Row],[モチーフタグ]],"、","|")</f>
        <v>哺乳類</v>
      </c>
      <c r="K10" s="19" t="str">
        <f>SUBSTITUTE(テーブル1[[#This Row],[属性タグ]],"、","|")</f>
        <v/>
      </c>
      <c r="L10" s="19" t="str">
        <f>SUBSTITUTE(テーブル1[[#This Row],[職業タグ]],"、","|")</f>
        <v/>
      </c>
      <c r="M10" s="19" t="str">
        <f>SUBSTITUTE(テーブル1[[#This Row],[小物タグ]],"、","|")</f>
        <v>髪飾り</v>
      </c>
      <c r="N10" s="19" t="str">
        <f>SUBSTITUTE(テーブル1[[#This Row],[身体的特徴タグ]],"、","|")</f>
        <v>目|髪型</v>
      </c>
    </row>
    <row r="11" spans="1:14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Row],[作品タグ]],"、","|")</f>
        <v>#煮バコ</v>
      </c>
      <c r="H11" s="19" t="str">
        <f>テーブル1[[#This Row],[性別]]&amp;""</f>
        <v>男性</v>
      </c>
      <c r="I11" s="19" t="str">
        <f>SUBSTITUTE(テーブル1[[#This Row],[種族タグ]],"、","|")</f>
        <v>故人|幽霊</v>
      </c>
      <c r="J11" s="19" t="str">
        <f>SUBSTITUTE(テーブル1[[#This Row],[モチーフタグ]],"、","|")</f>
        <v/>
      </c>
      <c r="K11" s="19" t="str">
        <f>SUBSTITUTE(テーブル1[[#This Row],[属性タグ]],"、","|")</f>
        <v/>
      </c>
      <c r="L11" s="19" t="str">
        <f>SUBSTITUTE(テーブル1[[#This Row],[職業タグ]],"、","|")</f>
        <v/>
      </c>
      <c r="M11" s="19" t="str">
        <f>SUBSTITUTE(テーブル1[[#This Row],[小物タグ]],"、","|")</f>
        <v/>
      </c>
      <c r="N11" s="19" t="str">
        <f>SUBSTITUTE(テーブル1[[#This Row],[身体的特徴タグ]],"、","|")</f>
        <v>髪色</v>
      </c>
    </row>
    <row r="12" spans="1:14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Row],[作品タグ]],"、","|")</f>
        <v>#泡沫古書店</v>
      </c>
      <c r="H12" s="19" t="str">
        <f>テーブル1[[#This Row],[性別]]&amp;""</f>
        <v>女性</v>
      </c>
      <c r="I12" s="19" t="str">
        <f>SUBSTITUTE(テーブル1[[#This Row],[種族タグ]],"、","|")</f>
        <v>人間</v>
      </c>
      <c r="J12" s="19" t="str">
        <f>SUBSTITUTE(テーブル1[[#This Row],[モチーフタグ]],"、","|")</f>
        <v/>
      </c>
      <c r="K12" s="19" t="str">
        <f>SUBSTITUTE(テーブル1[[#This Row],[属性タグ]],"、","|")</f>
        <v/>
      </c>
      <c r="L12" s="19" t="str">
        <f>SUBSTITUTE(テーブル1[[#This Row],[職業タグ]],"、","|")</f>
        <v>接客・販売</v>
      </c>
      <c r="M12" s="19" t="str">
        <f>SUBSTITUTE(テーブル1[[#This Row],[小物タグ]],"、","|")</f>
        <v>眼部</v>
      </c>
      <c r="N12" s="19" t="str">
        <f>SUBSTITUTE(テーブル1[[#This Row],[身体的特徴タグ]],"、","|")</f>
        <v/>
      </c>
    </row>
    <row r="13" spans="1:14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Row],[作品タグ]],"、","|")</f>
        <v>#デフォ子</v>
      </c>
      <c r="H13" s="19" t="str">
        <f>テーブル1[[#This Row],[性別]]&amp;""</f>
        <v>女性</v>
      </c>
      <c r="I13" s="19" t="str">
        <f>SUBSTITUTE(テーブル1[[#This Row],[種族タグ]],"、","|")</f>
        <v/>
      </c>
      <c r="J13" s="19" t="str">
        <f>SUBSTITUTE(テーブル1[[#This Row],[モチーフタグ]],"、","|")</f>
        <v/>
      </c>
      <c r="K13" s="19" t="str">
        <f>SUBSTITUTE(テーブル1[[#This Row],[属性タグ]],"、","|")</f>
        <v/>
      </c>
      <c r="L13" s="19" t="str">
        <f>SUBSTITUTE(テーブル1[[#This Row],[職業タグ]],"、","|")</f>
        <v/>
      </c>
      <c r="M13" s="19" t="str">
        <f>SUBSTITUTE(テーブル1[[#This Row],[小物タグ]],"、","|")</f>
        <v>耳装備</v>
      </c>
      <c r="N13" s="19" t="str">
        <f>SUBSTITUTE(テーブル1[[#This Row],[身体的特徴タグ]],"、","|")</f>
        <v/>
      </c>
    </row>
    <row r="14" spans="1:14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Row],[作品タグ]],"、","|")</f>
        <v>#透歌工房</v>
      </c>
      <c r="H14" s="19" t="str">
        <f>テーブル1[[#This Row],[性別]]&amp;""</f>
        <v>女性</v>
      </c>
      <c r="I14" s="19" t="str">
        <f>SUBSTITUTE(テーブル1[[#This Row],[種族タグ]],"、","|")</f>
        <v>フィギュア</v>
      </c>
      <c r="J14" s="19" t="str">
        <f>SUBSTITUTE(テーブル1[[#This Row],[モチーフタグ]],"、","|")</f>
        <v>哺乳類</v>
      </c>
      <c r="K14" s="19" t="str">
        <f>SUBSTITUTE(テーブル1[[#This Row],[属性タグ]],"、","|")</f>
        <v/>
      </c>
      <c r="L14" s="19" t="str">
        <f>SUBSTITUTE(テーブル1[[#This Row],[職業タグ]],"、","|")</f>
        <v/>
      </c>
      <c r="M14" s="19" t="str">
        <f>SUBSTITUTE(テーブル1[[#This Row],[小物タグ]],"、","|")</f>
        <v/>
      </c>
      <c r="N14" s="19" t="str">
        <f>SUBSTITUTE(テーブル1[[#This Row],[身体的特徴タグ]],"、","|")</f>
        <v>尻尾</v>
      </c>
    </row>
    <row r="15" spans="1:14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Row],[作品タグ]],"、","|")</f>
        <v>#ひわわーアラート</v>
      </c>
      <c r="H15" s="19" t="str">
        <f>テーブル1[[#This Row],[性別]]&amp;""</f>
        <v>男性</v>
      </c>
      <c r="I15" s="19" t="str">
        <f>SUBSTITUTE(テーブル1[[#This Row],[種族タグ]],"、","|")</f>
        <v>人間|人形</v>
      </c>
      <c r="J15" s="19" t="str">
        <f>SUBSTITUTE(テーブル1[[#This Row],[モチーフタグ]],"、","|")</f>
        <v/>
      </c>
      <c r="K15" s="19" t="str">
        <f>SUBSTITUTE(テーブル1[[#This Row],[属性タグ]],"、","|")</f>
        <v/>
      </c>
      <c r="L15" s="19" t="str">
        <f>SUBSTITUTE(テーブル1[[#This Row],[職業タグ]],"、","|")</f>
        <v>舞台・パフォーマンス</v>
      </c>
      <c r="M15" s="19" t="str">
        <f>SUBSTITUTE(テーブル1[[#This Row],[小物タグ]],"、","|")</f>
        <v/>
      </c>
      <c r="N15" s="19" t="str">
        <f>SUBSTITUTE(テーブル1[[#This Row],[身体的特徴タグ]],"、","|")</f>
        <v>目隠れ</v>
      </c>
    </row>
    <row r="16" spans="1:14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Row],[作品タグ]],"、","|")</f>
        <v>#ichistar</v>
      </c>
      <c r="H16" s="19" t="str">
        <f>テーブル1[[#This Row],[性別]]&amp;""</f>
        <v>女性</v>
      </c>
      <c r="I16" s="19" t="str">
        <f>SUBSTITUTE(テーブル1[[#This Row],[種族タグ]],"、","|")</f>
        <v>天使</v>
      </c>
      <c r="J16" s="19" t="str">
        <f>SUBSTITUTE(テーブル1[[#This Row],[モチーフタグ]],"、","|")</f>
        <v/>
      </c>
      <c r="K16" s="19" t="str">
        <f>SUBSTITUTE(テーブル1[[#This Row],[属性タグ]],"、","|")</f>
        <v/>
      </c>
      <c r="L16" s="19" t="str">
        <f>SUBSTITUTE(テーブル1[[#This Row],[職業タグ]],"、","|")</f>
        <v>創作</v>
      </c>
      <c r="M16" s="19" t="str">
        <f>SUBSTITUTE(テーブル1[[#This Row],[小物タグ]],"、","|")</f>
        <v/>
      </c>
      <c r="N16" s="19" t="str">
        <f>SUBSTITUTE(テーブル1[[#This Row],[身体的特徴タグ]],"、","|")</f>
        <v>髪色</v>
      </c>
    </row>
    <row r="17" spans="1:14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Row],[作品タグ]],"、","|")</f>
        <v>#そらいろマーチ</v>
      </c>
      <c r="H17" s="19" t="str">
        <f>テーブル1[[#This Row],[性別]]&amp;""</f>
        <v>無性別</v>
      </c>
      <c r="I17" s="19" t="str">
        <f>SUBSTITUTE(テーブル1[[#This Row],[種族タグ]],"、","|")</f>
        <v>バーチャル|双子</v>
      </c>
      <c r="J17" s="19" t="str">
        <f>SUBSTITUTE(テーブル1[[#This Row],[モチーフタグ]],"、","|")</f>
        <v/>
      </c>
      <c r="K17" s="19" t="str">
        <f>SUBSTITUTE(テーブル1[[#This Row],[属性タグ]],"、","|")</f>
        <v/>
      </c>
      <c r="L17" s="19" t="str">
        <f>SUBSTITUTE(テーブル1[[#This Row],[職業タグ]],"、","|")</f>
        <v/>
      </c>
      <c r="M17" s="19" t="str">
        <f>SUBSTITUTE(テーブル1[[#This Row],[小物タグ]],"、","|")</f>
        <v>道具</v>
      </c>
      <c r="N17" s="19" t="str">
        <f>SUBSTITUTE(テーブル1[[#This Row],[身体的特徴タグ]],"、","|")</f>
        <v/>
      </c>
    </row>
    <row r="18" spans="1:14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Row],[作品タグ]],"、","|")</f>
        <v>#そらいろマーチ</v>
      </c>
      <c r="H18" s="19" t="str">
        <f>テーブル1[[#This Row],[性別]]&amp;""</f>
        <v>無性別</v>
      </c>
      <c r="I18" s="19" t="str">
        <f>SUBSTITUTE(テーブル1[[#This Row],[種族タグ]],"、","|")</f>
        <v>バーチャル|双子</v>
      </c>
      <c r="J18" s="19" t="str">
        <f>SUBSTITUTE(テーブル1[[#This Row],[モチーフタグ]],"、","|")</f>
        <v/>
      </c>
      <c r="K18" s="19" t="str">
        <f>SUBSTITUTE(テーブル1[[#This Row],[属性タグ]],"、","|")</f>
        <v/>
      </c>
      <c r="L18" s="19" t="str">
        <f>SUBSTITUTE(テーブル1[[#This Row],[職業タグ]],"、","|")</f>
        <v>ヤンキー</v>
      </c>
      <c r="M18" s="19" t="str">
        <f>SUBSTITUTE(テーブル1[[#This Row],[小物タグ]],"、","|")</f>
        <v>道具</v>
      </c>
      <c r="N18" s="19" t="str">
        <f>SUBSTITUTE(テーブル1[[#This Row],[身体的特徴タグ]],"、","|")</f>
        <v/>
      </c>
    </row>
    <row r="19" spans="1:14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Row],[作品タグ]],"、","|")</f>
        <v>#拡音シャノン</v>
      </c>
      <c r="H19" s="19" t="str">
        <f>テーブル1[[#This Row],[性別]]&amp;""</f>
        <v>女性</v>
      </c>
      <c r="I19" s="19" t="str">
        <f>SUBSTITUTE(テーブル1[[#This Row],[種族タグ]],"、","|")</f>
        <v/>
      </c>
      <c r="J19" s="19" t="str">
        <f>SUBSTITUTE(テーブル1[[#This Row],[モチーフタグ]],"、","|")</f>
        <v/>
      </c>
      <c r="K19" s="19" t="str">
        <f>SUBSTITUTE(テーブル1[[#This Row],[属性タグ]],"、","|")</f>
        <v/>
      </c>
      <c r="L19" s="19" t="str">
        <f>SUBSTITUTE(テーブル1[[#This Row],[職業タグ]],"、","|")</f>
        <v/>
      </c>
      <c r="M19" s="19" t="str">
        <f>SUBSTITUTE(テーブル1[[#This Row],[小物タグ]],"、","|")</f>
        <v>髪飾り|道具</v>
      </c>
      <c r="N19" s="19" t="str">
        <f>SUBSTITUTE(テーブル1[[#This Row],[身体的特徴タグ]],"、","|")</f>
        <v/>
      </c>
    </row>
    <row r="20" spans="1:14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Row],[作品タグ]],"、","|")</f>
        <v>#重音テッド</v>
      </c>
      <c r="H20" s="19" t="str">
        <f>テーブル1[[#This Row],[性別]]&amp;""</f>
        <v>不明</v>
      </c>
      <c r="I20" s="19" t="str">
        <f>SUBSTITUTE(テーブル1[[#This Row],[種族タグ]],"、","|")</f>
        <v>バーチャル|キメラ</v>
      </c>
      <c r="J20" s="19" t="str">
        <f>SUBSTITUTE(テーブル1[[#This Row],[モチーフタグ]],"、","|")</f>
        <v/>
      </c>
      <c r="K20" s="19" t="str">
        <f>SUBSTITUTE(テーブル1[[#This Row],[属性タグ]],"、","|")</f>
        <v/>
      </c>
      <c r="L20" s="19" t="str">
        <f>SUBSTITUTE(テーブル1[[#This Row],[職業タグ]],"、","|")</f>
        <v/>
      </c>
      <c r="M20" s="19" t="str">
        <f>SUBSTITUTE(テーブル1[[#This Row],[小物タグ]],"、","|")</f>
        <v>耳装備</v>
      </c>
      <c r="N20" s="19" t="str">
        <f>SUBSTITUTE(テーブル1[[#This Row],[身体的特徴タグ]],"、","|")</f>
        <v/>
      </c>
    </row>
    <row r="21" spans="1:14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Row],[作品タグ]],"、","|")</f>
        <v>#重音テト</v>
      </c>
      <c r="H21" s="19" t="str">
        <f>テーブル1[[#This Row],[性別]]&amp;""</f>
        <v>不明</v>
      </c>
      <c r="I21" s="19" t="str">
        <f>SUBSTITUTE(テーブル1[[#This Row],[種族タグ]],"、","|")</f>
        <v>バーチャル|キメラ</v>
      </c>
      <c r="J21" s="19" t="str">
        <f>SUBSTITUTE(テーブル1[[#This Row],[モチーフタグ]],"、","|")</f>
        <v/>
      </c>
      <c r="K21" s="19" t="str">
        <f>SUBSTITUTE(テーブル1[[#This Row],[属性タグ]],"、","|")</f>
        <v/>
      </c>
      <c r="L21" s="19" t="str">
        <f>SUBSTITUTE(テーブル1[[#This Row],[職業タグ]],"、","|")</f>
        <v/>
      </c>
      <c r="M21" s="19" t="str">
        <f>SUBSTITUTE(テーブル1[[#This Row],[小物タグ]],"、","|")</f>
        <v/>
      </c>
      <c r="N21" s="19" t="str">
        <f>SUBSTITUTE(テーブル1[[#This Row],[身体的特徴タグ]],"、","|")</f>
        <v/>
      </c>
    </row>
    <row r="22" spans="1:14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Row],[作品タグ]],"、","|")</f>
        <v>#歌う雨やどり</v>
      </c>
      <c r="H22" s="19" t="str">
        <f>テーブル1[[#This Row],[性別]]&amp;""</f>
        <v>女性</v>
      </c>
      <c r="I22" s="19" t="str">
        <f>SUBSTITUTE(テーブル1[[#This Row],[種族タグ]],"、","|")</f>
        <v>堕天使</v>
      </c>
      <c r="J22" s="19" t="str">
        <f>SUBSTITUTE(テーブル1[[#This Row],[モチーフタグ]],"、","|")</f>
        <v/>
      </c>
      <c r="K22" s="19" t="str">
        <f>SUBSTITUTE(テーブル1[[#This Row],[属性タグ]],"、","|")</f>
        <v/>
      </c>
      <c r="L22" s="19" t="str">
        <f>SUBSTITUTE(テーブル1[[#This Row],[職業タグ]],"、","|")</f>
        <v/>
      </c>
      <c r="M22" s="19" t="str">
        <f>SUBSTITUTE(テーブル1[[#This Row],[小物タグ]],"、","|")</f>
        <v/>
      </c>
      <c r="N22" s="19" t="str">
        <f>SUBSTITUTE(テーブル1[[#This Row],[身体的特徴タグ]],"、","|")</f>
        <v>目隠れ|翼</v>
      </c>
    </row>
    <row r="23" spans="1:14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Row],[作品タグ]],"、","|")</f>
        <v>#くずかぜ</v>
      </c>
      <c r="H23" s="19" t="str">
        <f>テーブル1[[#This Row],[性別]]&amp;""</f>
        <v>男性</v>
      </c>
      <c r="I23" s="19" t="str">
        <f>SUBSTITUTE(テーブル1[[#This Row],[種族タグ]],"、","|")</f>
        <v>人間</v>
      </c>
      <c r="J23" s="19" t="str">
        <f>SUBSTITUTE(テーブル1[[#This Row],[モチーフタグ]],"、","|")</f>
        <v/>
      </c>
      <c r="K23" s="19" t="str">
        <f>SUBSTITUTE(テーブル1[[#This Row],[属性タグ]],"、","|")</f>
        <v/>
      </c>
      <c r="L23" s="19" t="str">
        <f>SUBSTITUTE(テーブル1[[#This Row],[職業タグ]],"、","|")</f>
        <v>宗教・ファンタジー</v>
      </c>
      <c r="M23" s="19" t="str">
        <f>SUBSTITUTE(テーブル1[[#This Row],[小物タグ]],"、","|")</f>
        <v>ヘイロー|首装飾</v>
      </c>
      <c r="N23" s="19" t="str">
        <f>SUBSTITUTE(テーブル1[[#This Row],[身体的特徴タグ]],"、","|")</f>
        <v>目隠れ</v>
      </c>
    </row>
    <row r="24" spans="1:14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Row],[作品タグ]],"、","|")</f>
        <v>#セレソー作</v>
      </c>
      <c r="H24" s="19" t="str">
        <f>テーブル1[[#This Row],[性別]]&amp;""</f>
        <v>不明</v>
      </c>
      <c r="I24" s="19" t="str">
        <f>SUBSTITUTE(テーブル1[[#This Row],[種族タグ]],"、","|")</f>
        <v>人間|双子</v>
      </c>
      <c r="J24" s="19" t="str">
        <f>SUBSTITUTE(テーブル1[[#This Row],[モチーフタグ]],"、","|")</f>
        <v/>
      </c>
      <c r="K24" s="19" t="str">
        <f>SUBSTITUTE(テーブル1[[#This Row],[属性タグ]],"、","|")</f>
        <v/>
      </c>
      <c r="L24" s="19" t="str">
        <f>SUBSTITUTE(テーブル1[[#This Row],[職業タグ]],"、","|")</f>
        <v/>
      </c>
      <c r="M24" s="19" t="str">
        <f>SUBSTITUTE(テーブル1[[#This Row],[小物タグ]],"、","|")</f>
        <v>眼部</v>
      </c>
      <c r="N24" s="19" t="str">
        <f>SUBSTITUTE(テーブル1[[#This Row],[身体的特徴タグ]],"、","|")</f>
        <v/>
      </c>
    </row>
    <row r="25" spans="1:14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Row],[作品タグ]],"、","|")</f>
        <v>#MQAW</v>
      </c>
      <c r="H25" s="19" t="str">
        <f>テーブル1[[#This Row],[性別]]&amp;""</f>
        <v>男性</v>
      </c>
      <c r="I25" s="19" t="str">
        <f>SUBSTITUTE(テーブル1[[#This Row],[種族タグ]],"、","|")</f>
        <v>機械</v>
      </c>
      <c r="J25" s="19" t="str">
        <f>SUBSTITUTE(テーブル1[[#This Row],[モチーフタグ]],"、","|")</f>
        <v/>
      </c>
      <c r="K25" s="19" t="str">
        <f>SUBSTITUTE(テーブル1[[#This Row],[属性タグ]],"、","|")</f>
        <v/>
      </c>
      <c r="L25" s="19" t="str">
        <f>SUBSTITUTE(テーブル1[[#This Row],[職業タグ]],"、","|")</f>
        <v/>
      </c>
      <c r="M25" s="19" t="str">
        <f>SUBSTITUTE(テーブル1[[#This Row],[小物タグ]],"、","|")</f>
        <v>髪飾り|眼部</v>
      </c>
      <c r="N25" s="19" t="str">
        <f>SUBSTITUTE(テーブル1[[#This Row],[身体的特徴タグ]],"、","|")</f>
        <v>目隠れ</v>
      </c>
    </row>
    <row r="26" spans="1:14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Row],[作品タグ]],"、","|")</f>
        <v>#花撫シア</v>
      </c>
      <c r="H26" s="19" t="str">
        <f>テーブル1[[#This Row],[性別]]&amp;""</f>
        <v>女性</v>
      </c>
      <c r="I26" s="19" t="str">
        <f>SUBSTITUTE(テーブル1[[#This Row],[種族タグ]],"、","|")</f>
        <v>人間</v>
      </c>
      <c r="J26" s="19" t="str">
        <f>SUBSTITUTE(テーブル1[[#This Row],[モチーフタグ]],"、","|")</f>
        <v/>
      </c>
      <c r="K26" s="19" t="str">
        <f>SUBSTITUTE(テーブル1[[#This Row],[属性タグ]],"、","|")</f>
        <v/>
      </c>
      <c r="L26" s="19" t="str">
        <f>SUBSTITUTE(テーブル1[[#This Row],[職業タグ]],"、","|")</f>
        <v>芸能</v>
      </c>
      <c r="M26" s="19" t="str">
        <f>SUBSTITUTE(テーブル1[[#This Row],[小物タグ]],"、","|")</f>
        <v/>
      </c>
      <c r="N26" s="19" t="str">
        <f>SUBSTITUTE(テーブル1[[#This Row],[身体的特徴タグ]],"、","|")</f>
        <v>目|模様・装飾</v>
      </c>
    </row>
    <row r="27" spans="1:14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Row],[作品タグ]],"、","|")</f>
        <v>#花撫シオン</v>
      </c>
      <c r="H27" s="19" t="str">
        <f>テーブル1[[#This Row],[性別]]&amp;""</f>
        <v>男性</v>
      </c>
      <c r="I27" s="19" t="str">
        <f>SUBSTITUTE(テーブル1[[#This Row],[種族タグ]],"、","|")</f>
        <v>人間</v>
      </c>
      <c r="J27" s="19" t="str">
        <f>SUBSTITUTE(テーブル1[[#This Row],[モチーフタグ]],"、","|")</f>
        <v/>
      </c>
      <c r="K27" s="19" t="str">
        <f>SUBSTITUTE(テーブル1[[#This Row],[属性タグ]],"、","|")</f>
        <v/>
      </c>
      <c r="L27" s="19" t="str">
        <f>SUBSTITUTE(テーブル1[[#This Row],[職業タグ]],"、","|")</f>
        <v>芸能</v>
      </c>
      <c r="M27" s="19" t="str">
        <f>SUBSTITUTE(テーブル1[[#This Row],[小物タグ]],"、","|")</f>
        <v/>
      </c>
      <c r="N27" s="19" t="str">
        <f>SUBSTITUTE(テーブル1[[#This Row],[身体的特徴タグ]],"、","|")</f>
        <v>模様・装飾</v>
      </c>
    </row>
    <row r="28" spans="1:14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Row],[作品タグ]],"、","|")</f>
        <v>#きのみあーと</v>
      </c>
      <c r="H28" s="19" t="str">
        <f>テーブル1[[#This Row],[性別]]&amp;""</f>
        <v>不明</v>
      </c>
      <c r="I28" s="19" t="str">
        <f>SUBSTITUTE(テーブル1[[#This Row],[種族タグ]],"、","|")</f>
        <v>人間</v>
      </c>
      <c r="J28" s="19" t="str">
        <f>SUBSTITUTE(テーブル1[[#This Row],[モチーフタグ]],"、","|")</f>
        <v>宇宙・天体</v>
      </c>
      <c r="K28" s="19" t="str">
        <f>SUBSTITUTE(テーブル1[[#This Row],[属性タグ]],"、","|")</f>
        <v/>
      </c>
      <c r="L28" s="19" t="str">
        <f>SUBSTITUTE(テーブル1[[#This Row],[職業タグ]],"、","|")</f>
        <v>ニート</v>
      </c>
      <c r="M28" s="19" t="str">
        <f>SUBSTITUTE(テーブル1[[#This Row],[小物タグ]],"、","|")</f>
        <v/>
      </c>
      <c r="N28" s="19" t="str">
        <f>SUBSTITUTE(テーブル1[[#This Row],[身体的特徴タグ]],"、","|")</f>
        <v/>
      </c>
    </row>
    <row r="29" spans="1:14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Row],[作品タグ]],"、","|")</f>
        <v>#空音絵巻</v>
      </c>
      <c r="H29" s="19" t="str">
        <f>テーブル1[[#This Row],[性別]]&amp;""</f>
        <v>女性</v>
      </c>
      <c r="I29" s="19" t="str">
        <f>SUBSTITUTE(テーブル1[[#This Row],[種族タグ]],"、","|")</f>
        <v>人間</v>
      </c>
      <c r="J29" s="19" t="str">
        <f>SUBSTITUTE(テーブル1[[#This Row],[モチーフタグ]],"、","|")</f>
        <v/>
      </c>
      <c r="K29" s="19" t="str">
        <f>SUBSTITUTE(テーブル1[[#This Row],[属性タグ]],"、","|")</f>
        <v/>
      </c>
      <c r="L29" s="19" t="str">
        <f>SUBSTITUTE(テーブル1[[#This Row],[職業タグ]],"、","|")</f>
        <v/>
      </c>
      <c r="M29" s="19" t="str">
        <f>SUBSTITUTE(テーブル1[[#This Row],[小物タグ]],"、","|")</f>
        <v/>
      </c>
      <c r="N29" s="19" t="str">
        <f>SUBSTITUTE(テーブル1[[#This Row],[身体的特徴タグ]],"、","|")</f>
        <v/>
      </c>
    </row>
    <row r="30" spans="1:14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Row],[作品タグ]],"、","|")</f>
        <v>#空音絵巻</v>
      </c>
      <c r="H30" s="19" t="str">
        <f>テーブル1[[#This Row],[性別]]&amp;""</f>
        <v>無性別</v>
      </c>
      <c r="I30" s="19" t="str">
        <f>SUBSTITUTE(テーブル1[[#This Row],[種族タグ]],"、","|")</f>
        <v>人間</v>
      </c>
      <c r="J30" s="19" t="str">
        <f>SUBSTITUTE(テーブル1[[#This Row],[モチーフタグ]],"、","|")</f>
        <v/>
      </c>
      <c r="K30" s="19" t="str">
        <f>SUBSTITUTE(テーブル1[[#This Row],[属性タグ]],"、","|")</f>
        <v/>
      </c>
      <c r="L30" s="19" t="str">
        <f>SUBSTITUTE(テーブル1[[#This Row],[職業タグ]],"、","|")</f>
        <v/>
      </c>
      <c r="M30" s="19" t="str">
        <f>SUBSTITUTE(テーブル1[[#This Row],[小物タグ]],"、","|")</f>
        <v>武器</v>
      </c>
      <c r="N30" s="19" t="str">
        <f>SUBSTITUTE(テーブル1[[#This Row],[身体的特徴タグ]],"、","|")</f>
        <v/>
      </c>
    </row>
    <row r="31" spans="1:14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Row],[作品タグ]],"、","|")</f>
        <v>#TNPGateway</v>
      </c>
      <c r="H31" s="19" t="str">
        <f>テーブル1[[#This Row],[性別]]&amp;""</f>
        <v>女性</v>
      </c>
      <c r="I31" s="19" t="str">
        <f>SUBSTITUTE(テーブル1[[#This Row],[種族タグ]],"、","|")</f>
        <v>人魚</v>
      </c>
      <c r="J31" s="19" t="str">
        <f>SUBSTITUTE(テーブル1[[#This Row],[モチーフタグ]],"、","|")</f>
        <v/>
      </c>
      <c r="K31" s="19" t="str">
        <f>SUBSTITUTE(テーブル1[[#This Row],[属性タグ]],"、","|")</f>
        <v/>
      </c>
      <c r="L31" s="19" t="str">
        <f>SUBSTITUTE(テーブル1[[#This Row],[職業タグ]],"、","|")</f>
        <v/>
      </c>
      <c r="M31" s="19" t="str">
        <f>SUBSTITUTE(テーブル1[[#This Row],[小物タグ]],"、","|")</f>
        <v/>
      </c>
      <c r="N31" s="19" t="str">
        <f>SUBSTITUTE(テーブル1[[#This Row],[身体的特徴タグ]],"、","|")</f>
        <v/>
      </c>
    </row>
    <row r="32" spans="1:14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Row],[作品タグ]],"、","|")</f>
        <v>#セレソー作</v>
      </c>
      <c r="H32" s="19" t="str">
        <f>テーブル1[[#This Row],[性別]]&amp;""</f>
        <v>女性</v>
      </c>
      <c r="I32" s="19" t="str">
        <f>SUBSTITUTE(テーブル1[[#This Row],[種族タグ]],"、","|")</f>
        <v>妖精|双子</v>
      </c>
      <c r="J32" s="19" t="str">
        <f>SUBSTITUTE(テーブル1[[#This Row],[モチーフタグ]],"、","|")</f>
        <v/>
      </c>
      <c r="K32" s="19" t="str">
        <f>SUBSTITUTE(テーブル1[[#This Row],[属性タグ]],"、","|")</f>
        <v/>
      </c>
      <c r="L32" s="19" t="str">
        <f>SUBSTITUTE(テーブル1[[#This Row],[職業タグ]],"、","|")</f>
        <v>舞台・パフォーマンス</v>
      </c>
      <c r="M32" s="19" t="str">
        <f>SUBSTITUTE(テーブル1[[#This Row],[小物タグ]],"、","|")</f>
        <v>服飾</v>
      </c>
      <c r="N32" s="19" t="str">
        <f>SUBSTITUTE(テーブル1[[#This Row],[身体的特徴タグ]],"、","|")</f>
        <v>口元</v>
      </c>
    </row>
    <row r="33" spans="1:14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Row],[作品タグ]],"、","|")</f>
        <v>#創星宙</v>
      </c>
      <c r="H33" s="19" t="str">
        <f>テーブル1[[#This Row],[性別]]&amp;""</f>
        <v>男性</v>
      </c>
      <c r="I33" s="19" t="str">
        <f>SUBSTITUTE(テーブル1[[#This Row],[種族タグ]],"、","|")</f>
        <v>神|不老|不死|長寿</v>
      </c>
      <c r="J33" s="19" t="str">
        <f>SUBSTITUTE(テーブル1[[#This Row],[モチーフタグ]],"、","|")</f>
        <v/>
      </c>
      <c r="K33" s="19" t="str">
        <f>SUBSTITUTE(テーブル1[[#This Row],[属性タグ]],"、","|")</f>
        <v/>
      </c>
      <c r="L33" s="19" t="str">
        <f>SUBSTITUTE(テーブル1[[#This Row],[職業タグ]],"、","|")</f>
        <v>裏社会</v>
      </c>
      <c r="M33" s="19" t="str">
        <f>SUBSTITUTE(テーブル1[[#This Row],[小物タグ]],"、","|")</f>
        <v>武器</v>
      </c>
      <c r="N33" s="19" t="str">
        <f>SUBSTITUTE(テーブル1[[#This Row],[身体的特徴タグ]],"、","|")</f>
        <v>傷・痕|模様・装飾</v>
      </c>
    </row>
    <row r="34" spans="1:14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Row],[作品タグ]],"、","|")</f>
        <v>#きのみあーと</v>
      </c>
      <c r="H34" s="19" t="str">
        <f>テーブル1[[#This Row],[性別]]&amp;""</f>
        <v>女性</v>
      </c>
      <c r="I34" s="19" t="str">
        <f>SUBSTITUTE(テーブル1[[#This Row],[種族タグ]],"、","|")</f>
        <v>人間</v>
      </c>
      <c r="J34" s="19" t="str">
        <f>SUBSTITUTE(テーブル1[[#This Row],[モチーフタグ]],"、","|")</f>
        <v/>
      </c>
      <c r="K34" s="19" t="str">
        <f>SUBSTITUTE(テーブル1[[#This Row],[属性タグ]],"、","|")</f>
        <v/>
      </c>
      <c r="L34" s="19" t="str">
        <f>SUBSTITUTE(テーブル1[[#This Row],[職業タグ]],"、","|")</f>
        <v/>
      </c>
      <c r="M34" s="19" t="str">
        <f>SUBSTITUTE(テーブル1[[#This Row],[小物タグ]],"、","|")</f>
        <v>装身具|首装飾</v>
      </c>
      <c r="N34" s="19" t="str">
        <f>SUBSTITUTE(テーブル1[[#This Row],[身体的特徴タグ]],"、","|")</f>
        <v>目|体格|模様・装飾</v>
      </c>
    </row>
    <row r="35" spans="1:14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Row],[作品タグ]],"、","|")</f>
        <v>#TNPGateway</v>
      </c>
      <c r="H35" s="19" t="str">
        <f>テーブル1[[#This Row],[性別]]&amp;""</f>
        <v>男性</v>
      </c>
      <c r="I35" s="19" t="str">
        <f>SUBSTITUTE(テーブル1[[#This Row],[種族タグ]],"、","|")</f>
        <v>故人|幽霊</v>
      </c>
      <c r="J35" s="19" t="str">
        <f>SUBSTITUTE(テーブル1[[#This Row],[モチーフタグ]],"、","|")</f>
        <v/>
      </c>
      <c r="K35" s="19" t="str">
        <f>SUBSTITUTE(テーブル1[[#This Row],[属性タグ]],"、","|")</f>
        <v/>
      </c>
      <c r="L35" s="19" t="str">
        <f>SUBSTITUTE(テーブル1[[#This Row],[職業タグ]],"、","|")</f>
        <v>裏社会</v>
      </c>
      <c r="M35" s="19" t="str">
        <f>SUBSTITUTE(テーブル1[[#This Row],[小物タグ]],"、","|")</f>
        <v>モチーフ</v>
      </c>
      <c r="N35" s="19" t="str">
        <f>SUBSTITUTE(テーブル1[[#This Row],[身体的特徴タグ]],"、","|")</f>
        <v>目隠れ</v>
      </c>
    </row>
    <row r="36" spans="1:14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Row],[作品タグ]],"、","|")</f>
        <v>#輝星惑</v>
      </c>
      <c r="H36" s="19" t="str">
        <f>テーブル1[[#This Row],[性別]]&amp;""</f>
        <v>男性</v>
      </c>
      <c r="I36" s="19" t="str">
        <f>SUBSTITUTE(テーブル1[[#This Row],[種族タグ]],"、","|")</f>
        <v>宇宙人</v>
      </c>
      <c r="J36" s="19" t="str">
        <f>SUBSTITUTE(テーブル1[[#This Row],[モチーフタグ]],"、","|")</f>
        <v/>
      </c>
      <c r="K36" s="19" t="str">
        <f>SUBSTITUTE(テーブル1[[#This Row],[属性タグ]],"、","|")</f>
        <v>元ヤン</v>
      </c>
      <c r="L36" s="19" t="str">
        <f>SUBSTITUTE(テーブル1[[#This Row],[職業タグ]],"、","|")</f>
        <v>治安|元ヤン</v>
      </c>
      <c r="M36" s="19" t="str">
        <f>SUBSTITUTE(テーブル1[[#This Row],[小物タグ]],"、","|")</f>
        <v>髪飾り|眼部</v>
      </c>
      <c r="N36" s="19" t="str">
        <f>SUBSTITUTE(テーブル1[[#This Row],[身体的特徴タグ]],"、","|")</f>
        <v>髪色</v>
      </c>
    </row>
    <row r="37" spans="1:14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Row],[作品タグ]],"、","|")</f>
        <v>#あひのん|#玖婥えれん</v>
      </c>
      <c r="H37" s="19" t="str">
        <f>テーブル1[[#This Row],[性別]]&amp;""</f>
        <v>男性</v>
      </c>
      <c r="I37" s="19" t="str">
        <f>SUBSTITUTE(テーブル1[[#This Row],[種族タグ]],"、","|")</f>
        <v>人間</v>
      </c>
      <c r="J37" s="19" t="str">
        <f>SUBSTITUTE(テーブル1[[#This Row],[モチーフタグ]],"、","|")</f>
        <v/>
      </c>
      <c r="K37" s="19" t="str">
        <f>SUBSTITUTE(テーブル1[[#This Row],[属性タグ]],"、","|")</f>
        <v/>
      </c>
      <c r="L37" s="19" t="str">
        <f>SUBSTITUTE(テーブル1[[#This Row],[職業タグ]],"、","|")</f>
        <v>芸能</v>
      </c>
      <c r="M37" s="19" t="str">
        <f>SUBSTITUTE(テーブル1[[#This Row],[小物タグ]],"、","|")</f>
        <v>髪飾り</v>
      </c>
      <c r="N37" s="19" t="str">
        <f>SUBSTITUTE(テーブル1[[#This Row],[身体的特徴タグ]],"、","|")</f>
        <v/>
      </c>
    </row>
    <row r="38" spans="1:14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Row],[作品タグ]],"、","|")</f>
        <v>#Pietà_</v>
      </c>
      <c r="H38" s="19" t="str">
        <f>テーブル1[[#This Row],[性別]]&amp;""</f>
        <v>女性</v>
      </c>
      <c r="I38" s="19" t="str">
        <f>SUBSTITUTE(テーブル1[[#This Row],[種族タグ]],"、","|")</f>
        <v>機械</v>
      </c>
      <c r="J38" s="19" t="str">
        <f>SUBSTITUTE(テーブル1[[#This Row],[モチーフタグ]],"、","|")</f>
        <v/>
      </c>
      <c r="K38" s="19" t="str">
        <f>SUBSTITUTE(テーブル1[[#This Row],[属性タグ]],"、","|")</f>
        <v/>
      </c>
      <c r="L38" s="19" t="str">
        <f>SUBSTITUTE(テーブル1[[#This Row],[職業タグ]],"、","|")</f>
        <v>医療・支援</v>
      </c>
      <c r="M38" s="19" t="str">
        <f>SUBSTITUTE(テーブル1[[#This Row],[小物タグ]],"、","|")</f>
        <v/>
      </c>
      <c r="N38" s="19" t="str">
        <f>SUBSTITUTE(テーブル1[[#This Row],[身体的特徴タグ]],"、","|")</f>
        <v>髪色</v>
      </c>
    </row>
    <row r="39" spans="1:14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Row],[作品タグ]],"、","|")</f>
        <v>#赤黒快日</v>
      </c>
      <c r="H39" s="19" t="str">
        <f>テーブル1[[#This Row],[性別]]&amp;""</f>
        <v>男性</v>
      </c>
      <c r="I39" s="19" t="str">
        <f>SUBSTITUTE(テーブル1[[#This Row],[種族タグ]],"、","|")</f>
        <v>人間</v>
      </c>
      <c r="J39" s="19" t="str">
        <f>SUBSTITUTE(テーブル1[[#This Row],[モチーフタグ]],"、","|")</f>
        <v/>
      </c>
      <c r="K39" s="19" t="str">
        <f>SUBSTITUTE(テーブル1[[#This Row],[属性タグ]],"、","|")</f>
        <v/>
      </c>
      <c r="L39" s="19" t="str">
        <f>SUBSTITUTE(テーブル1[[#This Row],[職業タグ]],"、","|")</f>
        <v/>
      </c>
      <c r="M39" s="19" t="str">
        <f>SUBSTITUTE(テーブル1[[#This Row],[小物タグ]],"、","|")</f>
        <v/>
      </c>
      <c r="N39" s="19" t="str">
        <f>SUBSTITUTE(テーブル1[[#This Row],[身体的特徴タグ]],"、","|")</f>
        <v/>
      </c>
    </row>
    <row r="40" spans="1:14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Row],[作品タグ]],"、","|")</f>
        <v>#蛍_UTAU</v>
      </c>
      <c r="H40" s="19" t="str">
        <f>テーブル1[[#This Row],[性別]]&amp;""</f>
        <v>男性</v>
      </c>
      <c r="I40" s="19" t="str">
        <f>SUBSTITUTE(テーブル1[[#This Row],[種族タグ]],"、","|")</f>
        <v>人間</v>
      </c>
      <c r="J40" s="19" t="str">
        <f>SUBSTITUTE(テーブル1[[#This Row],[モチーフタグ]],"、","|")</f>
        <v/>
      </c>
      <c r="K40" s="19" t="str">
        <f>SUBSTITUTE(テーブル1[[#This Row],[属性タグ]],"、","|")</f>
        <v/>
      </c>
      <c r="L40" s="19" t="str">
        <f>SUBSTITUTE(テーブル1[[#This Row],[職業タグ]],"、","|")</f>
        <v>教育</v>
      </c>
      <c r="M40" s="19" t="str">
        <f>SUBSTITUTE(テーブル1[[#This Row],[小物タグ]],"、","|")</f>
        <v/>
      </c>
      <c r="N40" s="19" t="str">
        <f>SUBSTITUTE(テーブル1[[#This Row],[身体的特徴タグ]],"、","|")</f>
        <v/>
      </c>
    </row>
    <row r="41" spans="1:14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Row],[作品タグ]],"、","|")</f>
        <v>#京音ロン</v>
      </c>
      <c r="H41" s="19" t="str">
        <f>テーブル1[[#This Row],[性別]]&amp;""</f>
        <v>男性</v>
      </c>
      <c r="I41" s="19" t="str">
        <f>SUBSTITUTE(テーブル1[[#This Row],[種族タグ]],"、","|")</f>
        <v>人間</v>
      </c>
      <c r="J41" s="19" t="str">
        <f>SUBSTITUTE(テーブル1[[#This Row],[モチーフタグ]],"、","|")</f>
        <v/>
      </c>
      <c r="K41" s="19" t="str">
        <f>SUBSTITUTE(テーブル1[[#This Row],[属性タグ]],"、","|")</f>
        <v/>
      </c>
      <c r="L41" s="19" t="str">
        <f>SUBSTITUTE(テーブル1[[#This Row],[職業タグ]],"、","|")</f>
        <v/>
      </c>
      <c r="M41" s="19" t="str">
        <f>SUBSTITUTE(テーブル1[[#This Row],[小物タグ]],"、","|")</f>
        <v/>
      </c>
      <c r="N41" s="19" t="str">
        <f>SUBSTITUTE(テーブル1[[#This Row],[身体的特徴タグ]],"、","|")</f>
        <v/>
      </c>
    </row>
    <row r="42" spans="1:14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Row],[作品タグ]],"、","|")</f>
        <v>#くずかぜ</v>
      </c>
      <c r="H42" s="19" t="str">
        <f>テーブル1[[#This Row],[性別]]&amp;""</f>
        <v>女性</v>
      </c>
      <c r="I42" s="19" t="str">
        <f>SUBSTITUTE(テーブル1[[#This Row],[種族タグ]],"、","|")</f>
        <v>人間</v>
      </c>
      <c r="J42" s="19" t="str">
        <f>SUBSTITUTE(テーブル1[[#This Row],[モチーフタグ]],"、","|")</f>
        <v/>
      </c>
      <c r="K42" s="19" t="str">
        <f>SUBSTITUTE(テーブル1[[#This Row],[属性タグ]],"、","|")</f>
        <v/>
      </c>
      <c r="L42" s="19" t="str">
        <f>SUBSTITUTE(テーブル1[[#This Row],[職業タグ]],"、","|")</f>
        <v/>
      </c>
      <c r="M42" s="19" t="str">
        <f>SUBSTITUTE(テーブル1[[#This Row],[小物タグ]],"、","|")</f>
        <v>ヘイロー|服飾</v>
      </c>
      <c r="N42" s="19" t="str">
        <f>SUBSTITUTE(テーブル1[[#This Row],[身体的特徴タグ]],"、","|")</f>
        <v>髪型</v>
      </c>
    </row>
    <row r="43" spans="1:14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Row],[作品タグ]],"、","|")</f>
        <v>#グリーンミルキー</v>
      </c>
      <c r="H43" s="19" t="str">
        <f>テーブル1[[#This Row],[性別]]&amp;""</f>
        <v>男性</v>
      </c>
      <c r="I43" s="19" t="str">
        <f>SUBSTITUTE(テーブル1[[#This Row],[種族タグ]],"、","|")</f>
        <v>人間</v>
      </c>
      <c r="J43" s="19" t="str">
        <f>SUBSTITUTE(テーブル1[[#This Row],[モチーフタグ]],"、","|")</f>
        <v/>
      </c>
      <c r="K43" s="19" t="str">
        <f>SUBSTITUTE(テーブル1[[#This Row],[属性タグ]],"、","|")</f>
        <v/>
      </c>
      <c r="L43" s="19" t="str">
        <f>SUBSTITUTE(テーブル1[[#This Row],[職業タグ]],"、","|")</f>
        <v/>
      </c>
      <c r="M43" s="19" t="str">
        <f>SUBSTITUTE(テーブル1[[#This Row],[小物タグ]],"、","|")</f>
        <v/>
      </c>
      <c r="N43" s="19" t="str">
        <f>SUBSTITUTE(テーブル1[[#This Row],[身体的特徴タグ]],"、","|")</f>
        <v/>
      </c>
    </row>
    <row r="44" spans="1:14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Row],[作品タグ]],"、","|")</f>
        <v>#無中彩声</v>
      </c>
      <c r="H44" s="19" t="str">
        <f>テーブル1[[#This Row],[性別]]&amp;""</f>
        <v>男性</v>
      </c>
      <c r="I44" s="19" t="str">
        <f>SUBSTITUTE(テーブル1[[#This Row],[種族タグ]],"、","|")</f>
        <v>妖怪|長寿</v>
      </c>
      <c r="J44" s="19" t="str">
        <f>SUBSTITUTE(テーブル1[[#This Row],[モチーフタグ]],"、","|")</f>
        <v>哺乳類</v>
      </c>
      <c r="K44" s="19" t="str">
        <f>SUBSTITUTE(テーブル1[[#This Row],[属性タグ]],"、","|")</f>
        <v/>
      </c>
      <c r="L44" s="19" t="str">
        <f>SUBSTITUTE(テーブル1[[#This Row],[職業タグ]],"、","|")</f>
        <v/>
      </c>
      <c r="M44" s="19" t="str">
        <f>SUBSTITUTE(テーブル1[[#This Row],[小物タグ]],"、","|")</f>
        <v/>
      </c>
      <c r="N44" s="19" t="str">
        <f>SUBSTITUTE(テーブル1[[#This Row],[身体的特徴タグ]],"、","|")</f>
        <v>耳|髪色|尻尾</v>
      </c>
    </row>
    <row r="45" spans="1:14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Row],[作品タグ]],"、","|")</f>
        <v>#折紙食堂</v>
      </c>
      <c r="H45" s="19" t="str">
        <f>テーブル1[[#This Row],[性別]]&amp;""</f>
        <v>女性</v>
      </c>
      <c r="I45" s="19" t="str">
        <f>SUBSTITUTE(テーブル1[[#This Row],[種族タグ]],"、","|")</f>
        <v>人間</v>
      </c>
      <c r="J45" s="19" t="str">
        <f>SUBSTITUTE(テーブル1[[#This Row],[モチーフタグ]],"、","|")</f>
        <v/>
      </c>
      <c r="K45" s="19" t="str">
        <f>SUBSTITUTE(テーブル1[[#This Row],[属性タグ]],"、","|")</f>
        <v/>
      </c>
      <c r="L45" s="19" t="str">
        <f>SUBSTITUTE(テーブル1[[#This Row],[職業タグ]],"、","|")</f>
        <v>教育</v>
      </c>
      <c r="M45" s="19" t="str">
        <f>SUBSTITUTE(テーブル1[[#This Row],[小物タグ]],"、","|")</f>
        <v>仮面・マスク</v>
      </c>
      <c r="N45" s="19" t="str">
        <f>SUBSTITUTE(テーブル1[[#This Row],[身体的特徴タグ]],"、","|")</f>
        <v/>
      </c>
    </row>
    <row r="46" spans="1:14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Row],[作品タグ]],"、","|")</f>
        <v>#ウタウココロネ</v>
      </c>
      <c r="H46" s="19" t="str">
        <f>テーブル1[[#This Row],[性別]]&amp;""</f>
        <v>女性</v>
      </c>
      <c r="I46" s="19" t="str">
        <f>SUBSTITUTE(テーブル1[[#This Row],[種族タグ]],"、","|")</f>
        <v>人間</v>
      </c>
      <c r="J46" s="19" t="str">
        <f>SUBSTITUTE(テーブル1[[#This Row],[モチーフタグ]],"、","|")</f>
        <v/>
      </c>
      <c r="K46" s="19" t="str">
        <f>SUBSTITUTE(テーブル1[[#This Row],[属性タグ]],"、","|")</f>
        <v/>
      </c>
      <c r="L46" s="19" t="str">
        <f>SUBSTITUTE(テーブル1[[#This Row],[職業タグ]],"、","|")</f>
        <v>教育|芸能</v>
      </c>
      <c r="M46" s="19" t="str">
        <f>SUBSTITUTE(テーブル1[[#This Row],[小物タグ]],"、","|")</f>
        <v>服飾|髪飾り</v>
      </c>
      <c r="N46" s="19" t="str">
        <f>SUBSTITUTE(テーブル1[[#This Row],[身体的特徴タグ]],"、","|")</f>
        <v/>
      </c>
    </row>
    <row r="47" spans="1:14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Row],[作品タグ]],"、","|")</f>
        <v>#いちみっか</v>
      </c>
      <c r="H47" s="19" t="str">
        <f>テーブル1[[#This Row],[性別]]&amp;""</f>
        <v/>
      </c>
      <c r="I47" s="19" t="str">
        <f>SUBSTITUTE(テーブル1[[#This Row],[種族タグ]],"、","|")</f>
        <v/>
      </c>
      <c r="J47" s="19" t="str">
        <f>SUBSTITUTE(テーブル1[[#This Row],[モチーフタグ]],"、","|")</f>
        <v/>
      </c>
      <c r="K47" s="19" t="str">
        <f>SUBSTITUTE(テーブル1[[#This Row],[属性タグ]],"、","|")</f>
        <v/>
      </c>
      <c r="L47" s="19" t="str">
        <f>SUBSTITUTE(テーブル1[[#This Row],[職業タグ]],"、","|")</f>
        <v/>
      </c>
      <c r="M47" s="19" t="str">
        <f>SUBSTITUTE(テーブル1[[#This Row],[小物タグ]],"、","|")</f>
        <v/>
      </c>
      <c r="N47" s="19" t="str">
        <f>SUBSTITUTE(テーブル1[[#This Row],[身体的特徴タグ]],"、","|")</f>
        <v/>
      </c>
    </row>
    <row r="48" spans="1:14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Row],[作品タグ]],"、","|")</f>
        <v>#Pietà_</v>
      </c>
      <c r="H48" s="19" t="str">
        <f>テーブル1[[#This Row],[性別]]&amp;""</f>
        <v>女性</v>
      </c>
      <c r="I48" s="19" t="str">
        <f>SUBSTITUTE(テーブル1[[#This Row],[種族タグ]],"、","|")</f>
        <v>悪魔</v>
      </c>
      <c r="J48" s="19" t="str">
        <f>SUBSTITUTE(テーブル1[[#This Row],[モチーフタグ]],"、","|")</f>
        <v/>
      </c>
      <c r="K48" s="19" t="str">
        <f>SUBSTITUTE(テーブル1[[#This Row],[属性タグ]],"、","|")</f>
        <v/>
      </c>
      <c r="L48" s="19" t="str">
        <f>SUBSTITUTE(テーブル1[[#This Row],[職業タグ]],"、","|")</f>
        <v/>
      </c>
      <c r="M48" s="19" t="str">
        <f>SUBSTITUTE(テーブル1[[#This Row],[小物タグ]],"、","|")</f>
        <v>髪飾り</v>
      </c>
      <c r="N48" s="19" t="str">
        <f>SUBSTITUTE(テーブル1[[#This Row],[身体的特徴タグ]],"、","|")</f>
        <v>髪色|翼</v>
      </c>
    </row>
    <row r="49" spans="1:14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Row],[作品タグ]],"、","|")</f>
        <v>#はなときつねごと</v>
      </c>
      <c r="H49" s="19" t="str">
        <f>テーブル1[[#This Row],[性別]]&amp;""</f>
        <v/>
      </c>
      <c r="I49" s="19" t="str">
        <f>SUBSTITUTE(テーブル1[[#This Row],[種族タグ]],"、","|")</f>
        <v/>
      </c>
      <c r="J49" s="19" t="str">
        <f>SUBSTITUTE(テーブル1[[#This Row],[モチーフタグ]],"、","|")</f>
        <v/>
      </c>
      <c r="K49" s="19" t="str">
        <f>SUBSTITUTE(テーブル1[[#This Row],[属性タグ]],"、","|")</f>
        <v/>
      </c>
      <c r="L49" s="19" t="str">
        <f>SUBSTITUTE(テーブル1[[#This Row],[職業タグ]],"、","|")</f>
        <v/>
      </c>
      <c r="M49" s="19" t="str">
        <f>SUBSTITUTE(テーブル1[[#This Row],[小物タグ]],"、","|")</f>
        <v/>
      </c>
      <c r="N49" s="19" t="str">
        <f>SUBSTITUTE(テーブル1[[#This Row],[身体的特徴タグ]],"、","|")</f>
        <v/>
      </c>
    </row>
    <row r="50" spans="1:14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Row],[作品タグ]],"、","|")</f>
        <v>#さてね_UTAU</v>
      </c>
      <c r="H50" s="19" t="str">
        <f>テーブル1[[#This Row],[性別]]&amp;""</f>
        <v/>
      </c>
      <c r="I50" s="19" t="str">
        <f>SUBSTITUTE(テーブル1[[#This Row],[種族タグ]],"、","|")</f>
        <v/>
      </c>
      <c r="J50" s="19" t="str">
        <f>SUBSTITUTE(テーブル1[[#This Row],[モチーフタグ]],"、","|")</f>
        <v/>
      </c>
      <c r="K50" s="19" t="str">
        <f>SUBSTITUTE(テーブル1[[#This Row],[属性タグ]],"、","|")</f>
        <v/>
      </c>
      <c r="L50" s="19" t="str">
        <f>SUBSTITUTE(テーブル1[[#This Row],[職業タグ]],"、","|")</f>
        <v/>
      </c>
      <c r="M50" s="19" t="str">
        <f>SUBSTITUTE(テーブル1[[#This Row],[小物タグ]],"、","|")</f>
        <v/>
      </c>
      <c r="N50" s="19" t="str">
        <f>SUBSTITUTE(テーブル1[[#This Row],[身体的特徴タグ]],"、","|")</f>
        <v/>
      </c>
    </row>
    <row r="51" spans="1:14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Row],[作品タグ]],"、","|")</f>
        <v>#きちゃーと</v>
      </c>
      <c r="H51" s="19" t="str">
        <f>テーブル1[[#This Row],[性別]]&amp;""</f>
        <v/>
      </c>
      <c r="I51" s="19" t="str">
        <f>SUBSTITUTE(テーブル1[[#This Row],[種族タグ]],"、","|")</f>
        <v/>
      </c>
      <c r="J51" s="19" t="str">
        <f>SUBSTITUTE(テーブル1[[#This Row],[モチーフタグ]],"、","|")</f>
        <v/>
      </c>
      <c r="K51" s="19" t="str">
        <f>SUBSTITUTE(テーブル1[[#This Row],[属性タグ]],"、","|")</f>
        <v/>
      </c>
      <c r="L51" s="19" t="str">
        <f>SUBSTITUTE(テーブル1[[#This Row],[職業タグ]],"、","|")</f>
        <v/>
      </c>
      <c r="M51" s="19" t="str">
        <f>SUBSTITUTE(テーブル1[[#This Row],[小物タグ]],"、","|")</f>
        <v/>
      </c>
      <c r="N51" s="19" t="str">
        <f>SUBSTITUTE(テーブル1[[#This Row],[身体的特徴タグ]],"、","|")</f>
        <v/>
      </c>
    </row>
    <row r="52" spans="1:14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Row],[作品タグ]],"、","|")</f>
        <v>#ツキノファミリー</v>
      </c>
      <c r="H52" s="19" t="str">
        <f>テーブル1[[#This Row],[性別]]&amp;""</f>
        <v/>
      </c>
      <c r="I52" s="19" t="str">
        <f>SUBSTITUTE(テーブル1[[#This Row],[種族タグ]],"、","|")</f>
        <v/>
      </c>
      <c r="J52" s="19" t="str">
        <f>SUBSTITUTE(テーブル1[[#This Row],[モチーフタグ]],"、","|")</f>
        <v/>
      </c>
      <c r="K52" s="19" t="str">
        <f>SUBSTITUTE(テーブル1[[#This Row],[属性タグ]],"、","|")</f>
        <v/>
      </c>
      <c r="L52" s="19" t="str">
        <f>SUBSTITUTE(テーブル1[[#This Row],[職業タグ]],"、","|")</f>
        <v/>
      </c>
      <c r="M52" s="19" t="str">
        <f>SUBSTITUTE(テーブル1[[#This Row],[小物タグ]],"、","|")</f>
        <v/>
      </c>
      <c r="N52" s="19" t="str">
        <f>SUBSTITUTE(テーブル1[[#This Row],[身体的特徴タグ]],"、","|")</f>
        <v/>
      </c>
    </row>
    <row r="53" spans="1:14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Row],[作品タグ]],"、","|")</f>
        <v>#Pietà_</v>
      </c>
      <c r="H53" s="19" t="str">
        <f>テーブル1[[#This Row],[性別]]&amp;""</f>
        <v>男性</v>
      </c>
      <c r="I53" s="19" t="str">
        <f>SUBSTITUTE(テーブル1[[#This Row],[種族タグ]],"、","|")</f>
        <v>機械</v>
      </c>
      <c r="J53" s="19" t="str">
        <f>SUBSTITUTE(テーブル1[[#This Row],[モチーフタグ]],"、","|")</f>
        <v/>
      </c>
      <c r="K53" s="19" t="str">
        <f>SUBSTITUTE(テーブル1[[#This Row],[属性タグ]],"、","|")</f>
        <v/>
      </c>
      <c r="L53" s="19" t="str">
        <f>SUBSTITUTE(テーブル1[[#This Row],[職業タグ]],"、","|")</f>
        <v>医療・支援</v>
      </c>
      <c r="M53" s="19" t="str">
        <f>SUBSTITUTE(テーブル1[[#This Row],[小物タグ]],"、","|")</f>
        <v/>
      </c>
      <c r="N53" s="19" t="str">
        <f>SUBSTITUTE(テーブル1[[#This Row],[身体的特徴タグ]],"、","|")</f>
        <v/>
      </c>
    </row>
    <row r="54" spans="1:14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Row],[作品タグ]],"、","|")</f>
        <v>#闇塚亭</v>
      </c>
      <c r="H54" s="19" t="str">
        <f>テーブル1[[#This Row],[性別]]&amp;""</f>
        <v/>
      </c>
      <c r="I54" s="19" t="str">
        <f>SUBSTITUTE(テーブル1[[#This Row],[種族タグ]],"、","|")</f>
        <v/>
      </c>
      <c r="J54" s="19" t="str">
        <f>SUBSTITUTE(テーブル1[[#This Row],[モチーフタグ]],"、","|")</f>
        <v/>
      </c>
      <c r="K54" s="19" t="str">
        <f>SUBSTITUTE(テーブル1[[#This Row],[属性タグ]],"、","|")</f>
        <v/>
      </c>
      <c r="L54" s="19" t="str">
        <f>SUBSTITUTE(テーブル1[[#This Row],[職業タグ]],"、","|")</f>
        <v/>
      </c>
      <c r="M54" s="19" t="str">
        <f>SUBSTITUTE(テーブル1[[#This Row],[小物タグ]],"、","|")</f>
        <v/>
      </c>
      <c r="N54" s="19" t="str">
        <f>SUBSTITUTE(テーブル1[[#This Row],[身体的特徴タグ]],"、","|")</f>
        <v/>
      </c>
    </row>
    <row r="55" spans="1:14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Row],[作品タグ]],"、","|")</f>
        <v>#グリーンミルキー</v>
      </c>
      <c r="H55" s="19" t="str">
        <f>テーブル1[[#This Row],[性別]]&amp;""</f>
        <v>女性</v>
      </c>
      <c r="I55" s="19" t="str">
        <f>SUBSTITUTE(テーブル1[[#This Row],[種族タグ]],"、","|")</f>
        <v>人間</v>
      </c>
      <c r="J55" s="19" t="str">
        <f>SUBSTITUTE(テーブル1[[#This Row],[モチーフタグ]],"、","|")</f>
        <v/>
      </c>
      <c r="K55" s="19" t="str">
        <f>SUBSTITUTE(テーブル1[[#This Row],[属性タグ]],"、","|")</f>
        <v/>
      </c>
      <c r="L55" s="19" t="str">
        <f>SUBSTITUTE(テーブル1[[#This Row],[職業タグ]],"、","|")</f>
        <v/>
      </c>
      <c r="M55" s="19" t="str">
        <f>SUBSTITUTE(テーブル1[[#This Row],[小物タグ]],"、","|")</f>
        <v/>
      </c>
      <c r="N55" s="19" t="str">
        <f>SUBSTITUTE(テーブル1[[#This Row],[身体的特徴タグ]],"、","|")</f>
        <v>目|髪型</v>
      </c>
    </row>
    <row r="56" spans="1:14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Row],[作品タグ]],"、","|")</f>
        <v>#心理相談ダイヤル</v>
      </c>
      <c r="H56" s="19" t="str">
        <f>テーブル1[[#This Row],[性別]]&amp;""</f>
        <v/>
      </c>
      <c r="I56" s="19" t="str">
        <f>SUBSTITUTE(テーブル1[[#This Row],[種族タグ]],"、","|")</f>
        <v/>
      </c>
      <c r="J56" s="19" t="str">
        <f>SUBSTITUTE(テーブル1[[#This Row],[モチーフタグ]],"、","|")</f>
        <v/>
      </c>
      <c r="K56" s="19" t="str">
        <f>SUBSTITUTE(テーブル1[[#This Row],[属性タグ]],"、","|")</f>
        <v/>
      </c>
      <c r="L56" s="19" t="str">
        <f>SUBSTITUTE(テーブル1[[#This Row],[職業タグ]],"、","|")</f>
        <v/>
      </c>
      <c r="M56" s="19" t="str">
        <f>SUBSTITUTE(テーブル1[[#This Row],[小物タグ]],"、","|")</f>
        <v/>
      </c>
      <c r="N56" s="19" t="str">
        <f>SUBSTITUTE(テーブル1[[#This Row],[身体的特徴タグ]],"、","|")</f>
        <v/>
      </c>
    </row>
    <row r="57" spans="1:14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Row],[作品タグ]],"、","|")</f>
        <v>#あまつぶと声</v>
      </c>
      <c r="H57" s="19" t="str">
        <f>テーブル1[[#This Row],[性別]]&amp;""</f>
        <v/>
      </c>
      <c r="I57" s="19" t="str">
        <f>SUBSTITUTE(テーブル1[[#This Row],[種族タグ]],"、","|")</f>
        <v/>
      </c>
      <c r="J57" s="19" t="str">
        <f>SUBSTITUTE(テーブル1[[#This Row],[モチーフタグ]],"、","|")</f>
        <v/>
      </c>
      <c r="K57" s="19" t="str">
        <f>SUBSTITUTE(テーブル1[[#This Row],[属性タグ]],"、","|")</f>
        <v/>
      </c>
      <c r="L57" s="19" t="str">
        <f>SUBSTITUTE(テーブル1[[#This Row],[職業タグ]],"、","|")</f>
        <v/>
      </c>
      <c r="M57" s="19" t="str">
        <f>SUBSTITUTE(テーブル1[[#This Row],[小物タグ]],"、","|")</f>
        <v/>
      </c>
      <c r="N57" s="19" t="str">
        <f>SUBSTITUTE(テーブル1[[#This Row],[身体的特徴タグ]],"、","|")</f>
        <v/>
      </c>
    </row>
    <row r="58" spans="1:14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Row],[作品タグ]],"、","|")</f>
        <v>#べるずわーくす</v>
      </c>
      <c r="H58" s="19" t="str">
        <f>テーブル1[[#This Row],[性別]]&amp;""</f>
        <v/>
      </c>
      <c r="I58" s="19" t="str">
        <f>SUBSTITUTE(テーブル1[[#This Row],[種族タグ]],"、","|")</f>
        <v/>
      </c>
      <c r="J58" s="19" t="str">
        <f>SUBSTITUTE(テーブル1[[#This Row],[モチーフタグ]],"、","|")</f>
        <v/>
      </c>
      <c r="K58" s="19" t="str">
        <f>SUBSTITUTE(テーブル1[[#This Row],[属性タグ]],"、","|")</f>
        <v/>
      </c>
      <c r="L58" s="19" t="str">
        <f>SUBSTITUTE(テーブル1[[#This Row],[職業タグ]],"、","|")</f>
        <v/>
      </c>
      <c r="M58" s="19" t="str">
        <f>SUBSTITUTE(テーブル1[[#This Row],[小物タグ]],"、","|")</f>
        <v/>
      </c>
      <c r="N58" s="19" t="str">
        <f>SUBSTITUTE(テーブル1[[#This Row],[身体的特徴タグ]],"、","|")</f>
        <v/>
      </c>
    </row>
    <row r="59" spans="1:14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Row],[作品タグ]],"、","|")</f>
        <v>#べるずわーくす</v>
      </c>
      <c r="H59" s="19" t="str">
        <f>テーブル1[[#This Row],[性別]]&amp;""</f>
        <v/>
      </c>
      <c r="I59" s="19" t="str">
        <f>SUBSTITUTE(テーブル1[[#This Row],[種族タグ]],"、","|")</f>
        <v/>
      </c>
      <c r="J59" s="19" t="str">
        <f>SUBSTITUTE(テーブル1[[#This Row],[モチーフタグ]],"、","|")</f>
        <v/>
      </c>
      <c r="K59" s="19" t="str">
        <f>SUBSTITUTE(テーブル1[[#This Row],[属性タグ]],"、","|")</f>
        <v/>
      </c>
      <c r="L59" s="19" t="str">
        <f>SUBSTITUTE(テーブル1[[#This Row],[職業タグ]],"、","|")</f>
        <v/>
      </c>
      <c r="M59" s="19" t="str">
        <f>SUBSTITUTE(テーブル1[[#This Row],[小物タグ]],"、","|")</f>
        <v/>
      </c>
      <c r="N59" s="19" t="str">
        <f>SUBSTITUTE(テーブル1[[#This Row],[身体的特徴タグ]],"、","|")</f>
        <v/>
      </c>
    </row>
    <row r="60" spans="1:14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Row],[作品タグ]],"、","|")</f>
        <v>#星雲アマト</v>
      </c>
      <c r="H60" s="19" t="str">
        <f>テーブル1[[#This Row],[性別]]&amp;""</f>
        <v/>
      </c>
      <c r="I60" s="19" t="str">
        <f>SUBSTITUTE(テーブル1[[#This Row],[種族タグ]],"、","|")</f>
        <v/>
      </c>
      <c r="J60" s="19" t="str">
        <f>SUBSTITUTE(テーブル1[[#This Row],[モチーフタグ]],"、","|")</f>
        <v/>
      </c>
      <c r="K60" s="19" t="str">
        <f>SUBSTITUTE(テーブル1[[#This Row],[属性タグ]],"、","|")</f>
        <v/>
      </c>
      <c r="L60" s="19" t="str">
        <f>SUBSTITUTE(テーブル1[[#This Row],[職業タグ]],"、","|")</f>
        <v/>
      </c>
      <c r="M60" s="19" t="str">
        <f>SUBSTITUTE(テーブル1[[#This Row],[小物タグ]],"、","|")</f>
        <v/>
      </c>
      <c r="N60" s="19" t="str">
        <f>SUBSTITUTE(テーブル1[[#This Row],[身体的特徴タグ]],"、","|")</f>
        <v/>
      </c>
    </row>
    <row r="61" spans="1:14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Row],[作品タグ]],"、","|")</f>
        <v>#仟乃宮紫狼</v>
      </c>
      <c r="H61" s="19" t="str">
        <f>テーブル1[[#This Row],[性別]]&amp;""</f>
        <v>男性</v>
      </c>
      <c r="I61" s="19" t="str">
        <f>SUBSTITUTE(テーブル1[[#This Row],[種族タグ]],"、","|")</f>
        <v>使い魔</v>
      </c>
      <c r="J61" s="19" t="str">
        <f>SUBSTITUTE(テーブル1[[#This Row],[モチーフタグ]],"、","|")</f>
        <v>哺乳類</v>
      </c>
      <c r="K61" s="19" t="str">
        <f>SUBSTITUTE(テーブル1[[#This Row],[属性タグ]],"、","|")</f>
        <v/>
      </c>
      <c r="L61" s="19" t="str">
        <f>SUBSTITUTE(テーブル1[[#This Row],[職業タグ]],"、","|")</f>
        <v/>
      </c>
      <c r="M61" s="19" t="str">
        <f>SUBSTITUTE(テーブル1[[#This Row],[小物タグ]],"、","|")</f>
        <v/>
      </c>
      <c r="N61" s="19" t="str">
        <f>SUBSTITUTE(テーブル1[[#This Row],[身体的特徴タグ]],"、","|")</f>
        <v/>
      </c>
    </row>
    <row r="62" spans="1:14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Row],[作品タグ]],"、","|")</f>
        <v>#君の心音は星の音</v>
      </c>
      <c r="H62" s="19" t="str">
        <f>テーブル1[[#This Row],[性別]]&amp;""</f>
        <v/>
      </c>
      <c r="I62" s="19" t="str">
        <f>SUBSTITUTE(テーブル1[[#This Row],[種族タグ]],"、","|")</f>
        <v/>
      </c>
      <c r="J62" s="19" t="str">
        <f>SUBSTITUTE(テーブル1[[#This Row],[モチーフタグ]],"、","|")</f>
        <v/>
      </c>
      <c r="K62" s="19" t="str">
        <f>SUBSTITUTE(テーブル1[[#This Row],[属性タグ]],"、","|")</f>
        <v/>
      </c>
      <c r="L62" s="19" t="str">
        <f>SUBSTITUTE(テーブル1[[#This Row],[職業タグ]],"、","|")</f>
        <v/>
      </c>
      <c r="M62" s="19" t="str">
        <f>SUBSTITUTE(テーブル1[[#This Row],[小物タグ]],"、","|")</f>
        <v/>
      </c>
      <c r="N62" s="19" t="str">
        <f>SUBSTITUTE(テーブル1[[#This Row],[身体的特徴タグ]],"、","|")</f>
        <v/>
      </c>
    </row>
    <row r="63" spans="1:14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Row],[作品タグ]],"、","|")</f>
        <v>#廻音怪譚</v>
      </c>
      <c r="H63" s="19" t="str">
        <f>テーブル1[[#This Row],[性別]]&amp;""</f>
        <v>男性</v>
      </c>
      <c r="I63" s="19" t="str">
        <f>SUBSTITUTE(テーブル1[[#This Row],[種族タグ]],"、","|")</f>
        <v>怪異</v>
      </c>
      <c r="J63" s="19" t="str">
        <f>SUBSTITUTE(テーブル1[[#This Row],[モチーフタグ]],"、","|")</f>
        <v>ドッペルゲンガー</v>
      </c>
      <c r="K63" s="19" t="str">
        <f>SUBSTITUTE(テーブル1[[#This Row],[属性タグ]],"、","|")</f>
        <v/>
      </c>
      <c r="L63" s="19" t="str">
        <f>SUBSTITUTE(テーブル1[[#This Row],[職業タグ]],"、","|")</f>
        <v>教育</v>
      </c>
      <c r="M63" s="19" t="str">
        <f>SUBSTITUTE(テーブル1[[#This Row],[小物タグ]],"、","|")</f>
        <v>耳装備</v>
      </c>
      <c r="N63" s="19" t="str">
        <f>SUBSTITUTE(テーブル1[[#This Row],[身体的特徴タグ]],"、","|")</f>
        <v>髪色|目隠れ</v>
      </c>
    </row>
    <row r="64" spans="1:14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Row],[作品タグ]],"、","|")</f>
        <v>#御茶と歌</v>
      </c>
      <c r="H64" s="19" t="str">
        <f>テーブル1[[#This Row],[性別]]&amp;""</f>
        <v/>
      </c>
      <c r="I64" s="19" t="str">
        <f>SUBSTITUTE(テーブル1[[#This Row],[種族タグ]],"、","|")</f>
        <v/>
      </c>
      <c r="J64" s="19" t="str">
        <f>SUBSTITUTE(テーブル1[[#This Row],[モチーフタグ]],"、","|")</f>
        <v/>
      </c>
      <c r="K64" s="19" t="str">
        <f>SUBSTITUTE(テーブル1[[#This Row],[属性タグ]],"、","|")</f>
        <v/>
      </c>
      <c r="L64" s="19" t="str">
        <f>SUBSTITUTE(テーブル1[[#This Row],[職業タグ]],"、","|")</f>
        <v/>
      </c>
      <c r="M64" s="19" t="str">
        <f>SUBSTITUTE(テーブル1[[#This Row],[小物タグ]],"、","|")</f>
        <v/>
      </c>
      <c r="N64" s="19" t="str">
        <f>SUBSTITUTE(テーブル1[[#This Row],[身体的特徴タグ]],"、","|")</f>
        <v/>
      </c>
    </row>
    <row r="65" spans="1:14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Row],[作品タグ]],"、","|")</f>
        <v>#ichistar</v>
      </c>
      <c r="H65" s="19" t="str">
        <f>テーブル1[[#This Row],[性別]]&amp;""</f>
        <v>男性</v>
      </c>
      <c r="I65" s="19" t="str">
        <f>SUBSTITUTE(テーブル1[[#This Row],[種族タグ]],"、","|")</f>
        <v>機械</v>
      </c>
      <c r="J65" s="19" t="str">
        <f>SUBSTITUTE(テーブル1[[#This Row],[モチーフタグ]],"、","|")</f>
        <v/>
      </c>
      <c r="K65" s="19" t="str">
        <f>SUBSTITUTE(テーブル1[[#This Row],[属性タグ]],"、","|")</f>
        <v/>
      </c>
      <c r="L65" s="19" t="str">
        <f>SUBSTITUTE(テーブル1[[#This Row],[職業タグ]],"、","|")</f>
        <v/>
      </c>
      <c r="M65" s="19" t="str">
        <f>SUBSTITUTE(テーブル1[[#This Row],[小物タグ]],"、","|")</f>
        <v>耳装備</v>
      </c>
      <c r="N65" s="19" t="str">
        <f>SUBSTITUTE(テーブル1[[#This Row],[身体的特徴タグ]],"、","|")</f>
        <v/>
      </c>
    </row>
    <row r="66" spans="1:14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Row],[作品タグ]],"、","|")</f>
        <v>#無中彩声</v>
      </c>
      <c r="H66" s="19" t="str">
        <f>テーブル1[[#This Row],[性別]]&amp;""</f>
        <v>女性</v>
      </c>
      <c r="I66" s="19" t="str">
        <f>SUBSTITUTE(テーブル1[[#This Row],[種族タグ]],"、","|")</f>
        <v>吸血鬼</v>
      </c>
      <c r="J66" s="19" t="str">
        <f>SUBSTITUTE(テーブル1[[#This Row],[モチーフタグ]],"、","|")</f>
        <v/>
      </c>
      <c r="K66" s="19" t="str">
        <f>SUBSTITUTE(テーブル1[[#This Row],[属性タグ]],"、","|")</f>
        <v/>
      </c>
      <c r="L66" s="19" t="str">
        <f>SUBSTITUTE(テーブル1[[#This Row],[職業タグ]],"、","|")</f>
        <v/>
      </c>
      <c r="M66" s="19" t="str">
        <f>SUBSTITUTE(テーブル1[[#This Row],[小物タグ]],"、","|")</f>
        <v/>
      </c>
      <c r="N66" s="19" t="str">
        <f>SUBSTITUTE(テーブル1[[#This Row],[身体的特徴タグ]],"、","|")</f>
        <v>髪型|髪色</v>
      </c>
    </row>
    <row r="67" spans="1:14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Row],[作品タグ]],"、","|")</f>
        <v>#KODOMEROIDO</v>
      </c>
      <c r="H67" s="19" t="str">
        <f>テーブル1[[#This Row],[性別]]&amp;""</f>
        <v/>
      </c>
      <c r="I67" s="19" t="str">
        <f>SUBSTITUTE(テーブル1[[#This Row],[種族タグ]],"、","|")</f>
        <v/>
      </c>
      <c r="J67" s="19" t="str">
        <f>SUBSTITUTE(テーブル1[[#This Row],[モチーフタグ]],"、","|")</f>
        <v/>
      </c>
      <c r="K67" s="19" t="str">
        <f>SUBSTITUTE(テーブル1[[#This Row],[属性タグ]],"、","|")</f>
        <v/>
      </c>
      <c r="L67" s="19" t="str">
        <f>SUBSTITUTE(テーブル1[[#This Row],[職業タグ]],"、","|")</f>
        <v/>
      </c>
      <c r="M67" s="19" t="str">
        <f>SUBSTITUTE(テーブル1[[#This Row],[小物タグ]],"、","|")</f>
        <v/>
      </c>
      <c r="N67" s="19" t="str">
        <f>SUBSTITUTE(テーブル1[[#This Row],[身体的特徴タグ]],"、","|")</f>
        <v/>
      </c>
    </row>
    <row r="68" spans="1:14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Row],[作品タグ]],"、","|")</f>
        <v>#いちみっか</v>
      </c>
      <c r="H68" s="19" t="str">
        <f>テーブル1[[#This Row],[性別]]&amp;""</f>
        <v/>
      </c>
      <c r="I68" s="19" t="str">
        <f>SUBSTITUTE(テーブル1[[#This Row],[種族タグ]],"、","|")</f>
        <v/>
      </c>
      <c r="J68" s="19" t="str">
        <f>SUBSTITUTE(テーブル1[[#This Row],[モチーフタグ]],"、","|")</f>
        <v/>
      </c>
      <c r="K68" s="19" t="str">
        <f>SUBSTITUTE(テーブル1[[#This Row],[属性タグ]],"、","|")</f>
        <v/>
      </c>
      <c r="L68" s="19" t="str">
        <f>SUBSTITUTE(テーブル1[[#This Row],[職業タグ]],"、","|")</f>
        <v/>
      </c>
      <c r="M68" s="19" t="str">
        <f>SUBSTITUTE(テーブル1[[#This Row],[小物タグ]],"、","|")</f>
        <v/>
      </c>
      <c r="N68" s="19" t="str">
        <f>SUBSTITUTE(テーブル1[[#This Row],[身体的特徴タグ]],"、","|")</f>
        <v/>
      </c>
    </row>
    <row r="69" spans="1:14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Row],[作品タグ]],"、","|")</f>
        <v>#べるずわーくす</v>
      </c>
      <c r="H69" s="19" t="str">
        <f>テーブル1[[#This Row],[性別]]&amp;""</f>
        <v/>
      </c>
      <c r="I69" s="19" t="str">
        <f>SUBSTITUTE(テーブル1[[#This Row],[種族タグ]],"、","|")</f>
        <v/>
      </c>
      <c r="J69" s="19" t="str">
        <f>SUBSTITUTE(テーブル1[[#This Row],[モチーフタグ]],"、","|")</f>
        <v/>
      </c>
      <c r="K69" s="19" t="str">
        <f>SUBSTITUTE(テーブル1[[#This Row],[属性タグ]],"、","|")</f>
        <v/>
      </c>
      <c r="L69" s="19" t="str">
        <f>SUBSTITUTE(テーブル1[[#This Row],[職業タグ]],"、","|")</f>
        <v/>
      </c>
      <c r="M69" s="19" t="str">
        <f>SUBSTITUTE(テーブル1[[#This Row],[小物タグ]],"、","|")</f>
        <v/>
      </c>
      <c r="N69" s="19" t="str">
        <f>SUBSTITUTE(テーブル1[[#This Row],[身体的特徴タグ]],"、","|")</f>
        <v/>
      </c>
    </row>
    <row r="70" spans="1:14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Row],[作品タグ]],"、","|")</f>
        <v>#きちゃーと</v>
      </c>
      <c r="H70" s="19" t="str">
        <f>テーブル1[[#This Row],[性別]]&amp;""</f>
        <v/>
      </c>
      <c r="I70" s="19" t="str">
        <f>SUBSTITUTE(テーブル1[[#This Row],[種族タグ]],"、","|")</f>
        <v/>
      </c>
      <c r="J70" s="19" t="str">
        <f>SUBSTITUTE(テーブル1[[#This Row],[モチーフタグ]],"、","|")</f>
        <v/>
      </c>
      <c r="K70" s="19" t="str">
        <f>SUBSTITUTE(テーブル1[[#This Row],[属性タグ]],"、","|")</f>
        <v/>
      </c>
      <c r="L70" s="19" t="str">
        <f>SUBSTITUTE(テーブル1[[#This Row],[職業タグ]],"、","|")</f>
        <v/>
      </c>
      <c r="M70" s="19" t="str">
        <f>SUBSTITUTE(テーブル1[[#This Row],[小物タグ]],"、","|")</f>
        <v/>
      </c>
      <c r="N70" s="19" t="str">
        <f>SUBSTITUTE(テーブル1[[#This Row],[身体的特徴タグ]],"、","|")</f>
        <v/>
      </c>
    </row>
    <row r="71" spans="1:14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Row],[作品タグ]],"、","|")</f>
        <v>#KODOMEROIDO</v>
      </c>
      <c r="H71" s="19" t="str">
        <f>テーブル1[[#This Row],[性別]]&amp;""</f>
        <v/>
      </c>
      <c r="I71" s="19" t="str">
        <f>SUBSTITUTE(テーブル1[[#This Row],[種族タグ]],"、","|")</f>
        <v/>
      </c>
      <c r="J71" s="19" t="str">
        <f>SUBSTITUTE(テーブル1[[#This Row],[モチーフタグ]],"、","|")</f>
        <v/>
      </c>
      <c r="K71" s="19" t="str">
        <f>SUBSTITUTE(テーブル1[[#This Row],[属性タグ]],"、","|")</f>
        <v/>
      </c>
      <c r="L71" s="19" t="str">
        <f>SUBSTITUTE(テーブル1[[#This Row],[職業タグ]],"、","|")</f>
        <v/>
      </c>
      <c r="M71" s="19" t="str">
        <f>SUBSTITUTE(テーブル1[[#This Row],[小物タグ]],"、","|")</f>
        <v/>
      </c>
      <c r="N71" s="19" t="str">
        <f>SUBSTITUTE(テーブル1[[#This Row],[身体的特徴タグ]],"、","|")</f>
        <v/>
      </c>
    </row>
    <row r="72" spans="1:14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Row],[作品タグ]],"、","|")</f>
        <v>#お米炊けたよ</v>
      </c>
      <c r="H72" s="19" t="str">
        <f>テーブル1[[#This Row],[性別]]&amp;""</f>
        <v/>
      </c>
      <c r="I72" s="19" t="str">
        <f>SUBSTITUTE(テーブル1[[#This Row],[種族タグ]],"、","|")</f>
        <v/>
      </c>
      <c r="J72" s="19" t="str">
        <f>SUBSTITUTE(テーブル1[[#This Row],[モチーフタグ]],"、","|")</f>
        <v/>
      </c>
      <c r="K72" s="19" t="str">
        <f>SUBSTITUTE(テーブル1[[#This Row],[属性タグ]],"、","|")</f>
        <v/>
      </c>
      <c r="L72" s="19" t="str">
        <f>SUBSTITUTE(テーブル1[[#This Row],[職業タグ]],"、","|")</f>
        <v/>
      </c>
      <c r="M72" s="19" t="str">
        <f>SUBSTITUTE(テーブル1[[#This Row],[小物タグ]],"、","|")</f>
        <v/>
      </c>
      <c r="N72" s="19" t="str">
        <f>SUBSTITUTE(テーブル1[[#This Row],[身体的特徴タグ]],"、","|")</f>
        <v/>
      </c>
    </row>
    <row r="73" spans="1:14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Row],[作品タグ]],"、","|")</f>
        <v>#お米炊けたよ</v>
      </c>
      <c r="H73" s="19" t="str">
        <f>テーブル1[[#This Row],[性別]]&amp;""</f>
        <v/>
      </c>
      <c r="I73" s="19" t="str">
        <f>SUBSTITUTE(テーブル1[[#This Row],[種族タグ]],"、","|")</f>
        <v/>
      </c>
      <c r="J73" s="19" t="str">
        <f>SUBSTITUTE(テーブル1[[#This Row],[モチーフタグ]],"、","|")</f>
        <v/>
      </c>
      <c r="K73" s="19" t="str">
        <f>SUBSTITUTE(テーブル1[[#This Row],[属性タグ]],"、","|")</f>
        <v/>
      </c>
      <c r="L73" s="19" t="str">
        <f>SUBSTITUTE(テーブル1[[#This Row],[職業タグ]],"、","|")</f>
        <v/>
      </c>
      <c r="M73" s="19" t="str">
        <f>SUBSTITUTE(テーブル1[[#This Row],[小物タグ]],"、","|")</f>
        <v/>
      </c>
      <c r="N73" s="19" t="str">
        <f>SUBSTITUTE(テーブル1[[#This Row],[身体的特徴タグ]],"、","|")</f>
        <v/>
      </c>
    </row>
    <row r="74" spans="1:14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Row],[作品タグ]],"、","|")</f>
        <v>#十駕走行録</v>
      </c>
      <c r="H74" s="19" t="str">
        <f>テーブル1[[#This Row],[性別]]&amp;""</f>
        <v/>
      </c>
      <c r="I74" s="19" t="str">
        <f>SUBSTITUTE(テーブル1[[#This Row],[種族タグ]],"、","|")</f>
        <v/>
      </c>
      <c r="J74" s="19" t="str">
        <f>SUBSTITUTE(テーブル1[[#This Row],[モチーフタグ]],"、","|")</f>
        <v/>
      </c>
      <c r="K74" s="19" t="str">
        <f>SUBSTITUTE(テーブル1[[#This Row],[属性タグ]],"、","|")</f>
        <v/>
      </c>
      <c r="L74" s="19" t="str">
        <f>SUBSTITUTE(テーブル1[[#This Row],[職業タグ]],"、","|")</f>
        <v/>
      </c>
      <c r="M74" s="19" t="str">
        <f>SUBSTITUTE(テーブル1[[#This Row],[小物タグ]],"、","|")</f>
        <v/>
      </c>
      <c r="N74" s="19" t="str">
        <f>SUBSTITUTE(テーブル1[[#This Row],[身体的特徴タグ]],"、","|")</f>
        <v/>
      </c>
    </row>
    <row r="75" spans="1:14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Row],[作品タグ]],"、","|")</f>
        <v>#取音テア</v>
      </c>
      <c r="H75" s="19" t="str">
        <f>テーブル1[[#This Row],[性別]]&amp;""</f>
        <v/>
      </c>
      <c r="I75" s="19" t="str">
        <f>SUBSTITUTE(テーブル1[[#This Row],[種族タグ]],"、","|")</f>
        <v/>
      </c>
      <c r="J75" s="19" t="str">
        <f>SUBSTITUTE(テーブル1[[#This Row],[モチーフタグ]],"、","|")</f>
        <v/>
      </c>
      <c r="K75" s="19" t="str">
        <f>SUBSTITUTE(テーブル1[[#This Row],[属性タグ]],"、","|")</f>
        <v/>
      </c>
      <c r="L75" s="19" t="str">
        <f>SUBSTITUTE(テーブル1[[#This Row],[職業タグ]],"、","|")</f>
        <v/>
      </c>
      <c r="M75" s="19" t="str">
        <f>SUBSTITUTE(テーブル1[[#This Row],[小物タグ]],"、","|")</f>
        <v/>
      </c>
      <c r="N75" s="19" t="str">
        <f>SUBSTITUTE(テーブル1[[#This Row],[身体的特徴タグ]],"、","|")</f>
        <v/>
      </c>
    </row>
    <row r="76" spans="1:14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Row],[作品タグ]],"、","|")</f>
        <v>#セレソー作</v>
      </c>
      <c r="H76" s="19" t="str">
        <f>テーブル1[[#This Row],[性別]]&amp;""</f>
        <v>女性</v>
      </c>
      <c r="I76" s="19" t="str">
        <f>SUBSTITUTE(テーブル1[[#This Row],[種族タグ]],"、","|")</f>
        <v>人形</v>
      </c>
      <c r="J76" s="19" t="str">
        <f>SUBSTITUTE(テーブル1[[#This Row],[モチーフタグ]],"、","|")</f>
        <v/>
      </c>
      <c r="K76" s="19" t="str">
        <f>SUBSTITUTE(テーブル1[[#This Row],[属性タグ]],"、","|")</f>
        <v/>
      </c>
      <c r="L76" s="19" t="str">
        <f>SUBSTITUTE(テーブル1[[#This Row],[職業タグ]],"、","|")</f>
        <v/>
      </c>
      <c r="M76" s="19" t="str">
        <f>SUBSTITUTE(テーブル1[[#This Row],[小物タグ]],"、","|")</f>
        <v>服飾</v>
      </c>
      <c r="N76" s="19" t="str">
        <f>SUBSTITUTE(テーブル1[[#This Row],[身体的特徴タグ]],"、","|")</f>
        <v/>
      </c>
    </row>
    <row r="77" spans="1:14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Row],[作品タグ]],"、","|")</f>
        <v>#ナースロボ_タイプＴ</v>
      </c>
      <c r="H77" s="19" t="str">
        <f>テーブル1[[#This Row],[性別]]&amp;""</f>
        <v/>
      </c>
      <c r="I77" s="19" t="str">
        <f>SUBSTITUTE(テーブル1[[#This Row],[種族タグ]],"、","|")</f>
        <v/>
      </c>
      <c r="J77" s="19" t="str">
        <f>SUBSTITUTE(テーブル1[[#This Row],[モチーフタグ]],"、","|")</f>
        <v/>
      </c>
      <c r="K77" s="19" t="str">
        <f>SUBSTITUTE(テーブル1[[#This Row],[属性タグ]],"、","|")</f>
        <v/>
      </c>
      <c r="L77" s="19" t="str">
        <f>SUBSTITUTE(テーブル1[[#This Row],[職業タグ]],"、","|")</f>
        <v/>
      </c>
      <c r="M77" s="19" t="str">
        <f>SUBSTITUTE(テーブル1[[#This Row],[小物タグ]],"、","|")</f>
        <v/>
      </c>
      <c r="N77" s="19" t="str">
        <f>SUBSTITUTE(テーブル1[[#This Row],[身体的特徴タグ]],"、","|")</f>
        <v/>
      </c>
    </row>
    <row r="78" spans="1:14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Row],[作品タグ]],"、","|")</f>
        <v>#ミジのみち</v>
      </c>
      <c r="H78" s="19" t="str">
        <f>テーブル1[[#This Row],[性別]]&amp;""</f>
        <v/>
      </c>
      <c r="I78" s="19" t="str">
        <f>SUBSTITUTE(テーブル1[[#This Row],[種族タグ]],"、","|")</f>
        <v/>
      </c>
      <c r="J78" s="19" t="str">
        <f>SUBSTITUTE(テーブル1[[#This Row],[モチーフタグ]],"、","|")</f>
        <v/>
      </c>
      <c r="K78" s="19" t="str">
        <f>SUBSTITUTE(テーブル1[[#This Row],[属性タグ]],"、","|")</f>
        <v/>
      </c>
      <c r="L78" s="19" t="str">
        <f>SUBSTITUTE(テーブル1[[#This Row],[職業タグ]],"、","|")</f>
        <v/>
      </c>
      <c r="M78" s="19" t="str">
        <f>SUBSTITUTE(テーブル1[[#This Row],[小物タグ]],"、","|")</f>
        <v/>
      </c>
      <c r="N78" s="19" t="str">
        <f>SUBSTITUTE(テーブル1[[#This Row],[身体的特徴タグ]],"、","|")</f>
        <v/>
      </c>
    </row>
    <row r="79" spans="1:14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Row],[作品タグ]],"、","|")</f>
        <v>#君の心音は星の音</v>
      </c>
      <c r="H79" s="19" t="str">
        <f>テーブル1[[#This Row],[性別]]&amp;""</f>
        <v/>
      </c>
      <c r="I79" s="19" t="str">
        <f>SUBSTITUTE(テーブル1[[#This Row],[種族タグ]],"、","|")</f>
        <v/>
      </c>
      <c r="J79" s="19" t="str">
        <f>SUBSTITUTE(テーブル1[[#This Row],[モチーフタグ]],"、","|")</f>
        <v/>
      </c>
      <c r="K79" s="19" t="str">
        <f>SUBSTITUTE(テーブル1[[#This Row],[属性タグ]],"、","|")</f>
        <v/>
      </c>
      <c r="L79" s="19" t="str">
        <f>SUBSTITUTE(テーブル1[[#This Row],[職業タグ]],"、","|")</f>
        <v/>
      </c>
      <c r="M79" s="19" t="str">
        <f>SUBSTITUTE(テーブル1[[#This Row],[小物タグ]],"、","|")</f>
        <v/>
      </c>
      <c r="N79" s="19" t="str">
        <f>SUBSTITUTE(テーブル1[[#This Row],[身体的特徴タグ]],"、","|")</f>
        <v/>
      </c>
    </row>
    <row r="80" spans="1:14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Row],[作品タグ]],"、","|")</f>
        <v>#猫垣一姫</v>
      </c>
      <c r="H80" s="19" t="str">
        <f>テーブル1[[#This Row],[性別]]&amp;""</f>
        <v>女性</v>
      </c>
      <c r="I80" s="19" t="str">
        <f>SUBSTITUTE(テーブル1[[#This Row],[種族タグ]],"、","|")</f>
        <v>人型</v>
      </c>
      <c r="J80" s="19" t="str">
        <f>SUBSTITUTE(テーブル1[[#This Row],[モチーフタグ]],"、","|")</f>
        <v>哺乳類</v>
      </c>
      <c r="K80" s="19" t="str">
        <f>SUBSTITUTE(テーブル1[[#This Row],[属性タグ]],"、","|")</f>
        <v/>
      </c>
      <c r="L80" s="19" t="str">
        <f>SUBSTITUTE(テーブル1[[#This Row],[職業タグ]],"、","|")</f>
        <v/>
      </c>
      <c r="M80" s="19" t="str">
        <f>SUBSTITUTE(テーブル1[[#This Row],[小物タグ]],"、","|")</f>
        <v>服飾</v>
      </c>
      <c r="N80" s="19" t="str">
        <f>SUBSTITUTE(テーブル1[[#This Row],[身体的特徴タグ]],"、","|")</f>
        <v>耳|尻尾</v>
      </c>
    </row>
    <row r="81" spans="1:14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Row],[作品タグ]],"、","|")</f>
        <v>#撫音小鞠</v>
      </c>
      <c r="H81" s="19" t="str">
        <f>テーブル1[[#This Row],[性別]]&amp;""</f>
        <v/>
      </c>
      <c r="I81" s="19" t="str">
        <f>SUBSTITUTE(テーブル1[[#This Row],[種族タグ]],"、","|")</f>
        <v/>
      </c>
      <c r="J81" s="19" t="str">
        <f>SUBSTITUTE(テーブル1[[#This Row],[モチーフタグ]],"、","|")</f>
        <v/>
      </c>
      <c r="K81" s="19" t="str">
        <f>SUBSTITUTE(テーブル1[[#This Row],[属性タグ]],"、","|")</f>
        <v/>
      </c>
      <c r="L81" s="19" t="str">
        <f>SUBSTITUTE(テーブル1[[#This Row],[職業タグ]],"、","|")</f>
        <v/>
      </c>
      <c r="M81" s="19" t="str">
        <f>SUBSTITUTE(テーブル1[[#This Row],[小物タグ]],"、","|")</f>
        <v/>
      </c>
      <c r="N81" s="19" t="str">
        <f>SUBSTITUTE(テーブル1[[#This Row],[身体的特徴タグ]],"、","|")</f>
        <v/>
      </c>
    </row>
    <row r="82" spans="1:14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Row],[作品タグ]],"、","|")</f>
        <v>#mono_猫耳宇宙服</v>
      </c>
      <c r="H82" s="19" t="str">
        <f>テーブル1[[#This Row],[性別]]&amp;""</f>
        <v>無性別</v>
      </c>
      <c r="I82" s="19" t="str">
        <f>SUBSTITUTE(テーブル1[[#This Row],[種族タグ]],"、","|")</f>
        <v>宇宙人</v>
      </c>
      <c r="J82" s="19" t="str">
        <f>SUBSTITUTE(テーブル1[[#This Row],[モチーフタグ]],"、","|")</f>
        <v>宇宙・天体|哺乳類</v>
      </c>
      <c r="K82" s="19" t="str">
        <f>SUBSTITUTE(テーブル1[[#This Row],[属性タグ]],"、","|")</f>
        <v/>
      </c>
      <c r="L82" s="19" t="str">
        <f>SUBSTITUTE(テーブル1[[#This Row],[職業タグ]],"、","|")</f>
        <v/>
      </c>
      <c r="M82" s="19" t="str">
        <f>SUBSTITUTE(テーブル1[[#This Row],[小物タグ]],"、","|")</f>
        <v/>
      </c>
      <c r="N82" s="19" t="str">
        <f>SUBSTITUTE(テーブル1[[#This Row],[身体的特徴タグ]],"、","|")</f>
        <v>耳|髭|尻尾</v>
      </c>
    </row>
    <row r="83" spans="1:14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Row],[作品タグ]],"、","|")</f>
        <v>#ひつじの寝床</v>
      </c>
      <c r="H83" s="19" t="str">
        <f>テーブル1[[#This Row],[性別]]&amp;""</f>
        <v/>
      </c>
      <c r="I83" s="19" t="str">
        <f>SUBSTITUTE(テーブル1[[#This Row],[種族タグ]],"、","|")</f>
        <v/>
      </c>
      <c r="J83" s="19" t="str">
        <f>SUBSTITUTE(テーブル1[[#This Row],[モチーフタグ]],"、","|")</f>
        <v/>
      </c>
      <c r="K83" s="19" t="str">
        <f>SUBSTITUTE(テーブル1[[#This Row],[属性タグ]],"、","|")</f>
        <v/>
      </c>
      <c r="L83" s="19" t="str">
        <f>SUBSTITUTE(テーブル1[[#This Row],[職業タグ]],"、","|")</f>
        <v/>
      </c>
      <c r="M83" s="19" t="str">
        <f>SUBSTITUTE(テーブル1[[#This Row],[小物タグ]],"、","|")</f>
        <v/>
      </c>
      <c r="N83" s="19" t="str">
        <f>SUBSTITUTE(テーブル1[[#This Row],[身体的特徴タグ]],"、","|")</f>
        <v/>
      </c>
    </row>
    <row r="84" spans="1:14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Row],[作品タグ]],"、","|")</f>
        <v>#ひつじの寝床</v>
      </c>
      <c r="H84" s="19" t="str">
        <f>テーブル1[[#This Row],[性別]]&amp;""</f>
        <v/>
      </c>
      <c r="I84" s="19" t="str">
        <f>SUBSTITUTE(テーブル1[[#This Row],[種族タグ]],"、","|")</f>
        <v/>
      </c>
      <c r="J84" s="19" t="str">
        <f>SUBSTITUTE(テーブル1[[#This Row],[モチーフタグ]],"、","|")</f>
        <v/>
      </c>
      <c r="K84" s="19" t="str">
        <f>SUBSTITUTE(テーブル1[[#This Row],[属性タグ]],"、","|")</f>
        <v/>
      </c>
      <c r="L84" s="19" t="str">
        <f>SUBSTITUTE(テーブル1[[#This Row],[職業タグ]],"、","|")</f>
        <v/>
      </c>
      <c r="M84" s="19" t="str">
        <f>SUBSTITUTE(テーブル1[[#This Row],[小物タグ]],"、","|")</f>
        <v/>
      </c>
      <c r="N84" s="19" t="str">
        <f>SUBSTITUTE(テーブル1[[#This Row],[身体的特徴タグ]],"、","|")</f>
        <v/>
      </c>
    </row>
    <row r="85" spans="1:14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Row],[作品タグ]],"、","|")</f>
        <v>#ねんねこちゃんろぐ</v>
      </c>
      <c r="H85" s="19" t="str">
        <f>テーブル1[[#This Row],[性別]]&amp;""</f>
        <v/>
      </c>
      <c r="I85" s="19" t="str">
        <f>SUBSTITUTE(テーブル1[[#This Row],[種族タグ]],"、","|")</f>
        <v/>
      </c>
      <c r="J85" s="19" t="str">
        <f>SUBSTITUTE(テーブル1[[#This Row],[モチーフタグ]],"、","|")</f>
        <v/>
      </c>
      <c r="K85" s="19" t="str">
        <f>SUBSTITUTE(テーブル1[[#This Row],[属性タグ]],"、","|")</f>
        <v/>
      </c>
      <c r="L85" s="19" t="str">
        <f>SUBSTITUTE(テーブル1[[#This Row],[職業タグ]],"、","|")</f>
        <v/>
      </c>
      <c r="M85" s="19" t="str">
        <f>SUBSTITUTE(テーブル1[[#This Row],[小物タグ]],"、","|")</f>
        <v/>
      </c>
      <c r="N85" s="19" t="str">
        <f>SUBSTITUTE(テーブル1[[#This Row],[身体的特徴タグ]],"、","|")</f>
        <v/>
      </c>
    </row>
    <row r="86" spans="1:14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Row],[作品タグ]],"、","|")</f>
        <v>覗キ視炉(UTAU)</v>
      </c>
      <c r="H86" s="19" t="str">
        <f>テーブル1[[#This Row],[性別]]&amp;""</f>
        <v/>
      </c>
      <c r="I86" s="19" t="str">
        <f>SUBSTITUTE(テーブル1[[#This Row],[種族タグ]],"、","|")</f>
        <v/>
      </c>
      <c r="J86" s="19" t="str">
        <f>SUBSTITUTE(テーブル1[[#This Row],[モチーフタグ]],"、","|")</f>
        <v/>
      </c>
      <c r="K86" s="19" t="str">
        <f>SUBSTITUTE(テーブル1[[#This Row],[属性タグ]],"、","|")</f>
        <v/>
      </c>
      <c r="L86" s="19" t="str">
        <f>SUBSTITUTE(テーブル1[[#This Row],[職業タグ]],"、","|")</f>
        <v/>
      </c>
      <c r="M86" s="19" t="str">
        <f>SUBSTITUTE(テーブル1[[#This Row],[小物タグ]],"、","|")</f>
        <v/>
      </c>
      <c r="N86" s="19" t="str">
        <f>SUBSTITUTE(テーブル1[[#This Row],[身体的特徴タグ]],"、","|")</f>
        <v/>
      </c>
    </row>
    <row r="87" spans="1:14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Row],[作品タグ]],"、","|")</f>
        <v>#セレソー作</v>
      </c>
      <c r="H87" s="19" t="str">
        <f>テーブル1[[#This Row],[性別]]&amp;""</f>
        <v>男性</v>
      </c>
      <c r="I87" s="19" t="str">
        <f>SUBSTITUTE(テーブル1[[#This Row],[種族タグ]],"、","|")</f>
        <v>妖精|双子</v>
      </c>
      <c r="J87" s="19" t="str">
        <f>SUBSTITUTE(テーブル1[[#This Row],[モチーフタグ]],"、","|")</f>
        <v/>
      </c>
      <c r="K87" s="19" t="str">
        <f>SUBSTITUTE(テーブル1[[#This Row],[属性タグ]],"、","|")</f>
        <v/>
      </c>
      <c r="L87" s="19" t="str">
        <f>SUBSTITUTE(テーブル1[[#This Row],[職業タグ]],"、","|")</f>
        <v>舞台・パフォーマンス</v>
      </c>
      <c r="M87" s="19" t="str">
        <f>SUBSTITUTE(テーブル1[[#This Row],[小物タグ]],"、","|")</f>
        <v>服飾</v>
      </c>
      <c r="N87" s="19" t="str">
        <f>SUBSTITUTE(テーブル1[[#This Row],[身体的特徴タグ]],"、","|")</f>
        <v>口元</v>
      </c>
    </row>
    <row r="88" spans="1:14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Row],[作品タグ]],"、","|")</f>
        <v>#セレソー作</v>
      </c>
      <c r="H88" s="19" t="str">
        <f>テーブル1[[#This Row],[性別]]&amp;""</f>
        <v>男性</v>
      </c>
      <c r="I88" s="19" t="str">
        <f>SUBSTITUTE(テーブル1[[#This Row],[種族タグ]],"、","|")</f>
        <v>人間</v>
      </c>
      <c r="J88" s="19" t="str">
        <f>SUBSTITUTE(テーブル1[[#This Row],[モチーフタグ]],"、","|")</f>
        <v/>
      </c>
      <c r="K88" s="19" t="str">
        <f>SUBSTITUTE(テーブル1[[#This Row],[属性タグ]],"、","|")</f>
        <v/>
      </c>
      <c r="L88" s="19" t="str">
        <f>SUBSTITUTE(テーブル1[[#This Row],[職業タグ]],"、","|")</f>
        <v/>
      </c>
      <c r="M88" s="19" t="str">
        <f>SUBSTITUTE(テーブル1[[#This Row],[小物タグ]],"、","|")</f>
        <v>眼部</v>
      </c>
      <c r="N88" s="19" t="str">
        <f>SUBSTITUTE(テーブル1[[#This Row],[身体的特徴タグ]],"、","|")</f>
        <v>目隠れ</v>
      </c>
    </row>
    <row r="89" spans="1:14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Row],[作品タグ]],"、","|")</f>
        <v>#ふきふき見せろ</v>
      </c>
      <c r="H89" s="19" t="str">
        <f>テーブル1[[#This Row],[性別]]&amp;""</f>
        <v/>
      </c>
      <c r="I89" s="19" t="str">
        <f>SUBSTITUTE(テーブル1[[#This Row],[種族タグ]],"、","|")</f>
        <v/>
      </c>
      <c r="J89" s="19" t="str">
        <f>SUBSTITUTE(テーブル1[[#This Row],[モチーフタグ]],"、","|")</f>
        <v/>
      </c>
      <c r="K89" s="19" t="str">
        <f>SUBSTITUTE(テーブル1[[#This Row],[属性タグ]],"、","|")</f>
        <v/>
      </c>
      <c r="L89" s="19" t="str">
        <f>SUBSTITUTE(テーブル1[[#This Row],[職業タグ]],"、","|")</f>
        <v/>
      </c>
      <c r="M89" s="19" t="str">
        <f>SUBSTITUTE(テーブル1[[#This Row],[小物タグ]],"、","|")</f>
        <v/>
      </c>
      <c r="N89" s="19" t="str">
        <f>SUBSTITUTE(テーブル1[[#This Row],[身体的特徴タグ]],"、","|")</f>
        <v/>
      </c>
    </row>
    <row r="90" spans="1:14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Row],[作品タグ]],"、","|")</f>
        <v>#歌継荘</v>
      </c>
      <c r="H90" s="19" t="str">
        <f>テーブル1[[#This Row],[性別]]&amp;""</f>
        <v/>
      </c>
      <c r="I90" s="19" t="str">
        <f>SUBSTITUTE(テーブル1[[#This Row],[種族タグ]],"、","|")</f>
        <v/>
      </c>
      <c r="J90" s="19" t="str">
        <f>SUBSTITUTE(テーブル1[[#This Row],[モチーフタグ]],"、","|")</f>
        <v/>
      </c>
      <c r="K90" s="19" t="str">
        <f>SUBSTITUTE(テーブル1[[#This Row],[属性タグ]],"、","|")</f>
        <v/>
      </c>
      <c r="L90" s="19" t="str">
        <f>SUBSTITUTE(テーブル1[[#This Row],[職業タグ]],"、","|")</f>
        <v/>
      </c>
      <c r="M90" s="19" t="str">
        <f>SUBSTITUTE(テーブル1[[#This Row],[小物タグ]],"、","|")</f>
        <v/>
      </c>
      <c r="N90" s="19" t="str">
        <f>SUBSTITUTE(テーブル1[[#This Row],[身体的特徴タグ]],"、","|")</f>
        <v/>
      </c>
    </row>
    <row r="91" spans="1:14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Row],[作品タグ]],"、","|")</f>
        <v>#星河ティア</v>
      </c>
      <c r="H91" s="19" t="str">
        <f>テーブル1[[#This Row],[性別]]&amp;""</f>
        <v>女性</v>
      </c>
      <c r="I91" s="19" t="str">
        <f>SUBSTITUTE(テーブル1[[#This Row],[種族タグ]],"、","|")</f>
        <v>宇宙人</v>
      </c>
      <c r="J91" s="19" t="str">
        <f>SUBSTITUTE(テーブル1[[#This Row],[モチーフタグ]],"、","|")</f>
        <v/>
      </c>
      <c r="K91" s="19" t="str">
        <f>SUBSTITUTE(テーブル1[[#This Row],[属性タグ]],"、","|")</f>
        <v/>
      </c>
      <c r="L91" s="19" t="str">
        <f>SUBSTITUTE(テーブル1[[#This Row],[職業タグ]],"、","|")</f>
        <v>教育</v>
      </c>
      <c r="M91" s="19" t="str">
        <f>SUBSTITUTE(テーブル1[[#This Row],[小物タグ]],"、","|")</f>
        <v>髪飾り</v>
      </c>
      <c r="N91" s="19" t="str">
        <f>SUBSTITUTE(テーブル1[[#This Row],[身体的特徴タグ]],"、","|")</f>
        <v/>
      </c>
    </row>
    <row r="92" spans="1:14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Row],[作品タグ]],"、","|")</f>
        <v>#星河フレア</v>
      </c>
      <c r="H92" s="19" t="str">
        <f>テーブル1[[#This Row],[性別]]&amp;""</f>
        <v>女性</v>
      </c>
      <c r="I92" s="19" t="str">
        <f>SUBSTITUTE(テーブル1[[#This Row],[種族タグ]],"、","|")</f>
        <v>宇宙人</v>
      </c>
      <c r="J92" s="19" t="str">
        <f>SUBSTITUTE(テーブル1[[#This Row],[モチーフタグ]],"、","|")</f>
        <v/>
      </c>
      <c r="K92" s="19" t="str">
        <f>SUBSTITUTE(テーブル1[[#This Row],[属性タグ]],"、","|")</f>
        <v/>
      </c>
      <c r="L92" s="19" t="str">
        <f>SUBSTITUTE(テーブル1[[#This Row],[職業タグ]],"、","|")</f>
        <v>治安</v>
      </c>
      <c r="M92" s="19" t="str">
        <f>SUBSTITUTE(テーブル1[[#This Row],[小物タグ]],"、","|")</f>
        <v>髪飾り</v>
      </c>
      <c r="N92" s="19" t="str">
        <f>SUBSTITUTE(テーブル1[[#This Row],[身体的特徴タグ]],"、","|")</f>
        <v/>
      </c>
    </row>
    <row r="93" spans="1:14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Row],[作品タグ]],"、","|")</f>
        <v>#星詠ゆめ</v>
      </c>
      <c r="H93" s="19" t="str">
        <f>テーブル1[[#This Row],[性別]]&amp;""</f>
        <v/>
      </c>
      <c r="I93" s="19" t="str">
        <f>SUBSTITUTE(テーブル1[[#This Row],[種族タグ]],"、","|")</f>
        <v/>
      </c>
      <c r="J93" s="19" t="str">
        <f>SUBSTITUTE(テーブル1[[#This Row],[モチーフタグ]],"、","|")</f>
        <v/>
      </c>
      <c r="K93" s="19" t="str">
        <f>SUBSTITUTE(テーブル1[[#This Row],[属性タグ]],"、","|")</f>
        <v/>
      </c>
      <c r="L93" s="19" t="str">
        <f>SUBSTITUTE(テーブル1[[#This Row],[職業タグ]],"、","|")</f>
        <v/>
      </c>
      <c r="M93" s="19" t="str">
        <f>SUBSTITUTE(テーブル1[[#This Row],[小物タグ]],"、","|")</f>
        <v/>
      </c>
      <c r="N93" s="19" t="str">
        <f>SUBSTITUTE(テーブル1[[#This Row],[身体的特徴タグ]],"、","|")</f>
        <v/>
      </c>
    </row>
    <row r="94" spans="1:14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Row],[作品タグ]],"、","|")</f>
        <v>#蛍_UTAU</v>
      </c>
      <c r="H94" s="19" t="str">
        <f>テーブル1[[#This Row],[性別]]&amp;""</f>
        <v>女性</v>
      </c>
      <c r="I94" s="19" t="str">
        <f>SUBSTITUTE(テーブル1[[#This Row],[種族タグ]],"、","|")</f>
        <v>人間</v>
      </c>
      <c r="J94" s="19" t="str">
        <f>SUBSTITUTE(テーブル1[[#This Row],[モチーフタグ]],"、","|")</f>
        <v/>
      </c>
      <c r="K94" s="19" t="str">
        <f>SUBSTITUTE(テーブル1[[#This Row],[属性タグ]],"、","|")</f>
        <v/>
      </c>
      <c r="L94" s="19" t="str">
        <f>SUBSTITUTE(テーブル1[[#This Row],[職業タグ]],"、","|")</f>
        <v>教育</v>
      </c>
      <c r="M94" s="19" t="str">
        <f>SUBSTITUTE(テーブル1[[#This Row],[小物タグ]],"、","|")</f>
        <v/>
      </c>
      <c r="N94" s="19" t="str">
        <f>SUBSTITUTE(テーブル1[[#This Row],[身体的特徴タグ]],"、","|")</f>
        <v/>
      </c>
    </row>
    <row r="95" spans="1:14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Row],[作品タグ]],"、","|")</f>
        <v>#松田っぽいね</v>
      </c>
      <c r="H95" s="19" t="str">
        <f>テーブル1[[#This Row],[性別]]&amp;""</f>
        <v/>
      </c>
      <c r="I95" s="19" t="str">
        <f>SUBSTITUTE(テーブル1[[#This Row],[種族タグ]],"、","|")</f>
        <v/>
      </c>
      <c r="J95" s="19" t="str">
        <f>SUBSTITUTE(テーブル1[[#This Row],[モチーフタグ]],"、","|")</f>
        <v/>
      </c>
      <c r="K95" s="19" t="str">
        <f>SUBSTITUTE(テーブル1[[#This Row],[属性タグ]],"、","|")</f>
        <v/>
      </c>
      <c r="L95" s="19" t="str">
        <f>SUBSTITUTE(テーブル1[[#This Row],[職業タグ]],"、","|")</f>
        <v/>
      </c>
      <c r="M95" s="19" t="str">
        <f>SUBSTITUTE(テーブル1[[#This Row],[小物タグ]],"、","|")</f>
        <v/>
      </c>
      <c r="N95" s="19" t="str">
        <f>SUBSTITUTE(テーブル1[[#This Row],[身体的特徴タグ]],"、","|")</f>
        <v/>
      </c>
    </row>
    <row r="96" spans="1:14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Row],[作品タグ]],"、","|")</f>
        <v>#松田っぽいよ</v>
      </c>
      <c r="H96" s="19" t="str">
        <f>テーブル1[[#This Row],[性別]]&amp;""</f>
        <v/>
      </c>
      <c r="I96" s="19" t="str">
        <f>SUBSTITUTE(テーブル1[[#This Row],[種族タグ]],"、","|")</f>
        <v/>
      </c>
      <c r="J96" s="19" t="str">
        <f>SUBSTITUTE(テーブル1[[#This Row],[モチーフタグ]],"、","|")</f>
        <v/>
      </c>
      <c r="K96" s="19" t="str">
        <f>SUBSTITUTE(テーブル1[[#This Row],[属性タグ]],"、","|")</f>
        <v/>
      </c>
      <c r="L96" s="19" t="str">
        <f>SUBSTITUTE(テーブル1[[#This Row],[職業タグ]],"、","|")</f>
        <v/>
      </c>
      <c r="M96" s="19" t="str">
        <f>SUBSTITUTE(テーブル1[[#This Row],[小物タグ]],"、","|")</f>
        <v/>
      </c>
      <c r="N96" s="19" t="str">
        <f>SUBSTITUTE(テーブル1[[#This Row],[身体的特徴タグ]],"、","|")</f>
        <v/>
      </c>
    </row>
    <row r="97" spans="1:14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Row],[作品タグ]],"、","|")</f>
        <v>#Pietà_</v>
      </c>
      <c r="H97" s="19" t="str">
        <f>テーブル1[[#This Row],[性別]]&amp;""</f>
        <v>女性</v>
      </c>
      <c r="I97" s="19" t="str">
        <f>SUBSTITUTE(テーブル1[[#This Row],[種族タグ]],"、","|")</f>
        <v>人間</v>
      </c>
      <c r="J97" s="19" t="str">
        <f>SUBSTITUTE(テーブル1[[#This Row],[モチーフタグ]],"、","|")</f>
        <v/>
      </c>
      <c r="K97" s="19" t="str">
        <f>SUBSTITUTE(テーブル1[[#This Row],[属性タグ]],"、","|")</f>
        <v/>
      </c>
      <c r="L97" s="19" t="str">
        <f>SUBSTITUTE(テーブル1[[#This Row],[職業タグ]],"、","|")</f>
        <v>裏社会</v>
      </c>
      <c r="M97" s="19" t="str">
        <f>SUBSTITUTE(テーブル1[[#This Row],[小物タグ]],"、","|")</f>
        <v/>
      </c>
      <c r="N97" s="19" t="str">
        <f>SUBSTITUTE(テーブル1[[#This Row],[身体的特徴タグ]],"、","|")</f>
        <v>目隠れ|傷・痕|模様・装飾</v>
      </c>
    </row>
    <row r="98" spans="1:14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Row],[作品タグ]],"、","|")</f>
        <v>#円音春二ノ前</v>
      </c>
      <c r="H98" s="19" t="str">
        <f>テーブル1[[#This Row],[性別]]&amp;""</f>
        <v/>
      </c>
      <c r="I98" s="19" t="str">
        <f>SUBSTITUTE(テーブル1[[#This Row],[種族タグ]],"、","|")</f>
        <v/>
      </c>
      <c r="J98" s="19" t="str">
        <f>SUBSTITUTE(テーブル1[[#This Row],[モチーフタグ]],"、","|")</f>
        <v/>
      </c>
      <c r="K98" s="19" t="str">
        <f>SUBSTITUTE(テーブル1[[#This Row],[属性タグ]],"、","|")</f>
        <v/>
      </c>
      <c r="L98" s="19" t="str">
        <f>SUBSTITUTE(テーブル1[[#This Row],[職業タグ]],"、","|")</f>
        <v/>
      </c>
      <c r="M98" s="19" t="str">
        <f>SUBSTITUTE(テーブル1[[#This Row],[小物タグ]],"、","|")</f>
        <v/>
      </c>
      <c r="N98" s="19" t="str">
        <f>SUBSTITUTE(テーブル1[[#This Row],[身体的特徴タグ]],"、","|")</f>
        <v/>
      </c>
    </row>
    <row r="99" spans="1:14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Row],[作品タグ]],"、","|")</f>
        <v>#折紙食堂</v>
      </c>
      <c r="H99" s="19" t="str">
        <f>テーブル1[[#This Row],[性別]]&amp;""</f>
        <v>男性</v>
      </c>
      <c r="I99" s="19" t="str">
        <f>SUBSTITUTE(テーブル1[[#This Row],[種族タグ]],"、","|")</f>
        <v>人間</v>
      </c>
      <c r="J99" s="19" t="str">
        <f>SUBSTITUTE(テーブル1[[#This Row],[モチーフタグ]],"、","|")</f>
        <v/>
      </c>
      <c r="K99" s="19" t="str">
        <f>SUBSTITUTE(テーブル1[[#This Row],[属性タグ]],"、","|")</f>
        <v/>
      </c>
      <c r="L99" s="19" t="str">
        <f>SUBSTITUTE(テーブル1[[#This Row],[職業タグ]],"、","|")</f>
        <v/>
      </c>
      <c r="M99" s="19" t="str">
        <f>SUBSTITUTE(テーブル1[[#This Row],[小物タグ]],"、","|")</f>
        <v/>
      </c>
      <c r="N99" s="19" t="str">
        <f>SUBSTITUTE(テーブル1[[#This Row],[身体的特徴タグ]],"、","|")</f>
        <v>目</v>
      </c>
    </row>
    <row r="100" spans="1:14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Row],[作品タグ]],"、","|")</f>
        <v>#折紙食堂</v>
      </c>
      <c r="H100" s="19" t="str">
        <f>テーブル1[[#This Row],[性別]]&amp;""</f>
        <v>無性別</v>
      </c>
      <c r="I100" s="19" t="str">
        <f>SUBSTITUTE(テーブル1[[#This Row],[種族タグ]],"、","|")</f>
        <v>人間|長寿</v>
      </c>
      <c r="J100" s="19" t="str">
        <f>SUBSTITUTE(テーブル1[[#This Row],[モチーフタグ]],"、","|")</f>
        <v/>
      </c>
      <c r="K100" s="19" t="str">
        <f>SUBSTITUTE(テーブル1[[#This Row],[属性タグ]],"、","|")</f>
        <v/>
      </c>
      <c r="L100" s="19" t="str">
        <f>SUBSTITUTE(テーブル1[[#This Row],[職業タグ]],"、","|")</f>
        <v>宗教・ファンタジー|舞台・パフォーマンス</v>
      </c>
      <c r="M100" s="19" t="str">
        <f>SUBSTITUTE(テーブル1[[#This Row],[小物タグ]],"、","|")</f>
        <v/>
      </c>
      <c r="N100" s="19" t="str">
        <f>SUBSTITUTE(テーブル1[[#This Row],[身体的特徴タグ]],"、","|")</f>
        <v/>
      </c>
    </row>
    <row r="101" spans="1:14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Row],[作品タグ]],"、","|")</f>
        <v>#みゅみゅあーと</v>
      </c>
      <c r="H101" s="19" t="str">
        <f>テーブル1[[#This Row],[性別]]&amp;""</f>
        <v>女性</v>
      </c>
      <c r="I101" s="19" t="str">
        <f>SUBSTITUTE(テーブル1[[#This Row],[種族タグ]],"、","|")</f>
        <v>吸血鬼</v>
      </c>
      <c r="J101" s="19" t="str">
        <f>SUBSTITUTE(テーブル1[[#This Row],[モチーフタグ]],"、","|")</f>
        <v>哺乳類|植物・自然</v>
      </c>
      <c r="K101" s="19" t="str">
        <f>SUBSTITUTE(テーブル1[[#This Row],[属性タグ]],"、","|")</f>
        <v/>
      </c>
      <c r="L101" s="19" t="str">
        <f>SUBSTITUTE(テーブル1[[#This Row],[職業タグ]],"、","|")</f>
        <v>宗教・ファンタジー</v>
      </c>
      <c r="M101" s="19" t="str">
        <f>SUBSTITUTE(テーブル1[[#This Row],[小物タグ]],"、","|")</f>
        <v>髪飾り</v>
      </c>
      <c r="N101" s="19" t="str">
        <f>SUBSTITUTE(テーブル1[[#This Row],[身体的特徴タグ]],"、","|")</f>
        <v/>
      </c>
    </row>
    <row r="102" spans="1:14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Row],[作品タグ]],"、","|")</f>
        <v>#MQAW</v>
      </c>
      <c r="H102" s="19" t="str">
        <f>テーブル1[[#This Row],[性別]]&amp;""</f>
        <v>男性</v>
      </c>
      <c r="I102" s="19" t="str">
        <f>SUBSTITUTE(テーブル1[[#This Row],[種族タグ]],"、","|")</f>
        <v>機械</v>
      </c>
      <c r="J102" s="19" t="str">
        <f>SUBSTITUTE(テーブル1[[#This Row],[モチーフタグ]],"、","|")</f>
        <v/>
      </c>
      <c r="K102" s="19" t="str">
        <f>SUBSTITUTE(テーブル1[[#This Row],[属性タグ]],"、","|")</f>
        <v/>
      </c>
      <c r="L102" s="19" t="str">
        <f>SUBSTITUTE(テーブル1[[#This Row],[職業タグ]],"、","|")</f>
        <v/>
      </c>
      <c r="M102" s="19" t="str">
        <f>SUBSTITUTE(テーブル1[[#This Row],[小物タグ]],"、","|")</f>
        <v>眼部</v>
      </c>
      <c r="N102" s="19" t="str">
        <f>SUBSTITUTE(テーブル1[[#This Row],[身体的特徴タグ]],"、","|")</f>
        <v>目隠れ</v>
      </c>
    </row>
    <row r="103" spans="1:14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Row],[作品タグ]],"、","|")</f>
        <v>#闇塚亭</v>
      </c>
      <c r="H103" s="19" t="str">
        <f>テーブル1[[#This Row],[性別]]&amp;""</f>
        <v/>
      </c>
      <c r="I103" s="19" t="str">
        <f>SUBSTITUTE(テーブル1[[#This Row],[種族タグ]],"、","|")</f>
        <v/>
      </c>
      <c r="J103" s="19" t="str">
        <f>SUBSTITUTE(テーブル1[[#This Row],[モチーフタグ]],"、","|")</f>
        <v/>
      </c>
      <c r="K103" s="19" t="str">
        <f>SUBSTITUTE(テーブル1[[#This Row],[属性タグ]],"、","|")</f>
        <v/>
      </c>
      <c r="L103" s="19" t="str">
        <f>SUBSTITUTE(テーブル1[[#This Row],[職業タグ]],"、","|")</f>
        <v/>
      </c>
      <c r="M103" s="19" t="str">
        <f>SUBSTITUTE(テーブル1[[#This Row],[小物タグ]],"、","|")</f>
        <v/>
      </c>
      <c r="N103" s="19" t="str">
        <f>SUBSTITUTE(テーブル1[[#This Row],[身体的特徴タグ]],"、","|")</f>
        <v/>
      </c>
    </row>
    <row r="104" spans="1:14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Row],[作品タグ]],"、","|")</f>
        <v>#泡沫古書店</v>
      </c>
      <c r="H104" s="19" t="str">
        <f>テーブル1[[#This Row],[性別]]&amp;""</f>
        <v>男性</v>
      </c>
      <c r="I104" s="19" t="str">
        <f>SUBSTITUTE(テーブル1[[#This Row],[種族タグ]],"、","|")</f>
        <v>人間</v>
      </c>
      <c r="J104" s="19" t="str">
        <f>SUBSTITUTE(テーブル1[[#This Row],[モチーフタグ]],"、","|")</f>
        <v/>
      </c>
      <c r="K104" s="19" t="str">
        <f>SUBSTITUTE(テーブル1[[#This Row],[属性タグ]],"、","|")</f>
        <v/>
      </c>
      <c r="L104" s="19" t="str">
        <f>SUBSTITUTE(テーブル1[[#This Row],[職業タグ]],"、","|")</f>
        <v>接客・販売</v>
      </c>
      <c r="M104" s="19" t="str">
        <f>SUBSTITUTE(テーブル1[[#This Row],[小物タグ]],"、","|")</f>
        <v>眼部</v>
      </c>
      <c r="N104" s="19" t="str">
        <f>SUBSTITUTE(テーブル1[[#This Row],[身体的特徴タグ]],"、","|")</f>
        <v/>
      </c>
    </row>
    <row r="105" spans="1:14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Row],[作品タグ]],"、","|")</f>
        <v>#観測レポートを共有します</v>
      </c>
      <c r="H105" s="19" t="str">
        <f>テーブル1[[#This Row],[性別]]&amp;""</f>
        <v/>
      </c>
      <c r="I105" s="19" t="str">
        <f>SUBSTITUTE(テーブル1[[#This Row],[種族タグ]],"、","|")</f>
        <v/>
      </c>
      <c r="J105" s="19" t="str">
        <f>SUBSTITUTE(テーブル1[[#This Row],[モチーフタグ]],"、","|")</f>
        <v/>
      </c>
      <c r="K105" s="19" t="str">
        <f>SUBSTITUTE(テーブル1[[#This Row],[属性タグ]],"、","|")</f>
        <v/>
      </c>
      <c r="L105" s="19" t="str">
        <f>SUBSTITUTE(テーブル1[[#This Row],[職業タグ]],"、","|")</f>
        <v/>
      </c>
      <c r="M105" s="19" t="str">
        <f>SUBSTITUTE(テーブル1[[#This Row],[小物タグ]],"、","|")</f>
        <v/>
      </c>
      <c r="N105" s="19" t="str">
        <f>SUBSTITUTE(テーブル1[[#This Row],[身体的特徴タグ]],"、","|")</f>
        <v/>
      </c>
    </row>
    <row r="106" spans="1:14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Row],[作品タグ]],"、","|")</f>
        <v>#欲音ルコ</v>
      </c>
      <c r="H106" s="19" t="str">
        <f>テーブル1[[#This Row],[性別]]&amp;""</f>
        <v/>
      </c>
      <c r="I106" s="19" t="str">
        <f>SUBSTITUTE(テーブル1[[#This Row],[種族タグ]],"、","|")</f>
        <v/>
      </c>
      <c r="J106" s="19" t="str">
        <f>SUBSTITUTE(テーブル1[[#This Row],[モチーフタグ]],"、","|")</f>
        <v/>
      </c>
      <c r="K106" s="19" t="str">
        <f>SUBSTITUTE(テーブル1[[#This Row],[属性タグ]],"、","|")</f>
        <v/>
      </c>
      <c r="L106" s="19" t="str">
        <f>SUBSTITUTE(テーブル1[[#This Row],[職業タグ]],"、","|")</f>
        <v/>
      </c>
      <c r="M106" s="19" t="str">
        <f>SUBSTITUTE(テーブル1[[#This Row],[小物タグ]],"、","|")</f>
        <v/>
      </c>
      <c r="N106" s="19" t="str">
        <f>SUBSTITUTE(テーブル1[[#This Row],[身体的特徴タグ]],"、","|")</f>
        <v/>
      </c>
    </row>
    <row r="107" spans="1:14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Row],[作品タグ]],"、","|")</f>
        <v>#Pietà_</v>
      </c>
      <c r="H107" s="19" t="str">
        <f>テーブル1[[#This Row],[性別]]&amp;""</f>
        <v>女性</v>
      </c>
      <c r="I107" s="19" t="str">
        <f>SUBSTITUTE(テーブル1[[#This Row],[種族タグ]],"、","|")</f>
        <v>天使|長寿</v>
      </c>
      <c r="J107" s="19" t="str">
        <f>SUBSTITUTE(テーブル1[[#This Row],[モチーフタグ]],"、","|")</f>
        <v/>
      </c>
      <c r="K107" s="19" t="str">
        <f>SUBSTITUTE(テーブル1[[#This Row],[属性タグ]],"、","|")</f>
        <v/>
      </c>
      <c r="L107" s="19" t="str">
        <f>SUBSTITUTE(テーブル1[[#This Row],[職業タグ]],"、","|")</f>
        <v>医療・支援</v>
      </c>
      <c r="M107" s="19" t="str">
        <f>SUBSTITUTE(テーブル1[[#This Row],[小物タグ]],"、","|")</f>
        <v>ヘイロー|首装飾</v>
      </c>
      <c r="N107" s="19" t="str">
        <f>SUBSTITUTE(テーブル1[[#This Row],[身体的特徴タグ]],"、","|")</f>
        <v>髪色|目隠れ</v>
      </c>
    </row>
    <row r="108" spans="1:14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Row],[作品タグ]],"、","|")</f>
        <v>#どっかのラララボ</v>
      </c>
      <c r="H108" s="19" t="str">
        <f>テーブル1[[#This Row],[性別]]&amp;""</f>
        <v/>
      </c>
      <c r="I108" s="19" t="str">
        <f>SUBSTITUTE(テーブル1[[#This Row],[種族タグ]],"、","|")</f>
        <v/>
      </c>
      <c r="J108" s="19" t="str">
        <f>SUBSTITUTE(テーブル1[[#This Row],[モチーフタグ]],"、","|")</f>
        <v/>
      </c>
      <c r="K108" s="19" t="str">
        <f>SUBSTITUTE(テーブル1[[#This Row],[属性タグ]],"、","|")</f>
        <v/>
      </c>
      <c r="L108" s="19" t="str">
        <f>SUBSTITUTE(テーブル1[[#This Row],[職業タグ]],"、","|")</f>
        <v/>
      </c>
      <c r="M108" s="19" t="str">
        <f>SUBSTITUTE(テーブル1[[#This Row],[小物タグ]],"、","|")</f>
        <v/>
      </c>
      <c r="N108" s="19" t="str">
        <f>SUBSTITUTE(テーブル1[[#This Row],[身体的特徴タグ]],"、","|")</f>
        <v/>
      </c>
    </row>
    <row r="109" spans="1:14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Row],[作品タグ]],"、","|")</f>
        <v>#セレソー作</v>
      </c>
      <c r="H109" s="19" t="str">
        <f>テーブル1[[#This Row],[性別]]&amp;""</f>
        <v>男性</v>
      </c>
      <c r="I109" s="19" t="str">
        <f>SUBSTITUTE(テーブル1[[#This Row],[種族タグ]],"、","|")</f>
        <v>機械</v>
      </c>
      <c r="J109" s="19" t="str">
        <f>SUBSTITUTE(テーブル1[[#This Row],[モチーフタグ]],"、","|")</f>
        <v/>
      </c>
      <c r="K109" s="19" t="str">
        <f>SUBSTITUTE(テーブル1[[#This Row],[属性タグ]],"、","|")</f>
        <v/>
      </c>
      <c r="L109" s="19" t="str">
        <f>SUBSTITUTE(テーブル1[[#This Row],[職業タグ]],"、","|")</f>
        <v>使用人・家事</v>
      </c>
      <c r="M109" s="19" t="str">
        <f>SUBSTITUTE(テーブル1[[#This Row],[小物タグ]],"、","|")</f>
        <v/>
      </c>
      <c r="N109" s="19" t="str">
        <f>SUBSTITUTE(テーブル1[[#This Row],[身体的特徴タグ]],"、","|")</f>
        <v>目</v>
      </c>
    </row>
    <row r="110" spans="1:14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Row],[作品タグ]],"、","|")</f>
        <v>#グリーンミルキー</v>
      </c>
      <c r="H110" s="19" t="str">
        <f>テーブル1[[#This Row],[性別]]&amp;""</f>
        <v>男性</v>
      </c>
      <c r="I110" s="19" t="str">
        <f>SUBSTITUTE(テーブル1[[#This Row],[種族タグ]],"、","|")</f>
        <v/>
      </c>
      <c r="J110" s="19" t="str">
        <f>SUBSTITUTE(テーブル1[[#This Row],[モチーフタグ]],"、","|")</f>
        <v/>
      </c>
      <c r="K110" s="19" t="str">
        <f>SUBSTITUTE(テーブル1[[#This Row],[属性タグ]],"、","|")</f>
        <v/>
      </c>
      <c r="L110" s="19" t="str">
        <f>SUBSTITUTE(テーブル1[[#This Row],[職業タグ]],"、","|")</f>
        <v/>
      </c>
      <c r="M110" s="19" t="str">
        <f>SUBSTITUTE(テーブル1[[#This Row],[小物タグ]],"、","|")</f>
        <v/>
      </c>
      <c r="N110" s="19" t="str">
        <f>SUBSTITUTE(テーブル1[[#This Row],[身体的特徴タグ]],"、","|")</f>
        <v>模様・装飾</v>
      </c>
    </row>
    <row r="111" spans="1:14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Row],[作品タグ]],"、","|")</f>
        <v>#ツキノファミリー</v>
      </c>
      <c r="H111" s="19" t="str">
        <f>テーブル1[[#This Row],[性別]]&amp;""</f>
        <v/>
      </c>
      <c r="I111" s="19" t="str">
        <f>SUBSTITUTE(テーブル1[[#This Row],[種族タグ]],"、","|")</f>
        <v/>
      </c>
      <c r="J111" s="19" t="str">
        <f>SUBSTITUTE(テーブル1[[#This Row],[モチーフタグ]],"、","|")</f>
        <v/>
      </c>
      <c r="K111" s="19" t="str">
        <f>SUBSTITUTE(テーブル1[[#This Row],[属性タグ]],"、","|")</f>
        <v/>
      </c>
      <c r="L111" s="19" t="str">
        <f>SUBSTITUTE(テーブル1[[#This Row],[職業タグ]],"、","|")</f>
        <v/>
      </c>
      <c r="M111" s="19" t="str">
        <f>SUBSTITUTE(テーブル1[[#This Row],[小物タグ]],"、","|")</f>
        <v/>
      </c>
      <c r="N111" s="19" t="str">
        <f>SUBSTITUTE(テーブル1[[#This Row],[身体的特徴タグ]],"、","|")</f>
        <v/>
      </c>
    </row>
    <row r="112" spans="1:14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Row],[作品タグ]],"、","|")</f>
        <v>#歌う雨やどり</v>
      </c>
      <c r="H112" s="19" t="str">
        <f>テーブル1[[#This Row],[性別]]&amp;""</f>
        <v>男性</v>
      </c>
      <c r="I112" s="19" t="str">
        <f>SUBSTITUTE(テーブル1[[#This Row],[種族タグ]],"、","|")</f>
        <v>機械</v>
      </c>
      <c r="J112" s="19" t="str">
        <f>SUBSTITUTE(テーブル1[[#This Row],[モチーフタグ]],"、","|")</f>
        <v/>
      </c>
      <c r="K112" s="19" t="str">
        <f>SUBSTITUTE(テーブル1[[#This Row],[属性タグ]],"、","|")</f>
        <v/>
      </c>
      <c r="L112" s="19" t="str">
        <f>SUBSTITUTE(テーブル1[[#This Row],[職業タグ]],"、","|")</f>
        <v>教育</v>
      </c>
      <c r="M112" s="19" t="str">
        <f>SUBSTITUTE(テーブル1[[#This Row],[小物タグ]],"、","|")</f>
        <v>眼部</v>
      </c>
      <c r="N112" s="19" t="str">
        <f>SUBSTITUTE(テーブル1[[#This Row],[身体的特徴タグ]],"、","|")</f>
        <v>目隠れ</v>
      </c>
    </row>
    <row r="113" spans="1:14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Row],[作品タグ]],"、","|")</f>
        <v>#神様の足元</v>
      </c>
      <c r="H113" s="19" t="str">
        <f>テーブル1[[#This Row],[性別]]&amp;""</f>
        <v>女性</v>
      </c>
      <c r="I113" s="19" t="str">
        <f>SUBSTITUTE(テーブル1[[#This Row],[種族タグ]],"、","|")</f>
        <v>人間</v>
      </c>
      <c r="J113" s="19" t="str">
        <f>SUBSTITUTE(テーブル1[[#This Row],[モチーフタグ]],"、","|")</f>
        <v/>
      </c>
      <c r="K113" s="19" t="str">
        <f>SUBSTITUTE(テーブル1[[#This Row],[属性タグ]],"、","|")</f>
        <v/>
      </c>
      <c r="L113" s="19" t="str">
        <f>SUBSTITUTE(テーブル1[[#This Row],[職業タグ]],"、","|")</f>
        <v>服飾・ファッション</v>
      </c>
      <c r="M113" s="19" t="str">
        <f>SUBSTITUTE(テーブル1[[#This Row],[小物タグ]],"、","|")</f>
        <v>ヘイロー|髪飾り</v>
      </c>
      <c r="N113" s="19" t="str">
        <f>SUBSTITUTE(テーブル1[[#This Row],[身体的特徴タグ]],"、","|")</f>
        <v>翼|耳|口元</v>
      </c>
    </row>
    <row r="114" spans="1:14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Row],[作品タグ]],"、","|")</f>
        <v>#べるずわーくす</v>
      </c>
      <c r="H114" s="19" t="str">
        <f>テーブル1[[#This Row],[性別]]&amp;""</f>
        <v/>
      </c>
      <c r="I114" s="19" t="str">
        <f>SUBSTITUTE(テーブル1[[#This Row],[種族タグ]],"、","|")</f>
        <v/>
      </c>
      <c r="J114" s="19" t="str">
        <f>SUBSTITUTE(テーブル1[[#This Row],[モチーフタグ]],"、","|")</f>
        <v/>
      </c>
      <c r="K114" s="19" t="str">
        <f>SUBSTITUTE(テーブル1[[#This Row],[属性タグ]],"、","|")</f>
        <v/>
      </c>
      <c r="L114" s="19" t="str">
        <f>SUBSTITUTE(テーブル1[[#This Row],[職業タグ]],"、","|")</f>
        <v/>
      </c>
      <c r="M114" s="19" t="str">
        <f>SUBSTITUTE(テーブル1[[#This Row],[小物タグ]],"、","|")</f>
        <v/>
      </c>
      <c r="N114" s="19" t="str">
        <f>SUBSTITUTE(テーブル1[[#This Row],[身体的特徴タグ]],"、","|")</f>
        <v/>
      </c>
    </row>
    <row r="115" spans="1:14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Row],[作品タグ]],"、","|")</f>
        <v>飯音モグ(UTAU)</v>
      </c>
      <c r="H115" s="19" t="str">
        <f>テーブル1[[#This Row],[性別]]&amp;""</f>
        <v/>
      </c>
      <c r="I115" s="19" t="str">
        <f>SUBSTITUTE(テーブル1[[#This Row],[種族タグ]],"、","|")</f>
        <v/>
      </c>
      <c r="J115" s="19" t="str">
        <f>SUBSTITUTE(テーブル1[[#This Row],[モチーフタグ]],"、","|")</f>
        <v/>
      </c>
      <c r="K115" s="19" t="str">
        <f>SUBSTITUTE(テーブル1[[#This Row],[属性タグ]],"、","|")</f>
        <v/>
      </c>
      <c r="L115" s="19" t="str">
        <f>SUBSTITUTE(テーブル1[[#This Row],[職業タグ]],"、","|")</f>
        <v/>
      </c>
      <c r="M115" s="19" t="str">
        <f>SUBSTITUTE(テーブル1[[#This Row],[小物タグ]],"、","|")</f>
        <v/>
      </c>
      <c r="N115" s="19" t="str">
        <f>SUBSTITUTE(テーブル1[[#This Row],[身体的特徴タグ]],"、","|")</f>
        <v/>
      </c>
    </row>
    <row r="116" spans="1:14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Row],[作品タグ]],"、","|")</f>
        <v>#はなときつねごと|#十二ノ刻</v>
      </c>
      <c r="H116" s="19" t="str">
        <f>テーブル1[[#This Row],[性別]]&amp;""</f>
        <v/>
      </c>
      <c r="I116" s="19" t="str">
        <f>SUBSTITUTE(テーブル1[[#This Row],[種族タグ]],"、","|")</f>
        <v/>
      </c>
      <c r="J116" s="19" t="str">
        <f>SUBSTITUTE(テーブル1[[#This Row],[モチーフタグ]],"、","|")</f>
        <v/>
      </c>
      <c r="K116" s="19" t="str">
        <f>SUBSTITUTE(テーブル1[[#This Row],[属性タグ]],"、","|")</f>
        <v/>
      </c>
      <c r="L116" s="19" t="str">
        <f>SUBSTITUTE(テーブル1[[#This Row],[職業タグ]],"、","|")</f>
        <v/>
      </c>
      <c r="M116" s="19" t="str">
        <f>SUBSTITUTE(テーブル1[[#This Row],[小物タグ]],"、","|")</f>
        <v/>
      </c>
      <c r="N116" s="19" t="str">
        <f>SUBSTITUTE(テーブル1[[#This Row],[身体的特徴タグ]],"、","|")</f>
        <v/>
      </c>
    </row>
    <row r="117" spans="1:14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Row],[作品タグ]],"、","|")</f>
        <v>#神様の足元</v>
      </c>
      <c r="H117" s="19" t="str">
        <f>テーブル1[[#This Row],[性別]]&amp;""</f>
        <v>男性</v>
      </c>
      <c r="I117" s="19" t="str">
        <f>SUBSTITUTE(テーブル1[[#This Row],[種族タグ]],"、","|")</f>
        <v>人間|機械</v>
      </c>
      <c r="J117" s="19" t="str">
        <f>SUBSTITUTE(テーブル1[[#This Row],[モチーフタグ]],"、","|")</f>
        <v>機械・道具</v>
      </c>
      <c r="K117" s="19" t="str">
        <f>SUBSTITUTE(テーブル1[[#This Row],[属性タグ]],"、","|")</f>
        <v/>
      </c>
      <c r="L117" s="19" t="str">
        <f>SUBSTITUTE(テーブル1[[#This Row],[職業タグ]],"、","|")</f>
        <v>科学・技術</v>
      </c>
      <c r="M117" s="19" t="str">
        <f>SUBSTITUTE(テーブル1[[#This Row],[小物タグ]],"、","|")</f>
        <v>耳装備</v>
      </c>
      <c r="N117" s="19" t="str">
        <f>SUBSTITUTE(テーブル1[[#This Row],[身体的特徴タグ]],"、","|")</f>
        <v>髪色|尻尾</v>
      </c>
    </row>
    <row r="118" spans="1:14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Row],[作品タグ]],"、","|")</f>
        <v>#べるずわーくす</v>
      </c>
      <c r="H118" s="19" t="str">
        <f>テーブル1[[#This Row],[性別]]&amp;""</f>
        <v/>
      </c>
      <c r="I118" s="19" t="str">
        <f>SUBSTITUTE(テーブル1[[#This Row],[種族タグ]],"、","|")</f>
        <v/>
      </c>
      <c r="J118" s="19" t="str">
        <f>SUBSTITUTE(テーブル1[[#This Row],[モチーフタグ]],"、","|")</f>
        <v/>
      </c>
      <c r="K118" s="19" t="str">
        <f>SUBSTITUTE(テーブル1[[#This Row],[属性タグ]],"、","|")</f>
        <v/>
      </c>
      <c r="L118" s="19" t="str">
        <f>SUBSTITUTE(テーブル1[[#This Row],[職業タグ]],"、","|")</f>
        <v/>
      </c>
      <c r="M118" s="19" t="str">
        <f>SUBSTITUTE(テーブル1[[#This Row],[小物タグ]],"、","|")</f>
        <v/>
      </c>
      <c r="N118" s="19" t="str">
        <f>SUBSTITUTE(テーブル1[[#This Row],[身体的特徴タグ]],"、","|")</f>
        <v/>
      </c>
    </row>
    <row r="119" spans="1:14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Row],[作品タグ]],"、","|")</f>
        <v>#硫黄荘音源</v>
      </c>
      <c r="H119" s="19" t="str">
        <f>テーブル1[[#This Row],[性別]]&amp;""</f>
        <v/>
      </c>
      <c r="I119" s="19" t="str">
        <f>SUBSTITUTE(テーブル1[[#This Row],[種族タグ]],"、","|")</f>
        <v/>
      </c>
      <c r="J119" s="19" t="str">
        <f>SUBSTITUTE(テーブル1[[#This Row],[モチーフタグ]],"、","|")</f>
        <v/>
      </c>
      <c r="K119" s="19" t="str">
        <f>SUBSTITUTE(テーブル1[[#This Row],[属性タグ]],"、","|")</f>
        <v/>
      </c>
      <c r="L119" s="19" t="str">
        <f>SUBSTITUTE(テーブル1[[#This Row],[職業タグ]],"、","|")</f>
        <v/>
      </c>
      <c r="M119" s="19" t="str">
        <f>SUBSTITUTE(テーブル1[[#This Row],[小物タグ]],"、","|")</f>
        <v/>
      </c>
      <c r="N119" s="19" t="str">
        <f>SUBSTITUTE(テーブル1[[#This Row],[身体的特徴タグ]],"、","|")</f>
        <v/>
      </c>
    </row>
    <row r="120" spans="1:14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Row],[作品タグ]],"、","|")</f>
        <v>#べるずわーくす</v>
      </c>
      <c r="H120" s="19" t="str">
        <f>テーブル1[[#This Row],[性別]]&amp;""</f>
        <v/>
      </c>
      <c r="I120" s="19" t="str">
        <f>SUBSTITUTE(テーブル1[[#This Row],[種族タグ]],"、","|")</f>
        <v/>
      </c>
      <c r="J120" s="19" t="str">
        <f>SUBSTITUTE(テーブル1[[#This Row],[モチーフタグ]],"、","|")</f>
        <v/>
      </c>
      <c r="K120" s="19" t="str">
        <f>SUBSTITUTE(テーブル1[[#This Row],[属性タグ]],"、","|")</f>
        <v/>
      </c>
      <c r="L120" s="19" t="str">
        <f>SUBSTITUTE(テーブル1[[#This Row],[職業タグ]],"、","|")</f>
        <v/>
      </c>
      <c r="M120" s="19" t="str">
        <f>SUBSTITUTE(テーブル1[[#This Row],[小物タグ]],"、","|")</f>
        <v/>
      </c>
      <c r="N120" s="19" t="str">
        <f>SUBSTITUTE(テーブル1[[#This Row],[身体的特徴タグ]],"、","|")</f>
        <v/>
      </c>
    </row>
    <row r="121" spans="1:14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Row],[作品タグ]],"、","|")</f>
        <v>#紫陽花ノ楽譜ト</v>
      </c>
      <c r="H121" s="19" t="str">
        <f>テーブル1[[#This Row],[性別]]&amp;""</f>
        <v/>
      </c>
      <c r="I121" s="19" t="str">
        <f>SUBSTITUTE(テーブル1[[#This Row],[種族タグ]],"、","|")</f>
        <v/>
      </c>
      <c r="J121" s="19" t="str">
        <f>SUBSTITUTE(テーブル1[[#This Row],[モチーフタグ]],"、","|")</f>
        <v/>
      </c>
      <c r="K121" s="19" t="str">
        <f>SUBSTITUTE(テーブル1[[#This Row],[属性タグ]],"、","|")</f>
        <v/>
      </c>
      <c r="L121" s="19" t="str">
        <f>SUBSTITUTE(テーブル1[[#This Row],[職業タグ]],"、","|")</f>
        <v/>
      </c>
      <c r="M121" s="19" t="str">
        <f>SUBSTITUTE(テーブル1[[#This Row],[小物タグ]],"、","|")</f>
        <v/>
      </c>
      <c r="N121" s="19" t="str">
        <f>SUBSTITUTE(テーブル1[[#This Row],[身体的特徴タグ]],"、","|")</f>
        <v/>
      </c>
    </row>
    <row r="122" spans="1:14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Row],[作品タグ]],"、","|")</f>
        <v>#狂威家</v>
      </c>
      <c r="H122" s="19" t="str">
        <f>テーブル1[[#This Row],[性別]]&amp;""</f>
        <v/>
      </c>
      <c r="I122" s="19" t="str">
        <f>SUBSTITUTE(テーブル1[[#This Row],[種族タグ]],"、","|")</f>
        <v/>
      </c>
      <c r="J122" s="19" t="str">
        <f>SUBSTITUTE(テーブル1[[#This Row],[モチーフタグ]],"、","|")</f>
        <v/>
      </c>
      <c r="K122" s="19" t="str">
        <f>SUBSTITUTE(テーブル1[[#This Row],[属性タグ]],"、","|")</f>
        <v/>
      </c>
      <c r="L122" s="19" t="str">
        <f>SUBSTITUTE(テーブル1[[#This Row],[職業タグ]],"、","|")</f>
        <v/>
      </c>
      <c r="M122" s="19" t="str">
        <f>SUBSTITUTE(テーブル1[[#This Row],[小物タグ]],"、","|")</f>
        <v/>
      </c>
      <c r="N122" s="19" t="str">
        <f>SUBSTITUTE(テーブル1[[#This Row],[身体的特徴タグ]],"、","|")</f>
        <v/>
      </c>
    </row>
    <row r="123" spans="1:14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Row],[作品タグ]],"、","|")</f>
        <v>#べるずわーくす</v>
      </c>
      <c r="H123" s="19" t="str">
        <f>テーブル1[[#This Row],[性別]]&amp;""</f>
        <v/>
      </c>
      <c r="I123" s="19" t="str">
        <f>SUBSTITUTE(テーブル1[[#This Row],[種族タグ]],"、","|")</f>
        <v/>
      </c>
      <c r="J123" s="19" t="str">
        <f>SUBSTITUTE(テーブル1[[#This Row],[モチーフタグ]],"、","|")</f>
        <v/>
      </c>
      <c r="K123" s="19" t="str">
        <f>SUBSTITUTE(テーブル1[[#This Row],[属性タグ]],"、","|")</f>
        <v/>
      </c>
      <c r="L123" s="19" t="str">
        <f>SUBSTITUTE(テーブル1[[#This Row],[職業タグ]],"、","|")</f>
        <v/>
      </c>
      <c r="M123" s="19" t="str">
        <f>SUBSTITUTE(テーブル1[[#This Row],[小物タグ]],"、","|")</f>
        <v/>
      </c>
      <c r="N123" s="19" t="str">
        <f>SUBSTITUTE(テーブル1[[#This Row],[身体的特徴タグ]],"、","|")</f>
        <v/>
      </c>
    </row>
    <row r="124" spans="1:14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Row],[作品タグ]],"、","|")</f>
        <v>#観測レポートを共有します</v>
      </c>
      <c r="H124" s="19" t="str">
        <f>テーブル1[[#This Row],[性別]]&amp;""</f>
        <v/>
      </c>
      <c r="I124" s="19" t="str">
        <f>SUBSTITUTE(テーブル1[[#This Row],[種族タグ]],"、","|")</f>
        <v/>
      </c>
      <c r="J124" s="19" t="str">
        <f>SUBSTITUTE(テーブル1[[#This Row],[モチーフタグ]],"、","|")</f>
        <v/>
      </c>
      <c r="K124" s="19" t="str">
        <f>SUBSTITUTE(テーブル1[[#This Row],[属性タグ]],"、","|")</f>
        <v/>
      </c>
      <c r="L124" s="19" t="str">
        <f>SUBSTITUTE(テーブル1[[#This Row],[職業タグ]],"、","|")</f>
        <v/>
      </c>
      <c r="M124" s="19" t="str">
        <f>SUBSTITUTE(テーブル1[[#This Row],[小物タグ]],"、","|")</f>
        <v/>
      </c>
      <c r="N124" s="19" t="str">
        <f>SUBSTITUTE(テーブル1[[#This Row],[身体的特徴タグ]],"、","|")</f>
        <v/>
      </c>
    </row>
    <row r="125" spans="1:14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Row],[作品タグ]],"、","|")</f>
        <v>#どっかのラララボ</v>
      </c>
      <c r="H125" s="19" t="str">
        <f>テーブル1[[#This Row],[性別]]&amp;""</f>
        <v/>
      </c>
      <c r="I125" s="19" t="str">
        <f>SUBSTITUTE(テーブル1[[#This Row],[種族タグ]],"、","|")</f>
        <v/>
      </c>
      <c r="J125" s="19" t="str">
        <f>SUBSTITUTE(テーブル1[[#This Row],[モチーフタグ]],"、","|")</f>
        <v/>
      </c>
      <c r="K125" s="19" t="str">
        <f>SUBSTITUTE(テーブル1[[#This Row],[属性タグ]],"、","|")</f>
        <v/>
      </c>
      <c r="L125" s="19" t="str">
        <f>SUBSTITUTE(テーブル1[[#This Row],[職業タグ]],"、","|")</f>
        <v/>
      </c>
      <c r="M125" s="19" t="str">
        <f>SUBSTITUTE(テーブル1[[#This Row],[小物タグ]],"、","|")</f>
        <v/>
      </c>
      <c r="N125" s="19" t="str">
        <f>SUBSTITUTE(テーブル1[[#This Row],[身体的特徴タグ]],"、","|")</f>
        <v/>
      </c>
    </row>
    <row r="126" spans="1:14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Row],[作品タグ]],"、","|")</f>
        <v>#シロメ人類</v>
      </c>
      <c r="H126" s="19" t="str">
        <f>テーブル1[[#This Row],[性別]]&amp;""</f>
        <v/>
      </c>
      <c r="I126" s="19" t="str">
        <f>SUBSTITUTE(テーブル1[[#This Row],[種族タグ]],"、","|")</f>
        <v/>
      </c>
      <c r="J126" s="19" t="str">
        <f>SUBSTITUTE(テーブル1[[#This Row],[モチーフタグ]],"、","|")</f>
        <v/>
      </c>
      <c r="K126" s="19" t="str">
        <f>SUBSTITUTE(テーブル1[[#This Row],[属性タグ]],"、","|")</f>
        <v/>
      </c>
      <c r="L126" s="19" t="str">
        <f>SUBSTITUTE(テーブル1[[#This Row],[職業タグ]],"、","|")</f>
        <v/>
      </c>
      <c r="M126" s="19" t="str">
        <f>SUBSTITUTE(テーブル1[[#This Row],[小物タグ]],"、","|")</f>
        <v/>
      </c>
      <c r="N126" s="19" t="str">
        <f>SUBSTITUTE(テーブル1[[#This Row],[身体的特徴タグ]],"、","|")</f>
        <v/>
      </c>
    </row>
    <row r="127" spans="1:14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Row],[作品タグ]],"、","|")</f>
        <v>#nerutoko</v>
      </c>
      <c r="H127" s="19" t="str">
        <f>テーブル1[[#This Row],[性別]]&amp;""</f>
        <v/>
      </c>
      <c r="I127" s="19" t="str">
        <f>SUBSTITUTE(テーブル1[[#This Row],[種族タグ]],"、","|")</f>
        <v/>
      </c>
      <c r="J127" s="19" t="str">
        <f>SUBSTITUTE(テーブル1[[#This Row],[モチーフタグ]],"、","|")</f>
        <v/>
      </c>
      <c r="K127" s="19" t="str">
        <f>SUBSTITUTE(テーブル1[[#This Row],[属性タグ]],"、","|")</f>
        <v/>
      </c>
      <c r="L127" s="19" t="str">
        <f>SUBSTITUTE(テーブル1[[#This Row],[職業タグ]],"、","|")</f>
        <v/>
      </c>
      <c r="M127" s="19" t="str">
        <f>SUBSTITUTE(テーブル1[[#This Row],[小物タグ]],"、","|")</f>
        <v/>
      </c>
      <c r="N127" s="19" t="str">
        <f>SUBSTITUTE(テーブル1[[#This Row],[身体的特徴タグ]],"、","|")</f>
        <v/>
      </c>
    </row>
    <row r="128" spans="1:14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Row],[作品タグ]],"、","|")</f>
        <v>#べるずわーくす</v>
      </c>
      <c r="H128" s="19" t="str">
        <f>テーブル1[[#This Row],[性別]]&amp;""</f>
        <v/>
      </c>
      <c r="I128" s="19" t="str">
        <f>SUBSTITUTE(テーブル1[[#This Row],[種族タグ]],"、","|")</f>
        <v/>
      </c>
      <c r="J128" s="19" t="str">
        <f>SUBSTITUTE(テーブル1[[#This Row],[モチーフタグ]],"、","|")</f>
        <v/>
      </c>
      <c r="K128" s="19" t="str">
        <f>SUBSTITUTE(テーブル1[[#This Row],[属性タグ]],"、","|")</f>
        <v/>
      </c>
      <c r="L128" s="19" t="str">
        <f>SUBSTITUTE(テーブル1[[#This Row],[職業タグ]],"、","|")</f>
        <v/>
      </c>
      <c r="M128" s="19" t="str">
        <f>SUBSTITUTE(テーブル1[[#This Row],[小物タグ]],"、","|")</f>
        <v/>
      </c>
      <c r="N128" s="19" t="str">
        <f>SUBSTITUTE(テーブル1[[#This Row],[身体的特徴タグ]],"、","|")</f>
        <v/>
      </c>
    </row>
    <row r="129" spans="1:14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Row],[作品タグ]],"、","|")</f>
        <v>#べるずわーくす</v>
      </c>
      <c r="H129" s="19" t="str">
        <f>テーブル1[[#This Row],[性別]]&amp;""</f>
        <v/>
      </c>
      <c r="I129" s="19" t="str">
        <f>SUBSTITUTE(テーブル1[[#This Row],[種族タグ]],"、","|")</f>
        <v/>
      </c>
      <c r="J129" s="19" t="str">
        <f>SUBSTITUTE(テーブル1[[#This Row],[モチーフタグ]],"、","|")</f>
        <v/>
      </c>
      <c r="K129" s="19" t="str">
        <f>SUBSTITUTE(テーブル1[[#This Row],[属性タグ]],"、","|")</f>
        <v/>
      </c>
      <c r="L129" s="19" t="str">
        <f>SUBSTITUTE(テーブル1[[#This Row],[職業タグ]],"、","|")</f>
        <v/>
      </c>
      <c r="M129" s="19" t="str">
        <f>SUBSTITUTE(テーブル1[[#This Row],[小物タグ]],"、","|")</f>
        <v/>
      </c>
      <c r="N129" s="19" t="str">
        <f>SUBSTITUTE(テーブル1[[#This Row],[身体的特徴タグ]],"、","|")</f>
        <v/>
      </c>
    </row>
    <row r="130" spans="1:14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Row],[作品タグ]],"、","|")</f>
        <v>#空音絵巻</v>
      </c>
      <c r="H130" s="19" t="str">
        <f>テーブル1[[#This Row],[性別]]&amp;""</f>
        <v>男性</v>
      </c>
      <c r="I130" s="19" t="str">
        <f>SUBSTITUTE(テーブル1[[#This Row],[種族タグ]],"、","|")</f>
        <v>人間</v>
      </c>
      <c r="J130" s="19" t="str">
        <f>SUBSTITUTE(テーブル1[[#This Row],[モチーフタグ]],"、","|")</f>
        <v/>
      </c>
      <c r="K130" s="19" t="str">
        <f>SUBSTITUTE(テーブル1[[#This Row],[属性タグ]],"、","|")</f>
        <v/>
      </c>
      <c r="L130" s="19" t="str">
        <f>SUBSTITUTE(テーブル1[[#This Row],[職業タグ]],"、","|")</f>
        <v/>
      </c>
      <c r="M130" s="19" t="str">
        <f>SUBSTITUTE(テーブル1[[#This Row],[小物タグ]],"、","|")</f>
        <v>武器</v>
      </c>
      <c r="N130" s="19" t="str">
        <f>SUBSTITUTE(テーブル1[[#This Row],[身体的特徴タグ]],"、","|")</f>
        <v/>
      </c>
    </row>
    <row r="131" spans="1:14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Row],[作品タグ]],"、","|")</f>
        <v>#でるらぼ</v>
      </c>
      <c r="H131" s="19" t="str">
        <f>テーブル1[[#This Row],[性別]]&amp;""</f>
        <v>男性</v>
      </c>
      <c r="I131" s="19" t="str">
        <f>SUBSTITUTE(テーブル1[[#This Row],[種族タグ]],"、","|")</f>
        <v>人間</v>
      </c>
      <c r="J131" s="19" t="str">
        <f>SUBSTITUTE(テーブル1[[#This Row],[モチーフタグ]],"、","|")</f>
        <v/>
      </c>
      <c r="K131" s="19" t="str">
        <f>SUBSTITUTE(テーブル1[[#This Row],[属性タグ]],"、","|")</f>
        <v/>
      </c>
      <c r="L131" s="19" t="str">
        <f>SUBSTITUTE(テーブル1[[#This Row],[職業タグ]],"、","|")</f>
        <v/>
      </c>
      <c r="M131" s="19" t="str">
        <f>SUBSTITUTE(テーブル1[[#This Row],[小物タグ]],"、","|")</f>
        <v/>
      </c>
      <c r="N131" s="19" t="str">
        <f>SUBSTITUTE(テーブル1[[#This Row],[身体的特徴タグ]],"、","|")</f>
        <v/>
      </c>
    </row>
    <row r="132" spans="1:14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Row],[作品タグ]],"、","|")</f>
        <v>#水沫烏有</v>
      </c>
      <c r="H132" s="19" t="str">
        <f>テーブル1[[#This Row],[性別]]&amp;""</f>
        <v/>
      </c>
      <c r="I132" s="19" t="str">
        <f>SUBSTITUTE(テーブル1[[#This Row],[種族タグ]],"、","|")</f>
        <v/>
      </c>
      <c r="J132" s="19" t="str">
        <f>SUBSTITUTE(テーブル1[[#This Row],[モチーフタグ]],"、","|")</f>
        <v/>
      </c>
      <c r="K132" s="19" t="str">
        <f>SUBSTITUTE(テーブル1[[#This Row],[属性タグ]],"、","|")</f>
        <v/>
      </c>
      <c r="L132" s="19" t="str">
        <f>SUBSTITUTE(テーブル1[[#This Row],[職業タグ]],"、","|")</f>
        <v/>
      </c>
      <c r="M132" s="19" t="str">
        <f>SUBSTITUTE(テーブル1[[#This Row],[小物タグ]],"、","|")</f>
        <v/>
      </c>
      <c r="N132" s="19" t="str">
        <f>SUBSTITUTE(テーブル1[[#This Row],[身体的特徴タグ]],"、","|")</f>
        <v/>
      </c>
    </row>
    <row r="133" spans="1:14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Row],[作品タグ]],"、","|")</f>
        <v>#お米炊けたよ</v>
      </c>
      <c r="H133" s="19" t="str">
        <f>テーブル1[[#This Row],[性別]]&amp;""</f>
        <v/>
      </c>
      <c r="I133" s="19" t="str">
        <f>SUBSTITUTE(テーブル1[[#This Row],[種族タグ]],"、","|")</f>
        <v/>
      </c>
      <c r="J133" s="19" t="str">
        <f>SUBSTITUTE(テーブル1[[#This Row],[モチーフタグ]],"、","|")</f>
        <v/>
      </c>
      <c r="K133" s="19" t="str">
        <f>SUBSTITUTE(テーブル1[[#This Row],[属性タグ]],"、","|")</f>
        <v/>
      </c>
      <c r="L133" s="19" t="str">
        <f>SUBSTITUTE(テーブル1[[#This Row],[職業タグ]],"、","|")</f>
        <v/>
      </c>
      <c r="M133" s="19" t="str">
        <f>SUBSTITUTE(テーブル1[[#This Row],[小物タグ]],"、","|")</f>
        <v/>
      </c>
      <c r="N133" s="19" t="str">
        <f>SUBSTITUTE(テーブル1[[#This Row],[身体的特徴タグ]],"、","|")</f>
        <v/>
      </c>
    </row>
    <row r="134" spans="1:14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Row],[作品タグ]],"、","|")</f>
        <v>#観測レポートを共有します</v>
      </c>
      <c r="H134" s="19" t="str">
        <f>テーブル1[[#This Row],[性別]]&amp;""</f>
        <v/>
      </c>
      <c r="I134" s="19" t="str">
        <f>SUBSTITUTE(テーブル1[[#This Row],[種族タグ]],"、","|")</f>
        <v/>
      </c>
      <c r="J134" s="19" t="str">
        <f>SUBSTITUTE(テーブル1[[#This Row],[モチーフタグ]],"、","|")</f>
        <v/>
      </c>
      <c r="K134" s="19" t="str">
        <f>SUBSTITUTE(テーブル1[[#This Row],[属性タグ]],"、","|")</f>
        <v/>
      </c>
      <c r="L134" s="19" t="str">
        <f>SUBSTITUTE(テーブル1[[#This Row],[職業タグ]],"、","|")</f>
        <v/>
      </c>
      <c r="M134" s="19" t="str">
        <f>SUBSTITUTE(テーブル1[[#This Row],[小物タグ]],"、","|")</f>
        <v/>
      </c>
      <c r="N134" s="19" t="str">
        <f>SUBSTITUTE(テーブル1[[#This Row],[身体的特徴タグ]],"、","|")</f>
        <v/>
      </c>
    </row>
    <row r="135" spans="1:14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Row],[作品タグ]],"、","|")</f>
        <v>#狐鳴さんち</v>
      </c>
      <c r="H135" s="19" t="str">
        <f>テーブル1[[#This Row],[性別]]&amp;""</f>
        <v/>
      </c>
      <c r="I135" s="19" t="str">
        <f>SUBSTITUTE(テーブル1[[#This Row],[種族タグ]],"、","|")</f>
        <v/>
      </c>
      <c r="J135" s="19" t="str">
        <f>SUBSTITUTE(テーブル1[[#This Row],[モチーフタグ]],"、","|")</f>
        <v/>
      </c>
      <c r="K135" s="19" t="str">
        <f>SUBSTITUTE(テーブル1[[#This Row],[属性タグ]],"、","|")</f>
        <v/>
      </c>
      <c r="L135" s="19" t="str">
        <f>SUBSTITUTE(テーブル1[[#This Row],[職業タグ]],"、","|")</f>
        <v/>
      </c>
      <c r="M135" s="19" t="str">
        <f>SUBSTITUTE(テーブル1[[#This Row],[小物タグ]],"、","|")</f>
        <v/>
      </c>
      <c r="N135" s="19" t="str">
        <f>SUBSTITUTE(テーブル1[[#This Row],[身体的特徴タグ]],"、","|")</f>
        <v/>
      </c>
    </row>
    <row r="136" spans="1:14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Row],[作品タグ]],"、","|")</f>
        <v>#花束町めら</v>
      </c>
      <c r="H136" s="19" t="str">
        <f>テーブル1[[#This Row],[性別]]&amp;""</f>
        <v/>
      </c>
      <c r="I136" s="19" t="str">
        <f>SUBSTITUTE(テーブル1[[#This Row],[種族タグ]],"、","|")</f>
        <v/>
      </c>
      <c r="J136" s="19" t="str">
        <f>SUBSTITUTE(テーブル1[[#This Row],[モチーフタグ]],"、","|")</f>
        <v/>
      </c>
      <c r="K136" s="19" t="str">
        <f>SUBSTITUTE(テーブル1[[#This Row],[属性タグ]],"、","|")</f>
        <v/>
      </c>
      <c r="L136" s="19" t="str">
        <f>SUBSTITUTE(テーブル1[[#This Row],[職業タグ]],"、","|")</f>
        <v/>
      </c>
      <c r="M136" s="19" t="str">
        <f>SUBSTITUTE(テーブル1[[#This Row],[小物タグ]],"、","|")</f>
        <v/>
      </c>
      <c r="N136" s="19" t="str">
        <f>SUBSTITUTE(テーブル1[[#This Row],[身体的特徴タグ]],"、","|")</f>
        <v/>
      </c>
    </row>
    <row r="137" spans="1:14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Row],[作品タグ]],"、","|")</f>
        <v>#お米炊けたよ</v>
      </c>
      <c r="H137" s="19" t="str">
        <f>テーブル1[[#This Row],[性別]]&amp;""</f>
        <v/>
      </c>
      <c r="I137" s="19" t="str">
        <f>SUBSTITUTE(テーブル1[[#This Row],[種族タグ]],"、","|")</f>
        <v/>
      </c>
      <c r="J137" s="19" t="str">
        <f>SUBSTITUTE(テーブル1[[#This Row],[モチーフタグ]],"、","|")</f>
        <v/>
      </c>
      <c r="K137" s="19" t="str">
        <f>SUBSTITUTE(テーブル1[[#This Row],[属性タグ]],"、","|")</f>
        <v/>
      </c>
      <c r="L137" s="19" t="str">
        <f>SUBSTITUTE(テーブル1[[#This Row],[職業タグ]],"、","|")</f>
        <v/>
      </c>
      <c r="M137" s="19" t="str">
        <f>SUBSTITUTE(テーブル1[[#This Row],[小物タグ]],"、","|")</f>
        <v/>
      </c>
      <c r="N137" s="19" t="str">
        <f>SUBSTITUTE(テーブル1[[#This Row],[身体的特徴タグ]],"、","|")</f>
        <v/>
      </c>
    </row>
    <row r="138" spans="1:14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Row],[作品タグ]],"、","|")</f>
        <v>#煮バコ</v>
      </c>
      <c r="H138" s="19" t="str">
        <f>テーブル1[[#This Row],[性別]]&amp;""</f>
        <v>女性</v>
      </c>
      <c r="I138" s="19" t="str">
        <f>SUBSTITUTE(テーブル1[[#This Row],[種族タグ]],"、","|")</f>
        <v>故人|ゾンビ</v>
      </c>
      <c r="J138" s="19" t="str">
        <f>SUBSTITUTE(テーブル1[[#This Row],[モチーフタグ]],"、","|")</f>
        <v/>
      </c>
      <c r="K138" s="19" t="str">
        <f>SUBSTITUTE(テーブル1[[#This Row],[属性タグ]],"、","|")</f>
        <v/>
      </c>
      <c r="L138" s="19" t="str">
        <f>SUBSTITUTE(テーブル1[[#This Row],[職業タグ]],"、","|")</f>
        <v/>
      </c>
      <c r="M138" s="19" t="str">
        <f>SUBSTITUTE(テーブル1[[#This Row],[小物タグ]],"、","|")</f>
        <v>眼部</v>
      </c>
      <c r="N138" s="19" t="str">
        <f>SUBSTITUTE(テーブル1[[#This Row],[身体的特徴タグ]],"、","|")</f>
        <v>髪色|目隠れ</v>
      </c>
    </row>
    <row r="139" spans="1:14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Row],[作品タグ]],"、","|")</f>
        <v>#ぞんび線CB</v>
      </c>
      <c r="H139" s="19" t="str">
        <f>テーブル1[[#This Row],[性別]]&amp;""</f>
        <v/>
      </c>
      <c r="I139" s="19" t="str">
        <f>SUBSTITUTE(テーブル1[[#This Row],[種族タグ]],"、","|")</f>
        <v/>
      </c>
      <c r="J139" s="19" t="str">
        <f>SUBSTITUTE(テーブル1[[#This Row],[モチーフタグ]],"、","|")</f>
        <v/>
      </c>
      <c r="K139" s="19" t="str">
        <f>SUBSTITUTE(テーブル1[[#This Row],[属性タグ]],"、","|")</f>
        <v/>
      </c>
      <c r="L139" s="19" t="str">
        <f>SUBSTITUTE(テーブル1[[#This Row],[職業タグ]],"、","|")</f>
        <v/>
      </c>
      <c r="M139" s="19" t="str">
        <f>SUBSTITUTE(テーブル1[[#This Row],[小物タグ]],"、","|")</f>
        <v/>
      </c>
      <c r="N139" s="19" t="str">
        <f>SUBSTITUTE(テーブル1[[#This Row],[身体的特徴タグ]],"、","|")</f>
        <v/>
      </c>
    </row>
    <row r="140" spans="1:14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Row],[作品タグ]],"、","|")</f>
        <v>#べるずわーくす</v>
      </c>
      <c r="H140" s="19" t="str">
        <f>テーブル1[[#This Row],[性別]]&amp;""</f>
        <v/>
      </c>
      <c r="I140" s="19" t="str">
        <f>SUBSTITUTE(テーブル1[[#This Row],[種族タグ]],"、","|")</f>
        <v/>
      </c>
      <c r="J140" s="19" t="str">
        <f>SUBSTITUTE(テーブル1[[#This Row],[モチーフタグ]],"、","|")</f>
        <v/>
      </c>
      <c r="K140" s="19" t="str">
        <f>SUBSTITUTE(テーブル1[[#This Row],[属性タグ]],"、","|")</f>
        <v/>
      </c>
      <c r="L140" s="19" t="str">
        <f>SUBSTITUTE(テーブル1[[#This Row],[職業タグ]],"、","|")</f>
        <v/>
      </c>
      <c r="M140" s="19" t="str">
        <f>SUBSTITUTE(テーブル1[[#This Row],[小物タグ]],"、","|")</f>
        <v/>
      </c>
      <c r="N140" s="19" t="str">
        <f>SUBSTITUTE(テーブル1[[#This Row],[身体的特徴タグ]],"、","|")</f>
        <v/>
      </c>
    </row>
    <row r="141" spans="1:14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Row],[作品タグ]],"、","|")</f>
        <v>#学静出席簿</v>
      </c>
      <c r="H141" s="19" t="str">
        <f>テーブル1[[#This Row],[性別]]&amp;""</f>
        <v/>
      </c>
      <c r="I141" s="19" t="str">
        <f>SUBSTITUTE(テーブル1[[#This Row],[種族タグ]],"、","|")</f>
        <v/>
      </c>
      <c r="J141" s="19" t="str">
        <f>SUBSTITUTE(テーブル1[[#This Row],[モチーフタグ]],"、","|")</f>
        <v/>
      </c>
      <c r="K141" s="19" t="str">
        <f>SUBSTITUTE(テーブル1[[#This Row],[属性タグ]],"、","|")</f>
        <v/>
      </c>
      <c r="L141" s="19" t="str">
        <f>SUBSTITUTE(テーブル1[[#This Row],[職業タグ]],"、","|")</f>
        <v/>
      </c>
      <c r="M141" s="19" t="str">
        <f>SUBSTITUTE(テーブル1[[#This Row],[小物タグ]],"、","|")</f>
        <v/>
      </c>
      <c r="N141" s="19" t="str">
        <f>SUBSTITUTE(テーブル1[[#This Row],[身体的特徴タグ]],"、","|")</f>
        <v/>
      </c>
    </row>
    <row r="142" spans="1:14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Row],[作品タグ]],"、","|")</f>
        <v>#六見Q</v>
      </c>
      <c r="H142" s="19" t="str">
        <f>テーブル1[[#This Row],[性別]]&amp;""</f>
        <v/>
      </c>
      <c r="I142" s="19" t="str">
        <f>SUBSTITUTE(テーブル1[[#This Row],[種族タグ]],"、","|")</f>
        <v/>
      </c>
      <c r="J142" s="19" t="str">
        <f>SUBSTITUTE(テーブル1[[#This Row],[モチーフタグ]],"、","|")</f>
        <v/>
      </c>
      <c r="K142" s="19" t="str">
        <f>SUBSTITUTE(テーブル1[[#This Row],[属性タグ]],"、","|")</f>
        <v/>
      </c>
      <c r="L142" s="19" t="str">
        <f>SUBSTITUTE(テーブル1[[#This Row],[職業タグ]],"、","|")</f>
        <v/>
      </c>
      <c r="M142" s="19" t="str">
        <f>SUBSTITUTE(テーブル1[[#This Row],[小物タグ]],"、","|")</f>
        <v/>
      </c>
      <c r="N142" s="19" t="str">
        <f>SUBSTITUTE(テーブル1[[#This Row],[身体的特徴タグ]],"、","|")</f>
        <v/>
      </c>
    </row>
    <row r="143" spans="1:14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Row],[作品タグ]],"、","|")</f>
        <v>悪戯清子(UTAU)</v>
      </c>
      <c r="H143" s="19" t="str">
        <f>テーブル1[[#This Row],[性別]]&amp;""</f>
        <v/>
      </c>
      <c r="I143" s="19" t="str">
        <f>SUBSTITUTE(テーブル1[[#This Row],[種族タグ]],"、","|")</f>
        <v/>
      </c>
      <c r="J143" s="19" t="str">
        <f>SUBSTITUTE(テーブル1[[#This Row],[モチーフタグ]],"、","|")</f>
        <v/>
      </c>
      <c r="K143" s="19" t="str">
        <f>SUBSTITUTE(テーブル1[[#This Row],[属性タグ]],"、","|")</f>
        <v/>
      </c>
      <c r="L143" s="19" t="str">
        <f>SUBSTITUTE(テーブル1[[#This Row],[職業タグ]],"、","|")</f>
        <v/>
      </c>
      <c r="M143" s="19" t="str">
        <f>SUBSTITUTE(テーブル1[[#This Row],[小物タグ]],"、","|")</f>
        <v/>
      </c>
      <c r="N143" s="19" t="str">
        <f>SUBSTITUTE(テーブル1[[#This Row],[身体的特徴タグ]],"、","|")</f>
        <v/>
      </c>
    </row>
    <row r="144" spans="1:14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Row],[作品タグ]],"、","|")</f>
        <v>#きのみあーと</v>
      </c>
      <c r="H144" s="19" t="str">
        <f>テーブル1[[#This Row],[性別]]&amp;""</f>
        <v>女性</v>
      </c>
      <c r="I144" s="19" t="str">
        <f>SUBSTITUTE(テーブル1[[#This Row],[種族タグ]],"、","|")</f>
        <v>人間|不老|不死|長寿</v>
      </c>
      <c r="J144" s="19" t="str">
        <f>SUBSTITUTE(テーブル1[[#This Row],[モチーフタグ]],"、","|")</f>
        <v/>
      </c>
      <c r="K144" s="19" t="str">
        <f>SUBSTITUTE(テーブル1[[#This Row],[属性タグ]],"、","|")</f>
        <v/>
      </c>
      <c r="L144" s="19" t="str">
        <f>SUBSTITUTE(テーブル1[[#This Row],[職業タグ]],"、","|")</f>
        <v>宗教・ファンタジー</v>
      </c>
      <c r="M144" s="19" t="str">
        <f>SUBSTITUTE(テーブル1[[#This Row],[小物タグ]],"、","|")</f>
        <v>武器</v>
      </c>
      <c r="N144" s="19" t="str">
        <f>SUBSTITUTE(テーブル1[[#This Row],[身体的特徴タグ]],"、","|")</f>
        <v/>
      </c>
    </row>
    <row r="145" spans="1:14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Row],[作品タグ]],"、","|")</f>
        <v>#べるずわーくす</v>
      </c>
      <c r="H145" s="19" t="str">
        <f>テーブル1[[#This Row],[性別]]&amp;""</f>
        <v/>
      </c>
      <c r="I145" s="19" t="str">
        <f>SUBSTITUTE(テーブル1[[#This Row],[種族タグ]],"、","|")</f>
        <v/>
      </c>
      <c r="J145" s="19" t="str">
        <f>SUBSTITUTE(テーブル1[[#This Row],[モチーフタグ]],"、","|")</f>
        <v/>
      </c>
      <c r="K145" s="19" t="str">
        <f>SUBSTITUTE(テーブル1[[#This Row],[属性タグ]],"、","|")</f>
        <v/>
      </c>
      <c r="L145" s="19" t="str">
        <f>SUBSTITUTE(テーブル1[[#This Row],[職業タグ]],"、","|")</f>
        <v/>
      </c>
      <c r="M145" s="19" t="str">
        <f>SUBSTITUTE(テーブル1[[#This Row],[小物タグ]],"、","|")</f>
        <v/>
      </c>
      <c r="N145" s="19" t="str">
        <f>SUBSTITUTE(テーブル1[[#This Row],[身体的特徴タグ]],"、","|")</f>
        <v/>
      </c>
    </row>
    <row r="146" spans="1:14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Row],[作品タグ]],"、","|")</f>
        <v>#あるがままのうた</v>
      </c>
      <c r="H146" s="19" t="str">
        <f>テーブル1[[#This Row],[性別]]&amp;""</f>
        <v/>
      </c>
      <c r="I146" s="19" t="str">
        <f>SUBSTITUTE(テーブル1[[#This Row],[種族タグ]],"、","|")</f>
        <v/>
      </c>
      <c r="J146" s="19" t="str">
        <f>SUBSTITUTE(テーブル1[[#This Row],[モチーフタグ]],"、","|")</f>
        <v/>
      </c>
      <c r="K146" s="19" t="str">
        <f>SUBSTITUTE(テーブル1[[#This Row],[属性タグ]],"、","|")</f>
        <v/>
      </c>
      <c r="L146" s="19" t="str">
        <f>SUBSTITUTE(テーブル1[[#This Row],[職業タグ]],"、","|")</f>
        <v/>
      </c>
      <c r="M146" s="19" t="str">
        <f>SUBSTITUTE(テーブル1[[#This Row],[小物タグ]],"、","|")</f>
        <v/>
      </c>
      <c r="N146" s="19" t="str">
        <f>SUBSTITUTE(テーブル1[[#This Row],[身体的特徴タグ]],"、","|")</f>
        <v/>
      </c>
    </row>
    <row r="147" spans="1:14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Row],[作品タグ]],"、","|")</f>
        <v>#ぞんび線CB</v>
      </c>
      <c r="H147" s="19" t="str">
        <f>テーブル1[[#This Row],[性別]]&amp;""</f>
        <v/>
      </c>
      <c r="I147" s="19" t="str">
        <f>SUBSTITUTE(テーブル1[[#This Row],[種族タグ]],"、","|")</f>
        <v/>
      </c>
      <c r="J147" s="19" t="str">
        <f>SUBSTITUTE(テーブル1[[#This Row],[モチーフタグ]],"、","|")</f>
        <v/>
      </c>
      <c r="K147" s="19" t="str">
        <f>SUBSTITUTE(テーブル1[[#This Row],[属性タグ]],"、","|")</f>
        <v/>
      </c>
      <c r="L147" s="19" t="str">
        <f>SUBSTITUTE(テーブル1[[#This Row],[職業タグ]],"、","|")</f>
        <v/>
      </c>
      <c r="M147" s="19" t="str">
        <f>SUBSTITUTE(テーブル1[[#This Row],[小物タグ]],"、","|")</f>
        <v/>
      </c>
      <c r="N147" s="19" t="str">
        <f>SUBSTITUTE(テーブル1[[#This Row],[身体的特徴タグ]],"、","|")</f>
        <v/>
      </c>
    </row>
    <row r="148" spans="1:14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Row],[作品タグ]],"、","|")</f>
        <v>#煮バコ</v>
      </c>
      <c r="H148" s="19" t="str">
        <f>テーブル1[[#This Row],[性別]]&amp;""</f>
        <v>女性</v>
      </c>
      <c r="I148" s="19" t="str">
        <f>SUBSTITUTE(テーブル1[[#This Row],[種族タグ]],"、","|")</f>
        <v>人間</v>
      </c>
      <c r="J148" s="19" t="str">
        <f>SUBSTITUTE(テーブル1[[#This Row],[モチーフタグ]],"、","|")</f>
        <v>哺乳類</v>
      </c>
      <c r="K148" s="19" t="str">
        <f>SUBSTITUTE(テーブル1[[#This Row],[属性タグ]],"、","|")</f>
        <v/>
      </c>
      <c r="L148" s="19" t="str">
        <f>SUBSTITUTE(テーブル1[[#This Row],[職業タグ]],"、","|")</f>
        <v/>
      </c>
      <c r="M148" s="19" t="str">
        <f>SUBSTITUTE(テーブル1[[#This Row],[小物タグ]],"、","|")</f>
        <v/>
      </c>
      <c r="N148" s="19" t="str">
        <f>SUBSTITUTE(テーブル1[[#This Row],[身体的特徴タグ]],"、","|")</f>
        <v>髪色</v>
      </c>
    </row>
    <row r="149" spans="1:14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Row],[作品タグ]],"、","|")</f>
        <v>クリノクロア(UTAU)</v>
      </c>
      <c r="H149" s="19" t="str">
        <f>テーブル1[[#This Row],[性別]]&amp;""</f>
        <v/>
      </c>
      <c r="I149" s="19" t="str">
        <f>SUBSTITUTE(テーブル1[[#This Row],[種族タグ]],"、","|")</f>
        <v/>
      </c>
      <c r="J149" s="19" t="str">
        <f>SUBSTITUTE(テーブル1[[#This Row],[モチーフタグ]],"、","|")</f>
        <v/>
      </c>
      <c r="K149" s="19" t="str">
        <f>SUBSTITUTE(テーブル1[[#This Row],[属性タグ]],"、","|")</f>
        <v/>
      </c>
      <c r="L149" s="19" t="str">
        <f>SUBSTITUTE(テーブル1[[#This Row],[職業タグ]],"、","|")</f>
        <v/>
      </c>
      <c r="M149" s="19" t="str">
        <f>SUBSTITUTE(テーブル1[[#This Row],[小物タグ]],"、","|")</f>
        <v/>
      </c>
      <c r="N149" s="19" t="str">
        <f>SUBSTITUTE(テーブル1[[#This Row],[身体的特徴タグ]],"、","|")</f>
        <v/>
      </c>
    </row>
    <row r="150" spans="1:14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Row],[作品タグ]],"、","|")</f>
        <v>音々尾ミュー(UTAU)</v>
      </c>
      <c r="H150" s="19" t="str">
        <f>テーブル1[[#This Row],[性別]]&amp;""</f>
        <v/>
      </c>
      <c r="I150" s="19" t="str">
        <f>SUBSTITUTE(テーブル1[[#This Row],[種族タグ]],"、","|")</f>
        <v/>
      </c>
      <c r="J150" s="19" t="str">
        <f>SUBSTITUTE(テーブル1[[#This Row],[モチーフタグ]],"、","|")</f>
        <v/>
      </c>
      <c r="K150" s="19" t="str">
        <f>SUBSTITUTE(テーブル1[[#This Row],[属性タグ]],"、","|")</f>
        <v/>
      </c>
      <c r="L150" s="19" t="str">
        <f>SUBSTITUTE(テーブル1[[#This Row],[職業タグ]],"、","|")</f>
        <v/>
      </c>
      <c r="M150" s="19" t="str">
        <f>SUBSTITUTE(テーブル1[[#This Row],[小物タグ]],"、","|")</f>
        <v/>
      </c>
      <c r="N150" s="19" t="str">
        <f>SUBSTITUTE(テーブル1[[#This Row],[身体的特徴タグ]],"、","|")</f>
        <v/>
      </c>
    </row>
    <row r="151" spans="1:14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Row],[作品タグ]],"、","|")</f>
        <v>#狂威家</v>
      </c>
      <c r="H151" s="19" t="str">
        <f>テーブル1[[#This Row],[性別]]&amp;""</f>
        <v/>
      </c>
      <c r="I151" s="19" t="str">
        <f>SUBSTITUTE(テーブル1[[#This Row],[種族タグ]],"、","|")</f>
        <v/>
      </c>
      <c r="J151" s="19" t="str">
        <f>SUBSTITUTE(テーブル1[[#This Row],[モチーフタグ]],"、","|")</f>
        <v/>
      </c>
      <c r="K151" s="19" t="str">
        <f>SUBSTITUTE(テーブル1[[#This Row],[属性タグ]],"、","|")</f>
        <v/>
      </c>
      <c r="L151" s="19" t="str">
        <f>SUBSTITUTE(テーブル1[[#This Row],[職業タグ]],"、","|")</f>
        <v/>
      </c>
      <c r="M151" s="19" t="str">
        <f>SUBSTITUTE(テーブル1[[#This Row],[小物タグ]],"、","|")</f>
        <v/>
      </c>
      <c r="N151" s="19" t="str">
        <f>SUBSTITUTE(テーブル1[[#This Row],[身体的特徴タグ]],"、","|")</f>
        <v/>
      </c>
    </row>
    <row r="152" spans="1:14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Row],[作品タグ]],"、","|")</f>
        <v>#べるずわーくす</v>
      </c>
      <c r="H152" s="19" t="str">
        <f>テーブル1[[#This Row],[性別]]&amp;""</f>
        <v/>
      </c>
      <c r="I152" s="19" t="str">
        <f>SUBSTITUTE(テーブル1[[#This Row],[種族タグ]],"、","|")</f>
        <v/>
      </c>
      <c r="J152" s="19" t="str">
        <f>SUBSTITUTE(テーブル1[[#This Row],[モチーフタグ]],"、","|")</f>
        <v/>
      </c>
      <c r="K152" s="19" t="str">
        <f>SUBSTITUTE(テーブル1[[#This Row],[属性タグ]],"、","|")</f>
        <v/>
      </c>
      <c r="L152" s="19" t="str">
        <f>SUBSTITUTE(テーブル1[[#This Row],[職業タグ]],"、","|")</f>
        <v/>
      </c>
      <c r="M152" s="19" t="str">
        <f>SUBSTITUTE(テーブル1[[#This Row],[小物タグ]],"、","|")</f>
        <v/>
      </c>
      <c r="N152" s="19" t="str">
        <f>SUBSTITUTE(テーブル1[[#This Row],[身体的特徴タグ]],"、","|")</f>
        <v/>
      </c>
    </row>
    <row r="153" spans="1:14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Row],[作品タグ]],"、","|")</f>
        <v>#あるがままのうた</v>
      </c>
      <c r="H153" s="19" t="str">
        <f>テーブル1[[#This Row],[性別]]&amp;""</f>
        <v/>
      </c>
      <c r="I153" s="19" t="str">
        <f>SUBSTITUTE(テーブル1[[#This Row],[種族タグ]],"、","|")</f>
        <v/>
      </c>
      <c r="J153" s="19" t="str">
        <f>SUBSTITUTE(テーブル1[[#This Row],[モチーフタグ]],"、","|")</f>
        <v/>
      </c>
      <c r="K153" s="19" t="str">
        <f>SUBSTITUTE(テーブル1[[#This Row],[属性タグ]],"、","|")</f>
        <v/>
      </c>
      <c r="L153" s="19" t="str">
        <f>SUBSTITUTE(テーブル1[[#This Row],[職業タグ]],"、","|")</f>
        <v/>
      </c>
      <c r="M153" s="19" t="str">
        <f>SUBSTITUTE(テーブル1[[#This Row],[小物タグ]],"、","|")</f>
        <v/>
      </c>
      <c r="N153" s="19" t="str">
        <f>SUBSTITUTE(テーブル1[[#This Row],[身体的特徴タグ]],"、","|")</f>
        <v/>
      </c>
    </row>
    <row r="154" spans="1:14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Row],[作品タグ]],"、","|")</f>
        <v>#けもののけもの</v>
      </c>
      <c r="H154" s="19" t="str">
        <f>テーブル1[[#This Row],[性別]]&amp;""</f>
        <v/>
      </c>
      <c r="I154" s="19" t="str">
        <f>SUBSTITUTE(テーブル1[[#This Row],[種族タグ]],"、","|")</f>
        <v/>
      </c>
      <c r="J154" s="19" t="str">
        <f>SUBSTITUTE(テーブル1[[#This Row],[モチーフタグ]],"、","|")</f>
        <v/>
      </c>
      <c r="K154" s="19" t="str">
        <f>SUBSTITUTE(テーブル1[[#This Row],[属性タグ]],"、","|")</f>
        <v/>
      </c>
      <c r="L154" s="19" t="str">
        <f>SUBSTITUTE(テーブル1[[#This Row],[職業タグ]],"、","|")</f>
        <v/>
      </c>
      <c r="M154" s="19" t="str">
        <f>SUBSTITUTE(テーブル1[[#This Row],[小物タグ]],"、","|")</f>
        <v/>
      </c>
      <c r="N154" s="19" t="str">
        <f>SUBSTITUTE(テーブル1[[#This Row],[身体的特徴タグ]],"、","|")</f>
        <v/>
      </c>
    </row>
    <row r="155" spans="1:14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Row],[作品タグ]],"、","|")</f>
        <v>#meta世界より</v>
      </c>
      <c r="H155" s="19" t="str">
        <f>テーブル1[[#This Row],[性別]]&amp;""</f>
        <v/>
      </c>
      <c r="I155" s="19" t="str">
        <f>SUBSTITUTE(テーブル1[[#This Row],[種族タグ]],"、","|")</f>
        <v/>
      </c>
      <c r="J155" s="19" t="str">
        <f>SUBSTITUTE(テーブル1[[#This Row],[モチーフタグ]],"、","|")</f>
        <v/>
      </c>
      <c r="K155" s="19" t="str">
        <f>SUBSTITUTE(テーブル1[[#This Row],[属性タグ]],"、","|")</f>
        <v/>
      </c>
      <c r="L155" s="19" t="str">
        <f>SUBSTITUTE(テーブル1[[#This Row],[職業タグ]],"、","|")</f>
        <v/>
      </c>
      <c r="M155" s="19" t="str">
        <f>SUBSTITUTE(テーブル1[[#This Row],[小物タグ]],"、","|")</f>
        <v/>
      </c>
      <c r="N155" s="19" t="str">
        <f>SUBSTITUTE(テーブル1[[#This Row],[身体的特徴タグ]],"、","|")</f>
        <v/>
      </c>
    </row>
    <row r="156" spans="1:14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Row],[作品タグ]],"、","|")</f>
        <v>#空音絵巻</v>
      </c>
      <c r="H156" s="19" t="str">
        <f>テーブル1[[#This Row],[性別]]&amp;""</f>
        <v>女性</v>
      </c>
      <c r="I156" s="19" t="str">
        <f>SUBSTITUTE(テーブル1[[#This Row],[種族タグ]],"、","|")</f>
        <v>人間|長寿</v>
      </c>
      <c r="J156" s="19" t="str">
        <f>SUBSTITUTE(テーブル1[[#This Row],[モチーフタグ]],"、","|")</f>
        <v/>
      </c>
      <c r="K156" s="19" t="str">
        <f>SUBSTITUTE(テーブル1[[#This Row],[属性タグ]],"、","|")</f>
        <v/>
      </c>
      <c r="L156" s="19" t="str">
        <f>SUBSTITUTE(テーブル1[[#This Row],[職業タグ]],"、","|")</f>
        <v/>
      </c>
      <c r="M156" s="19" t="str">
        <f>SUBSTITUTE(テーブル1[[#This Row],[小物タグ]],"、","|")</f>
        <v/>
      </c>
      <c r="N156" s="19" t="str">
        <f>SUBSTITUTE(テーブル1[[#This Row],[身体的特徴タグ]],"、","|")</f>
        <v/>
      </c>
    </row>
    <row r="157" spans="1:14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Row],[作品タグ]],"、","|")</f>
        <v>#芯零須キシル</v>
      </c>
      <c r="H157" s="19" t="str">
        <f>テーブル1[[#This Row],[性別]]&amp;""</f>
        <v/>
      </c>
      <c r="I157" s="19" t="str">
        <f>SUBSTITUTE(テーブル1[[#This Row],[種族タグ]],"、","|")</f>
        <v/>
      </c>
      <c r="J157" s="19" t="str">
        <f>SUBSTITUTE(テーブル1[[#This Row],[モチーフタグ]],"、","|")</f>
        <v/>
      </c>
      <c r="K157" s="19" t="str">
        <f>SUBSTITUTE(テーブル1[[#This Row],[属性タグ]],"、","|")</f>
        <v/>
      </c>
      <c r="L157" s="19" t="str">
        <f>SUBSTITUTE(テーブル1[[#This Row],[職業タグ]],"、","|")</f>
        <v/>
      </c>
      <c r="M157" s="19" t="str">
        <f>SUBSTITUTE(テーブル1[[#This Row],[小物タグ]],"、","|")</f>
        <v/>
      </c>
      <c r="N157" s="19" t="str">
        <f>SUBSTITUTE(テーブル1[[#This Row],[身体的特徴タグ]],"、","|")</f>
        <v/>
      </c>
    </row>
    <row r="158" spans="1:14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Row],[作品タグ]],"、","|")</f>
        <v>#UTA打KyeFlow</v>
      </c>
      <c r="H158" s="19" t="str">
        <f>テーブル1[[#This Row],[性別]]&amp;""</f>
        <v>無性別</v>
      </c>
      <c r="I158" s="19" t="str">
        <f>SUBSTITUTE(テーブル1[[#This Row],[種族タグ]],"、","|")</f>
        <v>機械</v>
      </c>
      <c r="J158" s="19" t="str">
        <f>SUBSTITUTE(テーブル1[[#This Row],[モチーフタグ]],"、","|")</f>
        <v>機械・道具</v>
      </c>
      <c r="K158" s="19" t="str">
        <f>SUBSTITUTE(テーブル1[[#This Row],[属性タグ]],"、","|")</f>
        <v/>
      </c>
      <c r="L158" s="19" t="str">
        <f>SUBSTITUTE(テーブル1[[#This Row],[職業タグ]],"、","|")</f>
        <v>医療・支援</v>
      </c>
      <c r="M158" s="19" t="str">
        <f>SUBSTITUTE(テーブル1[[#This Row],[小物タグ]],"、","|")</f>
        <v/>
      </c>
      <c r="N158" s="19" t="str">
        <f>SUBSTITUTE(テーブル1[[#This Row],[身体的特徴タグ]],"、","|")</f>
        <v>尻尾</v>
      </c>
    </row>
    <row r="159" spans="1:14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Row],[作品タグ]],"、","|")</f>
        <v>#硫黄荘音源</v>
      </c>
      <c r="H159" s="19" t="str">
        <f>テーブル1[[#This Row],[性別]]&amp;""</f>
        <v/>
      </c>
      <c r="I159" s="19" t="str">
        <f>SUBSTITUTE(テーブル1[[#This Row],[種族タグ]],"、","|")</f>
        <v/>
      </c>
      <c r="J159" s="19" t="str">
        <f>SUBSTITUTE(テーブル1[[#This Row],[モチーフタグ]],"、","|")</f>
        <v/>
      </c>
      <c r="K159" s="19" t="str">
        <f>SUBSTITUTE(テーブル1[[#This Row],[属性タグ]],"、","|")</f>
        <v/>
      </c>
      <c r="L159" s="19" t="str">
        <f>SUBSTITUTE(テーブル1[[#This Row],[職業タグ]],"、","|")</f>
        <v/>
      </c>
      <c r="M159" s="19" t="str">
        <f>SUBSTITUTE(テーブル1[[#This Row],[小物タグ]],"、","|")</f>
        <v/>
      </c>
      <c r="N159" s="19" t="str">
        <f>SUBSTITUTE(テーブル1[[#This Row],[身体的特徴タグ]],"、","|")</f>
        <v/>
      </c>
    </row>
    <row r="160" spans="1:14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Row],[作品タグ]],"、","|")</f>
        <v>マック音サイ(UTAU)</v>
      </c>
      <c r="H160" s="19" t="str">
        <f>テーブル1[[#This Row],[性別]]&amp;""</f>
        <v/>
      </c>
      <c r="I160" s="19" t="str">
        <f>SUBSTITUTE(テーブル1[[#This Row],[種族タグ]],"、","|")</f>
        <v/>
      </c>
      <c r="J160" s="19" t="str">
        <f>SUBSTITUTE(テーブル1[[#This Row],[モチーフタグ]],"、","|")</f>
        <v/>
      </c>
      <c r="K160" s="19" t="str">
        <f>SUBSTITUTE(テーブル1[[#This Row],[属性タグ]],"、","|")</f>
        <v/>
      </c>
      <c r="L160" s="19" t="str">
        <f>SUBSTITUTE(テーブル1[[#This Row],[職業タグ]],"、","|")</f>
        <v/>
      </c>
      <c r="M160" s="19" t="str">
        <f>SUBSTITUTE(テーブル1[[#This Row],[小物タグ]],"、","|")</f>
        <v/>
      </c>
      <c r="N160" s="19" t="str">
        <f>SUBSTITUTE(テーブル1[[#This Row],[身体的特徴タグ]],"、","|")</f>
        <v/>
      </c>
    </row>
    <row r="161" spans="1:14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Row],[作品タグ]],"、","|")</f>
        <v>#べるずわーくす</v>
      </c>
      <c r="H161" s="19" t="str">
        <f>テーブル1[[#This Row],[性別]]&amp;""</f>
        <v/>
      </c>
      <c r="I161" s="19" t="str">
        <f>SUBSTITUTE(テーブル1[[#This Row],[種族タグ]],"、","|")</f>
        <v/>
      </c>
      <c r="J161" s="19" t="str">
        <f>SUBSTITUTE(テーブル1[[#This Row],[モチーフタグ]],"、","|")</f>
        <v/>
      </c>
      <c r="K161" s="19" t="str">
        <f>SUBSTITUTE(テーブル1[[#This Row],[属性タグ]],"、","|")</f>
        <v/>
      </c>
      <c r="L161" s="19" t="str">
        <f>SUBSTITUTE(テーブル1[[#This Row],[職業タグ]],"、","|")</f>
        <v/>
      </c>
      <c r="M161" s="19" t="str">
        <f>SUBSTITUTE(テーブル1[[#This Row],[小物タグ]],"、","|")</f>
        <v/>
      </c>
      <c r="N161" s="19" t="str">
        <f>SUBSTITUTE(テーブル1[[#This Row],[身体的特徴タグ]],"、","|")</f>
        <v/>
      </c>
    </row>
    <row r="162" spans="1:14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Row],[作品タグ]],"、","|")</f>
        <v>澳音ぱす(UTAU)</v>
      </c>
      <c r="H162" s="19" t="str">
        <f>テーブル1[[#This Row],[性別]]&amp;""</f>
        <v/>
      </c>
      <c r="I162" s="19" t="str">
        <f>SUBSTITUTE(テーブル1[[#This Row],[種族タグ]],"、","|")</f>
        <v/>
      </c>
      <c r="J162" s="19" t="str">
        <f>SUBSTITUTE(テーブル1[[#This Row],[モチーフタグ]],"、","|")</f>
        <v/>
      </c>
      <c r="K162" s="19" t="str">
        <f>SUBSTITUTE(テーブル1[[#This Row],[属性タグ]],"、","|")</f>
        <v/>
      </c>
      <c r="L162" s="19" t="str">
        <f>SUBSTITUTE(テーブル1[[#This Row],[職業タグ]],"、","|")</f>
        <v/>
      </c>
      <c r="M162" s="19" t="str">
        <f>SUBSTITUTE(テーブル1[[#This Row],[小物タグ]],"、","|")</f>
        <v/>
      </c>
      <c r="N162" s="19" t="str">
        <f>SUBSTITUTE(テーブル1[[#This Row],[身体的特徴タグ]],"、","|")</f>
        <v/>
      </c>
    </row>
    <row r="163" spans="1:14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Row],[作品タグ]],"、","|")</f>
        <v>#はなときつねごと</v>
      </c>
      <c r="H163" s="19" t="str">
        <f>テーブル1[[#This Row],[性別]]&amp;""</f>
        <v/>
      </c>
      <c r="I163" s="19" t="str">
        <f>SUBSTITUTE(テーブル1[[#This Row],[種族タグ]],"、","|")</f>
        <v/>
      </c>
      <c r="J163" s="19" t="str">
        <f>SUBSTITUTE(テーブル1[[#This Row],[モチーフタグ]],"、","|")</f>
        <v/>
      </c>
      <c r="K163" s="19" t="str">
        <f>SUBSTITUTE(テーブル1[[#This Row],[属性タグ]],"、","|")</f>
        <v/>
      </c>
      <c r="L163" s="19" t="str">
        <f>SUBSTITUTE(テーブル1[[#This Row],[職業タグ]],"、","|")</f>
        <v/>
      </c>
      <c r="M163" s="19" t="str">
        <f>SUBSTITUTE(テーブル1[[#This Row],[小物タグ]],"、","|")</f>
        <v/>
      </c>
      <c r="N163" s="19" t="str">
        <f>SUBSTITUTE(テーブル1[[#This Row],[身体的特徴タグ]],"、","|")</f>
        <v/>
      </c>
    </row>
    <row r="164" spans="1:14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Row],[作品タグ]],"、","|")</f>
        <v>#楽園の子守唄</v>
      </c>
      <c r="H164" s="19" t="str">
        <f>テーブル1[[#This Row],[性別]]&amp;""</f>
        <v/>
      </c>
      <c r="I164" s="19" t="str">
        <f>SUBSTITUTE(テーブル1[[#This Row],[種族タグ]],"、","|")</f>
        <v/>
      </c>
      <c r="J164" s="19" t="str">
        <f>SUBSTITUTE(テーブル1[[#This Row],[モチーフタグ]],"、","|")</f>
        <v/>
      </c>
      <c r="K164" s="19" t="str">
        <f>SUBSTITUTE(テーブル1[[#This Row],[属性タグ]],"、","|")</f>
        <v/>
      </c>
      <c r="L164" s="19" t="str">
        <f>SUBSTITUTE(テーブル1[[#This Row],[職業タグ]],"、","|")</f>
        <v/>
      </c>
      <c r="M164" s="19" t="str">
        <f>SUBSTITUTE(テーブル1[[#This Row],[小物タグ]],"、","|")</f>
        <v/>
      </c>
      <c r="N164" s="19" t="str">
        <f>SUBSTITUTE(テーブル1[[#This Row],[身体的特徴タグ]],"、","|")</f>
        <v/>
      </c>
    </row>
    <row r="165" spans="1:14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Row],[作品タグ]],"、","|")</f>
        <v>律時シドク(UTAU)</v>
      </c>
      <c r="H165" s="19" t="str">
        <f>テーブル1[[#This Row],[性別]]&amp;""</f>
        <v/>
      </c>
      <c r="I165" s="19" t="str">
        <f>SUBSTITUTE(テーブル1[[#This Row],[種族タグ]],"、","|")</f>
        <v/>
      </c>
      <c r="J165" s="19" t="str">
        <f>SUBSTITUTE(テーブル1[[#This Row],[モチーフタグ]],"、","|")</f>
        <v/>
      </c>
      <c r="K165" s="19" t="str">
        <f>SUBSTITUTE(テーブル1[[#This Row],[属性タグ]],"、","|")</f>
        <v/>
      </c>
      <c r="L165" s="19" t="str">
        <f>SUBSTITUTE(テーブル1[[#This Row],[職業タグ]],"、","|")</f>
        <v/>
      </c>
      <c r="M165" s="19" t="str">
        <f>SUBSTITUTE(テーブル1[[#This Row],[小物タグ]],"、","|")</f>
        <v/>
      </c>
      <c r="N165" s="19" t="str">
        <f>SUBSTITUTE(テーブル1[[#This Row],[身体的特徴タグ]],"、","|")</f>
        <v/>
      </c>
    </row>
    <row r="166" spans="1:14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Row],[作品タグ]],"、","|")</f>
        <v>吟児(UTAU)</v>
      </c>
      <c r="H166" s="19" t="str">
        <f>テーブル1[[#This Row],[性別]]&amp;""</f>
        <v/>
      </c>
      <c r="I166" s="19" t="str">
        <f>SUBSTITUTE(テーブル1[[#This Row],[種族タグ]],"、","|")</f>
        <v/>
      </c>
      <c r="J166" s="19" t="str">
        <f>SUBSTITUTE(テーブル1[[#This Row],[モチーフタグ]],"、","|")</f>
        <v/>
      </c>
      <c r="K166" s="19" t="str">
        <f>SUBSTITUTE(テーブル1[[#This Row],[属性タグ]],"、","|")</f>
        <v/>
      </c>
      <c r="L166" s="19" t="str">
        <f>SUBSTITUTE(テーブル1[[#This Row],[職業タグ]],"、","|")</f>
        <v/>
      </c>
      <c r="M166" s="19" t="str">
        <f>SUBSTITUTE(テーブル1[[#This Row],[小物タグ]],"、","|")</f>
        <v/>
      </c>
      <c r="N166" s="19" t="str">
        <f>SUBSTITUTE(テーブル1[[#This Row],[身体的特徴タグ]],"、","|")</f>
        <v/>
      </c>
    </row>
    <row r="167" spans="1:14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Row],[作品タグ]],"、","|")</f>
        <v>#めんのこ</v>
      </c>
      <c r="H167" s="19" t="str">
        <f>テーブル1[[#This Row],[性別]]&amp;""</f>
        <v/>
      </c>
      <c r="I167" s="19" t="str">
        <f>SUBSTITUTE(テーブル1[[#This Row],[種族タグ]],"、","|")</f>
        <v/>
      </c>
      <c r="J167" s="19" t="str">
        <f>SUBSTITUTE(テーブル1[[#This Row],[モチーフタグ]],"、","|")</f>
        <v/>
      </c>
      <c r="K167" s="19" t="str">
        <f>SUBSTITUTE(テーブル1[[#This Row],[属性タグ]],"、","|")</f>
        <v/>
      </c>
      <c r="L167" s="19" t="str">
        <f>SUBSTITUTE(テーブル1[[#This Row],[職業タグ]],"、","|")</f>
        <v/>
      </c>
      <c r="M167" s="19" t="str">
        <f>SUBSTITUTE(テーブル1[[#This Row],[小物タグ]],"、","|")</f>
        <v/>
      </c>
      <c r="N167" s="19" t="str">
        <f>SUBSTITUTE(テーブル1[[#This Row],[身体的特徴タグ]],"、","|")</f>
        <v/>
      </c>
    </row>
    <row r="168" spans="1:14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Row],[作品タグ]],"、","|")</f>
        <v>#けもののけもの</v>
      </c>
      <c r="H168" s="19" t="str">
        <f>テーブル1[[#This Row],[性別]]&amp;""</f>
        <v/>
      </c>
      <c r="I168" s="19" t="str">
        <f>SUBSTITUTE(テーブル1[[#This Row],[種族タグ]],"、","|")</f>
        <v/>
      </c>
      <c r="J168" s="19" t="str">
        <f>SUBSTITUTE(テーブル1[[#This Row],[モチーフタグ]],"、","|")</f>
        <v/>
      </c>
      <c r="K168" s="19" t="str">
        <f>SUBSTITUTE(テーブル1[[#This Row],[属性タグ]],"、","|")</f>
        <v/>
      </c>
      <c r="L168" s="19" t="str">
        <f>SUBSTITUTE(テーブル1[[#This Row],[職業タグ]],"、","|")</f>
        <v/>
      </c>
      <c r="M168" s="19" t="str">
        <f>SUBSTITUTE(テーブル1[[#This Row],[小物タグ]],"、","|")</f>
        <v/>
      </c>
      <c r="N168" s="19" t="str">
        <f>SUBSTITUTE(テーブル1[[#This Row],[身体的特徴タグ]],"、","|")</f>
        <v/>
      </c>
    </row>
    <row r="169" spans="1:14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Row],[作品タグ]],"、","|")</f>
        <v>#製造番号626</v>
      </c>
      <c r="H169" s="19" t="str">
        <f>テーブル1[[#This Row],[性別]]&amp;""</f>
        <v/>
      </c>
      <c r="I169" s="19" t="str">
        <f>SUBSTITUTE(テーブル1[[#This Row],[種族タグ]],"、","|")</f>
        <v/>
      </c>
      <c r="J169" s="19" t="str">
        <f>SUBSTITUTE(テーブル1[[#This Row],[モチーフタグ]],"、","|")</f>
        <v/>
      </c>
      <c r="K169" s="19" t="str">
        <f>SUBSTITUTE(テーブル1[[#This Row],[属性タグ]],"、","|")</f>
        <v/>
      </c>
      <c r="L169" s="19" t="str">
        <f>SUBSTITUTE(テーブル1[[#This Row],[職業タグ]],"、","|")</f>
        <v/>
      </c>
      <c r="M169" s="19" t="str">
        <f>SUBSTITUTE(テーブル1[[#This Row],[小物タグ]],"、","|")</f>
        <v/>
      </c>
      <c r="N169" s="19" t="str">
        <f>SUBSTITUTE(テーブル1[[#This Row],[身体的特徴タグ]],"、","|")</f>
        <v/>
      </c>
    </row>
    <row r="170" spans="1:14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Row],[作品タグ]],"、","|")</f>
        <v>#柳楼町観測所</v>
      </c>
      <c r="H170" s="19" t="str">
        <f>テーブル1[[#This Row],[性別]]&amp;""</f>
        <v/>
      </c>
      <c r="I170" s="19" t="str">
        <f>SUBSTITUTE(テーブル1[[#This Row],[種族タグ]],"、","|")</f>
        <v/>
      </c>
      <c r="J170" s="19" t="str">
        <f>SUBSTITUTE(テーブル1[[#This Row],[モチーフタグ]],"、","|")</f>
        <v/>
      </c>
      <c r="K170" s="19" t="str">
        <f>SUBSTITUTE(テーブル1[[#This Row],[属性タグ]],"、","|")</f>
        <v/>
      </c>
      <c r="L170" s="19" t="str">
        <f>SUBSTITUTE(テーブル1[[#This Row],[職業タグ]],"、","|")</f>
        <v/>
      </c>
      <c r="M170" s="19" t="str">
        <f>SUBSTITUTE(テーブル1[[#This Row],[小物タグ]],"、","|")</f>
        <v/>
      </c>
      <c r="N170" s="19" t="str">
        <f>SUBSTITUTE(テーブル1[[#This Row],[身体的特徴タグ]],"、","|")</f>
        <v/>
      </c>
    </row>
    <row r="171" spans="1:14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Row],[作品タグ]],"、","|")</f>
        <v>#神様の足元</v>
      </c>
      <c r="H171" s="19" t="str">
        <f>テーブル1[[#This Row],[性別]]&amp;""</f>
        <v>男性</v>
      </c>
      <c r="I171" s="19" t="str">
        <f>SUBSTITUTE(テーブル1[[#This Row],[種族タグ]],"、","|")</f>
        <v>バーチャル</v>
      </c>
      <c r="J171" s="19" t="str">
        <f>SUBSTITUTE(テーブル1[[#This Row],[モチーフタグ]],"、","|")</f>
        <v/>
      </c>
      <c r="K171" s="19" t="str">
        <f>SUBSTITUTE(テーブル1[[#This Row],[属性タグ]],"、","|")</f>
        <v/>
      </c>
      <c r="L171" s="19" t="str">
        <f>SUBSTITUTE(テーブル1[[#This Row],[職業タグ]],"、","|")</f>
        <v/>
      </c>
      <c r="M171" s="19" t="str">
        <f>SUBSTITUTE(テーブル1[[#This Row],[小物タグ]],"、","|")</f>
        <v>ヘイロー</v>
      </c>
      <c r="N171" s="19" t="str">
        <f>SUBSTITUTE(テーブル1[[#This Row],[身体的特徴タグ]],"、","|")</f>
        <v>髪色</v>
      </c>
    </row>
    <row r="172" spans="1:14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Row],[作品タグ]],"、","|")</f>
        <v>#九作Q</v>
      </c>
      <c r="H172" s="19" t="str">
        <f>テーブル1[[#This Row],[性別]]&amp;""</f>
        <v/>
      </c>
      <c r="I172" s="19" t="str">
        <f>SUBSTITUTE(テーブル1[[#This Row],[種族タグ]],"、","|")</f>
        <v/>
      </c>
      <c r="J172" s="19" t="str">
        <f>SUBSTITUTE(テーブル1[[#This Row],[モチーフタグ]],"、","|")</f>
        <v/>
      </c>
      <c r="K172" s="19" t="str">
        <f>SUBSTITUTE(テーブル1[[#This Row],[属性タグ]],"、","|")</f>
        <v/>
      </c>
      <c r="L172" s="19" t="str">
        <f>SUBSTITUTE(テーブル1[[#This Row],[職業タグ]],"、","|")</f>
        <v/>
      </c>
      <c r="M172" s="19" t="str">
        <f>SUBSTITUTE(テーブル1[[#This Row],[小物タグ]],"、","|")</f>
        <v/>
      </c>
      <c r="N172" s="19" t="str">
        <f>SUBSTITUTE(テーブル1[[#This Row],[身体的特徴タグ]],"、","|")</f>
        <v/>
      </c>
    </row>
    <row r="173" spans="1:14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Row],[作品タグ]],"、","|")</f>
        <v>#ひーろーあーと</v>
      </c>
      <c r="H173" s="19" t="str">
        <f>テーブル1[[#This Row],[性別]]&amp;""</f>
        <v/>
      </c>
      <c r="I173" s="19" t="str">
        <f>SUBSTITUTE(テーブル1[[#This Row],[種族タグ]],"、","|")</f>
        <v/>
      </c>
      <c r="J173" s="19" t="str">
        <f>SUBSTITUTE(テーブル1[[#This Row],[モチーフタグ]],"、","|")</f>
        <v/>
      </c>
      <c r="K173" s="19" t="str">
        <f>SUBSTITUTE(テーブル1[[#This Row],[属性タグ]],"、","|")</f>
        <v/>
      </c>
      <c r="L173" s="19" t="str">
        <f>SUBSTITUTE(テーブル1[[#This Row],[職業タグ]],"、","|")</f>
        <v/>
      </c>
      <c r="M173" s="19" t="str">
        <f>SUBSTITUTE(テーブル1[[#This Row],[小物タグ]],"、","|")</f>
        <v/>
      </c>
      <c r="N173" s="19" t="str">
        <f>SUBSTITUTE(テーブル1[[#This Row],[身体的特徴タグ]],"、","|")</f>
        <v/>
      </c>
    </row>
    <row r="174" spans="1:14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Row],[作品タグ]],"、","|")</f>
        <v>#奈落の天蓋</v>
      </c>
      <c r="H174" s="19" t="str">
        <f>テーブル1[[#This Row],[性別]]&amp;""</f>
        <v/>
      </c>
      <c r="I174" s="19" t="str">
        <f>SUBSTITUTE(テーブル1[[#This Row],[種族タグ]],"、","|")</f>
        <v/>
      </c>
      <c r="J174" s="19" t="str">
        <f>SUBSTITUTE(テーブル1[[#This Row],[モチーフタグ]],"、","|")</f>
        <v/>
      </c>
      <c r="K174" s="19" t="str">
        <f>SUBSTITUTE(テーブル1[[#This Row],[属性タグ]],"、","|")</f>
        <v/>
      </c>
      <c r="L174" s="19" t="str">
        <f>SUBSTITUTE(テーブル1[[#This Row],[職業タグ]],"、","|")</f>
        <v/>
      </c>
      <c r="M174" s="19" t="str">
        <f>SUBSTITUTE(テーブル1[[#This Row],[小物タグ]],"、","|")</f>
        <v/>
      </c>
      <c r="N174" s="19" t="str">
        <f>SUBSTITUTE(テーブル1[[#This Row],[身体的特徴タグ]],"、","|")</f>
        <v/>
      </c>
    </row>
    <row r="175" spans="1:14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Row],[作品タグ]],"、","|")</f>
        <v>#守智歌ピノ</v>
      </c>
      <c r="H175" s="19" t="str">
        <f>テーブル1[[#This Row],[性別]]&amp;""</f>
        <v/>
      </c>
      <c r="I175" s="19" t="str">
        <f>SUBSTITUTE(テーブル1[[#This Row],[種族タグ]],"、","|")</f>
        <v/>
      </c>
      <c r="J175" s="19" t="str">
        <f>SUBSTITUTE(テーブル1[[#This Row],[モチーフタグ]],"、","|")</f>
        <v/>
      </c>
      <c r="K175" s="19" t="str">
        <f>SUBSTITUTE(テーブル1[[#This Row],[属性タグ]],"、","|")</f>
        <v/>
      </c>
      <c r="L175" s="19" t="str">
        <f>SUBSTITUTE(テーブル1[[#This Row],[職業タグ]],"、","|")</f>
        <v/>
      </c>
      <c r="M175" s="19" t="str">
        <f>SUBSTITUTE(テーブル1[[#This Row],[小物タグ]],"、","|")</f>
        <v/>
      </c>
      <c r="N175" s="19" t="str">
        <f>SUBSTITUTE(テーブル1[[#This Row],[身体的特徴タグ]],"、","|")</f>
        <v/>
      </c>
    </row>
    <row r="176" spans="1:14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Row],[作品タグ]],"、","|")</f>
        <v>#轟雪マチ丸</v>
      </c>
      <c r="H176" s="19" t="str">
        <f>テーブル1[[#This Row],[性別]]&amp;""</f>
        <v/>
      </c>
      <c r="I176" s="19" t="str">
        <f>SUBSTITUTE(テーブル1[[#This Row],[種族タグ]],"、","|")</f>
        <v/>
      </c>
      <c r="J176" s="19" t="str">
        <f>SUBSTITUTE(テーブル1[[#This Row],[モチーフタグ]],"、","|")</f>
        <v/>
      </c>
      <c r="K176" s="19" t="str">
        <f>SUBSTITUTE(テーブル1[[#This Row],[属性タグ]],"、","|")</f>
        <v/>
      </c>
      <c r="L176" s="19" t="str">
        <f>SUBSTITUTE(テーブル1[[#This Row],[職業タグ]],"、","|")</f>
        <v/>
      </c>
      <c r="M176" s="19" t="str">
        <f>SUBSTITUTE(テーブル1[[#This Row],[小物タグ]],"、","|")</f>
        <v/>
      </c>
      <c r="N176" s="19" t="str">
        <f>SUBSTITUTE(テーブル1[[#This Row],[身体的特徴タグ]],"、","|")</f>
        <v/>
      </c>
    </row>
    <row r="177" spans="1:14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Row],[作品タグ]],"、","|")</f>
        <v>桃沼(UTAU)</v>
      </c>
      <c r="H177" s="19" t="str">
        <f>テーブル1[[#This Row],[性別]]&amp;""</f>
        <v/>
      </c>
      <c r="I177" s="19" t="str">
        <f>SUBSTITUTE(テーブル1[[#This Row],[種族タグ]],"、","|")</f>
        <v/>
      </c>
      <c r="J177" s="19" t="str">
        <f>SUBSTITUTE(テーブル1[[#This Row],[モチーフタグ]],"、","|")</f>
        <v/>
      </c>
      <c r="K177" s="19" t="str">
        <f>SUBSTITUTE(テーブル1[[#This Row],[属性タグ]],"、","|")</f>
        <v/>
      </c>
      <c r="L177" s="19" t="str">
        <f>SUBSTITUTE(テーブル1[[#This Row],[職業タグ]],"、","|")</f>
        <v/>
      </c>
      <c r="M177" s="19" t="str">
        <f>SUBSTITUTE(テーブル1[[#This Row],[小物タグ]],"、","|")</f>
        <v/>
      </c>
      <c r="N177" s="19" t="str">
        <f>SUBSTITUTE(テーブル1[[#This Row],[身体的特徴タグ]],"、","|")</f>
        <v/>
      </c>
    </row>
    <row r="178" spans="1:14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Row],[作品タグ]],"、","|")</f>
        <v>#べるずわーくす</v>
      </c>
      <c r="H178" s="19" t="str">
        <f>テーブル1[[#This Row],[性別]]&amp;""</f>
        <v/>
      </c>
      <c r="I178" s="19" t="str">
        <f>SUBSTITUTE(テーブル1[[#This Row],[種族タグ]],"、","|")</f>
        <v/>
      </c>
      <c r="J178" s="19" t="str">
        <f>SUBSTITUTE(テーブル1[[#This Row],[モチーフタグ]],"、","|")</f>
        <v/>
      </c>
      <c r="K178" s="19" t="str">
        <f>SUBSTITUTE(テーブル1[[#This Row],[属性タグ]],"、","|")</f>
        <v/>
      </c>
      <c r="L178" s="19" t="str">
        <f>SUBSTITUTE(テーブル1[[#This Row],[職業タグ]],"、","|")</f>
        <v/>
      </c>
      <c r="M178" s="19" t="str">
        <f>SUBSTITUTE(テーブル1[[#This Row],[小物タグ]],"、","|")</f>
        <v/>
      </c>
      <c r="N178" s="19" t="str">
        <f>SUBSTITUTE(テーブル1[[#This Row],[身体的特徴タグ]],"、","|")</f>
        <v/>
      </c>
    </row>
    <row r="179" spans="1:14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Row],[作品タグ]],"、","|")</f>
        <v>マック音ヒトキ(UTAU)</v>
      </c>
      <c r="H179" s="19" t="str">
        <f>テーブル1[[#This Row],[性別]]&amp;""</f>
        <v/>
      </c>
      <c r="I179" s="19" t="str">
        <f>SUBSTITUTE(テーブル1[[#This Row],[種族タグ]],"、","|")</f>
        <v/>
      </c>
      <c r="J179" s="19" t="str">
        <f>SUBSTITUTE(テーブル1[[#This Row],[モチーフタグ]],"、","|")</f>
        <v/>
      </c>
      <c r="K179" s="19" t="str">
        <f>SUBSTITUTE(テーブル1[[#This Row],[属性タグ]],"、","|")</f>
        <v/>
      </c>
      <c r="L179" s="19" t="str">
        <f>SUBSTITUTE(テーブル1[[#This Row],[職業タグ]],"、","|")</f>
        <v/>
      </c>
      <c r="M179" s="19" t="str">
        <f>SUBSTITUTE(テーブル1[[#This Row],[小物タグ]],"、","|")</f>
        <v/>
      </c>
      <c r="N179" s="19" t="str">
        <f>SUBSTITUTE(テーブル1[[#This Row],[身体的特徴タグ]],"、","|")</f>
        <v/>
      </c>
    </row>
    <row r="180" spans="1:14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Row],[作品タグ]],"、","|")</f>
        <v>#6月の放課後_山名</v>
      </c>
      <c r="H180" s="19" t="str">
        <f>テーブル1[[#This Row],[性別]]&amp;""</f>
        <v/>
      </c>
      <c r="I180" s="19" t="str">
        <f>SUBSTITUTE(テーブル1[[#This Row],[種族タグ]],"、","|")</f>
        <v/>
      </c>
      <c r="J180" s="19" t="str">
        <f>SUBSTITUTE(テーブル1[[#This Row],[モチーフタグ]],"、","|")</f>
        <v/>
      </c>
      <c r="K180" s="19" t="str">
        <f>SUBSTITUTE(テーブル1[[#This Row],[属性タグ]],"、","|")</f>
        <v/>
      </c>
      <c r="L180" s="19" t="str">
        <f>SUBSTITUTE(テーブル1[[#This Row],[職業タグ]],"、","|")</f>
        <v/>
      </c>
      <c r="M180" s="19" t="str">
        <f>SUBSTITUTE(テーブル1[[#This Row],[小物タグ]],"、","|")</f>
        <v/>
      </c>
      <c r="N180" s="19" t="str">
        <f>SUBSTITUTE(テーブル1[[#This Row],[身体的特徴タグ]],"、","|")</f>
        <v/>
      </c>
    </row>
    <row r="181" spans="1:14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Row],[作品タグ]],"、","|")</f>
        <v>#刹葬セツリ</v>
      </c>
      <c r="H181" s="19" t="str">
        <f>テーブル1[[#This Row],[性別]]&amp;""</f>
        <v/>
      </c>
      <c r="I181" s="19" t="str">
        <f>SUBSTITUTE(テーブル1[[#This Row],[種族タグ]],"、","|")</f>
        <v/>
      </c>
      <c r="J181" s="19" t="str">
        <f>SUBSTITUTE(テーブル1[[#This Row],[モチーフタグ]],"、","|")</f>
        <v/>
      </c>
      <c r="K181" s="19" t="str">
        <f>SUBSTITUTE(テーブル1[[#This Row],[属性タグ]],"、","|")</f>
        <v/>
      </c>
      <c r="L181" s="19" t="str">
        <f>SUBSTITUTE(テーブル1[[#This Row],[職業タグ]],"、","|")</f>
        <v/>
      </c>
      <c r="M181" s="19" t="str">
        <f>SUBSTITUTE(テーブル1[[#This Row],[小物タグ]],"、","|")</f>
        <v/>
      </c>
      <c r="N181" s="19" t="str">
        <f>SUBSTITUTE(テーブル1[[#This Row],[身体的特徴タグ]],"、","|")</f>
        <v/>
      </c>
    </row>
    <row r="182" spans="1:14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Row],[作品タグ]],"、","|")</f>
        <v>#波音リツ</v>
      </c>
      <c r="H182" s="19" t="str">
        <f>テーブル1[[#This Row],[性別]]&amp;""</f>
        <v/>
      </c>
      <c r="I182" s="19" t="str">
        <f>SUBSTITUTE(テーブル1[[#This Row],[種族タグ]],"、","|")</f>
        <v/>
      </c>
      <c r="J182" s="19" t="str">
        <f>SUBSTITUTE(テーブル1[[#This Row],[モチーフタグ]],"、","|")</f>
        <v/>
      </c>
      <c r="K182" s="19" t="str">
        <f>SUBSTITUTE(テーブル1[[#This Row],[属性タグ]],"、","|")</f>
        <v/>
      </c>
      <c r="L182" s="19" t="str">
        <f>SUBSTITUTE(テーブル1[[#This Row],[職業タグ]],"、","|")</f>
        <v/>
      </c>
      <c r="M182" s="19" t="str">
        <f>SUBSTITUTE(テーブル1[[#This Row],[小物タグ]],"、","|")</f>
        <v/>
      </c>
      <c r="N182" s="19" t="str">
        <f>SUBSTITUTE(テーブル1[[#This Row],[身体的特徴タグ]],"、","|")</f>
        <v/>
      </c>
    </row>
    <row r="183" spans="1:14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Row],[作品タグ]],"、","|")</f>
        <v>#緑音翡翠</v>
      </c>
      <c r="H183" s="19" t="str">
        <f>テーブル1[[#This Row],[性別]]&amp;""</f>
        <v/>
      </c>
      <c r="I183" s="19" t="str">
        <f>SUBSTITUTE(テーブル1[[#This Row],[種族タグ]],"、","|")</f>
        <v/>
      </c>
      <c r="J183" s="19" t="str">
        <f>SUBSTITUTE(テーブル1[[#This Row],[モチーフタグ]],"、","|")</f>
        <v/>
      </c>
      <c r="K183" s="19" t="str">
        <f>SUBSTITUTE(テーブル1[[#This Row],[属性タグ]],"、","|")</f>
        <v/>
      </c>
      <c r="L183" s="19" t="str">
        <f>SUBSTITUTE(テーブル1[[#This Row],[職業タグ]],"、","|")</f>
        <v/>
      </c>
      <c r="M183" s="19" t="str">
        <f>SUBSTITUTE(テーブル1[[#This Row],[小物タグ]],"、","|")</f>
        <v/>
      </c>
      <c r="N183" s="19" t="str">
        <f>SUBSTITUTE(テーブル1[[#This Row],[身体的特徴タグ]],"、","|")</f>
        <v/>
      </c>
    </row>
    <row r="184" spans="1:14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Row],[作品タグ]],"、","|")</f>
        <v>#ぞんび線CB</v>
      </c>
      <c r="H184" s="19" t="str">
        <f>テーブル1[[#This Row],[性別]]&amp;""</f>
        <v/>
      </c>
      <c r="I184" s="19" t="str">
        <f>SUBSTITUTE(テーブル1[[#This Row],[種族タグ]],"、","|")</f>
        <v/>
      </c>
      <c r="J184" s="19" t="str">
        <f>SUBSTITUTE(テーブル1[[#This Row],[モチーフタグ]],"、","|")</f>
        <v/>
      </c>
      <c r="K184" s="19" t="str">
        <f>SUBSTITUTE(テーブル1[[#This Row],[属性タグ]],"、","|")</f>
        <v/>
      </c>
      <c r="L184" s="19" t="str">
        <f>SUBSTITUTE(テーブル1[[#This Row],[職業タグ]],"、","|")</f>
        <v/>
      </c>
      <c r="M184" s="19" t="str">
        <f>SUBSTITUTE(テーブル1[[#This Row],[小物タグ]],"、","|")</f>
        <v/>
      </c>
      <c r="N184" s="19" t="str">
        <f>SUBSTITUTE(テーブル1[[#This Row],[身体的特徴タグ]],"、","|")</f>
        <v/>
      </c>
    </row>
    <row r="185" spans="1:14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Row],[作品タグ]],"、","|")</f>
        <v>#歌う雨やどり</v>
      </c>
      <c r="H185" s="19" t="str">
        <f>テーブル1[[#This Row],[性別]]&amp;""</f>
        <v>男性</v>
      </c>
      <c r="I185" s="19" t="str">
        <f>SUBSTITUTE(テーブル1[[#This Row],[種族タグ]],"、","|")</f>
        <v>人間</v>
      </c>
      <c r="J185" s="19" t="str">
        <f>SUBSTITUTE(テーブル1[[#This Row],[モチーフタグ]],"、","|")</f>
        <v/>
      </c>
      <c r="K185" s="19" t="str">
        <f>SUBSTITUTE(テーブル1[[#This Row],[属性タグ]],"、","|")</f>
        <v/>
      </c>
      <c r="L185" s="19" t="str">
        <f>SUBSTITUTE(テーブル1[[#This Row],[職業タグ]],"、","|")</f>
        <v>科学・技術</v>
      </c>
      <c r="M185" s="19" t="str">
        <f>SUBSTITUTE(テーブル1[[#This Row],[小物タグ]],"、","|")</f>
        <v>眼部</v>
      </c>
      <c r="N185" s="19" t="str">
        <f>SUBSTITUTE(テーブル1[[#This Row],[身体的特徴タグ]],"、","|")</f>
        <v>目隠れ</v>
      </c>
    </row>
    <row r="186" spans="1:14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Row],[作品タグ]],"、","|")</f>
        <v>#べるずわーくす</v>
      </c>
      <c r="H186" s="19" t="str">
        <f>テーブル1[[#This Row],[性別]]&amp;""</f>
        <v/>
      </c>
      <c r="I186" s="19" t="str">
        <f>SUBSTITUTE(テーブル1[[#This Row],[種族タグ]],"、","|")</f>
        <v/>
      </c>
      <c r="J186" s="19" t="str">
        <f>SUBSTITUTE(テーブル1[[#This Row],[モチーフタグ]],"、","|")</f>
        <v/>
      </c>
      <c r="K186" s="19" t="str">
        <f>SUBSTITUTE(テーブル1[[#This Row],[属性タグ]],"、","|")</f>
        <v/>
      </c>
      <c r="L186" s="19" t="str">
        <f>SUBSTITUTE(テーブル1[[#This Row],[職業タグ]],"、","|")</f>
        <v/>
      </c>
      <c r="M186" s="19" t="str">
        <f>SUBSTITUTE(テーブル1[[#This Row],[小物タグ]],"、","|")</f>
        <v/>
      </c>
      <c r="N186" s="19" t="str">
        <f>SUBSTITUTE(テーブル1[[#This Row],[身体的特徴タグ]],"、","|")</f>
        <v/>
      </c>
    </row>
    <row r="187" spans="1:14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Row],[作品タグ]],"、","|")</f>
        <v>#セレソー作</v>
      </c>
      <c r="H187" s="19" t="str">
        <f>テーブル1[[#This Row],[性別]]&amp;""</f>
        <v>不明</v>
      </c>
      <c r="I187" s="19" t="str">
        <f>SUBSTITUTE(テーブル1[[#This Row],[種族タグ]],"、","|")</f>
        <v>人間|双子|故人</v>
      </c>
      <c r="J187" s="19" t="str">
        <f>SUBSTITUTE(テーブル1[[#This Row],[モチーフタグ]],"、","|")</f>
        <v/>
      </c>
      <c r="K187" s="19" t="str">
        <f>SUBSTITUTE(テーブル1[[#This Row],[属性タグ]],"、","|")</f>
        <v/>
      </c>
      <c r="L187" s="19" t="str">
        <f>SUBSTITUTE(テーブル1[[#This Row],[職業タグ]],"、","|")</f>
        <v>元ヤン</v>
      </c>
      <c r="M187" s="19" t="str">
        <f>SUBSTITUTE(テーブル1[[#This Row],[小物タグ]],"、","|")</f>
        <v/>
      </c>
      <c r="N187" s="19" t="str">
        <f>SUBSTITUTE(テーブル1[[#This Row],[身体的特徴タグ]],"、","|")</f>
        <v/>
      </c>
    </row>
    <row r="188" spans="1:14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Row],[作品タグ]],"、","|")</f>
        <v>#めいあんぐ</v>
      </c>
      <c r="H188" s="19" t="str">
        <f>テーブル1[[#This Row],[性別]]&amp;""</f>
        <v/>
      </c>
      <c r="I188" s="19" t="str">
        <f>SUBSTITUTE(テーブル1[[#This Row],[種族タグ]],"、","|")</f>
        <v/>
      </c>
      <c r="J188" s="19" t="str">
        <f>SUBSTITUTE(テーブル1[[#This Row],[モチーフタグ]],"、","|")</f>
        <v/>
      </c>
      <c r="K188" s="19" t="str">
        <f>SUBSTITUTE(テーブル1[[#This Row],[属性タグ]],"、","|")</f>
        <v/>
      </c>
      <c r="L188" s="19" t="str">
        <f>SUBSTITUTE(テーブル1[[#This Row],[職業タグ]],"、","|")</f>
        <v/>
      </c>
      <c r="M188" s="19" t="str">
        <f>SUBSTITUTE(テーブル1[[#This Row],[小物タグ]],"、","|")</f>
        <v/>
      </c>
      <c r="N188" s="19" t="str">
        <f>SUBSTITUTE(テーブル1[[#This Row],[身体的特徴タグ]],"、","|")</f>
        <v/>
      </c>
    </row>
    <row r="189" spans="1:14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Row],[作品タグ]],"、","|")</f>
        <v>#べるずわーくす</v>
      </c>
      <c r="H189" s="19" t="str">
        <f>テーブル1[[#This Row],[性別]]&amp;""</f>
        <v/>
      </c>
      <c r="I189" s="19" t="str">
        <f>SUBSTITUTE(テーブル1[[#This Row],[種族タグ]],"、","|")</f>
        <v/>
      </c>
      <c r="J189" s="19" t="str">
        <f>SUBSTITUTE(テーブル1[[#This Row],[モチーフタグ]],"、","|")</f>
        <v/>
      </c>
      <c r="K189" s="19" t="str">
        <f>SUBSTITUTE(テーブル1[[#This Row],[属性タグ]],"、","|")</f>
        <v/>
      </c>
      <c r="L189" s="19" t="str">
        <f>SUBSTITUTE(テーブル1[[#This Row],[職業タグ]],"、","|")</f>
        <v/>
      </c>
      <c r="M189" s="19" t="str">
        <f>SUBSTITUTE(テーブル1[[#This Row],[小物タグ]],"、","|")</f>
        <v/>
      </c>
      <c r="N189" s="19" t="str">
        <f>SUBSTITUTE(テーブル1[[#This Row],[身体的特徴タグ]],"、","|")</f>
        <v/>
      </c>
    </row>
    <row r="190" spans="1:14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Row],[作品タグ]],"、","|")</f>
        <v>#保冷安室</v>
      </c>
      <c r="H190" s="19" t="str">
        <f>テーブル1[[#This Row],[性別]]&amp;""</f>
        <v/>
      </c>
      <c r="I190" s="19" t="str">
        <f>SUBSTITUTE(テーブル1[[#This Row],[種族タグ]],"、","|")</f>
        <v/>
      </c>
      <c r="J190" s="19" t="str">
        <f>SUBSTITUTE(テーブル1[[#This Row],[モチーフタグ]],"、","|")</f>
        <v/>
      </c>
      <c r="K190" s="19" t="str">
        <f>SUBSTITUTE(テーブル1[[#This Row],[属性タグ]],"、","|")</f>
        <v/>
      </c>
      <c r="L190" s="19" t="str">
        <f>SUBSTITUTE(テーブル1[[#This Row],[職業タグ]],"、","|")</f>
        <v/>
      </c>
      <c r="M190" s="19" t="str">
        <f>SUBSTITUTE(テーブル1[[#This Row],[小物タグ]],"、","|")</f>
        <v/>
      </c>
      <c r="N190" s="19" t="str">
        <f>SUBSTITUTE(テーブル1[[#This Row],[身体的特徴タグ]],"、","|")</f>
        <v/>
      </c>
    </row>
    <row r="191" spans="1:14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Row],[作品タグ]],"、","|")</f>
        <v>#喜怒哀ROCK</v>
      </c>
      <c r="H191" s="19" t="str">
        <f>テーブル1[[#This Row],[性別]]&amp;""</f>
        <v/>
      </c>
      <c r="I191" s="19" t="str">
        <f>SUBSTITUTE(テーブル1[[#This Row],[種族タグ]],"、","|")</f>
        <v/>
      </c>
      <c r="J191" s="19" t="str">
        <f>SUBSTITUTE(テーブル1[[#This Row],[モチーフタグ]],"、","|")</f>
        <v/>
      </c>
      <c r="K191" s="19" t="str">
        <f>SUBSTITUTE(テーブル1[[#This Row],[属性タグ]],"、","|")</f>
        <v/>
      </c>
      <c r="L191" s="19" t="str">
        <f>SUBSTITUTE(テーブル1[[#This Row],[職業タグ]],"、","|")</f>
        <v/>
      </c>
      <c r="M191" s="19" t="str">
        <f>SUBSTITUTE(テーブル1[[#This Row],[小物タグ]],"、","|")</f>
        <v/>
      </c>
      <c r="N191" s="19" t="str">
        <f>SUBSTITUTE(テーブル1[[#This Row],[身体的特徴タグ]],"、","|")</f>
        <v/>
      </c>
    </row>
    <row r="192" spans="1:14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Row],[作品タグ]],"、","|")</f>
        <v>#6月の放課後_日出</v>
      </c>
      <c r="H192" s="19" t="str">
        <f>テーブル1[[#This Row],[性別]]&amp;""</f>
        <v/>
      </c>
      <c r="I192" s="19" t="str">
        <f>SUBSTITUTE(テーブル1[[#This Row],[種族タグ]],"、","|")</f>
        <v/>
      </c>
      <c r="J192" s="19" t="str">
        <f>SUBSTITUTE(テーブル1[[#This Row],[モチーフタグ]],"、","|")</f>
        <v/>
      </c>
      <c r="K192" s="19" t="str">
        <f>SUBSTITUTE(テーブル1[[#This Row],[属性タグ]],"、","|")</f>
        <v/>
      </c>
      <c r="L192" s="19" t="str">
        <f>SUBSTITUTE(テーブル1[[#This Row],[職業タグ]],"、","|")</f>
        <v/>
      </c>
      <c r="M192" s="19" t="str">
        <f>SUBSTITUTE(テーブル1[[#This Row],[小物タグ]],"、","|")</f>
        <v/>
      </c>
      <c r="N192" s="19" t="str">
        <f>SUBSTITUTE(テーブル1[[#This Row],[身体的特徴タグ]],"、","|")</f>
        <v/>
      </c>
    </row>
    <row r="193" spans="1:14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Row],[作品タグ]],"、","|")</f>
        <v>#べるずわーくす</v>
      </c>
      <c r="H193" s="19" t="str">
        <f>テーブル1[[#This Row],[性別]]&amp;""</f>
        <v/>
      </c>
      <c r="I193" s="19" t="str">
        <f>SUBSTITUTE(テーブル1[[#This Row],[種族タグ]],"、","|")</f>
        <v/>
      </c>
      <c r="J193" s="19" t="str">
        <f>SUBSTITUTE(テーブル1[[#This Row],[モチーフタグ]],"、","|")</f>
        <v/>
      </c>
      <c r="K193" s="19" t="str">
        <f>SUBSTITUTE(テーブル1[[#This Row],[属性タグ]],"、","|")</f>
        <v/>
      </c>
      <c r="L193" s="19" t="str">
        <f>SUBSTITUTE(テーブル1[[#This Row],[職業タグ]],"、","|")</f>
        <v/>
      </c>
      <c r="M193" s="19" t="str">
        <f>SUBSTITUTE(テーブル1[[#This Row],[小物タグ]],"、","|")</f>
        <v/>
      </c>
      <c r="N193" s="19" t="str">
        <f>SUBSTITUTE(テーブル1[[#This Row],[身体的特徴タグ]],"、","|")</f>
        <v/>
      </c>
    </row>
    <row r="194" spans="1:14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Row],[作品タグ]],"、","|")</f>
        <v>#MQAW</v>
      </c>
      <c r="H194" s="19" t="str">
        <f>テーブル1[[#This Row],[性別]]&amp;""</f>
        <v>女性</v>
      </c>
      <c r="I194" s="19" t="str">
        <f>SUBSTITUTE(テーブル1[[#This Row],[種族タグ]],"、","|")</f>
        <v>宇宙人</v>
      </c>
      <c r="J194" s="19" t="str">
        <f>SUBSTITUTE(テーブル1[[#This Row],[モチーフタグ]],"、","|")</f>
        <v>魚類・海洋生物</v>
      </c>
      <c r="K194" s="19" t="str">
        <f>SUBSTITUTE(テーブル1[[#This Row],[属性タグ]],"、","|")</f>
        <v/>
      </c>
      <c r="L194" s="19" t="str">
        <f>SUBSTITUTE(テーブル1[[#This Row],[職業タグ]],"、","|")</f>
        <v/>
      </c>
      <c r="M194" s="19" t="str">
        <f>SUBSTITUTE(テーブル1[[#This Row],[小物タグ]],"、","|")</f>
        <v/>
      </c>
      <c r="N194" s="19" t="str">
        <f>SUBSTITUTE(テーブル1[[#This Row],[身体的特徴タグ]],"、","|")</f>
        <v>髪型|目隠れ</v>
      </c>
    </row>
    <row r="195" spans="1:14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Row],[作品タグ]],"、","|")</f>
        <v>#べるずわーくす</v>
      </c>
      <c r="H195" s="19" t="str">
        <f>テーブル1[[#This Row],[性別]]&amp;""</f>
        <v/>
      </c>
      <c r="I195" s="19" t="str">
        <f>SUBSTITUTE(テーブル1[[#This Row],[種族タグ]],"、","|")</f>
        <v/>
      </c>
      <c r="J195" s="19" t="str">
        <f>SUBSTITUTE(テーブル1[[#This Row],[モチーフタグ]],"、","|")</f>
        <v/>
      </c>
      <c r="K195" s="19" t="str">
        <f>SUBSTITUTE(テーブル1[[#This Row],[属性タグ]],"、","|")</f>
        <v/>
      </c>
      <c r="L195" s="19" t="str">
        <f>SUBSTITUTE(テーブル1[[#This Row],[職業タグ]],"、","|")</f>
        <v/>
      </c>
      <c r="M195" s="19" t="str">
        <f>SUBSTITUTE(テーブル1[[#This Row],[小物タグ]],"、","|")</f>
        <v/>
      </c>
      <c r="N195" s="19" t="str">
        <f>SUBSTITUTE(テーブル1[[#This Row],[身体的特徴タグ]],"、","|")</f>
        <v/>
      </c>
    </row>
    <row r="196" spans="1:14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Row],[作品タグ]],"、","|")</f>
        <v>#紫陽花ノ楽譜ト</v>
      </c>
      <c r="H196" s="19" t="str">
        <f>テーブル1[[#This Row],[性別]]&amp;""</f>
        <v/>
      </c>
      <c r="I196" s="19" t="str">
        <f>SUBSTITUTE(テーブル1[[#This Row],[種族タグ]],"、","|")</f>
        <v/>
      </c>
      <c r="J196" s="19" t="str">
        <f>SUBSTITUTE(テーブル1[[#This Row],[モチーフタグ]],"、","|")</f>
        <v/>
      </c>
      <c r="K196" s="19" t="str">
        <f>SUBSTITUTE(テーブル1[[#This Row],[属性タグ]],"、","|")</f>
        <v/>
      </c>
      <c r="L196" s="19" t="str">
        <f>SUBSTITUTE(テーブル1[[#This Row],[職業タグ]],"、","|")</f>
        <v/>
      </c>
      <c r="M196" s="19" t="str">
        <f>SUBSTITUTE(テーブル1[[#This Row],[小物タグ]],"、","|")</f>
        <v/>
      </c>
      <c r="N196" s="19" t="str">
        <f>SUBSTITUTE(テーブル1[[#This Row],[身体的特徴タグ]],"、","|")</f>
        <v/>
      </c>
    </row>
    <row r="197" spans="1:14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Row],[作品タグ]],"、","|")</f>
        <v>#泡沫の青ヰハル</v>
      </c>
      <c r="H197" s="19" t="str">
        <f>テーブル1[[#This Row],[性別]]&amp;""</f>
        <v/>
      </c>
      <c r="I197" s="19" t="str">
        <f>SUBSTITUTE(テーブル1[[#This Row],[種族タグ]],"、","|")</f>
        <v/>
      </c>
      <c r="J197" s="19" t="str">
        <f>SUBSTITUTE(テーブル1[[#This Row],[モチーフタグ]],"、","|")</f>
        <v/>
      </c>
      <c r="K197" s="19" t="str">
        <f>SUBSTITUTE(テーブル1[[#This Row],[属性タグ]],"、","|")</f>
        <v/>
      </c>
      <c r="L197" s="19" t="str">
        <f>SUBSTITUTE(テーブル1[[#This Row],[職業タグ]],"、","|")</f>
        <v/>
      </c>
      <c r="M197" s="19" t="str">
        <f>SUBSTITUTE(テーブル1[[#This Row],[小物タグ]],"、","|")</f>
        <v/>
      </c>
      <c r="N197" s="19" t="str">
        <f>SUBSTITUTE(テーブル1[[#This Row],[身体的特徴タグ]],"、","|")</f>
        <v/>
      </c>
    </row>
    <row r="198" spans="1:14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Row],[作品タグ]],"、","|")</f>
        <v>#べるずわーくす</v>
      </c>
      <c r="H198" s="19" t="str">
        <f>テーブル1[[#This Row],[性別]]&amp;""</f>
        <v/>
      </c>
      <c r="I198" s="19" t="str">
        <f>SUBSTITUTE(テーブル1[[#This Row],[種族タグ]],"、","|")</f>
        <v/>
      </c>
      <c r="J198" s="19" t="str">
        <f>SUBSTITUTE(テーブル1[[#This Row],[モチーフタグ]],"、","|")</f>
        <v/>
      </c>
      <c r="K198" s="19" t="str">
        <f>SUBSTITUTE(テーブル1[[#This Row],[属性タグ]],"、","|")</f>
        <v/>
      </c>
      <c r="L198" s="19" t="str">
        <f>SUBSTITUTE(テーブル1[[#This Row],[職業タグ]],"、","|")</f>
        <v/>
      </c>
      <c r="M198" s="19" t="str">
        <f>SUBSTITUTE(テーブル1[[#This Row],[小物タグ]],"、","|")</f>
        <v/>
      </c>
      <c r="N198" s="19" t="str">
        <f>SUBSTITUTE(テーブル1[[#This Row],[身体的特徴タグ]],"、","|")</f>
        <v/>
      </c>
    </row>
    <row r="199" spans="1:14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Row],[作品タグ]],"、","|")</f>
        <v xml:space="preserve">#玖夏参伏 </v>
      </c>
      <c r="H199" s="19" t="str">
        <f>テーブル1[[#This Row],[性別]]&amp;""</f>
        <v/>
      </c>
      <c r="I199" s="19" t="str">
        <f>SUBSTITUTE(テーブル1[[#This Row],[種族タグ]],"、","|")</f>
        <v/>
      </c>
      <c r="J199" s="19" t="str">
        <f>SUBSTITUTE(テーブル1[[#This Row],[モチーフタグ]],"、","|")</f>
        <v/>
      </c>
      <c r="K199" s="19" t="str">
        <f>SUBSTITUTE(テーブル1[[#This Row],[属性タグ]],"、","|")</f>
        <v/>
      </c>
      <c r="L199" s="19" t="str">
        <f>SUBSTITUTE(テーブル1[[#This Row],[職業タグ]],"、","|")</f>
        <v/>
      </c>
      <c r="M199" s="19" t="str">
        <f>SUBSTITUTE(テーブル1[[#This Row],[小物タグ]],"、","|")</f>
        <v/>
      </c>
      <c r="N199" s="19" t="str">
        <f>SUBSTITUTE(テーブル1[[#This Row],[身体的特徴タグ]],"、","|")</f>
        <v/>
      </c>
    </row>
    <row r="200" spans="1:14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Row],[作品タグ]],"、","|")</f>
        <v>#行宮事務所</v>
      </c>
      <c r="H200" s="19" t="str">
        <f>テーブル1[[#This Row],[性別]]&amp;""</f>
        <v/>
      </c>
      <c r="I200" s="19" t="str">
        <f>SUBSTITUTE(テーブル1[[#This Row],[種族タグ]],"、","|")</f>
        <v/>
      </c>
      <c r="J200" s="19" t="str">
        <f>SUBSTITUTE(テーブル1[[#This Row],[モチーフタグ]],"、","|")</f>
        <v/>
      </c>
      <c r="K200" s="19" t="str">
        <f>SUBSTITUTE(テーブル1[[#This Row],[属性タグ]],"、","|")</f>
        <v/>
      </c>
      <c r="L200" s="19" t="str">
        <f>SUBSTITUTE(テーブル1[[#This Row],[職業タグ]],"、","|")</f>
        <v/>
      </c>
      <c r="M200" s="19" t="str">
        <f>SUBSTITUTE(テーブル1[[#This Row],[小物タグ]],"、","|")</f>
        <v/>
      </c>
      <c r="N200" s="19" t="str">
        <f>SUBSTITUTE(テーブル1[[#This Row],[身体的特徴タグ]],"、","|")</f>
        <v/>
      </c>
    </row>
    <row r="201" spans="1:14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Row],[作品タグ]],"、","|")</f>
        <v>#秋太を目撃しました</v>
      </c>
      <c r="H201" s="19" t="str">
        <f>テーブル1[[#This Row],[性別]]&amp;""</f>
        <v/>
      </c>
      <c r="I201" s="19" t="str">
        <f>SUBSTITUTE(テーブル1[[#This Row],[種族タグ]],"、","|")</f>
        <v/>
      </c>
      <c r="J201" s="19" t="str">
        <f>SUBSTITUTE(テーブル1[[#This Row],[モチーフタグ]],"、","|")</f>
        <v/>
      </c>
      <c r="K201" s="19" t="str">
        <f>SUBSTITUTE(テーブル1[[#This Row],[属性タグ]],"、","|")</f>
        <v/>
      </c>
      <c r="L201" s="19" t="str">
        <f>SUBSTITUTE(テーブル1[[#This Row],[職業タグ]],"、","|")</f>
        <v/>
      </c>
      <c r="M201" s="19" t="str">
        <f>SUBSTITUTE(テーブル1[[#This Row],[小物タグ]],"、","|")</f>
        <v/>
      </c>
      <c r="N201" s="19" t="str">
        <f>SUBSTITUTE(テーブル1[[#This Row],[身体的特徴タグ]],"、","|")</f>
        <v/>
      </c>
    </row>
    <row r="202" spans="1:14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Row],[作品タグ]],"、","|")</f>
        <v>#血音ヤン</v>
      </c>
      <c r="H202" s="19" t="str">
        <f>テーブル1[[#This Row],[性別]]&amp;""</f>
        <v/>
      </c>
      <c r="I202" s="19" t="str">
        <f>SUBSTITUTE(テーブル1[[#This Row],[種族タグ]],"、","|")</f>
        <v/>
      </c>
      <c r="J202" s="19" t="str">
        <f>SUBSTITUTE(テーブル1[[#This Row],[モチーフタグ]],"、","|")</f>
        <v/>
      </c>
      <c r="K202" s="19" t="str">
        <f>SUBSTITUTE(テーブル1[[#This Row],[属性タグ]],"、","|")</f>
        <v/>
      </c>
      <c r="L202" s="19" t="str">
        <f>SUBSTITUTE(テーブル1[[#This Row],[職業タグ]],"、","|")</f>
        <v/>
      </c>
      <c r="M202" s="19" t="str">
        <f>SUBSTITUTE(テーブル1[[#This Row],[小物タグ]],"、","|")</f>
        <v/>
      </c>
      <c r="N202" s="19" t="str">
        <f>SUBSTITUTE(テーブル1[[#This Row],[身体的特徴タグ]],"、","|")</f>
        <v/>
      </c>
    </row>
    <row r="203" spans="1:14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Row],[作品タグ]],"、","|")</f>
        <v>#悩音Blue</v>
      </c>
      <c r="H203" s="19" t="str">
        <f>テーブル1[[#This Row],[性別]]&amp;""</f>
        <v/>
      </c>
      <c r="I203" s="19" t="str">
        <f>SUBSTITUTE(テーブル1[[#This Row],[種族タグ]],"、","|")</f>
        <v/>
      </c>
      <c r="J203" s="19" t="str">
        <f>SUBSTITUTE(テーブル1[[#This Row],[モチーフタグ]],"、","|")</f>
        <v/>
      </c>
      <c r="K203" s="19" t="str">
        <f>SUBSTITUTE(テーブル1[[#This Row],[属性タグ]],"、","|")</f>
        <v/>
      </c>
      <c r="L203" s="19" t="str">
        <f>SUBSTITUTE(テーブル1[[#This Row],[職業タグ]],"、","|")</f>
        <v/>
      </c>
      <c r="M203" s="19" t="str">
        <f>SUBSTITUTE(テーブル1[[#This Row],[小物タグ]],"、","|")</f>
        <v/>
      </c>
      <c r="N203" s="19" t="str">
        <f>SUBSTITUTE(テーブル1[[#This Row],[身体的特徴タグ]],"、","|")</f>
        <v/>
      </c>
    </row>
    <row r="204" spans="1:14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Row],[作品タグ]],"、","|")</f>
        <v>#グウ (UTAU)</v>
      </c>
      <c r="H204" s="19" t="str">
        <f>テーブル1[[#This Row],[性別]]&amp;""</f>
        <v/>
      </c>
      <c r="I204" s="19" t="str">
        <f>SUBSTITUTE(テーブル1[[#This Row],[種族タグ]],"、","|")</f>
        <v/>
      </c>
      <c r="J204" s="19" t="str">
        <f>SUBSTITUTE(テーブル1[[#This Row],[モチーフタグ]],"、","|")</f>
        <v/>
      </c>
      <c r="K204" s="19" t="str">
        <f>SUBSTITUTE(テーブル1[[#This Row],[属性タグ]],"、","|")</f>
        <v/>
      </c>
      <c r="L204" s="19" t="str">
        <f>SUBSTITUTE(テーブル1[[#This Row],[職業タグ]],"、","|")</f>
        <v/>
      </c>
      <c r="M204" s="19" t="str">
        <f>SUBSTITUTE(テーブル1[[#This Row],[小物タグ]],"、","|")</f>
        <v/>
      </c>
      <c r="N204" s="19" t="str">
        <f>SUBSTITUTE(テーブル1[[#This Row],[身体的特徴タグ]],"、","|")</f>
        <v/>
      </c>
    </row>
    <row r="205" spans="1:14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https://rapo080302.wixsite.com/twosibi</v>
      </c>
      <c r="G205" s="19" t="str">
        <f>SUBSTITUTE(テーブル1[[#This Row],[作品タグ]],"、","|")</f>
        <v>#신민혜</v>
      </c>
      <c r="H205" s="19" t="str">
        <f>テーブル1[[#This Row],[性別]]&amp;""</f>
        <v/>
      </c>
      <c r="I205" s="19" t="str">
        <f>SUBSTITUTE(テーブル1[[#This Row],[種族タグ]],"、","|")</f>
        <v/>
      </c>
      <c r="J205" s="19" t="str">
        <f>SUBSTITUTE(テーブル1[[#This Row],[モチーフタグ]],"、","|")</f>
        <v/>
      </c>
      <c r="K205" s="19" t="str">
        <f>SUBSTITUTE(テーブル1[[#This Row],[属性タグ]],"、","|")</f>
        <v/>
      </c>
      <c r="L205" s="19" t="str">
        <f>SUBSTITUTE(テーブル1[[#This Row],[職業タグ]],"、","|")</f>
        <v/>
      </c>
      <c r="M205" s="19" t="str">
        <f>SUBSTITUTE(テーブル1[[#This Row],[小物タグ]],"、","|")</f>
        <v/>
      </c>
      <c r="N205" s="19" t="str">
        <f>SUBSTITUTE(テーブル1[[#This Row],[身体的特徴タグ]],"、","|")</f>
        <v/>
      </c>
    </row>
    <row r="206" spans="1:14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Row],[作品タグ]],"、","|")</f>
        <v>#轟音ロキ</v>
      </c>
      <c r="H206" s="19" t="str">
        <f>テーブル1[[#This Row],[性別]]&amp;""</f>
        <v/>
      </c>
      <c r="I206" s="19" t="str">
        <f>SUBSTITUTE(テーブル1[[#This Row],[種族タグ]],"、","|")</f>
        <v/>
      </c>
      <c r="J206" s="19" t="str">
        <f>SUBSTITUTE(テーブル1[[#This Row],[モチーフタグ]],"、","|")</f>
        <v/>
      </c>
      <c r="K206" s="19" t="str">
        <f>SUBSTITUTE(テーブル1[[#This Row],[属性タグ]],"、","|")</f>
        <v/>
      </c>
      <c r="L206" s="19" t="str">
        <f>SUBSTITUTE(テーブル1[[#This Row],[職業タグ]],"、","|")</f>
        <v/>
      </c>
      <c r="M206" s="19" t="str">
        <f>SUBSTITUTE(テーブル1[[#This Row],[小物タグ]],"、","|")</f>
        <v/>
      </c>
      <c r="N206" s="19" t="str">
        <f>SUBSTITUTE(テーブル1[[#This Row],[身体的特徴タグ]],"、","|")</f>
        <v>髪色</v>
      </c>
    </row>
    <row r="207" spans="1:14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Row],[作品タグ]],"、","|")</f>
        <v>16号(UTAU)</v>
      </c>
      <c r="H207" s="19" t="str">
        <f>テーブル1[[#This Row],[性別]]&amp;""</f>
        <v>不明</v>
      </c>
      <c r="I207" s="19" t="str">
        <f>SUBSTITUTE(テーブル1[[#This Row],[種族タグ]],"、","|")</f>
        <v>機械|長寿</v>
      </c>
      <c r="J207" s="19" t="str">
        <f>SUBSTITUTE(テーブル1[[#This Row],[モチーフタグ]],"、","|")</f>
        <v/>
      </c>
      <c r="K207" s="19" t="str">
        <f>SUBSTITUTE(テーブル1[[#This Row],[属性タグ]],"、","|")</f>
        <v/>
      </c>
      <c r="L207" s="19" t="str">
        <f>SUBSTITUTE(テーブル1[[#This Row],[職業タグ]],"、","|")</f>
        <v/>
      </c>
      <c r="M207" s="19" t="str">
        <f>SUBSTITUTE(テーブル1[[#This Row],[小物タグ]],"、","|")</f>
        <v/>
      </c>
      <c r="N207" s="19" t="str">
        <f>SUBSTITUTE(テーブル1[[#This Row],[身体的特徴タグ]],"、","|")</f>
        <v/>
      </c>
    </row>
    <row r="208" spans="1:14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Row],[作品タグ]],"、","|")</f>
        <v>シズルう(UTAU)</v>
      </c>
      <c r="H208" s="19" t="str">
        <f>テーブル1[[#This Row],[性別]]&amp;""</f>
        <v/>
      </c>
      <c r="I208" s="19" t="str">
        <f>SUBSTITUTE(テーブル1[[#This Row],[種族タグ]],"、","|")</f>
        <v/>
      </c>
      <c r="J208" s="19" t="str">
        <f>SUBSTITUTE(テーブル1[[#This Row],[モチーフタグ]],"、","|")</f>
        <v/>
      </c>
      <c r="K208" s="19" t="str">
        <f>SUBSTITUTE(テーブル1[[#This Row],[属性タグ]],"、","|")</f>
        <v/>
      </c>
      <c r="L208" s="19" t="str">
        <f>SUBSTITUTE(テーブル1[[#This Row],[職業タグ]],"、","|")</f>
        <v/>
      </c>
      <c r="M208" s="19" t="str">
        <f>SUBSTITUTE(テーブル1[[#This Row],[小物タグ]],"、","|")</f>
        <v/>
      </c>
      <c r="N208" s="19" t="str">
        <f>SUBSTITUTE(テーブル1[[#This Row],[身体的特徴タグ]],"、","|")</f>
        <v/>
      </c>
    </row>
    <row r="209" spans="1:14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Row],[作品タグ]],"、","|")</f>
        <v>#べるずわーくす</v>
      </c>
      <c r="H209" s="19" t="str">
        <f>テーブル1[[#This Row],[性別]]&amp;""</f>
        <v/>
      </c>
      <c r="I209" s="19" t="str">
        <f>SUBSTITUTE(テーブル1[[#This Row],[種族タグ]],"、","|")</f>
        <v/>
      </c>
      <c r="J209" s="19" t="str">
        <f>SUBSTITUTE(テーブル1[[#This Row],[モチーフタグ]],"、","|")</f>
        <v/>
      </c>
      <c r="K209" s="19" t="str">
        <f>SUBSTITUTE(テーブル1[[#This Row],[属性タグ]],"、","|")</f>
        <v/>
      </c>
      <c r="L209" s="19" t="str">
        <f>SUBSTITUTE(テーブル1[[#This Row],[職業タグ]],"、","|")</f>
        <v/>
      </c>
      <c r="M209" s="19" t="str">
        <f>SUBSTITUTE(テーブル1[[#This Row],[小物タグ]],"、","|")</f>
        <v/>
      </c>
      <c r="N209" s="19" t="str">
        <f>SUBSTITUTE(テーブル1[[#This Row],[身体的特徴タグ]],"、","|")</f>
        <v/>
      </c>
    </row>
    <row r="210" spans="1:14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Row],[作品タグ]],"、","|")</f>
        <v>ろんく1号(UTAU)</v>
      </c>
      <c r="H210" s="19" t="str">
        <f>テーブル1[[#This Row],[性別]]&amp;""</f>
        <v>無性別</v>
      </c>
      <c r="I210" s="19" t="str">
        <f>SUBSTITUTE(テーブル1[[#This Row],[種族タグ]],"、","|")</f>
        <v>機械</v>
      </c>
      <c r="J210" s="19" t="str">
        <f>SUBSTITUTE(テーブル1[[#This Row],[モチーフタグ]],"、","|")</f>
        <v/>
      </c>
      <c r="K210" s="19" t="str">
        <f>SUBSTITUTE(テーブル1[[#This Row],[属性タグ]],"、","|")</f>
        <v/>
      </c>
      <c r="L210" s="19" t="str">
        <f>SUBSTITUTE(テーブル1[[#This Row],[職業タグ]],"、","|")</f>
        <v/>
      </c>
      <c r="M210" s="19" t="str">
        <f>SUBSTITUTE(テーブル1[[#This Row],[小物タグ]],"、","|")</f>
        <v/>
      </c>
      <c r="N210" s="19" t="str">
        <f>SUBSTITUTE(テーブル1[[#This Row],[身体的特徴タグ]],"、","|")</f>
        <v/>
      </c>
    </row>
    <row r="211" spans="1:14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Row],[作品タグ]],"、","|")</f>
        <v>#モノクロの火葬場</v>
      </c>
      <c r="H211" s="19" t="str">
        <f>テーブル1[[#This Row],[性別]]&amp;""</f>
        <v/>
      </c>
      <c r="I211" s="19" t="str">
        <f>SUBSTITUTE(テーブル1[[#This Row],[種族タグ]],"、","|")</f>
        <v/>
      </c>
      <c r="J211" s="19" t="str">
        <f>SUBSTITUTE(テーブル1[[#This Row],[モチーフタグ]],"、","|")</f>
        <v/>
      </c>
      <c r="K211" s="19" t="str">
        <f>SUBSTITUTE(テーブル1[[#This Row],[属性タグ]],"、","|")</f>
        <v/>
      </c>
      <c r="L211" s="19" t="str">
        <f>SUBSTITUTE(テーブル1[[#This Row],[職業タグ]],"、","|")</f>
        <v/>
      </c>
      <c r="M211" s="19" t="str">
        <f>SUBSTITUTE(テーブル1[[#This Row],[小物タグ]],"、","|")</f>
        <v/>
      </c>
      <c r="N211" s="19" t="str">
        <f>SUBSTITUTE(テーブル1[[#This Row],[身体的特徴タグ]],"、","|")</f>
        <v/>
      </c>
    </row>
    <row r="212" spans="1:14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Row],[作品タグ]],"、","|")</f>
        <v>#有線水族館</v>
      </c>
      <c r="H212" s="19" t="str">
        <f>テーブル1[[#This Row],[性別]]&amp;""</f>
        <v>男性</v>
      </c>
      <c r="I212" s="19" t="str">
        <f>SUBSTITUTE(テーブル1[[#This Row],[種族タグ]],"、","|")</f>
        <v>人間</v>
      </c>
      <c r="J212" s="19" t="str">
        <f>SUBSTITUTE(テーブル1[[#This Row],[モチーフタグ]],"、","|")</f>
        <v/>
      </c>
      <c r="K212" s="19" t="str">
        <f>SUBSTITUTE(テーブル1[[#This Row],[属性タグ]],"、","|")</f>
        <v/>
      </c>
      <c r="L212" s="19" t="str">
        <f>SUBSTITUTE(テーブル1[[#This Row],[職業タグ]],"、","|")</f>
        <v/>
      </c>
      <c r="M212" s="19" t="str">
        <f>SUBSTITUTE(テーブル1[[#This Row],[小物タグ]],"、","|")</f>
        <v>耳装備</v>
      </c>
      <c r="N212" s="19" t="str">
        <f>SUBSTITUTE(テーブル1[[#This Row],[身体的特徴タグ]],"、","|")</f>
        <v/>
      </c>
    </row>
    <row r="213" spans="1:14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Row],[作品タグ]],"、","|")</f>
        <v>#有線水族館</v>
      </c>
      <c r="H213" s="19" t="str">
        <f>テーブル1[[#This Row],[性別]]&amp;""</f>
        <v>無性別</v>
      </c>
      <c r="I213" s="19" t="str">
        <f>SUBSTITUTE(テーブル1[[#This Row],[種族タグ]],"、","|")</f>
        <v>人造人間</v>
      </c>
      <c r="J213" s="19" t="str">
        <f>SUBSTITUTE(テーブル1[[#This Row],[モチーフタグ]],"、","|")</f>
        <v/>
      </c>
      <c r="K213" s="19" t="str">
        <f>SUBSTITUTE(テーブル1[[#This Row],[属性タグ]],"、","|")</f>
        <v/>
      </c>
      <c r="L213" s="19" t="str">
        <f>SUBSTITUTE(テーブル1[[#This Row],[職業タグ]],"、","|")</f>
        <v/>
      </c>
      <c r="M213" s="19" t="str">
        <f>SUBSTITUTE(テーブル1[[#This Row],[小物タグ]],"、","|")</f>
        <v>耳装備</v>
      </c>
      <c r="N213" s="19" t="str">
        <f>SUBSTITUTE(テーブル1[[#This Row],[身体的特徴タグ]],"、","|")</f>
        <v>髪型|目|肌|尻尾</v>
      </c>
    </row>
    <row r="214" spans="1:14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Row],[作品タグ]],"、","|")</f>
        <v>#深海マリン</v>
      </c>
      <c r="H214" s="19" t="str">
        <f>テーブル1[[#This Row],[性別]]&amp;""</f>
        <v/>
      </c>
      <c r="I214" s="19" t="str">
        <f>SUBSTITUTE(テーブル1[[#This Row],[種族タグ]],"、","|")</f>
        <v/>
      </c>
      <c r="J214" s="19" t="str">
        <f>SUBSTITUTE(テーブル1[[#This Row],[モチーフタグ]],"、","|")</f>
        <v/>
      </c>
      <c r="K214" s="19" t="str">
        <f>SUBSTITUTE(テーブル1[[#This Row],[属性タグ]],"、","|")</f>
        <v/>
      </c>
      <c r="L214" s="19" t="str">
        <f>SUBSTITUTE(テーブル1[[#This Row],[職業タグ]],"、","|")</f>
        <v/>
      </c>
      <c r="M214" s="19" t="str">
        <f>SUBSTITUTE(テーブル1[[#This Row],[小物タグ]],"、","|")</f>
        <v/>
      </c>
      <c r="N214" s="19" t="str">
        <f>SUBSTITUTE(テーブル1[[#This Row],[身体的特徴タグ]],"、","|")</f>
        <v/>
      </c>
    </row>
    <row r="215" spans="1:14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Row],[作品タグ]],"、","|")</f>
        <v>#カラフル・シュガースプリンクル</v>
      </c>
      <c r="H215" s="19" t="str">
        <f>テーブル1[[#This Row],[性別]]&amp;""</f>
        <v>女性</v>
      </c>
      <c r="I215" s="19" t="str">
        <f>SUBSTITUTE(テーブル1[[#This Row],[種族タグ]],"、","|")</f>
        <v>天使</v>
      </c>
      <c r="J215" s="19" t="str">
        <f>SUBSTITUTE(テーブル1[[#This Row],[モチーフタグ]],"、","|")</f>
        <v/>
      </c>
      <c r="K215" s="19" t="str">
        <f>SUBSTITUTE(テーブル1[[#This Row],[属性タグ]],"、","|")</f>
        <v/>
      </c>
      <c r="L215" s="19" t="str">
        <f>SUBSTITUTE(テーブル1[[#This Row],[職業タグ]],"、","|")</f>
        <v/>
      </c>
      <c r="M215" s="19" t="str">
        <f>SUBSTITUTE(テーブル1[[#This Row],[小物タグ]],"、","|")</f>
        <v/>
      </c>
      <c r="N215" s="19" t="str">
        <f>SUBSTITUTE(テーブル1[[#This Row],[身体的特徴タグ]],"、","|")</f>
        <v/>
      </c>
    </row>
    <row r="216" spans="1:14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Row],[作品タグ]],"、","|")</f>
        <v>#歌う雨やどり</v>
      </c>
      <c r="H216" s="19" t="str">
        <f>テーブル1[[#This Row],[性別]]&amp;""</f>
        <v>男性</v>
      </c>
      <c r="I216" s="19" t="str">
        <f>SUBSTITUTE(テーブル1[[#This Row],[種族タグ]],"、","|")</f>
        <v>バーチャル</v>
      </c>
      <c r="J216" s="19" t="str">
        <f>SUBSTITUTE(テーブル1[[#This Row],[モチーフタグ]],"、","|")</f>
        <v/>
      </c>
      <c r="K216" s="19" t="str">
        <f>SUBSTITUTE(テーブル1[[#This Row],[属性タグ]],"、","|")</f>
        <v/>
      </c>
      <c r="L216" s="19" t="str">
        <f>SUBSTITUTE(テーブル1[[#This Row],[職業タグ]],"、","|")</f>
        <v/>
      </c>
      <c r="M216" s="19" t="str">
        <f>SUBSTITUTE(テーブル1[[#This Row],[小物タグ]],"、","|")</f>
        <v>眼部</v>
      </c>
      <c r="N216" s="19" t="str">
        <f>SUBSTITUTE(テーブル1[[#This Row],[身体的特徴タグ]],"、","|")</f>
        <v>肌</v>
      </c>
    </row>
    <row r="217" spans="1:14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Row],[作品タグ]],"、","|")</f>
        <v>#ネコナリ</v>
      </c>
      <c r="H217" s="19" t="str">
        <f>テーブル1[[#This Row],[性別]]&amp;""</f>
        <v/>
      </c>
      <c r="I217" s="19" t="str">
        <f>SUBSTITUTE(テーブル1[[#This Row],[種族タグ]],"、","|")</f>
        <v/>
      </c>
      <c r="J217" s="19" t="str">
        <f>SUBSTITUTE(テーブル1[[#This Row],[モチーフタグ]],"、","|")</f>
        <v/>
      </c>
      <c r="K217" s="19" t="str">
        <f>SUBSTITUTE(テーブル1[[#This Row],[属性タグ]],"、","|")</f>
        <v/>
      </c>
      <c r="L217" s="19" t="str">
        <f>SUBSTITUTE(テーブル1[[#This Row],[職業タグ]],"、","|")</f>
        <v/>
      </c>
      <c r="M217" s="19" t="str">
        <f>SUBSTITUTE(テーブル1[[#This Row],[小物タグ]],"、","|")</f>
        <v/>
      </c>
      <c r="N217" s="19" t="str">
        <f>SUBSTITUTE(テーブル1[[#This Row],[身体的特徴タグ]],"、","|")</f>
        <v/>
      </c>
    </row>
    <row r="218" spans="1:14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Row],[作品タグ]],"、","|")</f>
        <v>#セレソー作</v>
      </c>
      <c r="H218" s="19" t="str">
        <f>テーブル1[[#This Row],[性別]]&amp;""</f>
        <v>男性</v>
      </c>
      <c r="I218" s="19" t="str">
        <f>SUBSTITUTE(テーブル1[[#This Row],[種族タグ]],"、","|")</f>
        <v>人間</v>
      </c>
      <c r="J218" s="19" t="str">
        <f>SUBSTITUTE(テーブル1[[#This Row],[モチーフタグ]],"、","|")</f>
        <v/>
      </c>
      <c r="K218" s="19" t="str">
        <f>SUBSTITUTE(テーブル1[[#This Row],[属性タグ]],"、","|")</f>
        <v/>
      </c>
      <c r="L218" s="19" t="str">
        <f>SUBSTITUTE(テーブル1[[#This Row],[職業タグ]],"、","|")</f>
        <v>科学・技術</v>
      </c>
      <c r="M218" s="19" t="str">
        <f>SUBSTITUTE(テーブル1[[#This Row],[小物タグ]],"、","|")</f>
        <v>眼部</v>
      </c>
      <c r="N218" s="19" t="str">
        <f>SUBSTITUTE(テーブル1[[#This Row],[身体的特徴タグ]],"、","|")</f>
        <v>肌</v>
      </c>
    </row>
    <row r="219" spans="1:14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Row],[作品タグ]],"、","|")</f>
        <v>#虹彩箱</v>
      </c>
      <c r="H219" s="19" t="str">
        <f>テーブル1[[#This Row],[性別]]&amp;""</f>
        <v/>
      </c>
      <c r="I219" s="19" t="str">
        <f>SUBSTITUTE(テーブル1[[#This Row],[種族タグ]],"、","|")</f>
        <v/>
      </c>
      <c r="J219" s="19" t="str">
        <f>SUBSTITUTE(テーブル1[[#This Row],[モチーフタグ]],"、","|")</f>
        <v/>
      </c>
      <c r="K219" s="19" t="str">
        <f>SUBSTITUTE(テーブル1[[#This Row],[属性タグ]],"、","|")</f>
        <v/>
      </c>
      <c r="L219" s="19" t="str">
        <f>SUBSTITUTE(テーブル1[[#This Row],[職業タグ]],"、","|")</f>
        <v/>
      </c>
      <c r="M219" s="19" t="str">
        <f>SUBSTITUTE(テーブル1[[#This Row],[小物タグ]],"、","|")</f>
        <v/>
      </c>
      <c r="N219" s="19" t="str">
        <f>SUBSTITUTE(テーブル1[[#This Row],[身体的特徴タグ]],"、","|")</f>
        <v/>
      </c>
    </row>
    <row r="220" spans="1:14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Row],[作品タグ]],"、","|")</f>
        <v>#そらいろマーチ</v>
      </c>
      <c r="H220" s="19" t="str">
        <f>テーブル1[[#This Row],[性別]]&amp;""</f>
        <v>女性</v>
      </c>
      <c r="I220" s="19" t="str">
        <f>SUBSTITUTE(テーブル1[[#This Row],[種族タグ]],"、","|")</f>
        <v>バーチャル</v>
      </c>
      <c r="J220" s="19" t="str">
        <f>SUBSTITUTE(テーブル1[[#This Row],[モチーフタグ]],"、","|")</f>
        <v/>
      </c>
      <c r="K220" s="19" t="str">
        <f>SUBSTITUTE(テーブル1[[#This Row],[属性タグ]],"、","|")</f>
        <v/>
      </c>
      <c r="L220" s="19" t="str">
        <f>SUBSTITUTE(テーブル1[[#This Row],[職業タグ]],"、","|")</f>
        <v/>
      </c>
      <c r="M220" s="19" t="str">
        <f>SUBSTITUTE(テーブル1[[#This Row],[小物タグ]],"、","|")</f>
        <v>髪飾り</v>
      </c>
      <c r="N220" s="19" t="str">
        <f>SUBSTITUTE(テーブル1[[#This Row],[身体的特徴タグ]],"、","|")</f>
        <v/>
      </c>
    </row>
    <row r="221" spans="1:14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Row],[作品タグ]],"、","|")</f>
        <v>#Kang_UTAU</v>
      </c>
      <c r="H221" s="19" t="str">
        <f>テーブル1[[#This Row],[性別]]&amp;""</f>
        <v/>
      </c>
      <c r="I221" s="19" t="str">
        <f>SUBSTITUTE(テーブル1[[#This Row],[種族タグ]],"、","|")</f>
        <v/>
      </c>
      <c r="J221" s="19" t="str">
        <f>SUBSTITUTE(テーブル1[[#This Row],[モチーフタグ]],"、","|")</f>
        <v/>
      </c>
      <c r="K221" s="19" t="str">
        <f>SUBSTITUTE(テーブル1[[#This Row],[属性タグ]],"、","|")</f>
        <v/>
      </c>
      <c r="L221" s="19" t="str">
        <f>SUBSTITUTE(テーブル1[[#This Row],[職業タグ]],"、","|")</f>
        <v/>
      </c>
      <c r="M221" s="19" t="str">
        <f>SUBSTITUTE(テーブル1[[#This Row],[小物タグ]],"、","|")</f>
        <v/>
      </c>
      <c r="N221" s="19" t="str">
        <f>SUBSTITUTE(テーブル1[[#This Row],[身体的特徴タグ]],"、","|")</f>
        <v/>
      </c>
    </row>
    <row r="222" spans="1:14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Row],[作品タグ]],"、","|")</f>
        <v>#OPTIMA_UTAU</v>
      </c>
      <c r="H222" s="19" t="str">
        <f>テーブル1[[#This Row],[性別]]&amp;""</f>
        <v/>
      </c>
      <c r="I222" s="19" t="str">
        <f>SUBSTITUTE(テーブル1[[#This Row],[種族タグ]],"、","|")</f>
        <v/>
      </c>
      <c r="J222" s="19" t="str">
        <f>SUBSTITUTE(テーブル1[[#This Row],[モチーフタグ]],"、","|")</f>
        <v/>
      </c>
      <c r="K222" s="19" t="str">
        <f>SUBSTITUTE(テーブル1[[#This Row],[属性タグ]],"、","|")</f>
        <v/>
      </c>
      <c r="L222" s="19" t="str">
        <f>SUBSTITUTE(テーブル1[[#This Row],[職業タグ]],"、","|")</f>
        <v/>
      </c>
      <c r="M222" s="19" t="str">
        <f>SUBSTITUTE(テーブル1[[#This Row],[小物タグ]],"、","|")</f>
        <v/>
      </c>
      <c r="N222" s="19" t="str">
        <f>SUBSTITUTE(テーブル1[[#This Row],[身体的特徴タグ]],"、","|")</f>
        <v/>
      </c>
    </row>
    <row r="223" spans="1:14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Row],[作品タグ]],"、","|")</f>
        <v>カイル・タイラー(UTAU)</v>
      </c>
      <c r="H223" s="19" t="str">
        <f>テーブル1[[#This Row],[性別]]&amp;""</f>
        <v/>
      </c>
      <c r="I223" s="19" t="str">
        <f>SUBSTITUTE(テーブル1[[#This Row],[種族タグ]],"、","|")</f>
        <v/>
      </c>
      <c r="J223" s="19" t="str">
        <f>SUBSTITUTE(テーブル1[[#This Row],[モチーフタグ]],"、","|")</f>
        <v/>
      </c>
      <c r="K223" s="19" t="str">
        <f>SUBSTITUTE(テーブル1[[#This Row],[属性タグ]],"、","|")</f>
        <v/>
      </c>
      <c r="L223" s="19" t="str">
        <f>SUBSTITUTE(テーブル1[[#This Row],[職業タグ]],"、","|")</f>
        <v/>
      </c>
      <c r="M223" s="19" t="str">
        <f>SUBSTITUTE(テーブル1[[#This Row],[小物タグ]],"、","|")</f>
        <v/>
      </c>
      <c r="N223" s="19" t="str">
        <f>SUBSTITUTE(テーブル1[[#This Row],[身体的特徴タグ]],"、","|")</f>
        <v/>
      </c>
    </row>
    <row r="224" spans="1:14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Row],[作品タグ]],"、","|")</f>
        <v>#通音トオ|#utau_tonetoo</v>
      </c>
      <c r="H224" s="19" t="str">
        <f>テーブル1[[#This Row],[性別]]&amp;""</f>
        <v/>
      </c>
      <c r="I224" s="19" t="str">
        <f>SUBSTITUTE(テーブル1[[#This Row],[種族タグ]],"、","|")</f>
        <v/>
      </c>
      <c r="J224" s="19" t="str">
        <f>SUBSTITUTE(テーブル1[[#This Row],[モチーフタグ]],"、","|")</f>
        <v/>
      </c>
      <c r="K224" s="19" t="str">
        <f>SUBSTITUTE(テーブル1[[#This Row],[属性タグ]],"、","|")</f>
        <v/>
      </c>
      <c r="L224" s="19" t="str">
        <f>SUBSTITUTE(テーブル1[[#This Row],[職業タグ]],"、","|")</f>
        <v/>
      </c>
      <c r="M224" s="19" t="str">
        <f>SUBSTITUTE(テーブル1[[#This Row],[小物タグ]],"、","|")</f>
        <v/>
      </c>
      <c r="N224" s="19" t="str">
        <f>SUBSTITUTE(テーブル1[[#This Row],[身体的特徴タグ]],"、","|")</f>
        <v/>
      </c>
    </row>
    <row r="225" spans="1:14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Row],[作品タグ]],"、","|")</f>
        <v>#不破マリア</v>
      </c>
      <c r="H225" s="19" t="str">
        <f>テーブル1[[#This Row],[性別]]&amp;""</f>
        <v/>
      </c>
      <c r="I225" s="19" t="str">
        <f>SUBSTITUTE(テーブル1[[#This Row],[種族タグ]],"、","|")</f>
        <v/>
      </c>
      <c r="J225" s="19" t="str">
        <f>SUBSTITUTE(テーブル1[[#This Row],[モチーフタグ]],"、","|")</f>
        <v/>
      </c>
      <c r="K225" s="19" t="str">
        <f>SUBSTITUTE(テーブル1[[#This Row],[属性タグ]],"、","|")</f>
        <v/>
      </c>
      <c r="L225" s="19" t="str">
        <f>SUBSTITUTE(テーブル1[[#This Row],[職業タグ]],"、","|")</f>
        <v/>
      </c>
      <c r="M225" s="19" t="str">
        <f>SUBSTITUTE(テーブル1[[#This Row],[小物タグ]],"、","|")</f>
        <v/>
      </c>
      <c r="N225" s="19" t="str">
        <f>SUBSTITUTE(テーブル1[[#This Row],[身体的特徴タグ]],"、","|")</f>
        <v/>
      </c>
    </row>
    <row r="226" spans="1:14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Row],[作品タグ]],"、","|")</f>
        <v>#マルアリア</v>
      </c>
      <c r="H226" s="19" t="str">
        <f>テーブル1[[#This Row],[性別]]&amp;""</f>
        <v>男性</v>
      </c>
      <c r="I226" s="19" t="str">
        <f>SUBSTITUTE(テーブル1[[#This Row],[種族タグ]],"、","|")</f>
        <v>人間</v>
      </c>
      <c r="J226" s="19" t="str">
        <f>SUBSTITUTE(テーブル1[[#This Row],[モチーフタグ]],"、","|")</f>
        <v/>
      </c>
      <c r="K226" s="19" t="str">
        <f>SUBSTITUTE(テーブル1[[#This Row],[属性タグ]],"、","|")</f>
        <v/>
      </c>
      <c r="L226" s="19" t="str">
        <f>SUBSTITUTE(テーブル1[[#This Row],[職業タグ]],"、","|")</f>
        <v/>
      </c>
      <c r="M226" s="19" t="str">
        <f>SUBSTITUTE(テーブル1[[#This Row],[小物タグ]],"、","|")</f>
        <v/>
      </c>
      <c r="N226" s="19" t="str">
        <f>SUBSTITUTE(テーブル1[[#This Row],[身体的特徴タグ]],"、","|")</f>
        <v>傷・痕|模様・装飾|口元</v>
      </c>
    </row>
    <row r="227" spans="1:14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Row],[作品タグ]],"、","|")</f>
        <v>#サニティ・ドゥーユー</v>
      </c>
      <c r="H227" s="19" t="str">
        <f>テーブル1[[#This Row],[性別]]&amp;""</f>
        <v>女性</v>
      </c>
      <c r="I227" s="19" t="str">
        <f>SUBSTITUTE(テーブル1[[#This Row],[種族タグ]],"、","|")</f>
        <v>人間</v>
      </c>
      <c r="J227" s="19" t="str">
        <f>SUBSTITUTE(テーブル1[[#This Row],[モチーフタグ]],"、","|")</f>
        <v/>
      </c>
      <c r="K227" s="19" t="str">
        <f>SUBSTITUTE(テーブル1[[#This Row],[属性タグ]],"、","|")</f>
        <v/>
      </c>
      <c r="L227" s="19" t="str">
        <f>SUBSTITUTE(テーブル1[[#This Row],[職業タグ]],"、","|")</f>
        <v>治安</v>
      </c>
      <c r="M227" s="19" t="str">
        <f>SUBSTITUTE(テーブル1[[#This Row],[小物タグ]],"、","|")</f>
        <v/>
      </c>
      <c r="N227" s="19" t="str">
        <f>SUBSTITUTE(テーブル1[[#This Row],[身体的特徴タグ]],"、","|")</f>
        <v>目</v>
      </c>
    </row>
    <row r="228" spans="1:14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Row],[作品タグ]],"、","|")</f>
        <v>#LCLCみてみて</v>
      </c>
      <c r="H228" s="19" t="str">
        <f>テーブル1[[#This Row],[性別]]&amp;""</f>
        <v>女性</v>
      </c>
      <c r="I228" s="19" t="str">
        <f>SUBSTITUTE(テーブル1[[#This Row],[種族タグ]],"、","|")</f>
        <v>バーチャル</v>
      </c>
      <c r="J228" s="19" t="str">
        <f>SUBSTITUTE(テーブル1[[#This Row],[モチーフタグ]],"、","|")</f>
        <v/>
      </c>
      <c r="K228" s="19" t="str">
        <f>SUBSTITUTE(テーブル1[[#This Row],[属性タグ]],"、","|")</f>
        <v/>
      </c>
      <c r="L228" s="19" t="str">
        <f>SUBSTITUTE(テーブル1[[#This Row],[職業タグ]],"、","|")</f>
        <v>オタク</v>
      </c>
      <c r="M228" s="19" t="str">
        <f>SUBSTITUTE(テーブル1[[#This Row],[小物タグ]],"、","|")</f>
        <v>耳装備|道具</v>
      </c>
      <c r="N228" s="19" t="str">
        <f>SUBSTITUTE(テーブル1[[#This Row],[身体的特徴タグ]],"、","|")</f>
        <v>髪色|眉</v>
      </c>
    </row>
    <row r="229" spans="1:14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Row],[作品タグ]],"、","|")</f>
        <v>#夕焼け研究所</v>
      </c>
      <c r="H229" s="19" t="str">
        <f>テーブル1[[#This Row],[性別]]&amp;""</f>
        <v>女性</v>
      </c>
      <c r="I229" s="19" t="str">
        <f>SUBSTITUTE(テーブル1[[#This Row],[種族タグ]],"、","|")</f>
        <v>人間</v>
      </c>
      <c r="J229" s="19" t="str">
        <f>SUBSTITUTE(テーブル1[[#This Row],[モチーフタグ]],"、","|")</f>
        <v/>
      </c>
      <c r="K229" s="19" t="str">
        <f>SUBSTITUTE(テーブル1[[#This Row],[属性タグ]],"、","|")</f>
        <v/>
      </c>
      <c r="L229" s="19" t="str">
        <f>SUBSTITUTE(テーブル1[[#This Row],[職業タグ]],"、","|")</f>
        <v/>
      </c>
      <c r="M229" s="19" t="str">
        <f>SUBSTITUTE(テーブル1[[#This Row],[小物タグ]],"、","|")</f>
        <v>耳装備</v>
      </c>
      <c r="N229" s="19" t="str">
        <f>SUBSTITUTE(テーブル1[[#This Row],[身体的特徴タグ]],"、","|")</f>
        <v/>
      </c>
    </row>
    <row r="230" spans="1:14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Row],[作品タグ]],"、","|")</f>
        <v>#ムジカの友人たち</v>
      </c>
      <c r="H230" s="19" t="str">
        <f>テーブル1[[#This Row],[性別]]&amp;""</f>
        <v>不明</v>
      </c>
      <c r="I230" s="19" t="str">
        <f>SUBSTITUTE(テーブル1[[#This Row],[種族タグ]],"、","|")</f>
        <v>人間</v>
      </c>
      <c r="J230" s="19" t="str">
        <f>SUBSTITUTE(テーブル1[[#This Row],[モチーフタグ]],"、","|")</f>
        <v/>
      </c>
      <c r="K230" s="19" t="str">
        <f>SUBSTITUTE(テーブル1[[#This Row],[属性タグ]],"、","|")</f>
        <v/>
      </c>
      <c r="L230" s="19" t="str">
        <f>SUBSTITUTE(テーブル1[[#This Row],[職業タグ]],"、","|")</f>
        <v>舞台・パフォーマンス</v>
      </c>
      <c r="M230" s="19" t="str">
        <f>SUBSTITUTE(テーブル1[[#This Row],[小物タグ]],"、","|")</f>
        <v/>
      </c>
      <c r="N230" s="19" t="str">
        <f>SUBSTITUTE(テーブル1[[#This Row],[身体的特徴タグ]],"、","|")</f>
        <v/>
      </c>
    </row>
    <row r="231" spans="1:14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Row],[作品タグ]],"、","|")</f>
        <v>#主音サラサ</v>
      </c>
      <c r="H231" s="19" t="str">
        <f>テーブル1[[#This Row],[性別]]&amp;""</f>
        <v>男性</v>
      </c>
      <c r="I231" s="19" t="str">
        <f>SUBSTITUTE(テーブル1[[#This Row],[種族タグ]],"、","|")</f>
        <v>人型</v>
      </c>
      <c r="J231" s="19" t="str">
        <f>SUBSTITUTE(テーブル1[[#This Row],[モチーフタグ]],"、","|")</f>
        <v>哺乳類</v>
      </c>
      <c r="K231" s="19" t="str">
        <f>SUBSTITUTE(テーブル1[[#This Row],[属性タグ]],"、","|")</f>
        <v/>
      </c>
      <c r="L231" s="19" t="str">
        <f>SUBSTITUTE(テーブル1[[#This Row],[職業タグ]],"、","|")</f>
        <v/>
      </c>
      <c r="M231" s="19" t="str">
        <f>SUBSTITUTE(テーブル1[[#This Row],[小物タグ]],"、","|")</f>
        <v>装身具|首装飾</v>
      </c>
      <c r="N231" s="19" t="str">
        <f>SUBSTITUTE(テーブル1[[#This Row],[身体的特徴タグ]],"、","|")</f>
        <v>耳|尻尾</v>
      </c>
    </row>
    <row r="232" spans="1:14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Row],[作品タグ]],"、","|")</f>
        <v>#雨歌エル</v>
      </c>
      <c r="H232" s="19" t="str">
        <f>テーブル1[[#This Row],[性別]]&amp;""</f>
        <v>女性</v>
      </c>
      <c r="I232" s="19" t="str">
        <f>SUBSTITUTE(テーブル1[[#This Row],[種族タグ]],"、","|")</f>
        <v>人間</v>
      </c>
      <c r="J232" s="19" t="str">
        <f>SUBSTITUTE(テーブル1[[#This Row],[モチーフタグ]],"、","|")</f>
        <v>爬虫類・両生類</v>
      </c>
      <c r="K232" s="19" t="str">
        <f>SUBSTITUTE(テーブル1[[#This Row],[属性タグ]],"、","|")</f>
        <v/>
      </c>
      <c r="L232" s="19" t="str">
        <f>SUBSTITUTE(テーブル1[[#This Row],[職業タグ]],"、","|")</f>
        <v/>
      </c>
      <c r="M232" s="19" t="str">
        <f>SUBSTITUTE(テーブル1[[#This Row],[小物タグ]],"、","|")</f>
        <v>髪飾り</v>
      </c>
      <c r="N232" s="19" t="str">
        <f>SUBSTITUTE(テーブル1[[#This Row],[身体的特徴タグ]],"、","|")</f>
        <v/>
      </c>
    </row>
    <row r="233" spans="1:14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Row],[作品タグ]],"、","|")</f>
        <v>鳴上キョウ(UTAU)</v>
      </c>
      <c r="H233" s="19" t="str">
        <f>テーブル1[[#This Row],[性別]]&amp;""</f>
        <v>男性</v>
      </c>
      <c r="I233" s="19" t="str">
        <f>SUBSTITUTE(テーブル1[[#This Row],[種族タグ]],"、","|")</f>
        <v>人間</v>
      </c>
      <c r="J233" s="19" t="str">
        <f>SUBSTITUTE(テーブル1[[#This Row],[モチーフタグ]],"、","|")</f>
        <v/>
      </c>
      <c r="K233" s="19" t="str">
        <f>SUBSTITUTE(テーブル1[[#This Row],[属性タグ]],"、","|")</f>
        <v/>
      </c>
      <c r="L233" s="19" t="str">
        <f>SUBSTITUTE(テーブル1[[#This Row],[職業タグ]],"、","|")</f>
        <v/>
      </c>
      <c r="M233" s="19" t="str">
        <f>SUBSTITUTE(テーブル1[[#This Row],[小物タグ]],"、","|")</f>
        <v/>
      </c>
      <c r="N233" s="19" t="str">
        <f>SUBSTITUTE(テーブル1[[#This Row],[身体的特徴タグ]],"、","|")</f>
        <v/>
      </c>
    </row>
    <row r="234" spans="1:14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Row],[作品タグ]],"、","|")</f>
        <v>#廻音怪譚</v>
      </c>
      <c r="H234" s="19" t="str">
        <f>テーブル1[[#This Row],[性別]]&amp;""</f>
        <v>男性</v>
      </c>
      <c r="I234" s="19" t="str">
        <f>SUBSTITUTE(テーブル1[[#This Row],[種族タグ]],"、","|")</f>
        <v>機械</v>
      </c>
      <c r="J234" s="19" t="str">
        <f>SUBSTITUTE(テーブル1[[#This Row],[モチーフタグ]],"、","|")</f>
        <v/>
      </c>
      <c r="K234" s="19" t="str">
        <f>SUBSTITUTE(テーブル1[[#This Row],[属性タグ]],"、","|")</f>
        <v/>
      </c>
      <c r="L234" s="19" t="str">
        <f>SUBSTITUTE(テーブル1[[#This Row],[職業タグ]],"、","|")</f>
        <v>使用人・家事</v>
      </c>
      <c r="M234" s="19" t="str">
        <f>SUBSTITUTE(テーブル1[[#This Row],[小物タグ]],"、","|")</f>
        <v>耳装備</v>
      </c>
      <c r="N234" s="19" t="str">
        <f>SUBSTITUTE(テーブル1[[#This Row],[身体的特徴タグ]],"、","|")</f>
        <v>髪色|目</v>
      </c>
    </row>
    <row r="235" spans="1:14" ht="20.149999999999999" customHeight="1" x14ac:dyDescent="0.35">
      <c r="A235" s="19">
        <f>テーブル1[[#This Row],[番号]]</f>
        <v>234</v>
      </c>
      <c r="B235" s="19" t="str">
        <f>テーブル1[[#This Row],[名前]]</f>
        <v>天辻雷</v>
      </c>
      <c r="C235" s="19" t="str">
        <f>テーブル1[[#This Row],[なまえ]]</f>
        <v>あまつじ あずま</v>
      </c>
      <c r="D235" s="19" t="str">
        <f>テーブル1[[#This Row],[Name]]</f>
        <v>Amatsuji Azuma</v>
      </c>
      <c r="E235" s="19" t="str">
        <f>"image/"&amp;テーブル1[[#This Row],[画像]]&amp;".png"</f>
        <v>image/amatsuji-azuma.png</v>
      </c>
      <c r="F235" s="19" t="str">
        <f>テーブル1[[#This Row],[リンク]]</f>
        <v>https://lenskkpb.wixsite.com/len-sakaki-official</v>
      </c>
      <c r="G235" s="19" t="str">
        <f>SUBSTITUTE(テーブル1[[#This Row],[作品タグ]],"、","|")</f>
        <v>#廻音怪譚</v>
      </c>
      <c r="H235" s="19" t="str">
        <f>テーブル1[[#This Row],[性別]]&amp;""</f>
        <v>男性</v>
      </c>
      <c r="I235" s="19" t="str">
        <f>SUBSTITUTE(テーブル1[[#This Row],[種族タグ]],"、","|")</f>
        <v>神</v>
      </c>
      <c r="J235" s="19" t="str">
        <f>SUBSTITUTE(テーブル1[[#This Row],[モチーフタグ]],"、","|")</f>
        <v/>
      </c>
      <c r="K235" s="19" t="str">
        <f>SUBSTITUTE(テーブル1[[#This Row],[属性タグ]],"、","|")</f>
        <v/>
      </c>
      <c r="L235" s="19" t="str">
        <f>SUBSTITUTE(テーブル1[[#This Row],[職業タグ]],"、","|")</f>
        <v>教育</v>
      </c>
      <c r="M235" s="19" t="str">
        <f>SUBSTITUTE(テーブル1[[#This Row],[小物タグ]],"、","|")</f>
        <v>耳装備</v>
      </c>
      <c r="N235" s="19" t="str">
        <f>SUBSTITUTE(テーブル1[[#This Row],[身体的特徴タグ]],"、","|")</f>
        <v>髪型|髪色|目隠れ</v>
      </c>
    </row>
    <row r="236" spans="1:14" ht="20.149999999999999" customHeight="1" x14ac:dyDescent="0.35">
      <c r="A236" s="19">
        <f>テーブル1[[#This Row],[番号]]</f>
        <v>235</v>
      </c>
      <c r="B236" s="19" t="str">
        <f>テーブル1[[#This Row],[名前]]</f>
        <v>灰咲囁</v>
      </c>
      <c r="C236" s="19" t="str">
        <f>テーブル1[[#This Row],[なまえ]]</f>
        <v>はいざき しょう</v>
      </c>
      <c r="D236" s="19" t="str">
        <f>テーブル1[[#This Row],[Name]]</f>
        <v>Haizaki Sho</v>
      </c>
      <c r="E236" s="19" t="str">
        <f>"image/"&amp;テーブル1[[#This Row],[画像]]&amp;".png"</f>
        <v>image/haizaki-sho.png</v>
      </c>
      <c r="F236" s="19" t="str">
        <f>テーブル1[[#This Row],[リンク]]</f>
        <v>https://lenskkpb.wixsite.com/len-sakaki-official</v>
      </c>
      <c r="G236" s="19" t="str">
        <f>SUBSTITUTE(テーブル1[[#This Row],[作品タグ]],"、","|")</f>
        <v>#廻音怪譚</v>
      </c>
      <c r="H236" s="19" t="str">
        <f>テーブル1[[#This Row],[性別]]&amp;""</f>
        <v>男性</v>
      </c>
      <c r="I236" s="19" t="str">
        <f>SUBSTITUTE(テーブル1[[#This Row],[種族タグ]],"、","|")</f>
        <v>吸血鬼</v>
      </c>
      <c r="J236" s="19" t="str">
        <f>SUBSTITUTE(テーブル1[[#This Row],[モチーフタグ]],"、","|")</f>
        <v/>
      </c>
      <c r="K236" s="19" t="str">
        <f>SUBSTITUTE(テーブル1[[#This Row],[属性タグ]],"、","|")</f>
        <v/>
      </c>
      <c r="L236" s="19" t="str">
        <f>SUBSTITUTE(テーブル1[[#This Row],[職業タグ]],"、","|")</f>
        <v/>
      </c>
      <c r="M236" s="19" t="str">
        <f>SUBSTITUTE(テーブル1[[#This Row],[小物タグ]],"、","|")</f>
        <v>耳装備</v>
      </c>
      <c r="N236" s="19" t="str">
        <f>SUBSTITUTE(テーブル1[[#This Row],[身体的特徴タグ]],"、","|")</f>
        <v>髪色</v>
      </c>
    </row>
    <row r="237" spans="1:14" ht="20.149999999999999" customHeight="1" x14ac:dyDescent="0.35">
      <c r="A237" s="19">
        <f>テーブル1[[#This Row],[番号]]</f>
        <v>236</v>
      </c>
      <c r="B237" s="19" t="str">
        <f>テーブル1[[#This Row],[名前]]</f>
        <v>六弦エレキ</v>
      </c>
      <c r="C237" s="19" t="str">
        <f>テーブル1[[#This Row],[なまえ]]</f>
        <v>むげん えれき</v>
      </c>
      <c r="D237" s="19" t="str">
        <f>テーブル1[[#This Row],[Name]]</f>
        <v>Mugen Elec</v>
      </c>
      <c r="E237" s="19" t="str">
        <f>"image/"&amp;テーブル1[[#This Row],[画像]]&amp;".png"</f>
        <v>image/mugen-elec.png</v>
      </c>
      <c r="F237" s="19" t="str">
        <f>テーブル1[[#This Row],[リンク]]</f>
        <v>https://lenskkpb.wixsite.com/len-sakaki-official</v>
      </c>
      <c r="G237" s="19" t="str">
        <f>SUBSTITUTE(テーブル1[[#This Row],[作品タグ]],"、","|")</f>
        <v>#廻音怪譚</v>
      </c>
      <c r="H237" s="19" t="str">
        <f>テーブル1[[#This Row],[性別]]&amp;""</f>
        <v>無性別</v>
      </c>
      <c r="I237" s="19" t="str">
        <f>SUBSTITUTE(テーブル1[[#This Row],[種族タグ]],"、","|")</f>
        <v>神</v>
      </c>
      <c r="J237" s="19" t="str">
        <f>SUBSTITUTE(テーブル1[[#This Row],[モチーフタグ]],"、","|")</f>
        <v>音楽</v>
      </c>
      <c r="K237" s="19" t="str">
        <f>SUBSTITUTE(テーブル1[[#This Row],[属性タグ]],"、","|")</f>
        <v/>
      </c>
      <c r="L237" s="19" t="str">
        <f>SUBSTITUTE(テーブル1[[#This Row],[職業タグ]],"、","|")</f>
        <v/>
      </c>
      <c r="M237" s="19" t="str">
        <f>SUBSTITUTE(テーブル1[[#This Row],[小物タグ]],"、","|")</f>
        <v>耳装備</v>
      </c>
      <c r="N237" s="19" t="str">
        <f>SUBSTITUTE(テーブル1[[#This Row],[身体的特徴タグ]],"、","|")</f>
        <v>尻尾</v>
      </c>
    </row>
    <row r="238" spans="1:14" ht="20.149999999999999" customHeight="1" x14ac:dyDescent="0.35">
      <c r="A238" s="19">
        <f>テーブル1[[#This Row],[番号]]</f>
        <v>237</v>
      </c>
      <c r="B238" s="19" t="str">
        <f>テーブル1[[#This Row],[名前]]</f>
        <v>白躊夢</v>
      </c>
      <c r="C238" s="19" t="str">
        <f>テーブル1[[#This Row],[なまえ]]</f>
        <v>はくちゅうむ</v>
      </c>
      <c r="D238" s="19" t="str">
        <f>テーブル1[[#This Row],[Name]]</f>
        <v>Hakuchumu</v>
      </c>
      <c r="E238" s="19" t="str">
        <f>"image/"&amp;テーブル1[[#This Row],[画像]]&amp;".png"</f>
        <v>image/hakuchumu.png</v>
      </c>
      <c r="F238" s="19" t="str">
        <f>テーブル1[[#This Row],[リンク]]</f>
        <v>https://lenskkpb.wixsite.com/len-sakaki-official</v>
      </c>
      <c r="G238" s="19" t="str">
        <f>SUBSTITUTE(テーブル1[[#This Row],[作品タグ]],"、","|")</f>
        <v>#廻音怪譚</v>
      </c>
      <c r="H238" s="19" t="str">
        <f>テーブル1[[#This Row],[性別]]&amp;""</f>
        <v>男性</v>
      </c>
      <c r="I238" s="19" t="str">
        <f>SUBSTITUTE(テーブル1[[#This Row],[種族タグ]],"、","|")</f>
        <v/>
      </c>
      <c r="J238" s="19" t="str">
        <f>SUBSTITUTE(テーブル1[[#This Row],[モチーフタグ]],"、","|")</f>
        <v/>
      </c>
      <c r="K238" s="19" t="str">
        <f>SUBSTITUTE(テーブル1[[#This Row],[属性タグ]],"、","|")</f>
        <v/>
      </c>
      <c r="L238" s="19" t="str">
        <f>SUBSTITUTE(テーブル1[[#This Row],[職業タグ]],"、","|")</f>
        <v/>
      </c>
      <c r="M238" s="19" t="str">
        <f>SUBSTITUTE(テーブル1[[#This Row],[小物タグ]],"、","|")</f>
        <v/>
      </c>
      <c r="N238" s="19" t="str">
        <f>SUBSTITUTE(テーブル1[[#This Row],[身体的特徴タグ]],"、","|")</f>
        <v>髪色</v>
      </c>
    </row>
    <row r="239" spans="1:14" ht="20.149999999999999" customHeight="1" x14ac:dyDescent="0.35">
      <c r="A239" s="19">
        <f>テーブル1[[#This Row],[番号]]</f>
        <v>238</v>
      </c>
      <c r="B239" s="19" t="str">
        <f>テーブル1[[#This Row],[名前]]</f>
        <v>不彁逆</v>
      </c>
      <c r="C239" s="19" t="str">
        <f>テーブル1[[#This Row],[なまえ]]</f>
        <v>ふかぎゃく</v>
      </c>
      <c r="D239" s="19" t="str">
        <f>テーブル1[[#This Row],[Name]]</f>
        <v>Hukagyaku</v>
      </c>
      <c r="E239" s="19" t="str">
        <f>"image/"&amp;テーブル1[[#This Row],[画像]]&amp;".png"</f>
        <v>image/hukagyaku.png</v>
      </c>
      <c r="F239" s="19" t="str">
        <f>テーブル1[[#This Row],[リンク]]</f>
        <v>https://lenskkpb.wixsite.com/len-sakaki-official</v>
      </c>
      <c r="G239" s="19" t="str">
        <f>SUBSTITUTE(テーブル1[[#This Row],[作品タグ]],"、","|")</f>
        <v>#廻音怪譚</v>
      </c>
      <c r="H239" s="19" t="str">
        <f>テーブル1[[#This Row],[性別]]&amp;""</f>
        <v>男性</v>
      </c>
      <c r="I239" s="19" t="str">
        <f>SUBSTITUTE(テーブル1[[#This Row],[種族タグ]],"、","|")</f>
        <v/>
      </c>
      <c r="J239" s="19" t="str">
        <f>SUBSTITUTE(テーブル1[[#This Row],[モチーフタグ]],"、","|")</f>
        <v/>
      </c>
      <c r="K239" s="19" t="str">
        <f>SUBSTITUTE(テーブル1[[#This Row],[属性タグ]],"、","|")</f>
        <v/>
      </c>
      <c r="L239" s="19" t="str">
        <f>SUBSTITUTE(テーブル1[[#This Row],[職業タグ]],"、","|")</f>
        <v/>
      </c>
      <c r="M239" s="19" t="str">
        <f>SUBSTITUTE(テーブル1[[#This Row],[小物タグ]],"、","|")</f>
        <v/>
      </c>
      <c r="N239" s="19" t="str">
        <f>SUBSTITUTE(テーブル1[[#This Row],[身体的特徴タグ]],"、","|")</f>
        <v/>
      </c>
    </row>
    <row r="240" spans="1:14" ht="20.149999999999999" customHeight="1" x14ac:dyDescent="0.35">
      <c r="A240" s="19">
        <f>テーブル1[[#This Row],[番号]]</f>
        <v>239</v>
      </c>
      <c r="B240" s="19" t="str">
        <f>テーブル1[[#This Row],[名前]]</f>
        <v>未曾鬱</v>
      </c>
      <c r="C240" s="19" t="str">
        <f>テーブル1[[#This Row],[なまえ]]</f>
        <v>みぞう</v>
      </c>
      <c r="D240" s="19" t="str">
        <f>テーブル1[[#This Row],[Name]]</f>
        <v>Mizou</v>
      </c>
      <c r="E240" s="19" t="str">
        <f>"image/"&amp;テーブル1[[#This Row],[画像]]&amp;".png"</f>
        <v>image/mizou.png</v>
      </c>
      <c r="F240" s="19" t="str">
        <f>テーブル1[[#This Row],[リンク]]</f>
        <v>https://lenskkpb.wixsite.com/len-sakaki-official</v>
      </c>
      <c r="G240" s="19" t="str">
        <f>SUBSTITUTE(テーブル1[[#This Row],[作品タグ]],"、","|")</f>
        <v>#廻音怪譚</v>
      </c>
      <c r="H240" s="19" t="str">
        <f>テーブル1[[#This Row],[性別]]&amp;""</f>
        <v>男性</v>
      </c>
      <c r="I240" s="19" t="str">
        <f>SUBSTITUTE(テーブル1[[#This Row],[種族タグ]],"、","|")</f>
        <v/>
      </c>
      <c r="J240" s="19" t="str">
        <f>SUBSTITUTE(テーブル1[[#This Row],[モチーフタグ]],"、","|")</f>
        <v/>
      </c>
      <c r="K240" s="19" t="str">
        <f>SUBSTITUTE(テーブル1[[#This Row],[属性タグ]],"、","|")</f>
        <v/>
      </c>
      <c r="L240" s="19" t="str">
        <f>SUBSTITUTE(テーブル1[[#This Row],[職業タグ]],"、","|")</f>
        <v/>
      </c>
      <c r="M240" s="19" t="str">
        <f>SUBSTITUTE(テーブル1[[#This Row],[小物タグ]],"、","|")</f>
        <v/>
      </c>
      <c r="N240" s="19" t="str">
        <f>SUBSTITUTE(テーブル1[[#This Row],[身体的特徴タグ]],"、","|")</f>
        <v>髪色|目隠れ|体格</v>
      </c>
    </row>
    <row r="241" spans="1:14" ht="20.149999999999999" customHeight="1" x14ac:dyDescent="0.35">
      <c r="A241" s="19">
        <f>テーブル1[[#This Row],[番号]]</f>
        <v>240</v>
      </c>
      <c r="B241" s="19" t="str">
        <f>テーブル1[[#This Row],[名前]]</f>
        <v>蜘渡紡</v>
      </c>
      <c r="C241" s="19" t="str">
        <f>テーブル1[[#This Row],[なまえ]]</f>
        <v>くもわたり つむぐ</v>
      </c>
      <c r="D241" s="19" t="str">
        <f>テーブル1[[#This Row],[Name]]</f>
        <v>Kumowatari Tsumugu</v>
      </c>
      <c r="E241" s="19" t="str">
        <f>"image/"&amp;テーブル1[[#This Row],[画像]]&amp;".png"</f>
        <v>image/kumowatari-tsumugu.png</v>
      </c>
      <c r="F241" s="19" t="str">
        <f>テーブル1[[#This Row],[リンク]]</f>
        <v>https://lenskkpb.wixsite.com/len-sakaki-official</v>
      </c>
      <c r="G241" s="19" t="str">
        <f>SUBSTITUTE(テーブル1[[#This Row],[作品タグ]],"、","|")</f>
        <v>#廻音怪譚</v>
      </c>
      <c r="H241" s="19" t="str">
        <f>テーブル1[[#This Row],[性別]]&amp;""</f>
        <v>男性</v>
      </c>
      <c r="I241" s="19" t="str">
        <f>SUBSTITUTE(テーブル1[[#This Row],[種族タグ]],"、","|")</f>
        <v>怪異</v>
      </c>
      <c r="J241" s="19" t="str">
        <f>SUBSTITUTE(テーブル1[[#This Row],[モチーフタグ]],"、","|")</f>
        <v>昆虫・節足動物</v>
      </c>
      <c r="K241" s="19" t="str">
        <f>SUBSTITUTE(テーブル1[[#This Row],[属性タグ]],"、","|")</f>
        <v/>
      </c>
      <c r="L241" s="19" t="str">
        <f>SUBSTITUTE(テーブル1[[#This Row],[職業タグ]],"、","|")</f>
        <v/>
      </c>
      <c r="M241" s="19" t="str">
        <f>SUBSTITUTE(テーブル1[[#This Row],[小物タグ]],"、","|")</f>
        <v/>
      </c>
      <c r="N241" s="19" t="str">
        <f>SUBSTITUTE(テーブル1[[#This Row],[身体的特徴タグ]],"、","|")</f>
        <v/>
      </c>
    </row>
    <row r="242" spans="1:14" ht="20.149999999999999" customHeight="1" x14ac:dyDescent="0.35">
      <c r="A242" s="19">
        <f>テーブル1[[#This Row],[番号]]</f>
        <v>241</v>
      </c>
      <c r="B242" s="19" t="str">
        <f>テーブル1[[#This Row],[名前]]</f>
        <v>霹靂っぽいぜ</v>
      </c>
      <c r="C242" s="19" t="str">
        <f>テーブル1[[#This Row],[なまえ]]</f>
        <v>はたたっぽいぜ</v>
      </c>
      <c r="D242" s="19" t="str">
        <f>テーブル1[[#This Row],[Name]]</f>
        <v>Hatatappoize</v>
      </c>
      <c r="E242" s="19" t="str">
        <f>"image/"&amp;テーブル1[[#This Row],[画像]]&amp;".png"</f>
        <v>image/hatatappoize.png</v>
      </c>
      <c r="F242" s="19" t="str">
        <f>テーブル1[[#This Row],[リンク]]</f>
        <v>https://lenskkpb.wixsite.com/len-sakaki-official</v>
      </c>
      <c r="G242" s="19" t="str">
        <f>SUBSTITUTE(テーブル1[[#This Row],[作品タグ]],"、","|")</f>
        <v>#廻音怪譚</v>
      </c>
      <c r="H242" s="19" t="str">
        <f>テーブル1[[#This Row],[性別]]&amp;""</f>
        <v>男性</v>
      </c>
      <c r="I242" s="19" t="str">
        <f>SUBSTITUTE(テーブル1[[#This Row],[種族タグ]],"、","|")</f>
        <v>機械</v>
      </c>
      <c r="J242" s="19" t="str">
        <f>SUBSTITUTE(テーブル1[[#This Row],[モチーフタグ]],"、","|")</f>
        <v/>
      </c>
      <c r="K242" s="19" t="str">
        <f>SUBSTITUTE(テーブル1[[#This Row],[属性タグ]],"、","|")</f>
        <v/>
      </c>
      <c r="L242" s="19" t="str">
        <f>SUBSTITUTE(テーブル1[[#This Row],[職業タグ]],"、","|")</f>
        <v/>
      </c>
      <c r="M242" s="19" t="str">
        <f>SUBSTITUTE(テーブル1[[#This Row],[小物タグ]],"、","|")</f>
        <v/>
      </c>
      <c r="N242" s="19" t="str">
        <f>SUBSTITUTE(テーブル1[[#This Row],[身体的特徴タグ]],"、","|")</f>
        <v>髪色|目隠れ</v>
      </c>
    </row>
    <row r="243" spans="1:14" ht="20.149999999999999" customHeight="1" x14ac:dyDescent="0.35">
      <c r="A243" s="19">
        <f>テーブル1[[#This Row],[番号]]</f>
        <v>242</v>
      </c>
      <c r="B243" s="19" t="str">
        <f>テーブル1[[#This Row],[名前]]</f>
        <v>白石朔汰</v>
      </c>
      <c r="C243" s="19" t="str">
        <f>テーブル1[[#This Row],[なまえ]]</f>
        <v>しらいし さくた</v>
      </c>
      <c r="D243" s="19" t="str">
        <f>テーブル1[[#This Row],[Name]]</f>
        <v>Shiraishi Sakuta</v>
      </c>
      <c r="E243" s="19" t="str">
        <f>"image/"&amp;テーブル1[[#This Row],[画像]]&amp;".png"</f>
        <v>image/shiraishi-sakuta.png</v>
      </c>
      <c r="F243" s="19" t="str">
        <f>テーブル1[[#This Row],[リンク]]</f>
        <v>https://lenskkpb.wixsite.com/len-sakaki-official</v>
      </c>
      <c r="G243" s="19" t="str">
        <f>SUBSTITUTE(テーブル1[[#This Row],[作品タグ]],"、","|")</f>
        <v>#廻音怪譚</v>
      </c>
      <c r="H243" s="19" t="str">
        <f>テーブル1[[#This Row],[性別]]&amp;""</f>
        <v>男性</v>
      </c>
      <c r="I243" s="19" t="str">
        <f>SUBSTITUTE(テーブル1[[#This Row],[種族タグ]],"、","|")</f>
        <v>人間|不老|不死</v>
      </c>
      <c r="J243" s="19" t="str">
        <f>SUBSTITUTE(テーブル1[[#This Row],[モチーフタグ]],"、","|")</f>
        <v/>
      </c>
      <c r="K243" s="19" t="str">
        <f>SUBSTITUTE(テーブル1[[#This Row],[属性タグ]],"、","|")</f>
        <v/>
      </c>
      <c r="L243" s="19" t="str">
        <f>SUBSTITUTE(テーブル1[[#This Row],[職業タグ]],"、","|")</f>
        <v>教育</v>
      </c>
      <c r="M243" s="19" t="str">
        <f>SUBSTITUTE(テーブル1[[#This Row],[小物タグ]],"、","|")</f>
        <v>武器</v>
      </c>
      <c r="N243" s="19" t="str">
        <f>SUBSTITUTE(テーブル1[[#This Row],[身体的特徴タグ]],"、","|")</f>
        <v>髪色|目</v>
      </c>
    </row>
    <row r="244" spans="1:14" ht="20.149999999999999" customHeight="1" x14ac:dyDescent="0.35">
      <c r="A244" s="19">
        <f>テーブル1[[#This Row],[番号]]</f>
        <v>243</v>
      </c>
      <c r="B244" s="19" t="str">
        <f>テーブル1[[#This Row],[名前]]</f>
        <v>ちくさ</v>
      </c>
      <c r="C244" s="19" t="str">
        <f>テーブル1[[#This Row],[なまえ]]</f>
        <v>ちくさ</v>
      </c>
      <c r="D244" s="19" t="str">
        <f>テーブル1[[#This Row],[Name]]</f>
        <v>Chikusa</v>
      </c>
      <c r="E244" s="19" t="str">
        <f>"image/"&amp;テーブル1[[#This Row],[画像]]&amp;".png"</f>
        <v>image/chikusa.png</v>
      </c>
      <c r="F244" s="19" t="str">
        <f>テーブル1[[#This Row],[リンク]]</f>
        <v>https://mitamayade.wixsite.com/mitama</v>
      </c>
      <c r="G244" s="19" t="str">
        <f>SUBSTITUTE(テーブル1[[#This Row],[作品タグ]],"、","|")</f>
        <v>#ちくさ_UTAU</v>
      </c>
      <c r="H244" s="19" t="str">
        <f>テーブル1[[#This Row],[性別]]&amp;""</f>
        <v>男性</v>
      </c>
      <c r="I244" s="19" t="str">
        <f>SUBSTITUTE(テーブル1[[#This Row],[種族タグ]],"、","|")</f>
        <v/>
      </c>
      <c r="J244" s="19" t="str">
        <f>SUBSTITUTE(テーブル1[[#This Row],[モチーフタグ]],"、","|")</f>
        <v/>
      </c>
      <c r="K244" s="19" t="str">
        <f>SUBSTITUTE(テーブル1[[#This Row],[属性タグ]],"、","|")</f>
        <v/>
      </c>
      <c r="L244" s="19" t="str">
        <f>SUBSTITUTE(テーブル1[[#This Row],[職業タグ]],"、","|")</f>
        <v/>
      </c>
      <c r="M244" s="19" t="str">
        <f>SUBSTITUTE(テーブル1[[#This Row],[小物タグ]],"、","|")</f>
        <v/>
      </c>
      <c r="N244" s="19" t="str">
        <f>SUBSTITUTE(テーブル1[[#This Row],[身体的特徴タグ]],"、","|")</f>
        <v>髪色|目</v>
      </c>
    </row>
    <row r="245" spans="1:14" ht="20.149999999999999" customHeight="1" x14ac:dyDescent="0.35">
      <c r="A245" s="19">
        <f>テーブル1[[#This Row],[番号]]</f>
        <v>244</v>
      </c>
      <c r="B245" s="19" t="str">
        <f>テーブル1[[#This Row],[名前]]</f>
        <v>笑っぽいゾ</v>
      </c>
      <c r="C245" s="19" t="str">
        <f>テーブル1[[#This Row],[なまえ]]</f>
        <v>わらっぽいぞ</v>
      </c>
      <c r="D245" s="19" t="str">
        <f>テーブル1[[#This Row],[Name]]</f>
        <v>Warappoizo</v>
      </c>
      <c r="E245" s="19" t="str">
        <f>"image/"&amp;テーブル1[[#This Row],[画像]]&amp;".png"</f>
        <v>image/warappoizo.png</v>
      </c>
      <c r="F245" s="19" t="str">
        <f>テーブル1[[#This Row],[リンク]]</f>
        <v>https://lit.link/4ATEPQoK7bZP3auccNvRi28UQdf1</v>
      </c>
      <c r="G245" s="19" t="str">
        <f>SUBSTITUTE(テーブル1[[#This Row],[作品タグ]],"、","|")</f>
        <v>#笑っぽいゾ</v>
      </c>
      <c r="H245" s="19" t="str">
        <f>テーブル1[[#This Row],[性別]]&amp;""</f>
        <v>男性</v>
      </c>
      <c r="I245" s="19" t="str">
        <f>SUBSTITUTE(テーブル1[[#This Row],[種族タグ]],"、","|")</f>
        <v>気体</v>
      </c>
      <c r="J245" s="19" t="str">
        <f>SUBSTITUTE(テーブル1[[#This Row],[モチーフタグ]],"、","|")</f>
        <v/>
      </c>
      <c r="K245" s="19" t="str">
        <f>SUBSTITUTE(テーブル1[[#This Row],[属性タグ]],"、","|")</f>
        <v/>
      </c>
      <c r="L245" s="19" t="str">
        <f>SUBSTITUTE(テーブル1[[#This Row],[職業タグ]],"、","|")</f>
        <v/>
      </c>
      <c r="M245" s="19" t="str">
        <f>SUBSTITUTE(テーブル1[[#This Row],[小物タグ]],"、","|")</f>
        <v/>
      </c>
      <c r="N245" s="19" t="str">
        <f>SUBSTITUTE(テーブル1[[#This Row],[身体的特徴タグ]],"、","|")</f>
        <v/>
      </c>
    </row>
    <row r="246" spans="1:14" ht="20.149999999999999" customHeight="1" x14ac:dyDescent="0.35">
      <c r="A246" s="19">
        <f>テーブル1[[#This Row],[番号]]</f>
        <v>245</v>
      </c>
      <c r="B246" s="19" t="str">
        <f>テーブル1[[#This Row],[名前]]</f>
        <v>反映クサイ</v>
      </c>
      <c r="C246" s="19" t="str">
        <f>テーブル1[[#This Row],[なまえ]]</f>
        <v>はんえい くさい</v>
      </c>
      <c r="D246" s="19" t="str">
        <f>テーブル1[[#This Row],[Name]]</f>
        <v>Han'ei Xi</v>
      </c>
      <c r="E246" s="19" t="str">
        <f>"image/"&amp;テーブル1[[#This Row],[画像]]&amp;".png"</f>
        <v>image/han'ei-xi.png</v>
      </c>
      <c r="F246" s="19" t="str">
        <f>テーブル1[[#This Row],[リンク]]</f>
        <v>https://xi-voice.carrd.co</v>
      </c>
      <c r="G246" s="19" t="str">
        <f>SUBSTITUTE(テーブル1[[#This Row],[作品タグ]],"、","|")</f>
        <v>#XI_UTAU</v>
      </c>
      <c r="H246" s="19" t="str">
        <f>テーブル1[[#This Row],[性別]]&amp;""</f>
        <v>不明</v>
      </c>
      <c r="I246" s="19" t="str">
        <f>SUBSTITUTE(テーブル1[[#This Row],[種族タグ]],"、","|")</f>
        <v/>
      </c>
      <c r="J246" s="19" t="str">
        <f>SUBSTITUTE(テーブル1[[#This Row],[モチーフタグ]],"、","|")</f>
        <v/>
      </c>
      <c r="K246" s="19" t="str">
        <f>SUBSTITUTE(テーブル1[[#This Row],[属性タグ]],"、","|")</f>
        <v/>
      </c>
      <c r="L246" s="19" t="str">
        <f>SUBSTITUTE(テーブル1[[#This Row],[職業タグ]],"、","|")</f>
        <v/>
      </c>
      <c r="M246" s="19" t="str">
        <f>SUBSTITUTE(テーブル1[[#This Row],[小物タグ]],"、","|")</f>
        <v/>
      </c>
      <c r="N246" s="19" t="str">
        <f>SUBSTITUTE(テーブル1[[#This Row],[身体的特徴タグ]],"、","|")</f>
        <v>髪色|目</v>
      </c>
    </row>
    <row r="247" spans="1:14" ht="20.149999999999999" customHeight="1" x14ac:dyDescent="0.35">
      <c r="A247" s="19">
        <f>テーブル1[[#This Row],[番号]]</f>
        <v>246</v>
      </c>
      <c r="B247" s="19" t="str">
        <f>テーブル1[[#This Row],[名前]]</f>
        <v>愛須栗无</v>
      </c>
      <c r="C247" s="19" t="str">
        <f>テーブル1[[#This Row],[なまえ]]</f>
        <v>あいす くりむ</v>
      </c>
      <c r="D247" s="19" t="str">
        <f>テーブル1[[#This Row],[Name]]</f>
        <v>Aisu Kurimu</v>
      </c>
      <c r="E247" s="19" t="str">
        <f>"image/"&amp;テーブル1[[#This Row],[画像]]&amp;".png"</f>
        <v>image/aisu-kurimu.png</v>
      </c>
      <c r="F247" s="19" t="str">
        <f>テーブル1[[#This Row],[リンク]]</f>
        <v>https://utau.fandom.com/wiki/Aisu_Kurimu</v>
      </c>
      <c r="G247" s="19" t="str">
        <f>SUBSTITUTE(テーブル1[[#This Row],[作品タグ]],"、","|")</f>
        <v>Aisu Kurimu(UTAU)</v>
      </c>
      <c r="H247" s="19" t="str">
        <f>テーブル1[[#This Row],[性別]]&amp;""</f>
        <v>女性</v>
      </c>
      <c r="I247" s="19" t="str">
        <f>SUBSTITUTE(テーブル1[[#This Row],[種族タグ]],"、","|")</f>
        <v>機械</v>
      </c>
      <c r="J247" s="19" t="str">
        <f>SUBSTITUTE(テーブル1[[#This Row],[モチーフタグ]],"、","|")</f>
        <v>食べ物</v>
      </c>
      <c r="K247" s="19" t="str">
        <f>SUBSTITUTE(テーブル1[[#This Row],[属性タグ]],"、","|")</f>
        <v/>
      </c>
      <c r="L247" s="19" t="str">
        <f>SUBSTITUTE(テーブル1[[#This Row],[職業タグ]],"、","|")</f>
        <v/>
      </c>
      <c r="M247" s="19" t="str">
        <f>SUBSTITUTE(テーブル1[[#This Row],[小物タグ]],"、","|")</f>
        <v>耳装備</v>
      </c>
      <c r="N247" s="19" t="str">
        <f>SUBSTITUTE(テーブル1[[#This Row],[身体的特徴タグ]],"、","|")</f>
        <v/>
      </c>
    </row>
    <row r="248" spans="1:14" ht="20.149999999999999" customHeight="1" x14ac:dyDescent="0.35">
      <c r="A248" s="19">
        <f>テーブル1[[#This Row],[番号]]</f>
        <v>247</v>
      </c>
      <c r="B248" s="19" t="str">
        <f>テーブル1[[#This Row],[名前]]</f>
        <v>泡沫綴</v>
      </c>
      <c r="C248" s="19" t="str">
        <f>テーブル1[[#This Row],[なまえ]]</f>
        <v>うたかた つづり</v>
      </c>
      <c r="D248" s="19" t="str">
        <f>テーブル1[[#This Row],[Name]]</f>
        <v>Utakata Tsuzuri</v>
      </c>
      <c r="E248" s="19" t="str">
        <f>"image/"&amp;テーブル1[[#This Row],[画像]]&amp;".png"</f>
        <v>image/utakata-tsuzuri.png</v>
      </c>
      <c r="F248" s="19" t="str">
        <f>テーブル1[[#This Row],[リンク]]</f>
        <v>https://tourist100f.wixsite.com/utakata-kosyo</v>
      </c>
      <c r="G248" s="19" t="str">
        <f>SUBSTITUTE(テーブル1[[#This Row],[作品タグ]],"、","|")</f>
        <v>#泡沫古書店</v>
      </c>
      <c r="H248" s="19" t="str">
        <f>テーブル1[[#This Row],[性別]]&amp;""</f>
        <v>女性</v>
      </c>
      <c r="I248" s="19" t="str">
        <f>SUBSTITUTE(テーブル1[[#This Row],[種族タグ]],"、","|")</f>
        <v>人間</v>
      </c>
      <c r="J248" s="19" t="str">
        <f>SUBSTITUTE(テーブル1[[#This Row],[モチーフタグ]],"、","|")</f>
        <v/>
      </c>
      <c r="K248" s="19" t="str">
        <f>SUBSTITUTE(テーブル1[[#This Row],[属性タグ]],"、","|")</f>
        <v/>
      </c>
      <c r="L248" s="19" t="str">
        <f>SUBSTITUTE(テーブル1[[#This Row],[職業タグ]],"、","|")</f>
        <v>接客・販売</v>
      </c>
      <c r="M248" s="19" t="str">
        <f>SUBSTITUTE(テーブル1[[#This Row],[小物タグ]],"、","|")</f>
        <v/>
      </c>
      <c r="N248" s="19" t="str">
        <f>SUBSTITUTE(テーブル1[[#This Row],[身体的特徴タグ]],"、","|")</f>
        <v/>
      </c>
    </row>
    <row r="249" spans="1:14" ht="20.149999999999999" customHeight="1" x14ac:dyDescent="0.35">
      <c r="A249" s="19">
        <f>テーブル1[[#This Row],[番号]]</f>
        <v>248</v>
      </c>
      <c r="B249" s="19" t="str">
        <f>テーブル1[[#This Row],[名前]]</f>
        <v>F-113</v>
      </c>
      <c r="C249" s="19" t="str">
        <f>テーブル1[[#This Row],[なまえ]]</f>
        <v>えふ いちいちさん</v>
      </c>
      <c r="D249" s="19" t="str">
        <f>テーブル1[[#This Row],[Name]]</f>
        <v>F-113</v>
      </c>
      <c r="E249" s="19" t="str">
        <f>"image/"&amp;テーブル1[[#This Row],[画像]]&amp;".png"</f>
        <v>image/f-113.png</v>
      </c>
      <c r="F249" s="19" t="str">
        <f>テーブル1[[#This Row],[リンク]]</f>
        <v>https://tourist100f.wixsite.com/utakata-kosyo</v>
      </c>
      <c r="G249" s="19" t="str">
        <f>SUBSTITUTE(テーブル1[[#This Row],[作品タグ]],"、","|")</f>
        <v>#泡沫古書店</v>
      </c>
      <c r="H249" s="19" t="str">
        <f>テーブル1[[#This Row],[性別]]&amp;""</f>
        <v>女性</v>
      </c>
      <c r="I249" s="19" t="str">
        <f>SUBSTITUTE(テーブル1[[#This Row],[種族タグ]],"、","|")</f>
        <v>機械</v>
      </c>
      <c r="J249" s="19" t="str">
        <f>SUBSTITUTE(テーブル1[[#This Row],[モチーフタグ]],"、","|")</f>
        <v/>
      </c>
      <c r="K249" s="19" t="str">
        <f>SUBSTITUTE(テーブル1[[#This Row],[属性タグ]],"、","|")</f>
        <v/>
      </c>
      <c r="L249" s="19" t="str">
        <f>SUBSTITUTE(テーブル1[[#This Row],[職業タグ]],"、","|")</f>
        <v/>
      </c>
      <c r="M249" s="19" t="str">
        <f>SUBSTITUTE(テーブル1[[#This Row],[小物タグ]],"、","|")</f>
        <v>武器</v>
      </c>
      <c r="N249" s="19" t="str">
        <f>SUBSTITUTE(テーブル1[[#This Row],[身体的特徴タグ]],"、","|")</f>
        <v/>
      </c>
    </row>
    <row r="250" spans="1:14" ht="20.149999999999999" customHeight="1" x14ac:dyDescent="0.35">
      <c r="A250" s="19">
        <f>テーブル1[[#This Row],[番号]]</f>
        <v>249</v>
      </c>
      <c r="B250" s="19" t="str">
        <f>テーブル1[[#This Row],[名前]]</f>
        <v>痛</v>
      </c>
      <c r="C250" s="19" t="str">
        <f>テーブル1[[#This Row],[なまえ]]</f>
        <v>あぷだ</v>
      </c>
      <c r="D250" s="19" t="str">
        <f>テーブル1[[#This Row],[Name]]</f>
        <v>Apuda</v>
      </c>
      <c r="E250" s="19" t="str">
        <f>"image/"&amp;テーブル1[[#This Row],[画像]]&amp;".png"</f>
        <v>image/apuda.png</v>
      </c>
      <c r="F250" s="19" t="str">
        <f>テーブル1[[#This Row],[リンク]]</f>
        <v>https://haingyoi.wixsite.com/utau</v>
      </c>
      <c r="G250" s="19" t="str">
        <f>SUBSTITUTE(テーブル1[[#This Row],[作品タグ]],"、","|")</f>
        <v>#APUDANG</v>
      </c>
      <c r="H250" s="19" t="str">
        <f>テーブル1[[#This Row],[性別]]&amp;""</f>
        <v>不明</v>
      </c>
      <c r="I250" s="19" t="str">
        <f>SUBSTITUTE(テーブル1[[#This Row],[種族タグ]],"、","|")</f>
        <v>人間</v>
      </c>
      <c r="J250" s="19" t="str">
        <f>SUBSTITUTE(テーブル1[[#This Row],[モチーフタグ]],"、","|")</f>
        <v/>
      </c>
      <c r="K250" s="19" t="str">
        <f>SUBSTITUTE(テーブル1[[#This Row],[属性タグ]],"、","|")</f>
        <v/>
      </c>
      <c r="L250" s="19" t="str">
        <f>SUBSTITUTE(テーブル1[[#This Row],[職業タグ]],"、","|")</f>
        <v>科学・技術</v>
      </c>
      <c r="M250" s="19" t="str">
        <f>SUBSTITUTE(テーブル1[[#This Row],[小物タグ]],"、","|")</f>
        <v>服飾|道具</v>
      </c>
      <c r="N250" s="19" t="str">
        <f>SUBSTITUTE(テーブル1[[#This Row],[身体的特徴タグ]],"、","|")</f>
        <v>髪色|目隠れ</v>
      </c>
    </row>
    <row r="251" spans="1:14" ht="20.149999999999999" customHeight="1" x14ac:dyDescent="0.35">
      <c r="A251" s="19">
        <f>テーブル1[[#This Row],[番号]]</f>
        <v>250</v>
      </c>
      <c r="B251" s="19" t="str">
        <f>テーブル1[[#This Row],[名前]]</f>
        <v>蛇川蓮</v>
      </c>
      <c r="C251" s="19" t="str">
        <f>テーブル1[[#This Row],[なまえ]]</f>
        <v>へびかわ れん</v>
      </c>
      <c r="D251" s="19" t="str">
        <f>テーブル1[[#This Row],[Name]]</f>
        <v>Hebikawa Ren</v>
      </c>
      <c r="E251" s="19" t="str">
        <f>"image/"&amp;テーブル1[[#This Row],[画像]]&amp;".png"</f>
        <v>image/hebikawa-ren.png</v>
      </c>
      <c r="F251" s="19" t="str">
        <f>テーブル1[[#This Row],[リンク]]</f>
        <v>https://lit.link/nemukoneko</v>
      </c>
      <c r="G251" s="19" t="str">
        <f>SUBSTITUTE(テーブル1[[#This Row],[作品タグ]],"、","|")</f>
        <v>蛇川蓮(UTAU)</v>
      </c>
      <c r="H251" s="19" t="str">
        <f>テーブル1[[#This Row],[性別]]&amp;""</f>
        <v>男性</v>
      </c>
      <c r="I251" s="19" t="str">
        <f>SUBSTITUTE(テーブル1[[#This Row],[種族タグ]],"、","|")</f>
        <v>人型</v>
      </c>
      <c r="J251" s="19" t="str">
        <f>SUBSTITUTE(テーブル1[[#This Row],[モチーフタグ]],"、","|")</f>
        <v>爬虫類・両生類</v>
      </c>
      <c r="K251" s="19" t="str">
        <f>SUBSTITUTE(テーブル1[[#This Row],[属性タグ]],"、","|")</f>
        <v/>
      </c>
      <c r="L251" s="19" t="str">
        <f>SUBSTITUTE(テーブル1[[#This Row],[職業タグ]],"、","|")</f>
        <v/>
      </c>
      <c r="M251" s="19" t="str">
        <f>SUBSTITUTE(テーブル1[[#This Row],[小物タグ]],"、","|")</f>
        <v/>
      </c>
      <c r="N251" s="19" t="str">
        <f>SUBSTITUTE(テーブル1[[#This Row],[身体的特徴タグ]],"、","|")</f>
        <v>模様・装飾|体格</v>
      </c>
    </row>
    <row r="252" spans="1:14" ht="20.149999999999999" customHeight="1" x14ac:dyDescent="0.35">
      <c r="A252" s="19">
        <f>テーブル1[[#This Row],[番号]]</f>
        <v>251</v>
      </c>
      <c r="B252" s="19" t="str">
        <f>テーブル1[[#This Row],[名前]]</f>
        <v>鴉田椿</v>
      </c>
      <c r="C252" s="19" t="str">
        <f>テーブル1[[#This Row],[なまえ]]</f>
        <v>からすだ つばき</v>
      </c>
      <c r="D252" s="19" t="str">
        <f>テーブル1[[#This Row],[Name]]</f>
        <v>Karasuda Tsubaki</v>
      </c>
      <c r="E252" s="19" t="str">
        <f>"image/"&amp;テーブル1[[#This Row],[画像]]&amp;".png"</f>
        <v>image/karasuda-tsubaki.png</v>
      </c>
      <c r="F252" s="19" t="str">
        <f>テーブル1[[#This Row],[リンク]]</f>
        <v>https://lit.link/nemukoneko</v>
      </c>
      <c r="G252" s="19" t="str">
        <f>SUBSTITUTE(テーブル1[[#This Row],[作品タグ]],"、","|")</f>
        <v>鴉田椿(UTAU)</v>
      </c>
      <c r="H252" s="19" t="str">
        <f>テーブル1[[#This Row],[性別]]&amp;""</f>
        <v>男性</v>
      </c>
      <c r="I252" s="19" t="str">
        <f>SUBSTITUTE(テーブル1[[#This Row],[種族タグ]],"、","|")</f>
        <v>人型</v>
      </c>
      <c r="J252" s="19" t="str">
        <f>SUBSTITUTE(テーブル1[[#This Row],[モチーフタグ]],"、","|")</f>
        <v>鳥類</v>
      </c>
      <c r="K252" s="19" t="str">
        <f>SUBSTITUTE(テーブル1[[#This Row],[属性タグ]],"、","|")</f>
        <v/>
      </c>
      <c r="L252" s="19" t="str">
        <f>SUBSTITUTE(テーブル1[[#This Row],[職業タグ]],"、","|")</f>
        <v/>
      </c>
      <c r="M252" s="19" t="str">
        <f>SUBSTITUTE(テーブル1[[#This Row],[小物タグ]],"、","|")</f>
        <v/>
      </c>
      <c r="N252" s="19" t="str">
        <f>SUBSTITUTE(テーブル1[[#This Row],[身体的特徴タグ]],"、","|")</f>
        <v/>
      </c>
    </row>
    <row r="253" spans="1:14" ht="20.149999999999999" customHeight="1" x14ac:dyDescent="0.35">
      <c r="A253" s="19">
        <f>テーブル1[[#This Row],[番号]]</f>
        <v>252</v>
      </c>
      <c r="B253" s="19" t="str">
        <f>テーブル1[[#This Row],[名前]]</f>
        <v>猫星人リセ</v>
      </c>
      <c r="C253" s="19" t="str">
        <f>テーブル1[[#This Row],[なまえ]]</f>
        <v>ねこせいじん りせ</v>
      </c>
      <c r="D253" s="19" t="str">
        <f>テーブル1[[#This Row],[Name]]</f>
        <v>The Alien Cat Lyce</v>
      </c>
      <c r="E253" s="19" t="str">
        <f>"image/"&amp;テーブル1[[#This Row],[画像]]&amp;".png"</f>
        <v>image/the-alien-cat-lyce.png</v>
      </c>
      <c r="F253" s="19" t="str">
        <f>テーブル1[[#This Row],[リンク]]</f>
        <v>https://note.com/lycopema/n/n7abddbef7b6e</v>
      </c>
      <c r="G253" s="19" t="str">
        <f>SUBSTITUTE(テーブル1[[#This Row],[作品タグ]],"、","|")</f>
        <v>#猫星人リセ</v>
      </c>
      <c r="H253" s="19" t="str">
        <f>テーブル1[[#This Row],[性別]]&amp;""</f>
        <v>無性別</v>
      </c>
      <c r="I253" s="19" t="str">
        <f>SUBSTITUTE(テーブル1[[#This Row],[種族タグ]],"、","|")</f>
        <v>宇宙人</v>
      </c>
      <c r="J253" s="19" t="str">
        <f>SUBSTITUTE(テーブル1[[#This Row],[モチーフタグ]],"、","|")</f>
        <v>哺乳類</v>
      </c>
      <c r="K253" s="19" t="str">
        <f>SUBSTITUTE(テーブル1[[#This Row],[属性タグ]],"、","|")</f>
        <v/>
      </c>
      <c r="L253" s="19" t="str">
        <f>SUBSTITUTE(テーブル1[[#This Row],[職業タグ]],"、","|")</f>
        <v/>
      </c>
      <c r="M253" s="19" t="str">
        <f>SUBSTITUTE(テーブル1[[#This Row],[小物タグ]],"、","|")</f>
        <v/>
      </c>
      <c r="N253" s="19" t="str">
        <f>SUBSTITUTE(テーブル1[[#This Row],[身体的特徴タグ]],"、","|")</f>
        <v>耳|尻尾</v>
      </c>
    </row>
    <row r="254" spans="1:14" ht="20.149999999999999" customHeight="1" x14ac:dyDescent="0.35">
      <c r="A254" s="19">
        <f>テーブル1[[#This Row],[番号]]</f>
        <v>253</v>
      </c>
      <c r="B254" s="19" t="str">
        <f>テーブル1[[#This Row],[名前]]</f>
        <v>KR-725</v>
      </c>
      <c r="C254" s="19" t="str">
        <f>テーブル1[[#This Row],[なまえ]]</f>
        <v>けーあーる-ななにーご</v>
      </c>
      <c r="D254" s="19" t="str">
        <f>テーブル1[[#This Row],[Name]]</f>
        <v>KR-725</v>
      </c>
      <c r="E254" s="19" t="str">
        <f>"image/"&amp;テーブル1[[#This Row],[画像]]&amp;".png"</f>
        <v>image/kr-725.png</v>
      </c>
      <c r="F254" s="19" t="str">
        <f>テーブル1[[#This Row],[リンク]]</f>
        <v>https://sites.google.com/view/ronku99</v>
      </c>
      <c r="G254" s="19" t="str">
        <f>SUBSTITUTE(テーブル1[[#This Row],[作品タグ]],"、","|")</f>
        <v>KR-725(UTAU)</v>
      </c>
      <c r="H254" s="19" t="str">
        <f>テーブル1[[#This Row],[性別]]&amp;""</f>
        <v>女性</v>
      </c>
      <c r="I254" s="19" t="str">
        <f>SUBSTITUTE(テーブル1[[#This Row],[種族タグ]],"、","|")</f>
        <v>機械</v>
      </c>
      <c r="J254" s="19" t="str">
        <f>SUBSTITUTE(テーブル1[[#This Row],[モチーフタグ]],"、","|")</f>
        <v/>
      </c>
      <c r="K254" s="19" t="str">
        <f>SUBSTITUTE(テーブル1[[#This Row],[属性タグ]],"、","|")</f>
        <v/>
      </c>
      <c r="L254" s="19" t="str">
        <f>SUBSTITUTE(テーブル1[[#This Row],[職業タグ]],"、","|")</f>
        <v>使用人・家事</v>
      </c>
      <c r="M254" s="19" t="str">
        <f>SUBSTITUTE(テーブル1[[#This Row],[小物タグ]],"、","|")</f>
        <v>眼部</v>
      </c>
      <c r="N254" s="19" t="str">
        <f>SUBSTITUTE(テーブル1[[#This Row],[身体的特徴タグ]],"、","|")</f>
        <v/>
      </c>
    </row>
    <row r="255" spans="1:14" ht="20.149999999999999" customHeight="1" x14ac:dyDescent="0.35">
      <c r="A255" s="19">
        <f>テーブル1[[#This Row],[番号]]</f>
        <v>254</v>
      </c>
      <c r="B255" s="19" t="str">
        <f>テーブル1[[#This Row],[名前]]</f>
        <v>クルミヤキ吉行</v>
      </c>
      <c r="C255" s="19" t="str">
        <f>テーブル1[[#This Row],[なまえ]]</f>
        <v>くるみやき よしゆき</v>
      </c>
      <c r="D255" s="19" t="str">
        <f>テーブル1[[#This Row],[Name]]</f>
        <v>Kurumiyaki Yosiyuki</v>
      </c>
      <c r="E255" s="19" t="str">
        <f>"image/"&amp;テーブル1[[#This Row],[画像]]&amp;".png"</f>
        <v>image/kurumiyaki-yosiyuki.png</v>
      </c>
      <c r="F255" s="19" t="str">
        <f>テーブル1[[#This Row],[リンク]]</f>
        <v>https://hatonosuke5.booth.pm</v>
      </c>
      <c r="G255" s="19" t="str">
        <f>SUBSTITUTE(テーブル1[[#This Row],[作品タグ]],"、","|")</f>
        <v>#ボタン太の子|#クルミヤキ吉行</v>
      </c>
      <c r="H255" s="19" t="str">
        <f>テーブル1[[#This Row],[性別]]&amp;""</f>
        <v>不明</v>
      </c>
      <c r="I255" s="19" t="str">
        <f>SUBSTITUTE(テーブル1[[#This Row],[種族タグ]],"、","|")</f>
        <v>人型</v>
      </c>
      <c r="J255" s="19" t="str">
        <f>SUBSTITUTE(テーブル1[[#This Row],[モチーフタグ]],"、","|")</f>
        <v>架空生物</v>
      </c>
      <c r="K255" s="19" t="str">
        <f>SUBSTITUTE(テーブル1[[#This Row],[属性タグ]],"、","|")</f>
        <v/>
      </c>
      <c r="L255" s="19" t="str">
        <f>SUBSTITUTE(テーブル1[[#This Row],[職業タグ]],"、","|")</f>
        <v/>
      </c>
      <c r="M255" s="19" t="str">
        <f>SUBSTITUTE(テーブル1[[#This Row],[小物タグ]],"、","|")</f>
        <v>ヘイロー|服飾</v>
      </c>
      <c r="N255" s="19" t="str">
        <f>SUBSTITUTE(テーブル1[[#This Row],[身体的特徴タグ]],"、","|")</f>
        <v>耳|目隠れ|尻尾</v>
      </c>
    </row>
    <row r="256" spans="1:14" ht="20.149999999999999" customHeight="1" x14ac:dyDescent="0.35">
      <c r="A256" s="19">
        <f>テーブル1[[#This Row],[番号]]</f>
        <v>255</v>
      </c>
      <c r="B256" s="19" t="str">
        <f>テーブル1[[#This Row],[名前]]</f>
        <v>大海クリナ</v>
      </c>
      <c r="C256" s="19" t="str">
        <f>テーブル1[[#This Row],[なまえ]]</f>
        <v>おおうみ くりな</v>
      </c>
      <c r="D256" s="19" t="str">
        <f>テーブル1[[#This Row],[Name]]</f>
        <v>Oumi Kurina</v>
      </c>
      <c r="E256" s="19" t="str">
        <f>"image/"&amp;テーブル1[[#This Row],[画像]]&amp;".png"</f>
        <v>image/oumi-kurina.png</v>
      </c>
      <c r="F256" s="19" t="str">
        <f>テーブル1[[#This Row],[リンク]]</f>
        <v>https://uu.getuploader.com/mirakibonoutau</v>
      </c>
      <c r="G256" s="19" t="str">
        <f>SUBSTITUTE(テーブル1[[#This Row],[作品タグ]],"、","|")</f>
        <v>#大海クリナ</v>
      </c>
      <c r="H256" s="19" t="str">
        <f>テーブル1[[#This Row],[性別]]&amp;""</f>
        <v>女性</v>
      </c>
      <c r="I256" s="19" t="str">
        <f>SUBSTITUTE(テーブル1[[#This Row],[種族タグ]],"、","|")</f>
        <v>人間</v>
      </c>
      <c r="J256" s="19" t="str">
        <f>SUBSTITUTE(テーブル1[[#This Row],[モチーフタグ]],"、","|")</f>
        <v/>
      </c>
      <c r="K256" s="19" t="str">
        <f>SUBSTITUTE(テーブル1[[#This Row],[属性タグ]],"、","|")</f>
        <v/>
      </c>
      <c r="L256" s="19" t="str">
        <f>SUBSTITUTE(テーブル1[[#This Row],[職業タグ]],"、","|")</f>
        <v/>
      </c>
      <c r="M256" s="19" t="str">
        <f>SUBSTITUTE(テーブル1[[#This Row],[小物タグ]],"、","|")</f>
        <v/>
      </c>
      <c r="N256" s="19" t="str">
        <f>SUBSTITUTE(テーブル1[[#This Row],[身体的特徴タグ]],"、","|")</f>
        <v/>
      </c>
    </row>
    <row r="257" spans="1:14" ht="20.149999999999999" customHeight="1" x14ac:dyDescent="0.35">
      <c r="A257" s="19">
        <f>テーブル1[[#This Row],[番号]]</f>
        <v>256</v>
      </c>
      <c r="B257" s="19" t="str">
        <f>テーブル1[[#This Row],[名前]]</f>
        <v>みたま</v>
      </c>
      <c r="C257" s="19" t="str">
        <f>テーブル1[[#This Row],[なまえ]]</f>
        <v>みたま</v>
      </c>
      <c r="D257" s="19" t="str">
        <f>テーブル1[[#This Row],[Name]]</f>
        <v>Mitama</v>
      </c>
      <c r="E257" s="19" t="str">
        <f>"image/"&amp;テーブル1[[#This Row],[画像]]&amp;".png"</f>
        <v>image/mitama.png</v>
      </c>
      <c r="F257" s="19" t="str">
        <f>テーブル1[[#This Row],[リンク]]</f>
        <v>https://mitamayade.wixsite.com/mitama</v>
      </c>
      <c r="G257" s="19" t="str">
        <f>SUBSTITUTE(テーブル1[[#This Row],[作品タグ]],"、","|")</f>
        <v>#みたま_UTAU</v>
      </c>
      <c r="H257" s="19" t="str">
        <f>テーブル1[[#This Row],[性別]]&amp;""</f>
        <v>女性</v>
      </c>
      <c r="I257" s="19" t="str">
        <f>SUBSTITUTE(テーブル1[[#This Row],[種族タグ]],"、","|")</f>
        <v>人間</v>
      </c>
      <c r="J257" s="19" t="str">
        <f>SUBSTITUTE(テーブル1[[#This Row],[モチーフタグ]],"、","|")</f>
        <v/>
      </c>
      <c r="K257" s="19" t="str">
        <f>SUBSTITUTE(テーブル1[[#This Row],[属性タグ]],"、","|")</f>
        <v/>
      </c>
      <c r="L257" s="19" t="str">
        <f>SUBSTITUTE(テーブル1[[#This Row],[職業タグ]],"、","|")</f>
        <v/>
      </c>
      <c r="M257" s="19" t="str">
        <f>SUBSTITUTE(テーブル1[[#This Row],[小物タグ]],"、","|")</f>
        <v>耳装備</v>
      </c>
      <c r="N257" s="19" t="str">
        <f>SUBSTITUTE(テーブル1[[#This Row],[身体的特徴タグ]],"、","|")</f>
        <v>髪色</v>
      </c>
    </row>
    <row r="258" spans="1:14" ht="20.149999999999999" customHeight="1" x14ac:dyDescent="0.35">
      <c r="A258" s="19">
        <f>テーブル1[[#This Row],[番号]]</f>
        <v>257</v>
      </c>
      <c r="B258" s="19" t="str">
        <f>テーブル1[[#This Row],[名前]]</f>
        <v>みらきぼ11号</v>
      </c>
      <c r="C258" s="19" t="str">
        <f>テーブル1[[#This Row],[なまえ]]</f>
        <v>みらきぼじゅういちごう</v>
      </c>
      <c r="D258" s="19" t="str">
        <f>テーブル1[[#This Row],[Name]]</f>
        <v>Mirakibo 11-gou</v>
      </c>
      <c r="E258" s="19" t="str">
        <f>"image/"&amp;テーブル1[[#This Row],[画像]]&amp;".png"</f>
        <v>image/mirakibo-11-gou.png</v>
      </c>
      <c r="F258" s="19" t="str">
        <f>テーブル1[[#This Row],[リンク]]</f>
        <v>https://uu.getuploader.com/mirakibonoutau</v>
      </c>
      <c r="G258" s="19" t="str">
        <f>SUBSTITUTE(テーブル1[[#This Row],[作品タグ]],"、","|")</f>
        <v>#みらきぼ11号</v>
      </c>
      <c r="H258" s="19" t="str">
        <f>テーブル1[[#This Row],[性別]]&amp;""</f>
        <v>不明</v>
      </c>
      <c r="I258" s="19" t="str">
        <f>SUBSTITUTE(テーブル1[[#This Row],[種族タグ]],"、","|")</f>
        <v>機械</v>
      </c>
      <c r="J258" s="19" t="str">
        <f>SUBSTITUTE(テーブル1[[#This Row],[モチーフタグ]],"、","|")</f>
        <v/>
      </c>
      <c r="K258" s="19" t="str">
        <f>SUBSTITUTE(テーブル1[[#This Row],[属性タグ]],"、","|")</f>
        <v/>
      </c>
      <c r="L258" s="19" t="str">
        <f>SUBSTITUTE(テーブル1[[#This Row],[職業タグ]],"、","|")</f>
        <v/>
      </c>
      <c r="M258" s="19" t="str">
        <f>SUBSTITUTE(テーブル1[[#This Row],[小物タグ]],"、","|")</f>
        <v/>
      </c>
      <c r="N258" s="19" t="str">
        <f>SUBSTITUTE(テーブル1[[#This Row],[身体的特徴タグ]],"、","|")</f>
        <v>尻尾</v>
      </c>
    </row>
    <row r="259" spans="1:14" ht="20.149999999999999" customHeight="1" x14ac:dyDescent="0.35">
      <c r="A259" s="19">
        <f>テーブル1[[#This Row],[番号]]</f>
        <v>258</v>
      </c>
      <c r="B259" s="19" t="str">
        <f>テーブル1[[#This Row],[名前]]</f>
        <v>音夜秋月</v>
      </c>
      <c r="C259" s="19" t="str">
        <f>テーブル1[[#This Row],[なまえ]]</f>
        <v>おとや しゅうき</v>
      </c>
      <c r="D259" s="19" t="str">
        <f>テーブル1[[#This Row],[Name]]</f>
        <v>Otoya Syuki</v>
      </c>
      <c r="E259" s="19" t="str">
        <f>"image/"&amp;テーブル1[[#This Row],[画像]]&amp;".png"</f>
        <v>image/otoya-syuki.png</v>
      </c>
      <c r="F259" s="19" t="str">
        <f>テーブル1[[#This Row],[リンク]]</f>
        <v>https://sikiori.wepage.com</v>
      </c>
      <c r="G259" s="19" t="str">
        <f>SUBSTITUTE(テーブル1[[#This Row],[作品タグ]],"、","|")</f>
        <v>#四季折宛郵便</v>
      </c>
      <c r="H259" s="19" t="str">
        <f>テーブル1[[#This Row],[性別]]&amp;""</f>
        <v>男性</v>
      </c>
      <c r="I259" s="19" t="str">
        <f>SUBSTITUTE(テーブル1[[#This Row],[種族タグ]],"、","|")</f>
        <v>人間</v>
      </c>
      <c r="J259" s="19" t="str">
        <f>SUBSTITUTE(テーブル1[[#This Row],[モチーフタグ]],"、","|")</f>
        <v/>
      </c>
      <c r="K259" s="19" t="str">
        <f>SUBSTITUTE(テーブル1[[#This Row],[属性タグ]],"、","|")</f>
        <v/>
      </c>
      <c r="L259" s="19" t="str">
        <f>SUBSTITUTE(テーブル1[[#This Row],[職業タグ]],"、","|")</f>
        <v>元ヤン|創作</v>
      </c>
      <c r="M259" s="19" t="str">
        <f>SUBSTITUTE(テーブル1[[#This Row],[小物タグ]],"、","|")</f>
        <v>眼部</v>
      </c>
      <c r="N259" s="19" t="str">
        <f>SUBSTITUTE(テーブル1[[#This Row],[身体的特徴タグ]],"、","|")</f>
        <v>髪色</v>
      </c>
    </row>
    <row r="260" spans="1:14" ht="20.149999999999999" customHeight="1" x14ac:dyDescent="0.35">
      <c r="A260" s="19">
        <f>テーブル1[[#This Row],[番号]]</f>
        <v>259</v>
      </c>
      <c r="B260" s="19" t="str">
        <f>テーブル1[[#This Row],[名前]]</f>
        <v>夏乃星音</v>
      </c>
      <c r="C260" s="19" t="str">
        <f>テーブル1[[#This Row],[なまえ]]</f>
        <v>なつの せいと</v>
      </c>
      <c r="D260" s="19" t="str">
        <f>テーブル1[[#This Row],[Name]]</f>
        <v>Natsuno Seito</v>
      </c>
      <c r="E260" s="19" t="str">
        <f>"image/"&amp;テーブル1[[#This Row],[画像]]&amp;".png"</f>
        <v>image/natsuno-seito.png</v>
      </c>
      <c r="F260" s="19" t="str">
        <f>テーブル1[[#This Row],[リンク]]</f>
        <v>https://sikiori.wepage.com</v>
      </c>
      <c r="G260" s="19" t="str">
        <f>SUBSTITUTE(テーブル1[[#This Row],[作品タグ]],"、","|")</f>
        <v>#四季折宛郵便</v>
      </c>
      <c r="H260" s="19" t="str">
        <f>テーブル1[[#This Row],[性別]]&amp;""</f>
        <v>男性</v>
      </c>
      <c r="I260" s="19" t="str">
        <f>SUBSTITUTE(テーブル1[[#This Row],[種族タグ]],"、","|")</f>
        <v>人間</v>
      </c>
      <c r="J260" s="19" t="str">
        <f>SUBSTITUTE(テーブル1[[#This Row],[モチーフタグ]],"、","|")</f>
        <v/>
      </c>
      <c r="K260" s="19" t="str">
        <f>SUBSTITUTE(テーブル1[[#This Row],[属性タグ]],"、","|")</f>
        <v/>
      </c>
      <c r="L260" s="19" t="str">
        <f>SUBSTITUTE(テーブル1[[#This Row],[職業タグ]],"、","|")</f>
        <v>接客・販売</v>
      </c>
      <c r="M260" s="19" t="str">
        <f>SUBSTITUTE(テーブル1[[#This Row],[小物タグ]],"、","|")</f>
        <v/>
      </c>
      <c r="N260" s="19" t="str">
        <f>SUBSTITUTE(テーブル1[[#This Row],[身体的特徴タグ]],"、","|")</f>
        <v>髪色</v>
      </c>
    </row>
    <row r="261" spans="1:14" ht="20.149999999999999" customHeight="1" x14ac:dyDescent="0.35">
      <c r="A261" s="19">
        <f>テーブル1[[#This Row],[番号]]</f>
        <v>260</v>
      </c>
      <c r="B261" s="19" t="str">
        <f>テーブル1[[#This Row],[名前]]</f>
        <v>薪宮風季</v>
      </c>
      <c r="C261" s="19" t="str">
        <f>テーブル1[[#This Row],[なまえ]]</f>
        <v>まきみや ふうき</v>
      </c>
      <c r="D261" s="19" t="str">
        <f>テーブル1[[#This Row],[Name]]</f>
        <v>Makimiya Fuki</v>
      </c>
      <c r="E261" s="19" t="str">
        <f>"image/"&amp;テーブル1[[#This Row],[画像]]&amp;".png"</f>
        <v>image/makimiya-fuki.png</v>
      </c>
      <c r="F261" s="19" t="str">
        <f>テーブル1[[#This Row],[リンク]]</f>
        <v>https://mohumohuton.web.fc2.com/makimiya/index.html</v>
      </c>
      <c r="G261" s="19" t="str">
        <f>SUBSTITUTE(テーブル1[[#This Row],[作品タグ]],"、","|")</f>
        <v>#薪宮風季</v>
      </c>
      <c r="H261" s="19" t="str">
        <f>テーブル1[[#This Row],[性別]]&amp;""</f>
        <v>男性</v>
      </c>
      <c r="I261" s="19" t="str">
        <f>SUBSTITUTE(テーブル1[[#This Row],[種族タグ]],"、","|")</f>
        <v>人間</v>
      </c>
      <c r="J261" s="19" t="str">
        <f>SUBSTITUTE(テーブル1[[#This Row],[モチーフタグ]],"、","|")</f>
        <v/>
      </c>
      <c r="K261" s="19" t="str">
        <f>SUBSTITUTE(テーブル1[[#This Row],[属性タグ]],"、","|")</f>
        <v/>
      </c>
      <c r="L261" s="19" t="str">
        <f>SUBSTITUTE(テーブル1[[#This Row],[職業タグ]],"、","|")</f>
        <v>芸能</v>
      </c>
      <c r="M261" s="19" t="str">
        <f>SUBSTITUTE(テーブル1[[#This Row],[小物タグ]],"、","|")</f>
        <v>耳装備|眼部|首装飾</v>
      </c>
      <c r="N261" s="19" t="str">
        <f>SUBSTITUTE(テーブル1[[#This Row],[身体的特徴タグ]],"、","|")</f>
        <v/>
      </c>
    </row>
    <row r="262" spans="1:14" ht="20.149999999999999" customHeight="1" x14ac:dyDescent="0.35">
      <c r="A262" s="19">
        <f>テーブル1[[#This Row],[番号]]</f>
        <v>261</v>
      </c>
      <c r="B262" s="19" t="str">
        <f>テーブル1[[#This Row],[名前]]</f>
        <v>わくねむすぴか</v>
      </c>
      <c r="C262" s="19" t="str">
        <f>テーブル1[[#This Row],[なまえ]]</f>
        <v>わくねむ すぴか</v>
      </c>
      <c r="D262" s="19" t="str">
        <f>テーブル1[[#This Row],[Name]]</f>
        <v>Wakunemu Supika</v>
      </c>
      <c r="E262" s="19" t="str">
        <f>"image/"&amp;テーブル1[[#This Row],[画像]]&amp;".png"</f>
        <v>image/wakunemu-supika.png</v>
      </c>
      <c r="F262" s="19" t="str">
        <f>テーブル1[[#This Row],[リンク]]</f>
        <v>https://bowlroll.net/user/946776</v>
      </c>
      <c r="G262" s="19" t="str">
        <f>SUBSTITUTE(テーブル1[[#This Row],[作品タグ]],"、","|")</f>
        <v>#わくねむすぴか</v>
      </c>
      <c r="H262" s="19" t="str">
        <f>テーブル1[[#This Row],[性別]]&amp;""</f>
        <v>女性</v>
      </c>
      <c r="I262" s="19" t="str">
        <f>SUBSTITUTE(テーブル1[[#This Row],[種族タグ]],"、","|")</f>
        <v>人型</v>
      </c>
      <c r="J262" s="19" t="str">
        <f>SUBSTITUTE(テーブル1[[#This Row],[モチーフタグ]],"、","|")</f>
        <v>芸術・創作</v>
      </c>
      <c r="K262" s="19" t="str">
        <f>SUBSTITUTE(テーブル1[[#This Row],[属性タグ]],"、","|")</f>
        <v/>
      </c>
      <c r="L262" s="19" t="str">
        <f>SUBSTITUTE(テーブル1[[#This Row],[職業タグ]],"、","|")</f>
        <v/>
      </c>
      <c r="M262" s="19" t="str">
        <f>SUBSTITUTE(テーブル1[[#This Row],[小物タグ]],"、","|")</f>
        <v/>
      </c>
      <c r="N262" s="19" t="str">
        <f>SUBSTITUTE(テーブル1[[#This Row],[身体的特徴タグ]],"、","|")</f>
        <v/>
      </c>
    </row>
    <row r="263" spans="1:14" ht="20.149999999999999" customHeight="1" x14ac:dyDescent="0.35">
      <c r="A263" s="19">
        <f>テーブル1[[#This Row],[番号]]</f>
        <v>262</v>
      </c>
      <c r="B263" s="19" t="str">
        <f>テーブル1[[#This Row],[名前]]</f>
        <v>李音フヱル</v>
      </c>
      <c r="C263" s="19" t="str">
        <f>テーブル1[[#This Row],[なまえ]]</f>
        <v>すももね ふえる</v>
      </c>
      <c r="D263" s="19" t="str">
        <f>テーブル1[[#This Row],[Name]]</f>
        <v>Sumomone Fueru</v>
      </c>
      <c r="E263" s="19" t="str">
        <f>"image/"&amp;テーブル1[[#This Row],[画像]]&amp;".png"</f>
        <v>image/sumomone-fueru.png</v>
      </c>
      <c r="F263" s="19" t="str">
        <f>テーブル1[[#This Row],[リンク]]</f>
        <v>https://suukedayo.wixsite.com/shiawasefairu</v>
      </c>
      <c r="G263" s="19" t="str">
        <f>SUBSTITUTE(テーブル1[[#This Row],[作品タグ]],"、","|")</f>
        <v xml:space="preserve">#しあわせふぁいる </v>
      </c>
      <c r="H263" s="19" t="str">
        <f>テーブル1[[#This Row],[性別]]&amp;""</f>
        <v>無性別</v>
      </c>
      <c r="I263" s="19" t="str">
        <f>SUBSTITUTE(テーブル1[[#This Row],[種族タグ]],"、","|")</f>
        <v>天使</v>
      </c>
      <c r="J263" s="19" t="str">
        <f>SUBSTITUTE(テーブル1[[#This Row],[モチーフタグ]],"、","|")</f>
        <v/>
      </c>
      <c r="K263" s="19" t="str">
        <f>SUBSTITUTE(テーブル1[[#This Row],[属性タグ]],"、","|")</f>
        <v/>
      </c>
      <c r="L263" s="19" t="str">
        <f>SUBSTITUTE(テーブル1[[#This Row],[職業タグ]],"、","|")</f>
        <v>医療・支援</v>
      </c>
      <c r="M263" s="19" t="str">
        <f>SUBSTITUTE(テーブル1[[#This Row],[小物タグ]],"、","|")</f>
        <v>ヘイロー</v>
      </c>
      <c r="N263" s="19" t="str">
        <f>SUBSTITUTE(テーブル1[[#This Row],[身体的特徴タグ]],"、","|")</f>
        <v>翼|目</v>
      </c>
    </row>
    <row r="264" spans="1:14" ht="20.149999999999999" customHeight="1" x14ac:dyDescent="0.35">
      <c r="A264" s="19">
        <f>テーブル1[[#This Row],[番号]]</f>
        <v>263</v>
      </c>
      <c r="B264" s="19" t="str">
        <f>テーブル1[[#This Row],[名前]]</f>
        <v>有部音ゴエμ</v>
      </c>
      <c r="C264" s="19" t="str">
        <f>テーブル1[[#This Row],[なまえ]]</f>
        <v>うぶおん ごえ</v>
      </c>
      <c r="D264" s="19" t="str">
        <f>テーブル1[[#This Row],[Name]]</f>
        <v>Ubuon Goe</v>
      </c>
      <c r="E264" s="19" t="str">
        <f>"image/"&amp;テーブル1[[#This Row],[画像]]&amp;".png"</f>
        <v>image/ubuon-goe.png</v>
      </c>
      <c r="F264" s="19" t="str">
        <f>テーブル1[[#This Row],[リンク]]</f>
        <v>https://nagimachi.wixsite.com/kairikonomachi</v>
      </c>
      <c r="G264" s="19" t="str">
        <f>SUBSTITUTE(テーブル1[[#This Row],[作品タグ]],"、","|")</f>
        <v xml:space="preserve">#返り子の町 </v>
      </c>
      <c r="H264" s="19" t="str">
        <f>テーブル1[[#This Row],[性別]]&amp;""</f>
        <v>不明</v>
      </c>
      <c r="I264" s="19" t="str">
        <f>SUBSTITUTE(テーブル1[[#This Row],[種族タグ]],"、","|")</f>
        <v>故人|幽霊</v>
      </c>
      <c r="J264" s="19" t="str">
        <f>SUBSTITUTE(テーブル1[[#This Row],[モチーフタグ]],"、","|")</f>
        <v/>
      </c>
      <c r="K264" s="19" t="str">
        <f>SUBSTITUTE(テーブル1[[#This Row],[属性タグ]],"、","|")</f>
        <v/>
      </c>
      <c r="L264" s="19" t="str">
        <f>SUBSTITUTE(テーブル1[[#This Row],[職業タグ]],"、","|")</f>
        <v>教育</v>
      </c>
      <c r="M264" s="19" t="str">
        <f>SUBSTITUTE(テーブル1[[#This Row],[小物タグ]],"、","|")</f>
        <v>道具</v>
      </c>
      <c r="N264" s="19" t="str">
        <f>SUBSTITUTE(テーブル1[[#This Row],[身体的特徴タグ]],"、","|")</f>
        <v/>
      </c>
    </row>
    <row r="265" spans="1:14" ht="20.149999999999999" customHeight="1" x14ac:dyDescent="0.35">
      <c r="A265" s="19">
        <f>テーブル1[[#This Row],[番号]]</f>
        <v>264</v>
      </c>
      <c r="B265" s="19" t="str">
        <f>テーブル1[[#This Row],[名前]]</f>
        <v>終歌カツエα</v>
      </c>
      <c r="C265" s="19" t="str">
        <f>テーブル1[[#This Row],[なまえ]]</f>
        <v>しゅうた かつえ</v>
      </c>
      <c r="D265" s="19" t="str">
        <f>テーブル1[[#This Row],[Name]]</f>
        <v>Shuta Katsue</v>
      </c>
      <c r="E265" s="19" t="str">
        <f>"image/"&amp;テーブル1[[#This Row],[画像]]&amp;".png"</f>
        <v>image/shuta-katsue.png</v>
      </c>
      <c r="F265" s="19" t="str">
        <f>テーブル1[[#This Row],[リンク]]</f>
        <v>https://nagimachi.wixsite.com/kairikonomachi</v>
      </c>
      <c r="G265" s="19" t="str">
        <f>SUBSTITUTE(テーブル1[[#This Row],[作品タグ]],"、","|")</f>
        <v xml:space="preserve">#返り子の町 </v>
      </c>
      <c r="H265" s="19" t="str">
        <f>テーブル1[[#This Row],[性別]]&amp;""</f>
        <v>女性</v>
      </c>
      <c r="I265" s="19" t="str">
        <f>SUBSTITUTE(テーブル1[[#This Row],[種族タグ]],"、","|")</f>
        <v>人間</v>
      </c>
      <c r="J265" s="19" t="str">
        <f>SUBSTITUTE(テーブル1[[#This Row],[モチーフタグ]],"、","|")</f>
        <v/>
      </c>
      <c r="K265" s="19" t="str">
        <f>SUBSTITUTE(テーブル1[[#This Row],[属性タグ]],"、","|")</f>
        <v/>
      </c>
      <c r="L265" s="19" t="str">
        <f>SUBSTITUTE(テーブル1[[#This Row],[職業タグ]],"、","|")</f>
        <v/>
      </c>
      <c r="M265" s="19" t="str">
        <f>SUBSTITUTE(テーブル1[[#This Row],[小物タグ]],"、","|")</f>
        <v>眼部</v>
      </c>
      <c r="N265" s="19" t="str">
        <f>SUBSTITUTE(テーブル1[[#This Row],[身体的特徴タグ]],"、","|")</f>
        <v/>
      </c>
    </row>
    <row r="266" spans="1:14" ht="20.149999999999999" customHeight="1" x14ac:dyDescent="0.35">
      <c r="A266" s="19">
        <f>テーブル1[[#This Row],[番号]]</f>
        <v>265</v>
      </c>
      <c r="B266" s="19" t="str">
        <f>テーブル1[[#This Row],[名前]]</f>
        <v>鳴音ベルy</v>
      </c>
      <c r="C266" s="19" t="str">
        <f>テーブル1[[#This Row],[なまえ]]</f>
        <v>なるね べる</v>
      </c>
      <c r="D266" s="19" t="str">
        <f>テーブル1[[#This Row],[Name]]</f>
        <v>Narune Bell</v>
      </c>
      <c r="E266" s="19" t="str">
        <f>"image/"&amp;テーブル1[[#This Row],[画像]]&amp;".png"</f>
        <v>image/narune-bell.png</v>
      </c>
      <c r="F266" s="19" t="str">
        <f>テーブル1[[#This Row],[リンク]]</f>
        <v>https://nagimachi.wixsite.com/kairikonomachi</v>
      </c>
      <c r="G266" s="19" t="str">
        <f>SUBSTITUTE(テーブル1[[#This Row],[作品タグ]],"、","|")</f>
        <v xml:space="preserve">#返り子の町 </v>
      </c>
      <c r="H266" s="19" t="str">
        <f>テーブル1[[#This Row],[性別]]&amp;""</f>
        <v>不明</v>
      </c>
      <c r="I266" s="19" t="str">
        <f>SUBSTITUTE(テーブル1[[#This Row],[種族タグ]],"、","|")</f>
        <v>機械</v>
      </c>
      <c r="J266" s="19" t="str">
        <f>SUBSTITUTE(テーブル1[[#This Row],[モチーフタグ]],"、","|")</f>
        <v>音楽</v>
      </c>
      <c r="K266" s="19" t="str">
        <f>SUBSTITUTE(テーブル1[[#This Row],[属性タグ]],"、","|")</f>
        <v/>
      </c>
      <c r="L266" s="19" t="str">
        <f>SUBSTITUTE(テーブル1[[#This Row],[職業タグ]],"、","|")</f>
        <v/>
      </c>
      <c r="M266" s="19" t="str">
        <f>SUBSTITUTE(テーブル1[[#This Row],[小物タグ]],"、","|")</f>
        <v>耳装備</v>
      </c>
      <c r="N266" s="19" t="str">
        <f>SUBSTITUTE(テーブル1[[#This Row],[身体的特徴タグ]],"、","|")</f>
        <v/>
      </c>
    </row>
    <row r="267" spans="1:14" ht="20.149999999999999" customHeight="1" x14ac:dyDescent="0.35">
      <c r="A267" s="19">
        <f>テーブル1[[#This Row],[番号]]</f>
        <v>266</v>
      </c>
      <c r="B267" s="19" t="str">
        <f>テーブル1[[#This Row],[名前]]</f>
        <v>型式番号α-01</v>
      </c>
      <c r="C267" s="19" t="str">
        <f>テーブル1[[#This Row],[なまえ]]</f>
        <v>けいしきばんごうα-01</v>
      </c>
      <c r="D267" s="19" t="str">
        <f>テーブル1[[#This Row],[Name]]</f>
        <v>keishikibangoα-01</v>
      </c>
      <c r="E267" s="19" t="str">
        <f>"image/"&amp;テーブル1[[#This Row],[画像]]&amp;".png"</f>
        <v>image/keishikibangoα-01.png</v>
      </c>
      <c r="F267" s="19" t="str">
        <f>テーブル1[[#This Row],[リンク]]</f>
        <v>https://nagimachi.wixsite.com/kairikonomachi</v>
      </c>
      <c r="G267" s="19" t="str">
        <f>SUBSTITUTE(テーブル1[[#This Row],[作品タグ]],"、","|")</f>
        <v xml:space="preserve">#返り子の町 </v>
      </c>
      <c r="H267" s="19" t="str">
        <f>テーブル1[[#This Row],[性別]]&amp;""</f>
        <v>男性</v>
      </c>
      <c r="I267" s="19" t="str">
        <f>SUBSTITUTE(テーブル1[[#This Row],[種族タグ]],"、","|")</f>
        <v>機械</v>
      </c>
      <c r="J267" s="19" t="str">
        <f>SUBSTITUTE(テーブル1[[#This Row],[モチーフタグ]],"、","|")</f>
        <v>音楽</v>
      </c>
      <c r="K267" s="19" t="str">
        <f>SUBSTITUTE(テーブル1[[#This Row],[属性タグ]],"、","|")</f>
        <v/>
      </c>
      <c r="L267" s="19" t="str">
        <f>SUBSTITUTE(テーブル1[[#This Row],[職業タグ]],"、","|")</f>
        <v/>
      </c>
      <c r="M267" s="19" t="str">
        <f>SUBSTITUTE(テーブル1[[#This Row],[小物タグ]],"、","|")</f>
        <v>髪飾り|耳装備</v>
      </c>
      <c r="N267" s="19" t="str">
        <f>SUBSTITUTE(テーブル1[[#This Row],[身体的特徴タグ]],"、","|")</f>
        <v>髪色|目</v>
      </c>
    </row>
    <row r="268" spans="1:14" ht="20.149999999999999" customHeight="1" x14ac:dyDescent="0.35">
      <c r="A268" s="19">
        <f>テーブル1[[#This Row],[番号]]</f>
        <v>267</v>
      </c>
      <c r="B268" s="19" t="str">
        <f>テーブル1[[#This Row],[名前]]</f>
        <v>一色スウ</v>
      </c>
      <c r="C268" s="19" t="str">
        <f>テーブル1[[#This Row],[なまえ]]</f>
        <v>いっしき すう</v>
      </c>
      <c r="D268" s="19" t="str">
        <f>テーブル1[[#This Row],[Name]]</f>
        <v>Isshiki Su</v>
      </c>
      <c r="E268" s="19" t="str">
        <f>"image/"&amp;テーブル1[[#This Row],[画像]]&amp;".png"</f>
        <v>image/isshiki-su.png</v>
      </c>
      <c r="F268" s="19" t="str">
        <f>テーブル1[[#This Row],[リンク]]</f>
        <v>http://utau.wikidot.com/utau:isshiki-suu</v>
      </c>
      <c r="G268" s="19" t="str">
        <f>SUBSTITUTE(テーブル1[[#This Row],[作品タグ]],"、","|")</f>
        <v>#一色スウ</v>
      </c>
      <c r="H268" s="19" t="str">
        <f>テーブル1[[#This Row],[性別]]&amp;""</f>
        <v>男性</v>
      </c>
      <c r="I268" s="19" t="str">
        <f>SUBSTITUTE(テーブル1[[#This Row],[種族タグ]],"、","|")</f>
        <v>人間</v>
      </c>
      <c r="J268" s="19" t="str">
        <f>SUBSTITUTE(テーブル1[[#This Row],[モチーフタグ]],"、","|")</f>
        <v/>
      </c>
      <c r="K268" s="19" t="str">
        <f>SUBSTITUTE(テーブル1[[#This Row],[属性タグ]],"、","|")</f>
        <v/>
      </c>
      <c r="L268" s="19" t="str">
        <f>SUBSTITUTE(テーブル1[[#This Row],[職業タグ]],"、","|")</f>
        <v>芸能</v>
      </c>
      <c r="M268" s="19" t="str">
        <f>SUBSTITUTE(テーブル1[[#This Row],[小物タグ]],"、","|")</f>
        <v>眼部|耳装備</v>
      </c>
      <c r="N268" s="19" t="str">
        <f>SUBSTITUTE(テーブル1[[#This Row],[身体的特徴タグ]],"、","|")</f>
        <v/>
      </c>
    </row>
    <row r="269" spans="1:14" ht="20.149999999999999" customHeight="1" x14ac:dyDescent="0.35">
      <c r="A269" s="19">
        <f>テーブル1[[#This Row],[番号]]</f>
        <v>268</v>
      </c>
      <c r="B269" s="19" t="str">
        <f>テーブル1[[#This Row],[名前]]</f>
        <v>亜音サイコ</v>
      </c>
      <c r="C269" s="19" t="str">
        <f>テーブル1[[#This Row],[なまえ]]</f>
        <v>つぎね さいこ</v>
      </c>
      <c r="D269" s="19" t="str">
        <f>テーブル1[[#This Row],[Name]]</f>
        <v>Tsugine Saiko</v>
      </c>
      <c r="E269" s="19" t="str">
        <f>"image/"&amp;テーブル1[[#This Row],[画像]]&amp;".png"</f>
        <v>image/tsugine-saiko.png</v>
      </c>
      <c r="F269" s="19" t="str">
        <f>テーブル1[[#This Row],[リンク]]</f>
        <v>https://aisupiku.wixsite.com/tsuginesaiko</v>
      </c>
      <c r="G269" s="19" t="str">
        <f>SUBSTITUTE(テーブル1[[#This Row],[作品タグ]],"、","|")</f>
        <v>#亜音サイコ</v>
      </c>
      <c r="H269" s="19" t="str">
        <f>テーブル1[[#This Row],[性別]]&amp;""</f>
        <v>女性</v>
      </c>
      <c r="I269" s="19" t="str">
        <f>SUBSTITUTE(テーブル1[[#This Row],[種族タグ]],"、","|")</f>
        <v>人間</v>
      </c>
      <c r="J269" s="19" t="str">
        <f>SUBSTITUTE(テーブル1[[#This Row],[モチーフタグ]],"、","|")</f>
        <v/>
      </c>
      <c r="K269" s="19" t="str">
        <f>SUBSTITUTE(テーブル1[[#This Row],[属性タグ]],"、","|")</f>
        <v/>
      </c>
      <c r="L269" s="19" t="str">
        <f>SUBSTITUTE(テーブル1[[#This Row],[職業タグ]],"、","|")</f>
        <v>芸能</v>
      </c>
      <c r="M269" s="19" t="str">
        <f>SUBSTITUTE(テーブル1[[#This Row],[小物タグ]],"、","|")</f>
        <v>耳装備</v>
      </c>
      <c r="N269" s="19" t="str">
        <f>SUBSTITUTE(テーブル1[[#This Row],[身体的特徴タグ]],"、","|")</f>
        <v>尻尾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5</vt:i4>
      </vt:variant>
    </vt:vector>
  </HeadingPairs>
  <TitlesOfParts>
    <vt:vector size="9" baseType="lpstr">
      <vt:lpstr>キャラ情報</vt:lpstr>
      <vt:lpstr>タグ一覧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2026-07-26T10:36:11Z</dcterms:modified>
  <cp:category/>
  <cp:contentStatus/>
</cp:coreProperties>
</file>